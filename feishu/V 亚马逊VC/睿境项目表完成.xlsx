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5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6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5欧洲listing SOP流程" sheetId="2" r:id="rId5"/>
    <sheet name="产品信息" sheetId="3" r:id="rId6"/>
    <sheet name="美国DF上架测算" sheetId="4" r:id="rId7"/>
    <sheet name="美国SC毛利测算" sheetId="5" r:id="rId8"/>
    <sheet name="美国VC毛利测算" sheetId="6" r:id="rId9"/>
    <sheet name="欧洲SC毛利测算" sheetId="7" r:id="rId10"/>
    <sheet name="欧洲VC毛利测算" sheetId="8" r:id="rId11"/>
    <sheet name="活动排期" sheetId="9" r:id="rId12"/>
    <sheet name="美国DI毛利测算" sheetId="10" r:id="rId13"/>
    <sheet name="欧洲DI毛利测算" sheetId="11" r:id="rId14"/>
    <sheet name="发货物流价格" sheetId="12" r:id="rId15"/>
    <sheet name="除螨仪-采购计划" sheetId="13" r:id="rId16"/>
    <sheet name="AP100A-采购计划" sheetId="14" r:id="rId17"/>
    <sheet name="39in1-采购计划" sheetId="15" r:id="rId18"/>
    <sheet name="TK视频链接" sheetId="16" r:id="rId19"/>
    <sheet name="佣金" sheetId="17" r:id="rId2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33090a4c-f618-402b-9739-04aeb8a5f680}">
      <text>
        <r>
          <rPr/>
          <t xml:space="preserve">战略款 (目标是小类头部,以私模或产品本身有绝对的 优势和体量为主,日销150单以上,利润10%-15%,备货不能断货)
主推款 (小众化/蓝海产品,毛利高,季节性产品,非持续性发展产品,需要快进快出的产品,日销30以上,利润25%以上(空派至少15%以上),高毛利的尽量少断货,季节产品以快进快出为主;)
品牌 
利润款
季节款
主推款
基础款</t>
        </r>
      </text>
    </comment>
    <comment ref="K1" authorId="0" shapeId="0" xr:uid="{f785a23b-e52c-4d92-8cb7-800b6da7bb4f}">
      <text>
        <r>
          <rPr/>
          <t>pending待定</t>
        </r>
      </text>
    </comment>
    <comment ref="L1" authorId="0" shapeId="0" xr:uid="{b4ef21d1-5ae5-404e-8838-49eb99b91098}">
      <text>
        <r>
          <rPr/>
          <t xml:space="preserve">环节1:种子链接布局：
1.为了链接的冷启动准备，提前一个月  发货给种子链接，（5-10个链接，每个2-3个 vine）可以空派，一定要和主推链接错开，立项之后和开发沟通最优的解决方案；
2.做种子链接的时候考虑是否要做网红视频，和自拍视频，可以一起规划样品。
3.一个产品可以给10-50个产品做种子链接，链接可以是5-25条，具体根据类目评论或者参考竞对的评论布局；
4.为推广前期维护评论做准备；
5.新品评论节奏安排
6.测评</t>
        </r>
      </text>
    </comment>
    <comment ref="M1" authorId="0" shapeId="0" xr:uid="{488dedb4-194d-43e9-bc2d-8a5aa289cd6e}">
      <text>
        <r>
          <rPr/>
          <t xml:space="preserve">竞对信息收集-发货前任务   项目跟进表完整
1. 竞对的评论怎么布局的，时间节奏是什么样的？
2. 站外是否有规划，价格折扣比是多少 效果如何？
3. 秒杀活动效果如何？对应BD效果的显著性如何
4. 广告节奏是怎样的，怎么配合的？
5.广告ROI,竞价 CPC， 单个广告成本CPA ，
ACOS分析 TACOS分析</t>
        </r>
      </text>
    </comment>
    <comment ref="N1" authorId="0" shapeId="0" xr:uid="{3367c343-5e68-4dbf-a0a3-599cbf52361d}">
      <text>
        <r>
          <rPr/>
          <t xml:space="preserve">
多变体和其他站点布局 情况  -发货前任务:
1.判断产品是否能多变体售卖;
2.北美考虑加拿大站点是否布局;
3.欧洲小语种 站点市场调研，评论情况，跟进销量要不要布局</t>
        </r>
      </text>
    </comment>
    <comment ref="O1" authorId="0" shapeId="0" xr:uid="{11323b3a-5946-470a-bdd4-9fbb7ccf62c6}">
      <text>
        <r>
          <rPr/>
          <t xml:space="preserve">建立关键词库- 上架前任务:
1. SIF  卖家精灵：关键词反查/关键词挖掘
2. Helium10:cerebro    H10 keepa PC 西柚找词 积目数据 ABA(自己asin放前面，然后选3-4个类目榜靠前且和自己产品同类型的竞品)下载下来汇总成全流量词表，筛选出评分8-10分相关度高的词
3. 后台ABA 报告：转化高的词
4. 高频词：QA/Review 板块
5. 直接方式：竞品标题及文案词 
6. SIF:竞品广告词 CPC广告架构分析
7. 亚马逊导航栏下拉关键词
8. 其它工具查词(基本大同小异)H10 keepa PC 西柚找词 积目数据
H10 keepa PC 西柚找词 积目数据
新品关键词优化路径： 
①选取10个竞品ASIN  SIF多产品对比，流量布局， 
②选取20个ASIN竞品  在卖家精灵（关键词优化 - 拓展流量词） 流量拓展=关键词优化 - 拓展流量词 按照畅销变体 拓展，下载数据，做关键词词库追踪，需要要AI智能体打标和分类，做关键词词库追踪数据
③ 用核心关键词搜索，去亚马逊前台抓取50-100类目相关竞品做SIF关键词收集 放关键词收集蓝 做相关性筛查，关键词词库+消费者洞察  
④ 要在后台商机探测器 关键词 份额，确定大词有哪些 做大词，   
⑤查看 SIF关键词中竞争格局-- 自然流量份额分布， 在售产品 自然流量分布
⑦ 关键词CPC情况（具体看是 在哪个类目下）
</t>
        </r>
      </text>
    </comment>
    <comment ref="P1" authorId="0" shapeId="0" xr:uid="{e9eed3aa-18f2-4259-9679-b741958847a5}">
      <text>
        <r>
          <rPr/>
          <t xml:space="preserve">
环节1:布局关键词收录布局 埋词技巧-上架前任务
创建链接务必按照以下标准，因为后期无法更改亚马逊的抓取数据
1. 做关键词收录布局，页面关键词出现频次大于3次，属于高频词；
2. 后台创链接发货时，就要注意权威链接和收录问题，写好完整标题，注意用空格-空格百分百收录；
3. 后台关键属性填全，不知道填的就填空格，保证不被跳过；
4. 标题，五点，QA和图片中埋词，使核心关键词成为高频词；
:5  “ - " 空 杠 空  百分百收录，IT思维运营</t>
        </r>
      </text>
    </comment>
    <comment ref="Q1" authorId="0" shapeId="0" xr:uid="{651fc9ec-a127-4f6f-8eda-26e17b17db63}">
      <text>
        <r>
          <rPr/>
          <t xml:space="preserve">
在线项目跟进表  listing 完成情况  -发货前任务
1.在立项之后；项目跟进表， 
2.表格中的定价表和目标表的更新；</t>
        </r>
      </text>
    </comment>
    <comment ref="T1" authorId="0" shapeId="0" xr:uid="{f77e3079-90e4-4b0e-9304-ed088f21ee19}">
      <text>
        <r>
          <rPr/>
          <t xml:space="preserve">
透明计划 布局情况  -发货前任务
根据商标TM/R标的状态来看是否需要做透明计划，在备货前就要考虑
透明计划SOP-ASIN注册+代码请求及下载+OPR开启启</t>
        </r>
      </text>
    </comment>
    <comment ref="W1" authorId="0" shapeId="0" xr:uid="{7429d476-2f0d-416c-bb71-52bbdc7d0021}">
      <text>
        <r>
          <rPr/>
          <t xml:space="preserve">备货规划  -发货前任务
1.根据项目跟进表以阶段性目标排名来定备货数量;
2.做出阶段性的出货数量和出货时间
备货-发货的流程及标准
XXX-项目跟进表--XXXX人-时间--新品
XXX产品-备货申请--xx人--xx时间.xlsx--老品
https://shimo.im/sheets/U9q91J8IqMOucZiP/wVlCH</t>
        </r>
      </text>
    </comment>
    <comment ref="X1" authorId="0" shapeId="0" xr:uid="{fa078e7d-a8b4-4e4e-90c3-708789113332}">
      <text>
        <r>
          <rPr/>
          <t xml:space="preserve">备货规划  -发货前任务
1.根据项目跟进表以阶段性目标排名来定备货数量;
2.做出阶段性的出货数量和出货时间
备货-发货的流程及标准
XXX-项目跟进表--XXXX人-时间--新品
XXX产品-备货申请--xx人--xx时间.xlsx--老品</t>
        </r>
      </text>
    </comment>
    <comment ref="AA1" authorId="0" shapeId="0" xr:uid="{2353e6bf-7849-4c31-8b09-8c64c20dbd49}">
      <text>
        <r>
          <rPr/>
          <t xml:space="preserve">
时效：
空运15天 卡航30 铁路40 海运45</t>
        </r>
      </text>
    </comment>
    <comment ref="AC1" authorId="0" shapeId="0" xr:uid="{05387085-5507-43c6-b492-a4bc62b027b7}">
      <text>
        <r>
          <rPr/>
          <t xml:space="preserve">
环节1:开发包材需求表-发货前任务
1. 由开发部门  提供需求表给设计，设计师自己主导设计，运营协助 检查修改确定最终版本
2. 提需求时，考虑产品包装说明书，是否印刷社媒二维码/售后落地页（可邀评）；
3. 同时需要配售后卡；</t>
        </r>
      </text>
    </comment>
    <comment ref="AE1" authorId="0" shapeId="0" xr:uid="{4dbe4cab-d3be-4e4e-8dcc-46c1d8bb43f7}">
      <text>
        <r>
          <rPr/>
          <t xml:space="preserve">
环节2:布局直评-发货后
每个ASIN可上10条以内，质保7天到30天，提交后7-10天左右显示，提交10条后会提示限制留直评，此时自己和竞对都无法再给这条链接上直评（防止前期被竞对上直评差评）；</t>
        </r>
      </text>
    </comment>
    <comment ref="AF1" authorId="0" shapeId="0" xr:uid="{6b69f34a-cd12-4b1a-924c-76b49eb4baf3}">
      <text>
        <r>
          <rPr/>
          <t xml:space="preserve">
环节2:运营产品图片需求表--发货后  模板 ：  xx-图片需求表-时间
1.在新品出货一周后务必完结任务
2.注意给到需要我们需要打标签关键词，方便美工填写图片属性中做埋词
3. 运营根据竞对的信息，把对方做的比较好的点 提供给设计</t>
        </r>
      </text>
    </comment>
    <comment ref="AZ1" authorId="0" shapeId="0" xr:uid="{f85791f1-3862-4d65-a42d-e7cc0246014a}">
      <text>
        <r>
          <rPr/>
          <t xml:space="preserve">
环节2:运营提供自拍视频需求表-上架前任务  模板     xx-视频需求表-时间
开箱，功能，卖点，售后等等，自己拍摄视频 注意质感（场景布置+灯光+戴手套）提前购买道具 场景物品 工具</t>
        </r>
      </text>
    </comment>
    <comment ref="BA1" authorId="0" shapeId="0" xr:uid="{9c33674f-e495-4bf1-9617-593dc2de4a1e}">
      <text>
        <r>
          <rPr/>
          <t xml:space="preserve">环节2:运营提供自拍视频需求表-上架前任务  模板     xx-视频需求表-时间
开箱，功能，卖点，售后等等，自己拍摄视频 注意质感（场景布置+灯光+戴手套）提前购买道具 场景物品 工具</t>
        </r>
      </text>
    </comment>
    <comment ref="BB1" authorId="0" shapeId="0" xr:uid="{80258c23-c018-422f-8498-bce170d34db5}">
      <text>
        <r>
          <rPr/>
          <t xml:space="preserve">
环节2:网红视频-上架前任务
需要提前给到剧本，让网红按剧本进行产品介绍
需要提前给到脚本，让网红按脚本进行产品介绍  
红人合作拍摄视频流程及标准
https://shimo.im/sheets/U9q91J8IqMOucZiP/wVlCH</t>
        </r>
      </text>
    </comment>
    <comment ref="BD1" authorId="0" shapeId="0" xr:uid="{a72519b7-1e08-492f-bfed-c7184ffe789f}">
      <text>
        <r>
          <rPr/>
          <t xml:space="preserve">
品牌故事 -上架前任务
一个账号可以两个品牌故事线。
协调好情感故事与专业能力协调，需要有类似十几年专业生产经验、几位专业工程师设计开发等
https://shimo.im/sheets/U9q91J8IqMOucZiP/wVlCH</t>
        </r>
      </text>
    </comment>
    <comment ref="BE1" authorId="0" shapeId="0" xr:uid="{fcb65834-c0de-47a9-9ad0-1155a88c1bcc}">
      <text>
        <r>
          <rPr/>
          <t xml:space="preserve">
品牌旗舰店装修 -上架前任务
1.需要有合理夸张的数据图片，奠定客户信任基础
2.展示的产品必须是合理搭配，展示位给到主推款，不能出现停售产品
3.产品 风格 ， 品牌调性
https://shimo.im/sheets/U9q91J8IqMOucZiP/wVlCH</t>
        </r>
      </text>
    </comment>
    <comment ref="BG1" authorId="0" shapeId="0" xr:uid="{24d9b01f-0843-44fe-a2c4-1ce9f515648a}">
      <text>
        <r>
          <rPr/>
          <t xml:space="preserve">环节3:QA-上架后任务
1.参考竞对的评价和QA，站在买家的角度来提问题；
2.前期安排3-5条，找靠谱的服务商上；
3.QA埋标题五点图片中同样的高频词；
4. 测评与QA对接流程</t>
        </r>
      </text>
    </comment>
    <comment ref="BH1" authorId="0" shapeId="0" xr:uid="{434bee75-0abe-47e4-b7f9-69dcab1cb7a7}">
      <text>
        <r>
          <rPr/>
          <t xml:space="preserve">
很重要：SIF  卖家精灵 H10查看收录词 情况
检查asin收录，节点，类目，  -上架前任务
asin收录，节点，类目，是否被标记，敏感词等等；
（开发部门需协助提供相关属性配置数据）开case刷新标题和五点，留存Case ID当证据，防止恶搞
防止竞争对手 恶意差评，标记成人，篡改类目 节点，独立站上架listing，时间戳，投诉，做证据
https://shimo.im/sheets/U9q91J8IqMOucZiP/wVlCH</t>
        </r>
      </text>
    </comment>
    <comment ref="BI1" authorId="0" shapeId="0" xr:uid="{7e466148-84c6-4097-a57c-69dab699e814}">
      <text>
        <r>
          <rPr/>
          <t xml:space="preserve">检查产品属性填写完成度
Listing的属性必须全部填写（防被跟卖篡改信息和成人标记）
很重要：防止竞争对手 恶意差评，标记成人，篡改类目 节点，独立站上架listing，时间戳，投诉，做证据
SIF  卖家精灵 H10查看收录词 情况
检查asin收录，节点，类目，  -上架前任务
asin收录，节点，类目，是否被标记，敏感词等等；
https://shimo.im/sheets/U9q91J8IqMOucZiP/wVlCH
（开发部门需协助提供相关属性配置数据）开case刷新标题和五点，留存Case ID当证据，防止恶搞
防止竞争对手 恶意差评，标记成人，篡改类目 节点，独立站上架listing，时间戳，投诉，做证据</t>
        </r>
      </text>
    </comment>
    <comment ref="BJ1" authorId="0" shapeId="0" xr:uid="{42795986-e13f-4f07-8717-dceb4b17ac09}">
      <text>
        <r>
          <rPr/>
          <t xml:space="preserve">环节3:产品关联-上架后任务
1.   new model（手动添加）老带新需要注意2者价差设定，中文case不行就英语状态下绑定
2.   系统自动强关联（半手动）成本+配件必须关联上，且配件链接重点突出品牌正品概念。
3.   A+页面关联（手动添加）ASIN数据属性对比
4   一起购买 FBT
5.自动 广告  SD展示广告，流量位，防御+攻击策略
6.视频，主图5+视频以上，红人，联盟影响，影响者计划视频，QA  REVIEW视频布局</t>
        </r>
      </text>
    </comment>
    <comment ref="BK1" authorId="0" shapeId="0" xr:uid="{ad751826-b081-40f4-9159-a66a3bc0f64e}">
      <text>
        <r>
          <rPr/>
          <t xml:space="preserve">
环节3:划线价-激活listing思路
设置listing price高价，做高折扣，利用自己的买手号出第一单（不留评）有些类目需要3-5单最近30天内操作，收货之后调回原价，就会出现划线价；买手账号下单， 留评论；
步骤如下：
设置listing price高价，做高折扣，利用自己的买手号出第一单（不留评）有些类目需要3-5单最近30天内操作，收货之后调回原价，就会出现划线价；买手账号下单， 留评论；
设置高价，做高折扣，利用自己的买手号出第一单（不留评），收货之后调回原价，就会出现划线价；；
新品评论节奏安排 HX划线价  明信片 
注意事项 不用留评论</t>
        </r>
      </text>
    </comment>
    <comment ref="BO1" authorId="0" shapeId="0" xr:uid="{874e3cd8-3491-482d-a2f6-04d4c8eb61cf}">
      <text>
        <r>
          <rPr/>
          <t xml:space="preserve">环节3:关键词上首页-推广前期准备
免评单：开售后结合划线价和五星评论的布局一起来看自己链接的转化，增长趋势和关键词的排名，不够目标的用免评单来凑，同时免评单也可以稀释一下留评率；
切记：
1.转化率要高于竞对和类目平均值；
2.要一直保证增长的趋势；
3.一系列操作下来必须要有至少两个关键词的排名在第一页；
关于如何选择刷单关键词：
1.关键词要非常贴合自身产品；
2.选择一些小词中长尾词，卖家精灵SPR值较小，出几单就容易出现在前三页的词，这一步应在整理关键词库时就提前制定；
评论布局表   评论布局表安排
xxx-项目跟进表--XXXX人-时间  
新品评论节奏</t>
        </r>
      </text>
    </comment>
    <comment ref="BP1" authorId="0" shapeId="0" xr:uid="{a291aad1-0133-4c15-a3f5-e1b94dfe85a8}">
      <text>
        <r>
          <rPr/>
          <t xml:space="preserve">环节3:站外辅助--推广中的配合
1.站外放单之前一定要有评论，保证转化率；
2.站外放单是配合五星评论的逐步完成和关键词上首页的；所以这个里面的时间节奏要把握好；
3.站外有站外的节奏，务必先规划站外计划表：3.站外有站外的节奏,务必先规划站外计划表:
 站外冷启动打收录方式推新品
xxx-项目跟进表-xxxx人-时间 
买手号下单
测评
</t>
        </r>
      </text>
    </comment>
    <comment ref="BQ1" authorId="0" shapeId="0" xr:uid="{dfd5da8a-d5ab-4861-90ec-bd5ef505be6f}">
      <text>
        <r>
          <rPr/>
          <t xml:space="preserve">环节3:关键词上首页-推广前期准备
免评单：开售后结合划线价和五星评论的布局一起来看自己链接的转化，增长趋势和关键词的排名，不够目标的用免评单来凑，同时免评单也可以稀释一下留评率；
切记：
1.转化率要高于竞对和类目平均值；
2.要一直保证增长的趋势；
3.一系列操作下来必须要有至少两个关键词的排名在第一页；
关于如何选择刷单关键词：
1.关键词要非常贴合自身产品；
2.选择一些小词中长尾词，卖家精灵SPR值较小，出几单就容易出现在前三页的词，这一步应在整理关键词库时就提前制定；
评论布局表   评论布局表安排
xxx-项目跟进表--XXXX人-时间  
新品评论节奏</t>
        </r>
      </text>
    </comment>
    <comment ref="BR1" authorId="0" shapeId="0" xr:uid="{33acc1cb-2a66-436a-96db-ccd35b682b29}">
      <text>
        <r>
          <rPr/>
          <t xml:space="preserve">环节3:五星评论布局-推广前期准备
1. 一开售后--有节奏合理规划5-20个好评，以合并种子为主，实在不行真人测评同时还可以刷关键词排名；评论布局表
2.服务商补单
3. 开售后--万一被别人上差评的备用方案，可以提前准备好种子链接
新品评论节奏安排;
xxx-项目跟进表-xxxx人-时间
环节3:五星评论布局-推广前期准备
1. 一开售后--有节奏合理规划5-20个好评，以合并种子为主，实在不行真人测评同时还可以刷关键词排名；评论布局表
3. 开售后--万一被别人上差评的备用方案，可以提前准备好种子链接
新品评论节奏安排;
https://shimo.im/sheets/U9q91J8IqMOucZiP/wVlCH
xxx-项目跟进表-xxxx人-时间</t>
        </r>
      </text>
    </comment>
    <comment ref="BS1" authorId="0" shapeId="0" xr:uid="{efb2b48d-7d26-4b26-b339-26b4fc0536fe}">
      <text>
        <r>
          <rPr/>
          <t xml:space="preserve">五星评论完结时间
评论数据根据产品定位来判断，逐步上评，上评率控制在5%以内
https://shimo.im/sheets/U9q91J8IqMOucZiP/wVlCH</t>
        </r>
      </text>
    </comment>
    <comment ref="BU1" authorId="0" shapeId="0" xr:uid="{07ece2ce-07b1-4c71-bf11-71c85e8bf451}">
      <text>
        <r>
          <rPr/>
          <t xml:space="preserve">
A:文案(埋词)用SIF关键词格局  西柚找词，（SIF, H10  卖家精灵也可以）
1. 标题：最重要的关键词放标题，标题要秉承可读性，可搜索性，不重复的原则，忌关键词堆砌； 一般格式：核心词+主参数(主卖点)+核心词+主特色+应用场景(适用范围/适用人群)（一般200字符内，除介词外单词首字母大写(不同国家语言习惯不一样，具体跟对应国家走) 避免主观评价(最畅销，最受欢迎等)）
2. 五点描述：提炼产品的核心卖点和痛点，对应痛点提出解决方案--从买家的角度而非卖家的角度去写--每一点前面都要有总结性的短语--前面3点重要性大于后面2点 最重要：注意埋词
3. 后台ST：一般是250字符以内(可能有的类目更少)--前台描述页面放不下的词 --不要重复使用用过的关键词--可以不使用介词，冠词等连接词 --可以全部用小写字母--用半角空格分隔词语，不要用其他标点符号--勿使用其他品牌名称，asin等--千万不要放与产品不相关的词
4. 商品详情描述 (长描述 )--在 做A+之前会显示在前台页面，做A+之后会显示在买家购买页面（做A+前：参考五行描述，对产品的卖点和痛点做一些阐述；对于功能性产品将五行中没有明确的 参数，细节可以罗列到这里。(简言之把自己当成产品经理来介绍自己的产品)也要注意埋词。
5.做A+后：补充前台文案没有出现或者不能出现的细节，包括本店的品牌优势以及服务保障等，让 客户更放心购买。继续埋词）
6.收录词 分析 特征词 分析 拓展
https://shimo.im/sheets/U9q91J8IqMOucZiP/wVlCH</t>
        </r>
      </text>
    </comment>
    <comment ref="BV1" authorId="0" shapeId="0" xr:uid="{77d60c21-3184-4a5c-9363-d01435f64933}">
      <text>
        <r>
          <rPr/>
          <t xml:space="preserve">关键词优化路径： 
①选取10个竞品ASIN  SIF多产品对比，流量布局， 
②选取20个ASIN竞品  在卖家精灵（关键词优化 - 拓展流量词） 流量拓展=关键词优化 - 拓展流量词 按照畅销变体 拓展，下载数据，做关键词词库追踪，需要要AI智能体打标和分类，做关键词词库追踪数据
③ 用核心关键词搜索，去亚马逊前台抓取50-100类目相关竞品做SIF关键词收集 放关键词收集蓝 做相关性筛查，关键词词库+消费者洞察  
④ 要在后台商机探测器 关键词 份额，确定大词有哪些 做大词，   
⑤查看 SIF关键词中竞争格局-- 自然流量份额分布， 在售产品 自然流量分布  ⑥关键词广告点击转化率 ACOS  CPA 利润率
⑦ 关键词CPC情况（具体看是 在哪个类目下）
https://shimo.im/sheets/U9q91J8IqMOucZiP/wVlCH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a4b6cb83-9b65-4343-8a24-77c10f5316e1}">
      <text>
        <r>
          <rPr>
            <b val="false"/>
            <i val="false"/>
            <strike val="false"/>
            <sz val="9"/>
            <color rgb="FF000000"/>
          </rPr>
          <t>DU-8OG7-EMPI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7a05094c-e0a8-43b6-85b2-c7322490f9c3}">
      <text>
        <r>
          <rPr>
            <b val="false"/>
            <i val="false"/>
            <strike val="false"/>
            <sz val="12"/>
            <color rgb="FF000000"/>
          </rPr>
          <t xml:space="preserve">PO主供应商代码：ZU7MJ
PO托盘供应商代码：ZU208
DI供应商代码：J671X
DF供应商代码：ZOKK6</t>
        </r>
      </text>
    </comment>
    <comment ref="O1" authorId="0" shapeId="0" xr:uid="{d9926869-7dc3-4512-9248-120ce40b0630}">
      <text>
        <r>
          <rPr>
            <b val="false"/>
            <i val="false"/>
            <strike val="false"/>
            <sz val="12"/>
            <color rgb="FF000000"/>
          </rPr>
          <t xml:space="preserve">Net PPM=(不含税销售额-POcost总金额+佣金）/不含税销售额
=(J1-I1+I1*0.12-J1*0.1)/(J1*0.9)
未扣减折扣</t>
        </r>
      </text>
    </comment>
    <comment ref="Q1" authorId="0" shapeId="0" xr:uid="{257e3eed-af0e-4e02-8830-b1b0f90c9d76}">
      <text>
        <r>
          <rPr>
            <b val="false"/>
            <i val="false"/>
            <strike val="false"/>
            <sz val="12"/>
            <color rgb="FF000000"/>
          </rPr>
          <t>人民币：不含税采购成本+头程</t>
        </r>
      </text>
    </comment>
    <comment ref="S1" authorId="0" shapeId="0" xr:uid="{3784f7b5-3707-42b7-bce8-eabecc133930}">
      <text>
        <r>
          <rPr>
            <b val="false"/>
            <i val="false"/>
            <strike val="false"/>
            <sz val="12"/>
            <color rgb="FF000000"/>
          </rPr>
          <t xml:space="preserve">促销费/cost price
不是前台价的折扣比例！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" authorId="0" shapeId="0" xr:uid="{7cad4ac1-577f-4c27-bdec-64cac11ef122}">
      <text>
        <r>
          <rPr>
            <b val="false"/>
            <i val="false"/>
            <strike val="false"/>
            <sz val="12"/>
            <color rgb="FF000000"/>
          </rPr>
          <t xml:space="preserve">PO主供应商代码：ZU208
PO托盘供应商代码：ZU7MJ
DI供应商代码：J671X
</t>
        </r>
      </text>
    </comment>
    <comment ref="O1" authorId="0" shapeId="0" xr:uid="{3d474ceb-ef46-493f-927c-d8abc816c8e0}">
      <text>
        <r>
          <rPr>
            <b val="false"/>
            <i val="false"/>
            <strike val="false"/>
            <sz val="12"/>
            <color rgb="FF000000"/>
          </rPr>
          <t>人民币：不含税采购成本+头程</t>
        </r>
      </text>
    </comment>
    <comment ref="R1" authorId="0" shapeId="0" xr:uid="{dcfb7dcc-2362-4a14-9226-eac3be739da5}">
      <text>
        <r>
          <rPr>
            <b val="false"/>
            <i val="false"/>
            <strike val="false"/>
            <sz val="12"/>
            <color rgb="FF000000"/>
          </rPr>
          <t>外币兑人民币</t>
        </r>
      </text>
    </comment>
    <comment ref="S1" authorId="0" shapeId="0" xr:uid="{8a48cce2-5974-44a0-bd33-8ef7a971b1aa}">
      <text>
        <r>
          <rPr>
            <b val="false"/>
            <i val="false"/>
            <strike val="false"/>
            <sz val="12"/>
            <color rgb="FF000000"/>
          </rPr>
          <t>广告费/PO价</t>
        </r>
      </text>
    </comment>
    <comment ref="T1" authorId="0" shapeId="0" xr:uid="{af138b45-f9cb-48fb-9a6f-c4fe62c1b9ac}">
      <text>
        <r>
          <rPr>
            <b val="false"/>
            <i val="false"/>
            <strike val="false"/>
            <sz val="12"/>
            <color rgb="FF000000"/>
          </rPr>
          <t xml:space="preserve">促销费/PO价
不是前台价的折扣比例！！</t>
        </r>
      </text>
    </comment>
    <comment ref="V1" authorId="0" shapeId="0" xr:uid="{e0bce954-ac5f-4b3d-924d-016ed1c7f644}">
      <text>
        <r>
          <rPr>
            <b val="false"/>
            <i val="false"/>
            <strike val="false"/>
            <sz val="12"/>
            <color rgb="FF000000"/>
          </rPr>
          <t>”不含税采购价+头程“占比</t>
        </r>
      </text>
    </comment>
    <comment ref="X1" authorId="0" shapeId="0" xr:uid="{7e17cb39-8498-4870-8a6a-7e465f9b4a60}">
      <text>
        <r>
          <rPr>
            <b val="false"/>
            <i val="false"/>
            <strike val="false"/>
            <sz val="12"/>
            <color rgb="FF000000"/>
          </rPr>
          <t>DI无佣，普通PO佣金19%+2%</t>
        </r>
      </text>
    </comment>
    <comment ref="AC1" authorId="0" shapeId="0" xr:uid="{54cf8b34-44dd-4842-9b43-91d5d901a2cf}">
      <text>
        <r>
          <rPr>
            <b val="false"/>
            <i val="false"/>
            <strike val="false"/>
            <sz val="12"/>
            <color rgb="FF000000"/>
          </rPr>
          <t xml:space="preserve">优先匹配财务采购成本&amp;头程；
其次匹配马帮采购成本；
最后匹配原始成本记录信息。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X1" authorId="0" shapeId="0" xr:uid="{1269d100-2ad9-4f62-bdd8-ad433e04fa7a}">
      <text>
        <r>
          <rPr>
            <b val="false"/>
            <i val="false"/>
            <strike val="false"/>
            <sz val="9"/>
            <color rgb="FF000000"/>
          </rPr>
          <t>2026年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" authorId="0" shapeId="0" xr:uid="{48808c00-06e6-4f8f-94b3-bb1540ed7455}">
      <text>
        <r>
          <rPr>
            <b val="false"/>
            <i val="false"/>
            <strike val="false"/>
            <sz val="9"/>
            <color rgb="FF000000"/>
          </rPr>
          <t xml:space="preserve">+34%  +50%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<sst xmlns="http://schemas.openxmlformats.org/spreadsheetml/2006/main" count="1265" uniqueCount="1265">
  <si>
    <t xml:space="preserve">  </t>
  </si>
  <si>
    <t xml:space="preserve">SKU</t>
  </si>
  <si>
    <t xml:space="preserve">ASIN</t>
  </si>
  <si>
    <t xml:space="preserve">产品名称</t>
  </si>
  <si>
    <t xml:space="preserve">产品分配时间</t>
  </si>
  <si>
    <t xml:space="preserve">产品定位</t>
  </si>
  <si>
    <t xml:space="preserve">品牌 </t>
  </si>
  <si>
    <t xml:space="preserve">店铺</t>
  </si>
  <si>
    <t xml:space="preserve">站点</t>
  </si>
  <si>
    <t xml:space="preserve">开发人员</t>
  </si>
  <si>
    <t xml:space="preserve"> 产品认领人</t>
  </si>
  <si>
    <t xml:space="preserve">部门主管</t>
  </si>
  <si>
    <t xml:space="preserve">环节1:种子链接布局</t>
  </si>
  <si>
    <t xml:space="preserve">竞对信息收集-发货前任务 </t>
  </si>
  <si>
    <t xml:space="preserve">多变体和其他站点布局 情况  -发货前任务</t>
  </si>
  <si>
    <t xml:space="preserve">建立关键词库- 上架前任务</t>
  </si>
  <si>
    <t xml:space="preserve">环节1:布局关键词收录布局 埋词技巧-上架前任务</t>
  </si>
  <si>
    <t xml:space="preserve">项目跟进表  完成情况  -发货前任务</t>
  </si>
  <si>
    <t xml:space="preserve">市场调研</t>
  </si>
  <si>
    <t xml:space="preserve">新品推广计划，广告</t>
  </si>
  <si>
    <t xml:space="preserve">透明计划 布局情况  -发货前任务</t>
  </si>
  <si>
    <t xml:space="preserve">盈利模型分析</t>
  </si>
  <si>
    <t xml:space="preserve">欧洲除螨仪  VC 选品利润测算表_EU V1.0欧洲五国</t>
  </si>
  <si>
    <t xml:space="preserve">备货规划  -发货前任务</t>
  </si>
  <si>
    <t xml:space="preserve">ASIN   </t>
  </si>
  <si>
    <t xml:space="preserve"># 出货数量</t>
  </si>
  <si>
    <t xml:space="preserve">#具体出货时间</t>
  </si>
  <si>
    <t xml:space="preserve">预计到货时间(FBA)</t>
  </si>
  <si>
    <t xml:space="preserve">开售时间 手动填写</t>
  </si>
  <si>
    <t xml:space="preserve">环节1:开发包材需求表-发货前任务</t>
  </si>
  <si>
    <t xml:space="preserve">开发提交包材需求的具体时间</t>
  </si>
  <si>
    <t xml:space="preserve">环节2:布局直评-发货后</t>
  </si>
  <si>
    <t xml:space="preserve">环节2:运营产品图片需求表--发货后  </t>
  </si>
  <si>
    <t xml:space="preserve">运营提交产品图片需求时间</t>
  </si>
  <si>
    <t xml:space="preserve">运营提交产品视频需求时间</t>
  </si>
  <si>
    <t xml:space="preserve">Review</t>
  </si>
  <si>
    <t xml:space="preserve">运营提交产品测评需求时间</t>
  </si>
  <si>
    <t xml:space="preserve">客服部完成测评时间</t>
  </si>
  <si>
    <t xml:space="preserve">Q&amp;A</t>
  </si>
  <si>
    <t xml:space="preserve">运营提交产品问答需求时间</t>
  </si>
  <si>
    <t xml:space="preserve">客服部完成问答时间</t>
  </si>
  <si>
    <t xml:space="preserve">主图视频</t>
  </si>
  <si>
    <t xml:space="preserve">设计部完成视频时间</t>
  </si>
  <si>
    <t xml:space="preserve">Related Videos</t>
  </si>
  <si>
    <t xml:space="preserve">运营提交产品相关视频需求时间</t>
  </si>
  <si>
    <t xml:space="preserve">推广部完成视频时间</t>
  </si>
  <si>
    <t xml:space="preserve">环节2:开发产品图片需求表--发货后</t>
  </si>
  <si>
    <t xml:space="preserve">开发提交产品设计需求时间</t>
  </si>
  <si>
    <t xml:space="preserve">产品图片完结时间</t>
  </si>
  <si>
    <t xml:space="preserve">根据cosmo&amp;rufus做链接 打标</t>
  </si>
  <si>
    <t xml:space="preserve">环节2:检查图片详情属性-关键词打标</t>
  </si>
  <si>
    <t xml:space="preserve">环节2:运营提供自拍视频需求表-上架前任务</t>
  </si>
  <si>
    <t xml:space="preserve">运营提供自拍视频需求表时间</t>
  </si>
  <si>
    <t xml:space="preserve">环节2:网红视频-上架前任务</t>
  </si>
  <si>
    <t xml:space="preserve">视频完结时间 -上架前任务</t>
  </si>
  <si>
    <t xml:space="preserve">品牌故事 -上架前任务</t>
  </si>
  <si>
    <t xml:space="preserve">品牌旗舰店装修 -上架前任务</t>
  </si>
  <si>
    <t xml:space="preserve">环节2:上架前任务完结时间</t>
  </si>
  <si>
    <t xml:space="preserve">环节3:QA-上架后任务</t>
  </si>
  <si>
    <t xml:space="preserve">检查asin收录，节点，类目，  -上架前任务</t>
  </si>
  <si>
    <t xml:space="preserve">检查产品属性填写完成度</t>
  </si>
  <si>
    <t xml:space="preserve">环节3:产品关联-上架后任务</t>
  </si>
  <si>
    <t xml:space="preserve">环节3:划线价-激活listing</t>
  </si>
  <si>
    <t xml:space="preserve">环节3:划线价完结时间</t>
  </si>
  <si>
    <t xml:space="preserve">环节3:listing审核时间</t>
  </si>
  <si>
    <t xml:space="preserve">环节3:该listing完成度 %</t>
  </si>
  <si>
    <t xml:space="preserve">环节3:关键词上首页-推广前期准备</t>
  </si>
  <si>
    <t xml:space="preserve">环节3:站外辅助--推广中的配合</t>
  </si>
  <si>
    <t xml:space="preserve">关键上首页完结时间</t>
  </si>
  <si>
    <t xml:space="preserve">环节3:五星评论布局-推广前期准备</t>
  </si>
  <si>
    <t xml:space="preserve">五星评论完结时间</t>
  </si>
  <si>
    <t xml:space="preserve">父记录</t>
  </si>
  <si>
    <t xml:space="preserve">A:文案(埋词)</t>
  </si>
  <si>
    <t/>
    <r>
      <rPr>
        <u val="single"/>
        <color theme="10"/>
      </rPr>
      <t>关键词库搭建</t>
    </r>
  </si>
  <si>
    <t xml:space="preserve">完成情况</t>
  </si>
  <si>
    <t xml:space="preserve">项目跟进表</t>
  </si>
  <si>
    <t xml:space="preserve">备选</t>
  </si>
  <si>
    <t xml:space="preserve">参考资料</t>
  </si>
  <si>
    <t xml:space="preserve">Z0001EU</t>
  </si>
  <si>
    <t xml:space="preserve">B0F1F6W85W</t>
  </si>
  <si>
    <t xml:space="preserve">SC电动牙刷黑色 德国站</t>
  </si>
  <si>
    <t xml:space="preserve">主推款</t>
  </si>
  <si>
    <t xml:space="preserve">HYCHIKA</t>
  </si>
  <si>
    <t xml:space="preserve">祥乐牛 EU+US和tiktok店铺</t>
  </si>
  <si>
    <t xml:space="preserve">DE</t>
  </si>
  <si>
    <t xml:space="preserve">马孝飞</t>
  </si>
  <si>
    <t xml:space="preserve">阳亚运</t>
  </si>
  <si>
    <t xml:space="preserve">X</t>
  </si>
  <si>
    <t xml:space="preserve">NO</t>
  </si>
  <si>
    <t xml:space="preserve">-</t>
  </si>
  <si>
    <t xml:space="preserve">YES 布局多变体 合并国际评论，VINE</t>
  </si>
  <si>
    <t/>
    <r>
      <rPr>
        <u val="single"/>
        <color theme="10"/>
      </rPr>
      <t xml:space="preserve">德国 电动牙刷关键词收集数据-德国标题2关键词库搭建</t>
    </r>
  </si>
  <si>
    <t xml:space="preserve">YES</t>
  </si>
  <si>
    <t/>
    <r>
      <rPr>
        <u val="single"/>
        <color theme="10"/>
      </rPr>
      <t xml:space="preserve">德国电动牙刷- 项目跟进表-阳亚运-20250325</t>
    </r>
  </si>
  <si>
    <t/>
    <r>
      <rPr>
        <u val="single"/>
        <color theme="10"/>
      </rPr>
      <t>市调</t>
    </r>
  </si>
  <si>
    <t/>
    <r>
      <rPr>
        <u val="single"/>
        <color theme="10"/>
      </rPr>
      <t xml:space="preserve">电动牙刷德国ASIN 定投广告</t>
    </r>
  </si>
  <si>
    <t/>
    <r>
      <rPr>
        <u val="single"/>
        <color theme="10"/>
      </rPr>
      <t xml:space="preserve">电动牙刷VC 选品利润测算表_EU V1.0欧洲五国</t>
    </r>
  </si>
  <si>
    <t xml:space="preserve">SC电动牙刷黑色 德国站432空运</t>
  </si>
  <si>
    <t xml:space="preserve">1+10+10VP+10VINE</t>
  </si>
  <si>
    <t xml:space="preserve">3组</t>
  </si>
  <si>
    <t/>
    <r>
      <rPr>
        <u val="single"/>
        <color theme="10"/>
      </rPr>
      <t xml:space="preserve">3.1关键词库高效搭建策略方法.pdf </t>
    </r>
  </si>
  <si>
    <t xml:space="preserve">已完成</t>
  </si>
  <si>
    <t/>
    <r>
      <rPr>
        <u val="single"/>
        <color theme="10"/>
      </rPr>
      <t>项目跟进表模板</t>
    </r>
  </si>
  <si>
    <t/>
    <r>
      <rPr>
        <u val="single"/>
        <color theme="10"/>
      </rPr>
      <t>Listing后台全属性填写标准</t>
    </r>
  </si>
  <si>
    <t xml:space="preserve">Z0001UK</t>
  </si>
  <si>
    <t xml:space="preserve">B0F1F5JSWK</t>
  </si>
  <si>
    <t xml:space="preserve">SC电动牙刷黑色 英国站</t>
  </si>
  <si>
    <t xml:space="preserve">UK</t>
  </si>
  <si>
    <t/>
    <r>
      <rPr>
        <u val="single"/>
        <color theme="10"/>
      </rPr>
      <t xml:space="preserve">英国 电动牙刷关键词收集数据-德国标题2关键词库搭建</t>
    </r>
  </si>
  <si>
    <t/>
    <r>
      <rPr>
        <u val="single"/>
        <color theme="10"/>
      </rPr>
      <t xml:space="preserve">英国电动牙刷- 项目跟进表-阳亚运-20250325</t>
    </r>
  </si>
  <si>
    <t xml:space="preserve">SC电动牙刷黑色 英国站270空运</t>
  </si>
  <si>
    <t/>
    <r>
      <rPr>
        <u val="single"/>
        <color theme="10"/>
      </rPr>
      <t>项目跟进表--20241016</t>
    </r>
  </si>
  <si>
    <t xml:space="preserve">Z0002EU</t>
  </si>
  <si>
    <t xml:space="preserve">B0F1TQRVJK</t>
  </si>
  <si>
    <t xml:space="preserve">SC电动牙刷白色 德国站</t>
  </si>
  <si>
    <t xml:space="preserve">SC电动牙刷白色 德国站432空运</t>
  </si>
  <si>
    <t xml:space="preserve">Z0002UK</t>
  </si>
  <si>
    <t xml:space="preserve">B0F1TWR4BJ</t>
  </si>
  <si>
    <t xml:space="preserve">SC电动牙刷白色 英国站</t>
  </si>
  <si>
    <t xml:space="preserve">SC电动牙刷白色 英国站270空运</t>
  </si>
  <si>
    <t xml:space="preserve">B0F1F7J8V3</t>
  </si>
  <si>
    <t xml:space="preserve">R0001EU</t>
  </si>
  <si>
    <t/>
    <r>
      <rPr>
        <u val="single"/>
        <color theme="10"/>
      </rPr>
      <t>https://shimo.im/sheets/xaLcxBgvfrrvr6At/x4LSY</t>
    </r>
  </si>
  <si>
    <t xml:space="preserve">SC除螨仪灰色 德国站</t>
  </si>
  <si>
    <t xml:space="preserve">唐高峰</t>
  </si>
  <si>
    <t/>
    <r>
      <rPr>
        <u val="single"/>
        <color theme="10"/>
      </rPr>
      <t>德国除螨仪竞品分析</t>
    </r>
  </si>
  <si>
    <t/>
    <r>
      <rPr>
        <u val="single"/>
        <color theme="10"/>
      </rPr>
      <t>德国除螨仪标题和关键词库搭建</t>
    </r>
  </si>
  <si>
    <t/>
    <r>
      <rPr>
        <u val="single"/>
        <color theme="10"/>
      </rPr>
      <t xml:space="preserve">德国除螨仪 - 项目跟进表-阳亚运-20250325</t>
    </r>
  </si>
  <si>
    <t/>
    <r>
      <rPr>
        <u val="single"/>
        <color theme="10"/>
      </rPr>
      <t>除螨仪市调</t>
    </r>
  </si>
  <si>
    <t/>
    <r>
      <rPr>
        <u val="single"/>
        <color theme="10"/>
      </rPr>
      <t xml:space="preserve">德国除螨仪的推广计划——德国除螨仪 欧洲</t>
    </r>
  </si>
  <si>
    <t/>
    <r>
      <rPr>
        <u val="single"/>
        <color theme="10"/>
      </rPr>
      <t xml:space="preserve">德国除螨仪 -盈利模型分析</t>
    </r>
  </si>
  <si>
    <t/>
    <r>
      <rPr>
        <u val="single"/>
        <color theme="10"/>
      </rPr>
      <t xml:space="preserve">欧洲除螨仪 VC 选品利润测算表_EU V1.0欧洲五国</t>
    </r>
  </si>
  <si>
    <t xml:space="preserve">SC除螨仪灰色 德国站360铁路</t>
  </si>
  <si>
    <t xml:space="preserve">1+10+9VP+2VINE</t>
  </si>
  <si>
    <t xml:space="preserve">R0001UK</t>
  </si>
  <si>
    <t xml:space="preserve">B0F1F535PC</t>
  </si>
  <si>
    <t xml:space="preserve">SC除螨仪灰色 英国站</t>
  </si>
  <si>
    <t/>
    <r>
      <rPr>
        <u val="single"/>
        <color theme="10"/>
      </rPr>
      <t xml:space="preserve">英国除螨仪标题 关键词库搭建</t>
    </r>
  </si>
  <si>
    <t/>
    <r>
      <rPr>
        <u val="single"/>
        <color theme="10"/>
      </rPr>
      <t xml:space="preserve">英国除螨仪 - 项目跟进表-阳亚运-20250325</t>
    </r>
  </si>
  <si>
    <t/>
    <r>
      <rPr>
        <u val="single"/>
        <color theme="10"/>
      </rPr>
      <t>市调</t>
    </r>
  </si>
  <si>
    <t/>
    <r>
      <rPr>
        <u val="single"/>
        <color theme="10"/>
      </rPr>
      <t xml:space="preserve">欧洲五国VC选品利润测算表EU V10</t>
    </r>
  </si>
  <si>
    <t xml:space="preserve">SC除螨仪灰色 英国站160铁路</t>
  </si>
  <si>
    <t xml:space="preserve">VC电动牙刷黑色 德国站</t>
  </si>
  <si>
    <t xml:space="preserve">VC1_EU</t>
  </si>
  <si>
    <t xml:space="preserve">关键词词库查看SC</t>
  </si>
  <si>
    <t xml:space="preserve">项目跟进表查看SC</t>
  </si>
  <si>
    <t xml:space="preserve">VC电动牙刷黑色 德国站  540卡航1080</t>
  </si>
  <si>
    <t xml:space="preserve">VC电动牙刷黑色 德国站  540铁路0</t>
  </si>
  <si>
    <t/>
    <r>
      <rPr>
        <u val="single"/>
        <color theme="10"/>
      </rPr>
      <t>https://shimo.im/sheets/16q8xxLaLauGvdq7/AsI8C</t>
    </r>
  </si>
  <si>
    <t xml:space="preserve">VC电动牙刷黑色 英国站</t>
  </si>
  <si>
    <t xml:space="preserve">VC电动牙刷黑色 英国站 540卡航</t>
  </si>
  <si>
    <t xml:space="preserve">VC电动牙刷白色 德国站</t>
  </si>
  <si>
    <t xml:space="preserve">VC电动牙刷白色 德国站  540卡航1080</t>
  </si>
  <si>
    <t xml:space="preserve">VC电动牙刷白色 德国站  540铁路0</t>
  </si>
  <si>
    <t xml:space="preserve">VC电动牙刷白色 英国站</t>
  </si>
  <si>
    <t xml:space="preserve">VC电动牙刷白色 英国站 540卡航</t>
  </si>
  <si>
    <t xml:space="preserve">VC除螨仪灰色 德国站</t>
  </si>
  <si>
    <t xml:space="preserve">VC除螨仪灰色 德国站 340卡航</t>
  </si>
  <si>
    <t/>
    <r>
      <rPr>
        <u val="single"/>
        <color theme="10"/>
      </rPr>
      <t>https://shimo.im/sheets/913JMP2Z91cJPrAE/YTZoI</t>
    </r>
  </si>
  <si>
    <t xml:space="preserve">VC除螨仪灰色 德国站 1140海运</t>
  </si>
  <si>
    <t xml:space="preserve">VC除螨仪灰色 英国站</t>
  </si>
  <si>
    <t xml:space="preserve">VC除螨仪灰色 英国站 340海运</t>
  </si>
  <si>
    <t/>
    <r>
      <rPr>
        <u val="single"/>
        <color theme="10"/>
      </rPr>
      <t>https://shimo.im/sheets/aBAYMYKEOah2rJAj/aj3k0</t>
    </r>
  </si>
  <si>
    <t xml:space="preserve">SC牙套超声波清洗机 德国站</t>
  </si>
  <si>
    <t/>
    <r>
      <rPr>
        <u val="single"/>
        <color theme="10"/>
      </rPr>
      <t>德国超声波清洗机竞争程度分析</t>
    </r>
  </si>
  <si>
    <t/>
    <r>
      <rPr>
        <u val="single"/>
        <color theme="10"/>
      </rPr>
      <t>德国牙套超声波清洗机标题和关键词库搭建</t>
    </r>
  </si>
  <si>
    <t/>
    <r>
      <rPr>
        <u val="single"/>
        <color theme="10"/>
      </rPr>
      <t>超声波清洗机市调</t>
    </r>
  </si>
  <si>
    <t/>
    <r>
      <rPr>
        <u val="single"/>
        <color theme="10"/>
      </rPr>
      <t>https://shimo.im/sheets/xaLcxBgvfrrvr6At/Wckj9</t>
    </r>
  </si>
  <si>
    <t xml:space="preserve">SC牙套超声波清洗机 英国站</t>
  </si>
  <si>
    <t xml:space="preserve">SC杆式吸尘器 德国站</t>
  </si>
  <si>
    <t/>
    <r>
      <rPr>
        <u val="single"/>
        <color theme="10"/>
      </rPr>
      <t>杆式吸尘器竞品分析-84ASIN</t>
    </r>
  </si>
  <si>
    <t/>
    <r>
      <rPr>
        <u val="single"/>
        <color theme="10"/>
      </rPr>
      <t>杆式吸尘器市调</t>
    </r>
  </si>
  <si>
    <t/>
    <r>
      <rPr>
        <u val="single"/>
        <color theme="10"/>
      </rPr>
      <t>https://shimo.im/sheets/U9q91J8IqMOucZiP/wVlCH</t>
    </r>
  </si>
  <si>
    <t xml:space="preserve">SC杆式吸尘器 英国站</t>
  </si>
  <si>
    <t xml:space="preserve">SC空气净化器德国站</t>
  </si>
  <si>
    <t/>
    <r>
      <rPr>
        <u val="single"/>
        <color theme="10"/>
      </rPr>
      <t xml:space="preserve">空气净化器 竞品分析</t>
    </r>
  </si>
  <si>
    <t/>
    <r>
      <rPr>
        <u val="single"/>
        <color theme="10"/>
      </rPr>
      <t>德国空气净化器标题和关键词库搭建</t>
    </r>
  </si>
  <si>
    <t/>
    <r>
      <rPr>
        <u val="single"/>
        <color theme="10"/>
      </rPr>
      <t xml:space="preserve">德国空气净化器 - 项目跟进表-阳亚运-20250611</t>
    </r>
  </si>
  <si>
    <t/>
    <r>
      <rPr>
        <u val="single"/>
        <color theme="10"/>
      </rPr>
      <t>空气净化器市调</t>
    </r>
  </si>
  <si>
    <t xml:space="preserve">SC空气净化器英国站</t>
  </si>
  <si>
    <t/>
    <r>
      <rPr>
        <u val="single"/>
        <color theme="10"/>
      </rPr>
      <t xml:space="preserve">英国空气净化器 - 项目跟进表-阳亚运-20250611</t>
    </r>
  </si>
  <si>
    <t xml:space="preserve">VC空气净化器  德国站</t>
  </si>
  <si>
    <t xml:space="preserve">VC空气净化器  英国站</t>
  </si>
  <si>
    <t xml:space="preserve">牙齿美白德国</t>
  </si>
  <si>
    <t xml:space="preserve">牙齿美白英国</t>
  </si>
  <si>
    <t xml:space="preserve">面部按摩器德国</t>
  </si>
  <si>
    <t/>
    <r>
      <rPr>
        <u val="single"/>
        <color theme="10"/>
      </rPr>
      <t>市调</t>
    </r>
  </si>
  <si>
    <t xml:space="preserve">面部按摩器英国</t>
  </si>
  <si>
    <t xml:space="preserve">雾化器德国</t>
  </si>
  <si>
    <t xml:space="preserve">雾化器英国</t>
  </si>
  <si>
    <t xml:space="preserve">智能电子口喷美国</t>
  </si>
  <si>
    <t/>
    <r>
      <rPr>
        <u val="single"/>
        <color theme="10"/>
      </rPr>
      <t>智能电子口喷美国</t>
    </r>
  </si>
  <si>
    <t/>
    <r>
      <rPr>
        <u val="single"/>
        <color theme="10"/>
      </rPr>
      <t xml:space="preserve">US 口喷市调 SIF所有数据oral spray</t>
    </r>
  </si>
  <si>
    <t/>
    <r>
      <rPr>
        <u val="single"/>
        <color theme="10"/>
      </rPr>
      <t xml:space="preserve">US口喷市调 Tik Tok所有数据ALL</t>
    </r>
  </si>
  <si>
    <t xml:space="preserve">智能电子口喷德国</t>
  </si>
  <si>
    <t/>
    <r>
      <rPr>
        <u val="single"/>
        <color theme="10"/>
      </rPr>
      <t xml:space="preserve">DE 口腔喷雾剂Mundsprays(卖家精灵)</t>
    </r>
  </si>
  <si>
    <t xml:space="preserve">智能电子口喷英国</t>
  </si>
  <si>
    <t/>
    <r>
      <rPr>
        <u val="single"/>
        <color theme="10"/>
      </rPr>
      <t>UK(口腔喷雾剂)Sprays</t>
    </r>
  </si>
  <si>
    <t xml:space="preserve">R0004UK</t>
  </si>
  <si>
    <t xml:space="preserve">B0FFGHJ575</t>
  </si>
  <si>
    <t xml:space="preserve">RS1棘轮螺丝刀套装英国，</t>
  </si>
  <si>
    <t xml:space="preserve">新款</t>
  </si>
  <si>
    <t xml:space="preserve">EU</t>
  </si>
  <si>
    <t xml:space="preserve">R0004EU</t>
  </si>
  <si>
    <t xml:space="preserve">RS1棘轮螺丝刀套装，欧洲</t>
  </si>
  <si>
    <t xml:space="preserve">HM0006-EU-XLN</t>
  </si>
  <si>
    <t xml:space="preserve">B0FFGKNZNN</t>
  </si>
  <si>
    <t xml:space="preserve">T2225启动电源&amp;充气泵，</t>
  </si>
  <si>
    <t xml:space="preserve">HM0003-EU-XLN</t>
  </si>
  <si>
    <t xml:space="preserve">B0FFG95G7F</t>
  </si>
  <si>
    <t xml:space="preserve">HPS39精密螺丝刀套装，</t>
  </si>
  <si>
    <t xml:space="preserve">HM0002-EU-XLN</t>
  </si>
  <si>
    <t xml:space="preserve">B0FFLJ2HMW</t>
  </si>
  <si>
    <t xml:space="preserve">HES62电动精密螺丝刀，</t>
  </si>
  <si>
    <t xml:space="preserve">HM0007EU-XLN</t>
  </si>
  <si>
    <t xml:space="preserve">B0FFGM2W7H</t>
  </si>
  <si>
    <t xml:space="preserve">EGSl11电烙铁套装，</t>
  </si>
  <si>
    <t xml:space="preserve">HM0008EU-XLN</t>
  </si>
  <si>
    <t xml:space="preserve">B0FFGLFC4X</t>
  </si>
  <si>
    <t xml:space="preserve">ESG11电动精密螺丝批套件，</t>
  </si>
  <si>
    <t xml:space="preserve">R0007US-1</t>
  </si>
  <si>
    <t xml:space="preserve">B0FNM83LN5</t>
  </si>
  <si>
    <t xml:space="preserve">US-AP100A</t>
  </si>
  <si>
    <t xml:space="preserve">HYCHIKA-AP100A-空净</t>
  </si>
  <si>
    <t xml:space="preserve">/</t>
  </si>
  <si>
    <t xml:space="preserve">VC025手持吸尘器</t>
  </si>
  <si>
    <t xml:space="preserve">R0007EU</t>
  </si>
  <si>
    <t xml:space="preserve">B0FNMBQFBC</t>
  </si>
  <si>
    <t xml:space="preserve">EU-AP100A</t>
  </si>
  <si>
    <t xml:space="preserve">空净</t>
  </si>
  <si>
    <t xml:space="preserve">R0007UK</t>
  </si>
  <si>
    <t xml:space="preserve">B0FNM5M6R6</t>
  </si>
  <si>
    <t xml:space="preserve">UK-AP100A</t>
  </si>
  <si>
    <t xml:space="preserve">UV杀菌牙刷架</t>
  </si>
  <si>
    <t xml:space="preserve">R0008US</t>
  </si>
  <si>
    <t xml:space="preserve">B0FSDB4TBK</t>
  </si>
  <si>
    <t xml:space="preserve">EU-F100A</t>
  </si>
  <si>
    <t xml:space="preserve">HYCHIKA-F100A-滤芯</t>
  </si>
  <si>
    <t xml:space="preserve">HM0001UK-XLN</t>
  </si>
  <si>
    <t xml:space="preserve">B0FFGQXWGT</t>
  </si>
  <si>
    <t xml:space="preserve">VC025手持吸尘器英国</t>
  </si>
  <si>
    <t xml:space="preserve">R0008EU-1</t>
  </si>
  <si>
    <t xml:space="preserve">B0FNMDMVCG</t>
  </si>
  <si>
    <t xml:space="preserve">HM0001EU-XLN</t>
  </si>
  <si>
    <t xml:space="preserve">VC025手持吸尘器欧洲</t>
  </si>
  <si>
    <t xml:space="preserve">R0008UK</t>
  </si>
  <si>
    <t xml:space="preserve">B0FNM6DBJM</t>
  </si>
  <si>
    <t xml:space="preserve">美国空净100 机子</t>
  </si>
  <si>
    <t xml:space="preserve">US</t>
  </si>
  <si>
    <t/>
    <r>
      <rPr>
        <u val="single"/>
        <color theme="10"/>
      </rPr>
      <t>https://shimo.im/sheets/KlkKv6JnrEcZL7qd</t>
    </r>
  </si>
  <si>
    <t xml:space="preserve">欧洲 空净100 机子</t>
  </si>
  <si>
    <t xml:space="preserve">shimo.im/sheets/m8AZM69ojBuYRLkb</t>
  </si>
  <si>
    <t xml:space="preserve">英国空净100 机子</t>
  </si>
  <si>
    <t/>
    <r>
      <rPr>
        <u val="single"/>
        <color theme="10"/>
      </rPr>
      <t>https://shimo.im/sheets/gXqmdXrXJWuZEL3o/le0g0</t>
    </r>
  </si>
  <si>
    <t xml:space="preserve">美国空净100 滤芯</t>
  </si>
  <si>
    <t/>
    <r>
      <rPr>
        <u val="single"/>
        <color theme="10"/>
      </rPr>
      <t>https://shimo.im/sheets/KlkKv6JnrEcZL7qd/vnhe5</t>
    </r>
  </si>
  <si>
    <t xml:space="preserve">欧洲 空净100 滤芯</t>
  </si>
  <si>
    <t xml:space="preserve">英国空净100 滤芯</t>
  </si>
  <si>
    <t xml:space="preserve">SKU</t>
  </si>
  <si>
    <t xml:space="preserve">ASIN</t>
  </si>
  <si>
    <t xml:space="preserve">ERP SKU</t>
  </si>
  <si>
    <t xml:space="preserve">产品名称</t>
  </si>
  <si>
    <t xml:space="preserve">采购成本（含税）</t>
  </si>
  <si>
    <t xml:space="preserve">长cm（单）</t>
  </si>
  <si>
    <t xml:space="preserve">宽cm（单）</t>
  </si>
  <si>
    <t xml:space="preserve">高cm（单）</t>
  </si>
  <si>
    <t xml:space="preserve">重量Kg（单）</t>
  </si>
  <si>
    <t xml:space="preserve">装箱数</t>
  </si>
  <si>
    <t xml:space="preserve">长cm（箱）</t>
  </si>
  <si>
    <t xml:space="preserve">宽cm（箱）</t>
  </si>
  <si>
    <t xml:space="preserve">高cm（箱）</t>
  </si>
  <si>
    <t xml:space="preserve">重量Kg（箱）</t>
  </si>
  <si>
    <t xml:space="preserve">体积重</t>
  </si>
  <si>
    <t xml:space="preserve">体积</t>
  </si>
  <si>
    <t xml:space="preserve">重量体积</t>
  </si>
  <si>
    <t xml:space="preserve">首单</t>
  </si>
  <si>
    <t xml:space="preserve">空运</t>
  </si>
  <si>
    <t xml:space="preserve">美森/卡航</t>
  </si>
  <si>
    <t xml:space="preserve">铁路</t>
  </si>
  <si>
    <t xml:space="preserve">海运</t>
  </si>
  <si>
    <t xml:space="preserve">R0001US</t>
  </si>
  <si>
    <t xml:space="preserve">B0F3CK5TDN</t>
  </si>
  <si>
    <t xml:space="preserve">US-MV2501</t>
  </si>
  <si>
    <t xml:space="preserve">HYCHIKA-MV2501-除螨仪</t>
  </si>
  <si>
    <t xml:space="preserve">吸尘器</t>
  </si>
  <si>
    <t xml:space="preserve">R0001EU</t>
  </si>
  <si>
    <t xml:space="preserve">B0F1F7J8V3</t>
  </si>
  <si>
    <t xml:space="preserve">EU-MV2501</t>
  </si>
  <si>
    <t xml:space="preserve">R0001UK</t>
  </si>
  <si>
    <t xml:space="preserve">B0F1F535PC</t>
  </si>
  <si>
    <t xml:space="preserve">UK-MV2501</t>
  </si>
  <si>
    <t xml:space="preserve">R1001EU</t>
  </si>
  <si>
    <t xml:space="preserve">HYCHIKA-MV2501-除螨仪滤芯</t>
  </si>
  <si>
    <t xml:space="preserve">HM0001EU</t>
  </si>
  <si>
    <t xml:space="preserve">B0FFGQXWGT</t>
  </si>
  <si>
    <t xml:space="preserve">EU-VC025</t>
  </si>
  <si>
    <t xml:space="preserve">HYCHIKA-VC025-手持吸尘器</t>
  </si>
  <si>
    <t xml:space="preserve">HM0006EU</t>
  </si>
  <si>
    <t xml:space="preserve">B0FFGKNZNN</t>
  </si>
  <si>
    <t xml:space="preserve">EU-T2225</t>
  </si>
  <si>
    <t xml:space="preserve">HYCHIKA-T2225-启动电源&amp;充气泵</t>
  </si>
  <si>
    <t xml:space="preserve">HM0006UK</t>
  </si>
  <si>
    <t xml:space="preserve">R0004EU</t>
  </si>
  <si>
    <t xml:space="preserve">B0FFGHJ575</t>
  </si>
  <si>
    <t xml:space="preserve">EU-RS1</t>
  </si>
  <si>
    <t xml:space="preserve">HYCHIKA-RS1-棘轮螺丝刀套装</t>
  </si>
  <si>
    <t xml:space="preserve">R0004UK</t>
  </si>
  <si>
    <t xml:space="preserve">UK-RS1</t>
  </si>
  <si>
    <t xml:space="preserve">HM0002EU</t>
  </si>
  <si>
    <t xml:space="preserve">B0FFLJ2HMW</t>
  </si>
  <si>
    <t xml:space="preserve">EU-HES62</t>
  </si>
  <si>
    <t xml:space="preserve">HYCHIKA-HES62-电动精密螺丝刀</t>
  </si>
  <si>
    <t xml:space="preserve">HM0003EU</t>
  </si>
  <si>
    <t xml:space="preserve">B0FFG95G7F</t>
  </si>
  <si>
    <t xml:space="preserve">EU-HPS39</t>
  </si>
  <si>
    <t xml:space="preserve">HYCHIKA-HPS39-精密螺丝刀套装</t>
  </si>
  <si>
    <t xml:space="preserve">R0007US</t>
  </si>
  <si>
    <t xml:space="preserve">B0FNM83LN5</t>
  </si>
  <si>
    <t xml:space="preserve">US-AP100A</t>
  </si>
  <si>
    <t xml:space="preserve">HYCHIKA-AP100A-空净</t>
  </si>
  <si>
    <t xml:space="preserve">空气净化器</t>
  </si>
  <si>
    <t xml:space="preserve">R0007EU</t>
  </si>
  <si>
    <t xml:space="preserve">B0FNMBQFBC</t>
  </si>
  <si>
    <t xml:space="preserve">EU-AP100A</t>
  </si>
  <si>
    <t xml:space="preserve">R0007UK</t>
  </si>
  <si>
    <t xml:space="preserve">B0FNM5M6R6</t>
  </si>
  <si>
    <t xml:space="preserve">UK-AP100A</t>
  </si>
  <si>
    <t xml:space="preserve">R0008US</t>
  </si>
  <si>
    <t xml:space="preserve">B0FSDB4TBK</t>
  </si>
  <si>
    <t xml:space="preserve">US-F100A</t>
  </si>
  <si>
    <t xml:space="preserve">HYCHIKA-F100A-滤芯</t>
  </si>
  <si>
    <t xml:space="preserve">空气净化器滤芯</t>
  </si>
  <si>
    <t xml:space="preserve">R0008EU</t>
  </si>
  <si>
    <t xml:space="preserve">B0FNMDMVCG</t>
  </si>
  <si>
    <t xml:space="preserve">EU-F100A</t>
  </si>
  <si>
    <t xml:space="preserve">R0008UK</t>
  </si>
  <si>
    <t xml:space="preserve">B0FNM6DBJM</t>
  </si>
  <si>
    <t xml:space="preserve">UK-F100A</t>
  </si>
  <si>
    <t xml:space="preserve">R0002EU</t>
  </si>
  <si>
    <t xml:space="preserve">1月</t>
  </si>
  <si>
    <t xml:space="preserve">EU-CY201</t>
  </si>
  <si>
    <t xml:space="preserve">HYCHIKA-CY201-除螨仪</t>
  </si>
  <si>
    <t xml:space="preserve">R0002UK</t>
  </si>
  <si>
    <t xml:space="preserve">UK-CY201</t>
  </si>
  <si>
    <t xml:space="preserve">US-BY101</t>
  </si>
  <si>
    <t xml:space="preserve">HYCHIKA-BY101-布艺清洗机</t>
  </si>
  <si>
    <t xml:space="preserve">EU-BY101</t>
  </si>
  <si>
    <t xml:space="preserve">UK-BY101</t>
  </si>
  <si>
    <t xml:space="preserve">R0003EU</t>
  </si>
  <si>
    <t xml:space="preserve">待定</t>
  </si>
  <si>
    <t xml:space="preserve">EU-B2-1(PRO)</t>
  </si>
  <si>
    <t xml:space="preserve">HYCHIKA-B2-1-手动精密螺丝批</t>
  </si>
  <si>
    <t xml:space="preserve">R0005EU</t>
  </si>
  <si>
    <t xml:space="preserve">EU-B3-1(MAX)</t>
  </si>
  <si>
    <t xml:space="preserve">HYCHIKA-B3-1-手动精密螺丝批</t>
  </si>
  <si>
    <t xml:space="preserve">R0006EU</t>
  </si>
  <si>
    <t xml:space="preserve">EU-GS-PS1(MAX)</t>
  </si>
  <si>
    <t xml:space="preserve">HYCHIKA-GS-PS1-电动精密螺丝批</t>
  </si>
  <si>
    <t xml:space="preserve">R0009EU</t>
  </si>
  <si>
    <t xml:space="preserve">EU-GS-CS04C(PRO)</t>
  </si>
  <si>
    <t xml:space="preserve">HYCHIKA-GS-CS04C-电动精密螺丝批</t>
  </si>
  <si>
    <t xml:space="preserve">R0010EU</t>
  </si>
  <si>
    <t xml:space="preserve">3月</t>
  </si>
  <si>
    <t xml:space="preserve">EU-GS-S1(PRO)</t>
  </si>
  <si>
    <t xml:space="preserve">HYCHIKA-GS-S1-电动螺丝批</t>
  </si>
  <si>
    <t xml:space="preserve">R0011EU</t>
  </si>
  <si>
    <t xml:space="preserve">EU-CG01(PRO)</t>
  </si>
  <si>
    <t xml:space="preserve">HYCHIKA-CG01-电动胶枪</t>
  </si>
  <si>
    <t xml:space="preserve">R0012EU</t>
  </si>
  <si>
    <t xml:space="preserve">无刷精密电磨</t>
  </si>
  <si>
    <t xml:space="preserve">R0013EU</t>
  </si>
  <si>
    <t xml:space="preserve">4V3系电磨</t>
  </si>
  <si>
    <t xml:space="preserve">R0014EU</t>
  </si>
  <si>
    <t xml:space="preserve">清洁刷</t>
  </si>
  <si>
    <t xml:space="preserve">R0015EU</t>
  </si>
  <si>
    <t xml:space="preserve">5月</t>
  </si>
  <si>
    <t xml:space="preserve">空净-KJ330</t>
  </si>
  <si>
    <t xml:space="preserve">83-in-1手动</t>
  </si>
  <si>
    <t xml:space="preserve">83-in-1电动</t>
  </si>
  <si>
    <t xml:space="preserve">36-in-1螺丝批</t>
  </si>
  <si>
    <t xml:space="preserve">暴力风扇</t>
  </si>
  <si>
    <t xml:space="preserve">蒸汽熨斗</t>
  </si>
  <si>
    <t xml:space="preserve">渠道</t>
  </si>
  <si>
    <t xml:space="preserve">渠道SKU</t>
  </si>
  <si>
    <t xml:space="preserve">供货价</t>
  </si>
  <si>
    <t xml:space="preserve">出库费</t>
  </si>
  <si>
    <t xml:space="preserve">ASIN</t>
  </si>
  <si>
    <t xml:space="preserve">SKU</t>
  </si>
  <si>
    <t xml:space="preserve">产品名称</t>
  </si>
  <si>
    <t xml:space="preserve">品牌</t>
  </si>
  <si>
    <t xml:space="preserve">供应商代码</t>
  </si>
  <si>
    <t xml:space="preserve">DF cost price</t>
  </si>
  <si>
    <t xml:space="preserve">建议售价
亚马逊售价-外币</t>
  </si>
  <si>
    <t xml:space="preserve">毛利
外币</t>
  </si>
  <si>
    <t xml:space="preserve">毛利率</t>
  </si>
  <si>
    <t xml:space="preserve">Profit Margin (%)</t>
  </si>
  <si>
    <t xml:space="preserve">Net
PPM</t>
  </si>
  <si>
    <t xml:space="preserve">亚马逊毛利
外币</t>
  </si>
  <si>
    <t xml:space="preserve">成本</t>
  </si>
  <si>
    <t xml:space="preserve">广告占比</t>
  </si>
  <si>
    <t xml:space="preserve">促销占比</t>
  </si>
  <si>
    <t xml:space="preserve">其他占比</t>
  </si>
  <si>
    <t xml:space="preserve">成本占比</t>
  </si>
  <si>
    <t xml:space="preserve">佣金占比</t>
  </si>
  <si>
    <t xml:space="preserve">广告
外币</t>
  </si>
  <si>
    <t xml:space="preserve">促销
外币</t>
  </si>
  <si>
    <t xml:space="preserve">其它
外币</t>
  </si>
  <si>
    <t xml:space="preserve">佣金
外币</t>
  </si>
  <si>
    <t xml:space="preserve">海外仓库存</t>
  </si>
  <si>
    <t xml:space="preserve">VC前台库存</t>
  </si>
  <si>
    <t xml:space="preserve">大健云仓</t>
  </si>
  <si>
    <t xml:space="preserve">W2938P336074</t>
  </si>
  <si>
    <t xml:space="preserve">暂停</t>
  </si>
  <si>
    <t xml:space="preserve">R2938P336074</t>
  </si>
  <si>
    <t xml:space="preserve">4头烤炉</t>
  </si>
  <si>
    <t xml:space="preserve">HYCHIKA</t>
  </si>
  <si>
    <t xml:space="preserve">ZOKK6</t>
  </si>
  <si>
    <t xml:space="preserve">W2938P336104</t>
  </si>
  <si>
    <t xml:space="preserve">R2938P336104</t>
  </si>
  <si>
    <t xml:space="preserve">3头烤炉</t>
  </si>
  <si>
    <t xml:space="preserve">W2938P332357</t>
  </si>
  <si>
    <t xml:space="preserve">R2938P332357</t>
  </si>
  <si>
    <t xml:space="preserve">6头烤炉+1侧炉</t>
  </si>
  <si>
    <t xml:space="preserve">W2717P187987</t>
  </si>
  <si>
    <t xml:space="preserve">类目问题</t>
  </si>
  <si>
    <t xml:space="preserve">R2717P187987</t>
  </si>
  <si>
    <t xml:space="preserve">五步黑色</t>
  </si>
  <si>
    <t xml:space="preserve">W2717P239455</t>
  </si>
  <si>
    <t xml:space="preserve">R2717P239455</t>
  </si>
  <si>
    <t xml:space="preserve">五步白色</t>
  </si>
  <si>
    <t xml:space="preserve">W2717P186130</t>
  </si>
  <si>
    <t xml:space="preserve">R2717P186130</t>
  </si>
  <si>
    <t xml:space="preserve">四步黑色</t>
  </si>
  <si>
    <t xml:space="preserve">W2717P239467</t>
  </si>
  <si>
    <t xml:space="preserve">R2717P239467</t>
  </si>
  <si>
    <t xml:space="preserve">四步白色</t>
  </si>
  <si>
    <t xml:space="preserve">W2660P278755</t>
  </si>
  <si>
    <t xml:space="preserve">R2660P278755</t>
  </si>
  <si>
    <t xml:space="preserve">W3267P309443</t>
  </si>
  <si>
    <t xml:space="preserve">R3267P309443</t>
  </si>
  <si>
    <t xml:space="preserve">W1239137222</t>
  </si>
  <si>
    <t xml:space="preserve">R1239137222</t>
  </si>
  <si>
    <t xml:space="preserve">W1961P290529</t>
  </si>
  <si>
    <t xml:space="preserve">R1961P290529</t>
  </si>
  <si>
    <t xml:space="preserve">W46538539</t>
  </si>
  <si>
    <t xml:space="preserve">R46538539</t>
  </si>
  <si>
    <t xml:space="preserve">W2885P246380</t>
  </si>
  <si>
    <t xml:space="preserve">R2885P246380</t>
  </si>
  <si>
    <t xml:space="preserve">W2660P180063</t>
  </si>
  <si>
    <t xml:space="preserve">R2660P180063</t>
  </si>
  <si>
    <t xml:space="preserve">红色七层抽屉可滚动工具储物工具车</t>
  </si>
  <si>
    <t xml:space="preserve">W2660P217919</t>
  </si>
  <si>
    <t xml:space="preserve">R2660P217919</t>
  </si>
  <si>
    <t xml:space="preserve">黑色七层抽屉可滚动工具储物工具车</t>
  </si>
  <si>
    <t xml:space="preserve">W2660P217926</t>
  </si>
  <si>
    <t xml:space="preserve">R2660P217926</t>
  </si>
  <si>
    <t xml:space="preserve">黑色四层抽屉可滚动工具储物工具车</t>
  </si>
  <si>
    <t xml:space="preserve">W2391P167675</t>
  </si>
  <si>
    <t xml:space="preserve">R2391P167675</t>
  </si>
  <si>
    <t xml:space="preserve">100L Laundry Hamper
100升脏衣喽</t>
  </si>
  <si>
    <t xml:space="preserve">W2391P167690</t>
  </si>
  <si>
    <t xml:space="preserve">R2391P167690</t>
  </si>
  <si>
    <t xml:space="preserve">W2391P167699</t>
  </si>
  <si>
    <t xml:space="preserve">R2391P167699</t>
  </si>
  <si>
    <t xml:space="preserve">160L Laundry Hamper
160升脏衣喽</t>
  </si>
  <si>
    <t xml:space="preserve">W2391P167709</t>
  </si>
  <si>
    <t xml:space="preserve">R2391P167709</t>
  </si>
  <si>
    <t xml:space="preserve">B0FB3XYNDP</t>
  </si>
  <si>
    <t xml:space="preserve">FW26600008US</t>
  </si>
  <si>
    <t xml:space="preserve">16.5FT</t>
  </si>
  <si>
    <t xml:space="preserve">B0FB3V4NZ8</t>
  </si>
  <si>
    <t xml:space="preserve">FW26600007US</t>
  </si>
  <si>
    <t xml:space="preserve">14.5FT</t>
  </si>
  <si>
    <t xml:space="preserve">B0FB3TTBC2</t>
  </si>
  <si>
    <t xml:space="preserve">FW26600006US</t>
  </si>
  <si>
    <t xml:space="preserve">12.5FT</t>
  </si>
  <si>
    <t xml:space="preserve">B0FB3SWK8Z</t>
  </si>
  <si>
    <t xml:space="preserve">FW26600004US</t>
  </si>
  <si>
    <t xml:space="preserve">8.5FT</t>
  </si>
  <si>
    <t xml:space="preserve">B0FB3SMMT6</t>
  </si>
  <si>
    <t xml:space="preserve">FW26600005US</t>
  </si>
  <si>
    <t xml:space="preserve">10.5FT</t>
  </si>
  <si>
    <t xml:space="preserve">品名</t>
  </si>
  <si>
    <t xml:space="preserve">售价</t>
  </si>
  <si>
    <t xml:space="preserve">汇率</t>
  </si>
  <si>
    <t xml:space="preserve">进价（￥不含税价）</t>
  </si>
  <si>
    <t xml:space="preserve">进价（$）</t>
  </si>
  <si>
    <t xml:space="preserve">头程￥</t>
  </si>
  <si>
    <t xml:space="preserve">头程（$）</t>
  </si>
  <si>
    <t xml:space="preserve">成本合计</t>
  </si>
  <si>
    <t xml:space="preserve">抽佣比例</t>
  </si>
  <si>
    <t xml:space="preserve">佣金</t>
  </si>
  <si>
    <t xml:space="preserve">配送费</t>
  </si>
  <si>
    <t xml:space="preserve">毛利</t>
  </si>
  <si>
    <t xml:space="preserve">毛利率</t>
  </si>
  <si>
    <t xml:space="preserve">仓库调拨费</t>
  </si>
  <si>
    <t xml:space="preserve">退货</t>
  </si>
  <si>
    <t xml:space="preserve">送测</t>
  </si>
  <si>
    <t xml:space="preserve">广告</t>
  </si>
  <si>
    <t xml:space="preserve">备注</t>
  </si>
  <si>
    <t xml:space="preserve">采购比</t>
  </si>
  <si>
    <t xml:space="preserve">头程占比</t>
  </si>
  <si>
    <t xml:space="preserve">尾程占比</t>
  </si>
  <si>
    <t xml:space="preserve">海运</t>
  </si>
  <si>
    <t xml:space="preserve">除螨仪-灰</t>
  </si>
  <si>
    <t xml:space="preserve">物流运费总账单金额59259.1，发货数量1000</t>
  </si>
  <si>
    <t xml:space="preserve">除螨仪-灰(折扣-20%）</t>
  </si>
  <si>
    <t xml:space="preserve">除螨仪-灰(折扣-25%）</t>
  </si>
  <si>
    <t xml:space="preserve">除螨仪-灰(折扣-PD）</t>
  </si>
  <si>
    <t xml:space="preserve">冰箱除味器对装</t>
  </si>
  <si>
    <t xml:space="preserve">空气净化器330</t>
  </si>
  <si>
    <t xml:space="preserve">空净100</t>
  </si>
  <si>
    <t xml:space="preserve">成本底价30美金</t>
  </si>
  <si>
    <t xml:space="preserve">空净100(划线-20%）</t>
  </si>
  <si>
    <t xml:space="preserve">空净100(折扣-30%）</t>
  </si>
  <si>
    <t xml:space="preserve">空净100（滤芯）</t>
  </si>
  <si>
    <t xml:space="preserve">空净100（滤芯）(划线-20%）</t>
  </si>
  <si>
    <t xml:space="preserve">空净100（滤芯）(折扣-30%）</t>
  </si>
  <si>
    <t xml:space="preserve">空气净化器</t>
  </si>
  <si>
    <t xml:space="preserve">类型</t>
  </si>
  <si>
    <t xml:space="preserve">ASIN</t>
  </si>
  <si>
    <t xml:space="preserve">运营</t>
  </si>
  <si>
    <t xml:space="preserve">SKU</t>
  </si>
  <si>
    <t xml:space="preserve">产品名称</t>
  </si>
  <si>
    <t xml:space="preserve">品牌</t>
  </si>
  <si>
    <t xml:space="preserve">供应商代码</t>
  </si>
  <si>
    <t xml:space="preserve">cost price
外币</t>
  </si>
  <si>
    <t xml:space="preserve">建议售价
亚马逊售价-外币</t>
  </si>
  <si>
    <t xml:space="preserve">毛利
外币</t>
  </si>
  <si>
    <t xml:space="preserve">毛利率</t>
  </si>
  <si>
    <t xml:space="preserve">Profit Margin (%)</t>
  </si>
  <si>
    <t xml:space="preserve">NET PPM</t>
  </si>
  <si>
    <t xml:space="preserve">亚马逊毛利
外币</t>
  </si>
  <si>
    <t xml:space="preserve">成本</t>
  </si>
  <si>
    <t xml:space="preserve">海外仓
操作费</t>
  </si>
  <si>
    <t xml:space="preserve">装箱数</t>
  </si>
  <si>
    <t xml:space="preserve">汇率</t>
  </si>
  <si>
    <t xml:space="preserve">广告占比</t>
  </si>
  <si>
    <t xml:space="preserve">促销占比</t>
  </si>
  <si>
    <t xml:space="preserve">其他占比</t>
  </si>
  <si>
    <t xml:space="preserve">成本占比</t>
  </si>
  <si>
    <t xml:space="preserve">尾程占比</t>
  </si>
  <si>
    <t xml:space="preserve">佣金占比</t>
  </si>
  <si>
    <t xml:space="preserve">广告
外币</t>
  </si>
  <si>
    <t xml:space="preserve">促销
外币</t>
  </si>
  <si>
    <t xml:space="preserve">其它
外币</t>
  </si>
  <si>
    <t xml:space="preserve">佣金
外币</t>
  </si>
  <si>
    <t xml:space="preserve">采购成本
 ¥含税</t>
  </si>
  <si>
    <t xml:space="preserve">采购成本
 ¥不含税</t>
  </si>
  <si>
    <t xml:space="preserve">头程 
RMB</t>
  </si>
  <si>
    <t xml:space="preserve">采购占比</t>
  </si>
  <si>
    <t xml:space="preserve">头程占比</t>
  </si>
  <si>
    <t xml:space="preserve">PO</t>
  </si>
  <si>
    <t xml:space="preserve">B0F3CK5TDN</t>
  </si>
  <si>
    <t xml:space="preserve">罗会娟</t>
  </si>
  <si>
    <t xml:space="preserve">R0001US</t>
  </si>
  <si>
    <t xml:space="preserve">HYCHIKA-MV2501-除螨仪</t>
  </si>
  <si>
    <t xml:space="preserve">HYCHIKA</t>
  </si>
  <si>
    <t xml:space="preserve">ZU7MJ</t>
  </si>
  <si>
    <t xml:space="preserve">DI</t>
  </si>
  <si>
    <t xml:space="preserve">J671X</t>
  </si>
  <si>
    <t xml:space="preserve">B0F2FT16RB</t>
  </si>
  <si>
    <t xml:space="preserve">Z0001US</t>
  </si>
  <si>
    <t xml:space="preserve">HYCHIKA-P2-电动牙刷</t>
  </si>
  <si>
    <t xml:space="preserve">名称</t>
  </si>
  <si>
    <t xml:space="preserve">汇率</t>
  </si>
  <si>
    <t xml:space="preserve">国家</t>
  </si>
  <si>
    <t xml:space="preserve">国家代码</t>
  </si>
  <si>
    <t xml:space="preserve">有无VAT</t>
  </si>
  <si>
    <t xml:space="preserve">成本价(0边利)</t>
  </si>
  <si>
    <t xml:space="preserve">建议价(20%边利)</t>
  </si>
  <si>
    <t xml:space="preserve">实际定价</t>
  </si>
  <si>
    <t xml:space="preserve">采购价</t>
  </si>
  <si>
    <t xml:space="preserve">FBA Fee</t>
  </si>
  <si>
    <t xml:space="preserve">佣金比例</t>
  </si>
  <si>
    <t xml:space="preserve">VAT</t>
  </si>
  <si>
    <t xml:space="preserve">预估退货率</t>
  </si>
  <si>
    <t xml:space="preserve">广告费率</t>
  </si>
  <si>
    <t xml:space="preserve">FBA仓储费</t>
  </si>
  <si>
    <t xml:space="preserve">其他费用</t>
  </si>
  <si>
    <t xml:space="preserve">广告费用</t>
  </si>
  <si>
    <t xml:space="preserve">长</t>
  </si>
  <si>
    <t xml:space="preserve">宽</t>
  </si>
  <si>
    <t xml:space="preserve">高</t>
  </si>
  <si>
    <t xml:space="preserve">包装后实重</t>
  </si>
  <si>
    <t xml:space="preserve">体积重</t>
  </si>
  <si>
    <t xml:space="preserve">计费重</t>
  </si>
  <si>
    <t xml:space="preserve">运输方式</t>
  </si>
  <si>
    <t xml:space="preserve">运费单价</t>
  </si>
  <si>
    <t xml:space="preserve">运费</t>
  </si>
  <si>
    <t xml:space="preserve">利润/USD</t>
  </si>
  <si>
    <t xml:space="preserve">利润率/USD</t>
  </si>
  <si>
    <t xml:space="preserve">各费用占比分析</t>
  </si>
  <si>
    <t xml:space="preserve">FBA配送费占比</t>
  </si>
  <si>
    <t xml:space="preserve">采购成本占比</t>
  </si>
  <si>
    <t xml:space="preserve">头程费用占比</t>
  </si>
  <si>
    <t xml:space="preserve">佣金占比</t>
  </si>
  <si>
    <t xml:space="preserve">广告占比</t>
  </si>
  <si>
    <t xml:space="preserve">其他费用占比</t>
  </si>
  <si>
    <t xml:space="preserve">除螨仪（划线30%）</t>
  </si>
  <si>
    <t xml:space="preserve">德国</t>
  </si>
  <si>
    <t xml:space="preserve">DE</t>
  </si>
  <si>
    <t xml:space="preserve">有</t>
  </si>
  <si>
    <t xml:space="preserve">海运</t>
  </si>
  <si>
    <t xml:space="preserve">除螨仪（15%）coupon</t>
  </si>
  <si>
    <t xml:space="preserve">除螨仪（20%）PD</t>
  </si>
  <si>
    <t xml:space="preserve">法国</t>
  </si>
  <si>
    <t xml:space="preserve">FR</t>
  </si>
  <si>
    <t xml:space="preserve">意大利</t>
  </si>
  <si>
    <t xml:space="preserve">IT</t>
  </si>
  <si>
    <t xml:space="preserve">除螨仪企业购价85.11（20%）coupon</t>
  </si>
  <si>
    <t xml:space="preserve">西班牙</t>
  </si>
  <si>
    <t xml:space="preserve">ES</t>
  </si>
  <si>
    <t xml:space="preserve">英国</t>
  </si>
  <si>
    <t xml:space="preserve">UK</t>
  </si>
  <si>
    <t xml:space="preserve">VC025吸尘器   定59.99  17%划线价 49.99</t>
  </si>
  <si>
    <t xml:space="preserve">VC025吸尘器（10%）coupon</t>
  </si>
  <si>
    <t xml:space="preserve">VC025吸尘器（15%）coupon</t>
  </si>
  <si>
    <t xml:space="preserve">VC025吸尘器（20%）PD</t>
  </si>
  <si>
    <t xml:space="preserve">HPS39  定24.99  20%划线价19.99</t>
  </si>
  <si>
    <t xml:space="preserve">HPS39 （10%）coupon</t>
  </si>
  <si>
    <t xml:space="preserve">HPS39 （15%）coupon</t>
  </si>
  <si>
    <t xml:space="preserve">HPS39 （20%）PD</t>
  </si>
  <si>
    <t xml:space="preserve">HES62  定59.99  25%划线价 44.99</t>
  </si>
  <si>
    <t xml:space="preserve">HES62 （10%）coupon</t>
  </si>
  <si>
    <t xml:space="preserve">HES62 （15%）coupon</t>
  </si>
  <si>
    <t xml:space="preserve">HES62 （20%）PD</t>
  </si>
  <si>
    <t xml:space="preserve">T2225 气泵  定119.99  20%划线价 94.99</t>
  </si>
  <si>
    <t xml:space="preserve">T2225 气泵 （10%）coupon</t>
  </si>
  <si>
    <t xml:space="preserve">T2225 气泵 （15%）coupon</t>
  </si>
  <si>
    <t xml:space="preserve">T2225 气泵 （20%）PD</t>
  </si>
  <si>
    <t xml:space="preserve">T2225 气泵  定119.99  25%划线价 89.99</t>
  </si>
  <si>
    <t xml:space="preserve">RS1棘轮  定39.99  25%划线价 29.99</t>
  </si>
  <si>
    <t xml:space="preserve">RS1棘轮 （10%）coupon</t>
  </si>
  <si>
    <t xml:space="preserve">RS1棘轮 （15%）coupon</t>
  </si>
  <si>
    <t xml:space="preserve">RS1棘轮 （20%）PD</t>
  </si>
  <si>
    <t xml:space="preserve">杆式- 吸尘器德国日常价走海运</t>
  </si>
  <si>
    <t xml:space="preserve">杆式-吸尘器英国日常价走海运</t>
  </si>
  <si>
    <t xml:space="preserve">空净250德国日常价走海运129.99</t>
  </si>
  <si>
    <t xml:space="preserve">空净250英国日常价走海运119.99</t>
  </si>
  <si>
    <t xml:space="preserve">空净330德国日常价走海运129.99</t>
  </si>
  <si>
    <t xml:space="preserve">空净330英国日常价走海运119.99</t>
  </si>
  <si>
    <t xml:space="preserve">空净AP100A(划线价59.99）</t>
  </si>
  <si>
    <t xml:space="preserve">US</t>
  </si>
  <si>
    <t xml:space="preserve">无</t>
  </si>
  <si>
    <t xml:space="preserve">空净AP100A(coupon-10%）</t>
  </si>
  <si>
    <t xml:space="preserve">空净AP100A(coupon-20%）</t>
  </si>
  <si>
    <t xml:space="preserve">空净AP100A (划线价64.99）</t>
  </si>
  <si>
    <t xml:space="preserve">空净AP100A (划线价59.99）</t>
  </si>
  <si>
    <t xml:space="preserve">滤芯(划线价）</t>
  </si>
  <si>
    <t xml:space="preserve">滤芯(coupon-10%）</t>
  </si>
  <si>
    <t xml:space="preserve">滤芯(coupon-20%）</t>
  </si>
  <si>
    <t xml:space="preserve">测距仪  美国B07QXS15N1</t>
  </si>
  <si>
    <t xml:space="preserve">美国</t>
  </si>
  <si>
    <t xml:space="preserve">蒸汽熨斗-（划线30%）</t>
  </si>
  <si>
    <t xml:space="preserve">蒸汽熨斗-（15%）coupon</t>
  </si>
  <si>
    <t xml:space="preserve">蒸汽熨斗-（20%）PD</t>
  </si>
  <si>
    <t xml:space="preserve">蒸汽熨斗-企业购价85.11（20%）coupon</t>
  </si>
  <si>
    <t xml:space="preserve">布艺清洗机</t>
  </si>
  <si>
    <t xml:space="preserve">布艺清洗机（15%）coupon</t>
  </si>
  <si>
    <t xml:space="preserve">78-in-1-（64.99划线）</t>
  </si>
  <si>
    <t xml:space="preserve">78-in-1-（15%）coupon</t>
  </si>
  <si>
    <t xml:space="preserve">83-in-1手动-（划线30%）</t>
  </si>
  <si>
    <t xml:space="preserve">83-in-1手动-（15%）coupon</t>
  </si>
  <si>
    <t xml:space="preserve">83-in-1电动-（划线30%）</t>
  </si>
  <si>
    <t xml:space="preserve">83-in-1电动-（15%）coupon</t>
  </si>
  <si>
    <t xml:space="preserve">36-in-1螺丝批-（划线30%）</t>
  </si>
  <si>
    <t xml:space="preserve">36-in-1螺丝批-（15%）coupon</t>
  </si>
  <si>
    <t xml:space="preserve">暴力风扇-（划线30%）</t>
  </si>
  <si>
    <t xml:space="preserve">暴力风扇-（15%）coupon</t>
  </si>
  <si>
    <t xml:space="preserve">站点</t>
  </si>
  <si>
    <t xml:space="preserve">SKU</t>
  </si>
  <si>
    <t xml:space="preserve">ASIN</t>
  </si>
  <si>
    <t xml:space="preserve">产品名称</t>
  </si>
  <si>
    <t xml:space="preserve">PO售价
外币</t>
  </si>
  <si>
    <t xml:space="preserve">建议售价(含税)
亚马逊售价-外币</t>
  </si>
  <si>
    <t xml:space="preserve">成交价
(含税）</t>
  </si>
  <si>
    <t xml:space="preserve">成交价
(不含税）</t>
  </si>
  <si>
    <t xml:space="preserve">毛利
外币</t>
  </si>
  <si>
    <t xml:space="preserve">毛利率</t>
  </si>
  <si>
    <t xml:space="preserve">建议售价
不含税外币</t>
  </si>
  <si>
    <t xml:space="preserve">Profit Margin (%)</t>
  </si>
  <si>
    <t xml:space="preserve">亚马逊毛利
外币</t>
  </si>
  <si>
    <t xml:space="preserve">成本</t>
  </si>
  <si>
    <t xml:space="preserve">二程外币</t>
  </si>
  <si>
    <t xml:space="preserve">装箱数</t>
  </si>
  <si>
    <t xml:space="preserve">汇率</t>
  </si>
  <si>
    <t xml:space="preserve">广告
占比</t>
  </si>
  <si>
    <t xml:space="preserve">前台广告
占比</t>
  </si>
  <si>
    <t xml:space="preserve">促销
占比</t>
  </si>
  <si>
    <t xml:space="preserve">其他
占比</t>
  </si>
  <si>
    <t xml:space="preserve">成本
占比</t>
  </si>
  <si>
    <t xml:space="preserve">尾程
占比</t>
  </si>
  <si>
    <t xml:space="preserve">佣金
占比</t>
  </si>
  <si>
    <t xml:space="preserve">广告
外币</t>
  </si>
  <si>
    <t xml:space="preserve">促销
外币</t>
  </si>
  <si>
    <t xml:space="preserve">其它
外币</t>
  </si>
  <si>
    <t xml:space="preserve">佣金
外币</t>
  </si>
  <si>
    <t xml:space="preserve">采购成本
 ¥含税</t>
  </si>
  <si>
    <t xml:space="preserve">采购成本
 ¥不含税</t>
  </si>
  <si>
    <t xml:space="preserve">头程
外币</t>
  </si>
  <si>
    <t xml:space="preserve">采购占比</t>
  </si>
  <si>
    <t xml:space="preserve">头程占比</t>
  </si>
  <si>
    <t xml:space="preserve">头程 
RMB</t>
  </si>
  <si>
    <t xml:space="preserve">NET PPM</t>
  </si>
  <si>
    <t xml:space="preserve">2025年
3月</t>
  </si>
  <si>
    <t xml:space="preserve">4月</t>
  </si>
  <si>
    <t xml:space="preserve">5月</t>
  </si>
  <si>
    <t xml:space="preserve">6月</t>
  </si>
  <si>
    <t xml:space="preserve">7月</t>
  </si>
  <si>
    <t xml:space="preserve">8月</t>
  </si>
  <si>
    <t xml:space="preserve">9月</t>
  </si>
  <si>
    <t xml:space="preserve">10月</t>
  </si>
  <si>
    <t xml:space="preserve">11月</t>
  </si>
  <si>
    <t xml:space="preserve">12月</t>
  </si>
  <si>
    <t xml:space="preserve">24年
1月</t>
  </si>
  <si>
    <t xml:space="preserve">2月</t>
  </si>
  <si>
    <t xml:space="preserve">3月</t>
  </si>
  <si>
    <t xml:space="preserve">25年
1月</t>
  </si>
  <si>
    <t xml:space="preserve">PO价
监控</t>
  </si>
  <si>
    <t xml:space="preserve">运营</t>
  </si>
  <si>
    <t xml:space="preserve">UK</t>
  </si>
  <si>
    <t xml:space="preserve">R0001UK</t>
  </si>
  <si>
    <t xml:space="preserve">B0F1F535PC</t>
  </si>
  <si>
    <t xml:space="preserve">除螨仪（coupon-0%）</t>
  </si>
  <si>
    <t xml:space="preserve">☆</t>
  </si>
  <si>
    <t xml:space="preserve">除螨仪（coupon-5%）</t>
  </si>
  <si>
    <t xml:space="preserve">除螨仪（coupon-10%）</t>
  </si>
  <si>
    <t xml:space="preserve">除螨仪（coupon-15%）</t>
  </si>
  <si>
    <t xml:space="preserve">DE</t>
  </si>
  <si>
    <t xml:space="preserve">R0001EU</t>
  </si>
  <si>
    <t xml:space="preserve">B0F1F7J8V3</t>
  </si>
  <si>
    <t xml:space="preserve">FR</t>
  </si>
  <si>
    <t xml:space="preserve">IT</t>
  </si>
  <si>
    <t xml:space="preserve">ES</t>
  </si>
  <si>
    <t xml:space="preserve">NL</t>
  </si>
  <si>
    <t xml:space="preserve">除螨仪荷兰</t>
  </si>
  <si>
    <t xml:space="preserve">PL</t>
  </si>
  <si>
    <t xml:space="preserve">除螨仪波兰</t>
  </si>
  <si>
    <t xml:space="preserve">SE</t>
  </si>
  <si>
    <t xml:space="preserve">除螨仪瑞典</t>
  </si>
  <si>
    <t xml:space="preserve">BE</t>
  </si>
  <si>
    <t xml:space="preserve">除螨仪比利时</t>
  </si>
  <si>
    <t xml:space="preserve">B0FFGHJ575</t>
  </si>
  <si>
    <t xml:space="preserve">RS1棘轮（coupon-0%）</t>
  </si>
  <si>
    <t xml:space="preserve">RS1棘轮（coupon-5%）</t>
  </si>
  <si>
    <t xml:space="preserve">RS1棘轮（coupon-10%）</t>
  </si>
  <si>
    <t xml:space="preserve">RS1棘轮（coupon-15%）</t>
  </si>
  <si>
    <t xml:space="preserve">RS1棘轮荷兰</t>
  </si>
  <si>
    <t xml:space="preserve">RS1棘轮波兰</t>
  </si>
  <si>
    <t xml:space="preserve">RS1棘轮瑞典</t>
  </si>
  <si>
    <t xml:space="preserve">RS1棘轮比利时</t>
  </si>
  <si>
    <t xml:space="preserve">B0FFGQXWGT</t>
  </si>
  <si>
    <t xml:space="preserve">吸尘器（coupon-0%）</t>
  </si>
  <si>
    <t xml:space="preserve">吸尘器（coupon-10%）</t>
  </si>
  <si>
    <t xml:space="preserve">吸尘器（coupon-15%）</t>
  </si>
  <si>
    <t xml:space="preserve">吸尘器荷兰</t>
  </si>
  <si>
    <t xml:space="preserve">吸尘器波兰</t>
  </si>
  <si>
    <t xml:space="preserve">吸尘器瑞典</t>
  </si>
  <si>
    <t xml:space="preserve">吸尘器比利时</t>
  </si>
  <si>
    <t xml:space="preserve">B0FFGKNZNN</t>
  </si>
  <si>
    <t xml:space="preserve">气泵（coupon-0%）</t>
  </si>
  <si>
    <t xml:space="preserve">气泵（coupon-10%）</t>
  </si>
  <si>
    <t xml:space="preserve">气泵（coupon-15%）</t>
  </si>
  <si>
    <t xml:space="preserve">气泵荷兰</t>
  </si>
  <si>
    <t xml:space="preserve">气泵波兰</t>
  </si>
  <si>
    <t xml:space="preserve">气泵瑞典</t>
  </si>
  <si>
    <t xml:space="preserve">气泵比利时</t>
  </si>
  <si>
    <t xml:space="preserve">B0FFLJ2HMW</t>
  </si>
  <si>
    <t xml:space="preserve">HES62-电（coupon-0%）</t>
  </si>
  <si>
    <t xml:space="preserve">HES62-电（coupon-10%）</t>
  </si>
  <si>
    <t xml:space="preserve">HES62-电（coupon-15%）</t>
  </si>
  <si>
    <t xml:space="preserve">HES62-电荷兰</t>
  </si>
  <si>
    <t xml:space="preserve">HES62-电波兰</t>
  </si>
  <si>
    <t xml:space="preserve">HES62-电瑞典</t>
  </si>
  <si>
    <t xml:space="preserve">HES62-电比利时</t>
  </si>
  <si>
    <t xml:space="preserve">B0FFG95G7F</t>
  </si>
  <si>
    <t xml:space="preserve">HPS39-手（coupon-0%）</t>
  </si>
  <si>
    <t xml:space="preserve">HPS39-手（coupon-10%）</t>
  </si>
  <si>
    <t xml:space="preserve">HPS39-手（coupon-15%）</t>
  </si>
  <si>
    <t xml:space="preserve">HPS39-手荷兰</t>
  </si>
  <si>
    <t xml:space="preserve">HPS39-手波兰</t>
  </si>
  <si>
    <t xml:space="preserve">HPS39-手瑞典</t>
  </si>
  <si>
    <t xml:space="preserve">HPS39-手比利时</t>
  </si>
  <si>
    <t xml:space="preserve">杆式吸尘器</t>
  </si>
  <si>
    <t xml:space="preserve">空净KJ-330</t>
  </si>
  <si>
    <t xml:space="preserve">B0FNM5M6R6</t>
  </si>
  <si>
    <t xml:space="preserve">空净AP100A（coupon-0%）</t>
  </si>
  <si>
    <t xml:space="preserve">空净AP100A（coupon-10%）</t>
  </si>
  <si>
    <t xml:space="preserve">空净AP100A（coupon-15%）</t>
  </si>
  <si>
    <t xml:space="preserve">B0FNMBQFBC</t>
  </si>
  <si>
    <t xml:space="preserve">空净AP100A</t>
  </si>
  <si>
    <t xml:space="preserve">NEW</t>
  </si>
  <si>
    <t xml:space="preserve">布艺清洗机（coupon-0%）</t>
  </si>
  <si>
    <t xml:space="preserve">布艺清洗机（coupon-5%）</t>
  </si>
  <si>
    <t xml:space="preserve">布艺清洗机（coupon-10%）</t>
  </si>
  <si>
    <t xml:space="preserve">布艺清洗机（coupon-15%）</t>
  </si>
  <si>
    <t xml:space="preserve">布艺清洗机荷兰</t>
  </si>
  <si>
    <t xml:space="preserve">布艺清洗机波兰</t>
  </si>
  <si>
    <t xml:space="preserve">布艺清洗机瑞典</t>
  </si>
  <si>
    <t xml:space="preserve">布艺清洗机比利时</t>
  </si>
  <si>
    <t xml:space="preserve">R0003EU</t>
  </si>
  <si>
    <t xml:space="preserve">B2-1(PRO)(coupon-0%)</t>
  </si>
  <si>
    <t xml:space="preserve">B2-1(PRO)(coupon-10%)</t>
  </si>
  <si>
    <t xml:space="preserve">B2-1(PRO)(coupon-15%)</t>
  </si>
  <si>
    <t xml:space="preserve">B2-1(PRO)荷兰</t>
  </si>
  <si>
    <t xml:space="preserve">B2-1(PRO)波兰</t>
  </si>
  <si>
    <t xml:space="preserve">B2-1(PRO)瑞典</t>
  </si>
  <si>
    <t xml:space="preserve">B2-1(PRO)比利时</t>
  </si>
  <si>
    <t xml:space="preserve">R0005EU</t>
  </si>
  <si>
    <t xml:space="preserve">B3-1(MAX)(coupon-0%）</t>
  </si>
  <si>
    <t xml:space="preserve">B3-1(MAX)(coupon-10%）</t>
  </si>
  <si>
    <t xml:space="preserve">B3-1(MAX)(coupon-15%）</t>
  </si>
  <si>
    <t xml:space="preserve">B3-1(MAX)荷兰</t>
  </si>
  <si>
    <t xml:space="preserve">B3-1(MAX)波兰</t>
  </si>
  <si>
    <t xml:space="preserve">B3-1(MAX)瑞典</t>
  </si>
  <si>
    <t xml:space="preserve">B3-1(MAX)比利时</t>
  </si>
  <si>
    <t xml:space="preserve">R0006EU</t>
  </si>
  <si>
    <t xml:space="preserve">GS-PS1(MAX)(coupon-0%)</t>
  </si>
  <si>
    <t xml:space="preserve">GS-PS1(MAX)(coupon-10%)</t>
  </si>
  <si>
    <t xml:space="preserve">GS-PS1(MAX)(coupon-15%)</t>
  </si>
  <si>
    <t xml:space="preserve">GS-PS1(MAX)荷兰</t>
  </si>
  <si>
    <t xml:space="preserve">GS-PS1(MAX)波兰</t>
  </si>
  <si>
    <t xml:space="preserve">GS-PS1(MAX)瑞典</t>
  </si>
  <si>
    <t xml:space="preserve">GS-PS1(MAX)比利时</t>
  </si>
  <si>
    <t xml:space="preserve">R0009EU</t>
  </si>
  <si>
    <t xml:space="preserve">GS-CS04C(PRO)(coupon-0%）</t>
  </si>
  <si>
    <t xml:space="preserve">GS-CS04C(PRO)(coupon-10%）</t>
  </si>
  <si>
    <t xml:space="preserve">GS-CS04C(PRO)(coupon-15%）</t>
  </si>
  <si>
    <t xml:space="preserve">GS-CS04C(PRO)荷兰</t>
  </si>
  <si>
    <t xml:space="preserve">GS-CS04C(PRO)波兰</t>
  </si>
  <si>
    <t xml:space="preserve">GGS-CS04C(PRO)瑞典</t>
  </si>
  <si>
    <t xml:space="preserve">GS-CS04C(PRO)比利时</t>
  </si>
  <si>
    <t xml:space="preserve">R0010EU</t>
  </si>
  <si>
    <t xml:space="preserve">GS-S1(PRO)(coupon-0%）</t>
  </si>
  <si>
    <t xml:space="preserve">GS-S1(PRO)(coupon-10%）</t>
  </si>
  <si>
    <t xml:space="preserve">GS-S1(PRO)(coupon-15%）</t>
  </si>
  <si>
    <t xml:space="preserve">GS-S1(PRO)荷兰</t>
  </si>
  <si>
    <t xml:space="preserve">GS-S1(PRO)波兰</t>
  </si>
  <si>
    <t xml:space="preserve">GS-S1(PRO)瑞典</t>
  </si>
  <si>
    <t xml:space="preserve">GS-S1(PRO)比利时</t>
  </si>
  <si>
    <t xml:space="preserve">R0011EU</t>
  </si>
  <si>
    <t xml:space="preserve">CG01(PRO)胶枪(coupon-0%）</t>
  </si>
  <si>
    <t xml:space="preserve">CG01(PRO)胶枪(coupon-10%）</t>
  </si>
  <si>
    <t xml:space="preserve">CG01(PRO)胶枪(coupon-15%）</t>
  </si>
  <si>
    <t xml:space="preserve">CG01(PRO)胶枪荷兰</t>
  </si>
  <si>
    <t xml:space="preserve">CG01(PRO)胶枪波兰</t>
  </si>
  <si>
    <t xml:space="preserve">CG01(PRO)胶枪瑞典</t>
  </si>
  <si>
    <t xml:space="preserve">CG01(PRO)胶枪比利时</t>
  </si>
  <si>
    <t xml:space="preserve">R0012EU</t>
  </si>
  <si>
    <t xml:space="preserve">无刷精密电磨(coupon-0%）</t>
  </si>
  <si>
    <t xml:space="preserve">无刷精密电磨(coupon-10%）</t>
  </si>
  <si>
    <t xml:space="preserve">无刷精密电磨(coupon-15%）</t>
  </si>
  <si>
    <t xml:space="preserve">无刷精密电磨荷兰</t>
  </si>
  <si>
    <t xml:space="preserve">无刷精密电磨波兰</t>
  </si>
  <si>
    <t xml:space="preserve">无刷精密电磨瑞典</t>
  </si>
  <si>
    <t xml:space="preserve">无刷精密电磨比利时</t>
  </si>
  <si>
    <t xml:space="preserve">R0013EU</t>
  </si>
  <si>
    <t xml:space="preserve">电磨(coupon-0%）</t>
  </si>
  <si>
    <t xml:space="preserve">电磨(coupon-10%）</t>
  </si>
  <si>
    <t xml:space="preserve">电磨(coupon-15%）</t>
  </si>
  <si>
    <t xml:space="preserve">电磨荷兰</t>
  </si>
  <si>
    <t xml:space="preserve">电磨波兰</t>
  </si>
  <si>
    <t xml:space="preserve">电磨瑞典</t>
  </si>
  <si>
    <t xml:space="preserve">电磨比利时</t>
  </si>
  <si>
    <t xml:space="preserve">R0014EU</t>
  </si>
  <si>
    <t xml:space="preserve">清洁刷(coupon-0%）</t>
  </si>
  <si>
    <t xml:space="preserve">清洁刷(coupon-10%）</t>
  </si>
  <si>
    <t xml:space="preserve">清洁刷(coupon-15%）</t>
  </si>
  <si>
    <t xml:space="preserve">清洁刷荷兰</t>
  </si>
  <si>
    <t xml:space="preserve">清洁刷波兰</t>
  </si>
  <si>
    <t xml:space="preserve">清洁刷瑞典</t>
  </si>
  <si>
    <t xml:space="preserve">清洁刷比利时</t>
  </si>
  <si>
    <t xml:space="preserve">R0015EU</t>
  </si>
  <si>
    <t xml:space="preserve">空净AP300A（coupon-0%）</t>
  </si>
  <si>
    <t xml:space="preserve">空净AP300A（coupon-10%）</t>
  </si>
  <si>
    <t xml:space="preserve">空净AP300A（coupon-15%）</t>
  </si>
  <si>
    <t xml:space="preserve">空净AP300A</t>
  </si>
  <si>
    <t xml:space="preserve">产品</t>
  </si>
  <si>
    <t xml:space="preserve">站点</t>
  </si>
  <si>
    <t xml:space="preserve">类型</t>
  </si>
  <si>
    <t xml:space="preserve">活动</t>
  </si>
  <si>
    <t xml:space="preserve">除螨仪
B0F1F7J8V3
B0F1F535PC</t>
  </si>
  <si>
    <t xml:space="preserve">DE</t>
  </si>
  <si>
    <t xml:space="preserve">优惠券</t>
  </si>
  <si>
    <t xml:space="preserve">无</t>
  </si>
  <si>
    <t xml:space="preserve">Funding 12，广告8，毛利4.82</t>
  </si>
  <si>
    <t xml:space="preserve">SC BD</t>
  </si>
  <si>
    <t xml:space="preserve">VC BFCM;Funding 11.04€</t>
  </si>
  <si>
    <t xml:space="preserve">SC Price discount:28%，毛利3.07€，1-30号</t>
  </si>
  <si>
    <t xml:space="preserve">FR</t>
  </si>
  <si>
    <t xml:space="preserve">Funding 12.75，广告8，毛利2.25</t>
  </si>
  <si>
    <t xml:space="preserve">SC Price discount</t>
  </si>
  <si>
    <t xml:space="preserve">VC BFCM;Funding 6.48€</t>
  </si>
  <si>
    <t xml:space="preserve">SC Price discount:15%，8.57€，1-30号</t>
  </si>
  <si>
    <t xml:space="preserve">IT</t>
  </si>
  <si>
    <t xml:space="preserve">Funding 12.75，广告8，毛利3.73</t>
  </si>
  <si>
    <t xml:space="preserve">VC BD;Funding 11.41€</t>
  </si>
  <si>
    <t xml:space="preserve">ES</t>
  </si>
  <si>
    <t xml:space="preserve">Funding 12.75，广告8，毛利4.36</t>
  </si>
  <si>
    <t xml:space="preserve">VC BD;Funding 11.5€</t>
  </si>
  <si>
    <t xml:space="preserve">VC Price discount:Funding12.75€</t>
  </si>
  <si>
    <t xml:space="preserve">UK</t>
  </si>
  <si>
    <t xml:space="preserve">Discount：12%</t>
  </si>
  <si>
    <t xml:space="preserve">Funding 12，广告8，毛利6.27</t>
  </si>
  <si>
    <t xml:space="preserve">VC BFCM;Funding 8.75￡</t>
  </si>
  <si>
    <t xml:space="preserve">VC BD;Funding 8.75€(150pcs)</t>
  </si>
  <si>
    <t xml:space="preserve">62合1
B0FFLJ2HMW</t>
  </si>
  <si>
    <t xml:space="preserve">Discount：20%</t>
  </si>
  <si>
    <t xml:space="preserve">Funding 5.5，广告4，毛利1.26</t>
  </si>
  <si>
    <t xml:space="preserve">VC BD;Funding 4.67€；</t>
  </si>
  <si>
    <t xml:space="preserve">VC BD;Funding 4.67€</t>
  </si>
  <si>
    <t xml:space="preserve">Funding 5.5，广告4，毛利0.32</t>
  </si>
  <si>
    <t xml:space="preserve">VC BD;Funding 4.17€</t>
  </si>
  <si>
    <t xml:space="preserve">BD结束</t>
  </si>
  <si>
    <t/>
    <r>
      <rPr>
        <b val="false"/>
        <i val="false"/>
        <strike val="false"/>
        <sz val="9"/>
        <color rgb="FF000000"/>
      </rPr>
      <t xml:space="preserve">VC BD;Funding 4.67€；</t>
    </r>
    <r>
      <rPr>
        <b val="false"/>
        <i val="false"/>
        <strike val="false"/>
        <sz val="9"/>
        <color rgb="FFFF0000"/>
      </rPr>
      <t>（报错）</t>
    </r>
  </si>
  <si>
    <t xml:space="preserve">VC BD;Funding 3.04€</t>
  </si>
  <si>
    <t xml:space="preserve">COUPON 7%</t>
  </si>
  <si>
    <t xml:space="preserve">Funding 5.5，广告4，毛利0.63</t>
  </si>
  <si>
    <t xml:space="preserve">VC BD;Funding 4.55€</t>
  </si>
  <si>
    <t xml:space="preserve">VC BD;Funding 5.84€；</t>
  </si>
  <si>
    <t xml:space="preserve">Discount：10%</t>
  </si>
  <si>
    <t xml:space="preserve">Discount：15%</t>
  </si>
  <si>
    <t xml:space="preserve">Funding 5.5，广告4，毛利1</t>
  </si>
  <si>
    <t xml:space="preserve">39IN1
B0FFG95G7F</t>
  </si>
  <si>
    <t xml:space="preserve">Discount：1.5€</t>
  </si>
  <si>
    <t xml:space="preserve">Funding 2.55，广告2.5，毛利0.8</t>
  </si>
  <si>
    <t xml:space="preserve">VC BD;Funding 2.4€；</t>
  </si>
  <si>
    <t xml:space="preserve">VC BD;Funding 2.15€</t>
  </si>
  <si>
    <t xml:space="preserve">Discount：1.5€ </t>
  </si>
  <si>
    <t xml:space="preserve">Funding 2.55，广告2.5，毛利0.43</t>
  </si>
  <si>
    <t xml:space="preserve">VC BD;Funding 2.5€</t>
  </si>
  <si>
    <t xml:space="preserve">VC BD;Funding 2.31€</t>
  </si>
  <si>
    <t xml:space="preserve">Funding 2.55，广告2.5，毛利0.59</t>
  </si>
  <si>
    <t xml:space="preserve">VC BD;Funding 2.69€</t>
  </si>
  <si>
    <t xml:space="preserve">VC BD;Funding 2.68€；</t>
  </si>
  <si>
    <t xml:space="preserve">VC BD;Funding 2.68€</t>
  </si>
  <si>
    <t xml:space="preserve">VC BD;Funding 2.48€</t>
  </si>
  <si>
    <t xml:space="preserve">VM BD:Funding 4.17€（无进度条）</t>
  </si>
  <si>
    <t xml:space="preserve">COUPON 9%</t>
  </si>
  <si>
    <t xml:space="preserve">手持吸尘器
B0FFGQXWGT</t>
  </si>
  <si>
    <t xml:space="preserve">Discount：3.5€</t>
  </si>
  <si>
    <t xml:space="preserve">Discount：5€</t>
  </si>
  <si>
    <t xml:space="preserve">SC:优惠券10%</t>
  </si>
  <si>
    <t xml:space="preserve">Funding 5.25，广告2，毛利-0.02</t>
  </si>
  <si>
    <t xml:space="preserve">SC:优惠券15%</t>
  </si>
  <si>
    <t xml:space="preserve">Funding 5.25，广告2，毛利-1.03</t>
  </si>
  <si>
    <t xml:space="preserve">VC Price discount:Funding 4.38€</t>
  </si>
  <si>
    <t/>
    <r>
      <rPr>
        <b val="false"/>
        <i val="false"/>
        <strike val="false"/>
        <sz val="9"/>
        <color rgb="FF000000"/>
      </rPr>
      <t xml:space="preserve">VC BD;Funding 5.62€；</t>
    </r>
    <r>
      <rPr>
        <b val="false"/>
        <i val="false"/>
        <strike val="false"/>
        <sz val="10"/>
        <color rgb="FFFF0000"/>
      </rPr>
      <t>无广告预算</t>
    </r>
  </si>
  <si>
    <t xml:space="preserve">Funding 5.25，广告2，毛利-0.75</t>
  </si>
  <si>
    <t xml:space="preserve">VC Price discount:Funding 4.31€</t>
  </si>
  <si>
    <t xml:space="preserve">VC Price discount:Funding 3€</t>
  </si>
  <si>
    <t xml:space="preserve">SC:优惠券17%</t>
  </si>
  <si>
    <t xml:space="preserve">Funding 5.25，广告2，毛利-0.47</t>
  </si>
  <si>
    <t xml:space="preserve">VC Price discount:Funding 4.34€</t>
  </si>
  <si>
    <t/>
    <r>
      <rPr>
        <b val="false"/>
        <i val="false"/>
        <strike val="false"/>
        <sz val="9"/>
        <color rgb="FF000000"/>
      </rPr>
      <t xml:space="preserve">VC BD;Funding 6.22€；</t>
    </r>
    <r>
      <rPr>
        <b val="false"/>
        <i val="false"/>
        <strike val="false"/>
        <sz val="10"/>
        <color rgb="FFFF0000"/>
      </rPr>
      <t>无广告预算</t>
    </r>
  </si>
  <si>
    <t xml:space="preserve">气泵
B0FFGKNZNN</t>
  </si>
  <si>
    <t xml:space="preserve">Funding 12.3，广告8，毛利0.78</t>
  </si>
  <si>
    <t xml:space="preserve">BD:11.18-11.19 FUNDING (SC)</t>
  </si>
  <si>
    <t xml:space="preserve">Funding 12.3，广告8，毛利-1.37</t>
  </si>
  <si>
    <t xml:space="preserve">VC BD;Funding 15.83€；</t>
  </si>
  <si>
    <t xml:space="preserve">8.19价格折扣10%</t>
  </si>
  <si>
    <t xml:space="preserve">Funding 12.3，广告8，毛利-0.7</t>
  </si>
  <si>
    <t xml:space="preserve">VC Price discount:20%</t>
  </si>
  <si>
    <t xml:space="preserve">Funding 12.3，广告8，毛利0.1</t>
  </si>
  <si>
    <t xml:space="preserve">Funding 11.25，广告8，毛利0.4</t>
  </si>
  <si>
    <t xml:space="preserve">RS1
B0FFGHJ575</t>
  </si>
  <si>
    <t xml:space="preserve">Funding 3，广告2，毛利-0.13</t>
  </si>
  <si>
    <t/>
    <r>
      <rPr>
        <b val="false"/>
        <i val="false"/>
        <strike val="false"/>
        <sz val="9"/>
        <color rgb="FF000000"/>
      </rPr>
      <t xml:space="preserve">VM提报 BFCM;Funding 4.71€；</t>
    </r>
    <r>
      <rPr>
        <b val="false"/>
        <i val="false"/>
        <strike val="false"/>
        <sz val="10"/>
        <color rgb="FFFF0000"/>
      </rPr>
      <t>无广告预算，无进度条</t>
    </r>
  </si>
  <si>
    <t xml:space="preserve">Discount：2.5€，报错取消</t>
  </si>
  <si>
    <t xml:space="preserve">Funding 3，广告2，毛利-0.65</t>
  </si>
  <si>
    <t xml:space="preserve">VC Price discount:Funding 3.34€</t>
  </si>
  <si>
    <t xml:space="preserve">VC BD;Funding 2.5€；</t>
  </si>
  <si>
    <t xml:space="preserve">Funding 3，广告2，毛利-0.48</t>
  </si>
  <si>
    <t xml:space="preserve">VC Price discount:Funding 2.46€</t>
  </si>
  <si>
    <t xml:space="preserve">VC BD;Funding 2.46€</t>
  </si>
  <si>
    <t xml:space="preserve">Funding 3，广告2，毛利-0.29</t>
  </si>
  <si>
    <t xml:space="preserve">VC BD;Funding 2.48€；提前结束</t>
  </si>
  <si>
    <t/>
    <r>
      <rPr>
        <b val="false"/>
        <i val="false"/>
        <strike val="false"/>
        <sz val="9"/>
        <color rgb="FF000000"/>
      </rPr>
      <t xml:space="preserve">VM提报 BFCM;Funding 4.85€；</t>
    </r>
    <r>
      <rPr>
        <b val="false"/>
        <i val="false"/>
        <strike val="false"/>
        <sz val="10"/>
        <color rgb="FFFF0000"/>
      </rPr>
      <t>无广告预算，无进度条</t>
    </r>
  </si>
  <si>
    <t xml:space="preserve">VC BD;Funding 5.5€；</t>
  </si>
  <si>
    <t xml:space="preserve">COUPON 12%</t>
  </si>
  <si>
    <t xml:space="preserve">Funding 2.85，广告2，毛利0.28</t>
  </si>
  <si>
    <t xml:space="preserve">VC BD;Funding 2￡；</t>
  </si>
  <si>
    <t xml:space="preserve">VM BD:Funding 4.56€（暂未显示）</t>
  </si>
  <si>
    <t xml:space="preserve">站点</t>
  </si>
  <si>
    <t xml:space="preserve">SKU</t>
  </si>
  <si>
    <t xml:space="preserve">ASIN</t>
  </si>
  <si>
    <t xml:space="preserve">产品名称</t>
  </si>
  <si>
    <t xml:space="preserve">Brand</t>
  </si>
  <si>
    <t xml:space="preserve">原PO售价
外币</t>
  </si>
  <si>
    <t xml:space="preserve">原建议售价(含税)
亚马逊售价-外币</t>
  </si>
  <si>
    <t xml:space="preserve">后台PO价</t>
  </si>
  <si>
    <t xml:space="preserve">对比
PO价</t>
  </si>
  <si>
    <t xml:space="preserve">PO售价
外币</t>
  </si>
  <si>
    <t xml:space="preserve">建议售价(含税)
亚马逊售价-外币</t>
  </si>
  <si>
    <t xml:space="preserve">毛利
外币</t>
  </si>
  <si>
    <t xml:space="preserve">毛利率</t>
  </si>
  <si>
    <t xml:space="preserve">建议售价
不含税外币</t>
  </si>
  <si>
    <t xml:space="preserve">Profit Margin (%)</t>
  </si>
  <si>
    <t xml:space="preserve">亚马逊毛利
外币</t>
  </si>
  <si>
    <t xml:space="preserve">成本</t>
  </si>
  <si>
    <t xml:space="preserve">尾程
外币</t>
  </si>
  <si>
    <t xml:space="preserve">装箱数</t>
  </si>
  <si>
    <t xml:space="preserve">汇率</t>
  </si>
  <si>
    <t xml:space="preserve">广告占比</t>
  </si>
  <si>
    <t xml:space="preserve">促销占比</t>
  </si>
  <si>
    <t xml:space="preserve">其他占比</t>
  </si>
  <si>
    <t xml:space="preserve">成本占比</t>
  </si>
  <si>
    <t xml:space="preserve">尾程占比</t>
  </si>
  <si>
    <t xml:space="preserve">佣金占比</t>
  </si>
  <si>
    <t xml:space="preserve">广告
外币</t>
  </si>
  <si>
    <t xml:space="preserve">促销
外币</t>
  </si>
  <si>
    <t xml:space="preserve">其它
外币</t>
  </si>
  <si>
    <t xml:space="preserve">佣金
外币</t>
  </si>
  <si>
    <t xml:space="preserve">采购成本
 ¥含税</t>
  </si>
  <si>
    <t xml:space="preserve">采购成本
 ¥不含税</t>
  </si>
  <si>
    <t xml:space="preserve">头程 
*1.5</t>
  </si>
  <si>
    <t xml:space="preserve">采购占比</t>
  </si>
  <si>
    <t xml:space="preserve">头程占比</t>
  </si>
  <si>
    <t xml:space="preserve">头程 
RMB</t>
  </si>
  <si>
    <t xml:space="preserve">23年
3月</t>
  </si>
  <si>
    <t xml:space="preserve">4月</t>
  </si>
  <si>
    <t xml:space="preserve">5月</t>
  </si>
  <si>
    <t xml:space="preserve">6月</t>
  </si>
  <si>
    <t xml:space="preserve">7月</t>
  </si>
  <si>
    <t xml:space="preserve">8月</t>
  </si>
  <si>
    <t xml:space="preserve">9月</t>
  </si>
  <si>
    <t xml:space="preserve">10月</t>
  </si>
  <si>
    <t xml:space="preserve">11月</t>
  </si>
  <si>
    <t xml:space="preserve">12月</t>
  </si>
  <si>
    <t xml:space="preserve">24年
1月</t>
  </si>
  <si>
    <t xml:space="preserve">2月</t>
  </si>
  <si>
    <t xml:space="preserve">3月</t>
  </si>
  <si>
    <t xml:space="preserve">25年
1月</t>
  </si>
  <si>
    <t xml:space="preserve">PO价
监控</t>
  </si>
  <si>
    <t xml:space="preserve">运营</t>
  </si>
  <si>
    <t xml:space="preserve">UK</t>
  </si>
  <si>
    <t xml:space="preserve">HYCHIKA</t>
  </si>
  <si>
    <t xml:space="preserve">☆</t>
  </si>
  <si>
    <t xml:space="preserve">DE</t>
  </si>
  <si>
    <t xml:space="preserve">FR</t>
  </si>
  <si>
    <t xml:space="preserve">IT</t>
  </si>
  <si>
    <t xml:space="preserve">ES</t>
  </si>
  <si>
    <t xml:space="preserve">NL</t>
  </si>
  <si>
    <t xml:space="preserve">PL</t>
  </si>
  <si>
    <t xml:space="preserve">SE</t>
  </si>
  <si>
    <t xml:space="preserve">BE</t>
  </si>
  <si>
    <t xml:space="preserve">站点</t>
  </si>
  <si>
    <t xml:space="preserve">SKU</t>
  </si>
  <si>
    <t xml:space="preserve">ASIN</t>
  </si>
  <si>
    <t xml:space="preserve">产品名称</t>
  </si>
  <si>
    <t xml:space="preserve">Brand</t>
  </si>
  <si>
    <t xml:space="preserve">原PO售价
外币</t>
  </si>
  <si>
    <t xml:space="preserve">原建议售价(含税)
亚马逊售价-外币</t>
  </si>
  <si>
    <t xml:space="preserve">后台PO价</t>
  </si>
  <si>
    <t xml:space="preserve">对比
PO价</t>
  </si>
  <si>
    <t xml:space="preserve">PO售价
外币</t>
  </si>
  <si>
    <t xml:space="preserve">建议售价(含税)
亚马逊售价-外币</t>
  </si>
  <si>
    <t xml:space="preserve">毛利
外币</t>
  </si>
  <si>
    <t xml:space="preserve">毛利率</t>
  </si>
  <si>
    <t xml:space="preserve">建议售价
不含税外币</t>
  </si>
  <si>
    <t xml:space="preserve">Profit Margin (%)</t>
  </si>
  <si>
    <t xml:space="preserve">亚马逊毛利
外币</t>
  </si>
  <si>
    <t xml:space="preserve">成本</t>
  </si>
  <si>
    <t xml:space="preserve">尾程
外币</t>
  </si>
  <si>
    <t xml:space="preserve">装箱数</t>
  </si>
  <si>
    <t xml:space="preserve">汇率</t>
  </si>
  <si>
    <t xml:space="preserve">广告占比</t>
  </si>
  <si>
    <t xml:space="preserve">促销占比</t>
  </si>
  <si>
    <t xml:space="preserve">其他占比</t>
  </si>
  <si>
    <t xml:space="preserve">成本占比</t>
  </si>
  <si>
    <t xml:space="preserve">尾程占比</t>
  </si>
  <si>
    <t xml:space="preserve">佣金占比</t>
  </si>
  <si>
    <t xml:space="preserve">广告
外币</t>
  </si>
  <si>
    <t xml:space="preserve">促销
外币</t>
  </si>
  <si>
    <t xml:space="preserve">其它
外币</t>
  </si>
  <si>
    <t xml:space="preserve">佣金
外币</t>
  </si>
  <si>
    <t xml:space="preserve">采购成本
 ¥含税</t>
  </si>
  <si>
    <t xml:space="preserve">采购成本
 ¥不含税</t>
  </si>
  <si>
    <t xml:space="preserve">头程 
*1.5</t>
  </si>
  <si>
    <t xml:space="preserve">采购占比</t>
  </si>
  <si>
    <t xml:space="preserve">头程占比</t>
  </si>
  <si>
    <t xml:space="preserve">头程 
RMB</t>
  </si>
  <si>
    <t xml:space="preserve">23年
3月</t>
  </si>
  <si>
    <t xml:space="preserve">4月</t>
  </si>
  <si>
    <t xml:space="preserve">5月</t>
  </si>
  <si>
    <t xml:space="preserve">6月</t>
  </si>
  <si>
    <t xml:space="preserve">7月</t>
  </si>
  <si>
    <t xml:space="preserve">8月</t>
  </si>
  <si>
    <t xml:space="preserve">9月</t>
  </si>
  <si>
    <t xml:space="preserve">10月</t>
  </si>
  <si>
    <t xml:space="preserve">11月</t>
  </si>
  <si>
    <t xml:space="preserve">12月</t>
  </si>
  <si>
    <t xml:space="preserve">24年
1月</t>
  </si>
  <si>
    <t xml:space="preserve">2月</t>
  </si>
  <si>
    <t xml:space="preserve">3月</t>
  </si>
  <si>
    <t xml:space="preserve">25年
1月</t>
  </si>
  <si>
    <t xml:space="preserve">PO价
监控</t>
  </si>
  <si>
    <t xml:space="preserve">运营</t>
  </si>
  <si>
    <t xml:space="preserve">UK</t>
  </si>
  <si>
    <t xml:space="preserve">R0001UK</t>
  </si>
  <si>
    <t xml:space="preserve">B0F1F535PC</t>
  </si>
  <si>
    <t xml:space="preserve">除螨仪英国灰色</t>
  </si>
  <si>
    <t xml:space="preserve">HYCHIKA</t>
  </si>
  <si>
    <t xml:space="preserve">☆</t>
  </si>
  <si>
    <t xml:space="preserve">DE</t>
  </si>
  <si>
    <t xml:space="preserve">R0001EU</t>
  </si>
  <si>
    <t xml:space="preserve">B0F1F7J8V3</t>
  </si>
  <si>
    <t xml:space="preserve">除螨仪德国灰色</t>
  </si>
  <si>
    <t xml:space="preserve">FR</t>
  </si>
  <si>
    <t xml:space="preserve">除螨仪法国灰色</t>
  </si>
  <si>
    <t xml:space="preserve">IT</t>
  </si>
  <si>
    <t xml:space="preserve">除螨仪意大利灰</t>
  </si>
  <si>
    <t xml:space="preserve">ES</t>
  </si>
  <si>
    <t xml:space="preserve">除螨仪西班牙灰</t>
  </si>
  <si>
    <t xml:space="preserve">NL</t>
  </si>
  <si>
    <t xml:space="preserve">除螨仪荷兰灰色</t>
  </si>
  <si>
    <t xml:space="preserve">PL</t>
  </si>
  <si>
    <t xml:space="preserve">除螨仪波兰灰色</t>
  </si>
  <si>
    <t xml:space="preserve">SE</t>
  </si>
  <si>
    <t xml:space="preserve">除螨仪瑞典灰色</t>
  </si>
  <si>
    <t xml:space="preserve">BE</t>
  </si>
  <si>
    <t xml:space="preserve">除螨仪比利时灰</t>
  </si>
  <si>
    <t xml:space="preserve">Z0002UK</t>
  </si>
  <si>
    <t xml:space="preserve">B0F1TWR4BJ</t>
  </si>
  <si>
    <t xml:space="preserve">电动牙刷英国 </t>
  </si>
  <si>
    <t xml:space="preserve">Z0002EU</t>
  </si>
  <si>
    <t xml:space="preserve">B0F1TQRVJK</t>
  </si>
  <si>
    <t xml:space="preserve">电动牙刷德国</t>
  </si>
  <si>
    <t xml:space="preserve">电动牙刷法国</t>
  </si>
  <si>
    <t xml:space="preserve">电动牙刷意大利</t>
  </si>
  <si>
    <t xml:space="preserve">电动牙刷西班牙</t>
  </si>
  <si>
    <t xml:space="preserve">电动牙刷荷兰</t>
  </si>
  <si>
    <t xml:space="preserve">电动牙刷波兰</t>
  </si>
  <si>
    <t xml:space="preserve">电动牙刷瑞典</t>
  </si>
  <si>
    <t xml:space="preserve">电动牙刷比利时</t>
  </si>
  <si>
    <t xml:space="preserve">批次</t>
  </si>
  <si>
    <t xml:space="preserve">中文名</t>
  </si>
  <si>
    <t xml:space="preserve">国家</t>
  </si>
  <si>
    <t xml:space="preserve">渠道</t>
  </si>
  <si>
    <t xml:space="preserve">数量</t>
  </si>
  <si>
    <t xml:space="preserve">计费重</t>
  </si>
  <si>
    <t xml:space="preserve">单价</t>
  </si>
  <si>
    <t xml:space="preserve">报关+清关</t>
  </si>
  <si>
    <t xml:space="preserve">关税</t>
  </si>
  <si>
    <t xml:space="preserve">总费用</t>
  </si>
  <si>
    <t xml:space="preserve">均价</t>
  </si>
  <si>
    <t xml:space="preserve">货代</t>
  </si>
  <si>
    <t xml:space="preserve">付款</t>
  </si>
  <si>
    <t xml:space="preserve">No-2025021101</t>
  </si>
  <si>
    <t xml:space="preserve">HYCHIKA-MV2501-除螨仪</t>
  </si>
  <si>
    <t xml:space="preserve">US</t>
  </si>
  <si>
    <t xml:space="preserve">美森</t>
  </si>
  <si>
    <t xml:space="preserve">佳景</t>
  </si>
  <si>
    <t xml:space="preserve">已付</t>
  </si>
  <si>
    <t xml:space="preserve">普船</t>
  </si>
  <si>
    <t xml:space="preserve">降关税</t>
  </si>
  <si>
    <t xml:space="preserve">EU</t>
  </si>
  <si>
    <t xml:space="preserve">铁路</t>
  </si>
  <si>
    <t xml:space="preserve">天运</t>
  </si>
  <si>
    <t xml:space="preserve">整柜</t>
  </si>
  <si>
    <t xml:space="preserve">4PX</t>
  </si>
  <si>
    <t xml:space="preserve">UK</t>
  </si>
  <si>
    <t xml:space="preserve">海运</t>
  </si>
  <si>
    <t xml:space="preserve">飞高</t>
  </si>
  <si>
    <t xml:space="preserve">HYCHIKA-RS1棘轮螺丝刀套装</t>
  </si>
  <si>
    <t xml:space="preserve">空运-C1</t>
  </si>
  <si>
    <t xml:space="preserve">美易</t>
  </si>
  <si>
    <t xml:space="preserve">铁路-UPS</t>
  </si>
  <si>
    <t xml:space="preserve">空运-A0</t>
  </si>
  <si>
    <t xml:space="preserve">铁路-DPD</t>
  </si>
  <si>
    <t xml:space="preserve">No-2025062702</t>
  </si>
  <si>
    <t xml:space="preserve">嘀嗒嘀</t>
  </si>
  <si>
    <t xml:space="preserve">No-2025062701</t>
  </si>
  <si>
    <t xml:space="preserve">欧铁</t>
  </si>
  <si>
    <t xml:space="preserve">No-2025063001</t>
  </si>
  <si>
    <t xml:space="preserve">散货</t>
  </si>
  <si>
    <t xml:space="preserve">保英达</t>
  </si>
  <si>
    <t xml:space="preserve">No-2025090201</t>
  </si>
  <si>
    <t xml:space="preserve">No-2025080801</t>
  </si>
  <si>
    <t xml:space="preserve">HYCHIKA-AP100A-空净</t>
  </si>
  <si>
    <t xml:space="preserve">HYCHIKA-F100A-滤芯</t>
  </si>
  <si>
    <t xml:space="preserve">No-2025111401</t>
  </si>
  <si>
    <t xml:space="preserve">月份</t>
  </si>
  <si>
    <t xml:space="preserve">期初库存</t>
  </si>
  <si>
    <t xml:space="preserve">入库数量</t>
  </si>
  <si>
    <t xml:space="preserve">待发PO</t>
  </si>
  <si>
    <t xml:space="preserve">普通PO</t>
  </si>
  <si>
    <t xml:space="preserve">PO计划
月销</t>
  </si>
  <si>
    <t xml:space="preserve">PO实际
月销</t>
  </si>
  <si>
    <t xml:space="preserve">前台
月销</t>
  </si>
  <si>
    <t xml:space="preserve">前台期末库存</t>
  </si>
  <si>
    <t xml:space="preserve">入库备注</t>
  </si>
  <si>
    <t xml:space="preserve">到货时间</t>
  </si>
  <si>
    <t xml:space="preserve">出货时间</t>
  </si>
  <si>
    <t xml:space="preserve">下单时间</t>
  </si>
  <si>
    <t xml:space="preserve">订单状态</t>
  </si>
  <si>
    <t xml:space="preserve">采购单号</t>
  </si>
  <si>
    <t xml:space="preserve">物流
交期</t>
  </si>
  <si>
    <t xml:space="preserve">生产
交期</t>
  </si>
  <si>
    <t xml:space="preserve">已入库</t>
  </si>
  <si>
    <t xml:space="preserve">在途</t>
  </si>
  <si>
    <t xml:space="preserve">已下单</t>
  </si>
  <si>
    <t xml:space="preserve">月份</t>
  </si>
  <si>
    <t xml:space="preserve">期初库存</t>
  </si>
  <si>
    <t xml:space="preserve">入库数量</t>
  </si>
  <si>
    <t xml:space="preserve">待发PO</t>
  </si>
  <si>
    <t xml:space="preserve">普通PO</t>
  </si>
  <si>
    <t xml:space="preserve">PO计划
月销</t>
  </si>
  <si>
    <t xml:space="preserve">PO实际
月销</t>
  </si>
  <si>
    <t xml:space="preserve">前台
月销</t>
  </si>
  <si>
    <t xml:space="preserve">前台期末库存</t>
  </si>
  <si>
    <t xml:space="preserve">入库备注</t>
  </si>
  <si>
    <t xml:space="preserve">到货时间</t>
  </si>
  <si>
    <t xml:space="preserve">出货时间</t>
  </si>
  <si>
    <t xml:space="preserve">下单时间</t>
  </si>
  <si>
    <t xml:space="preserve">订单状态</t>
  </si>
  <si>
    <t xml:space="preserve">采购单号</t>
  </si>
  <si>
    <t xml:space="preserve">物流
交期</t>
  </si>
  <si>
    <t xml:space="preserve">生产
交期</t>
  </si>
  <si>
    <t xml:space="preserve">在途</t>
  </si>
  <si>
    <t xml:space="preserve">已下单</t>
  </si>
  <si>
    <t xml:space="preserve">月份</t>
  </si>
  <si>
    <t xml:space="preserve">期初库存</t>
  </si>
  <si>
    <t xml:space="preserve">入库数量</t>
  </si>
  <si>
    <t xml:space="preserve">待发PO</t>
  </si>
  <si>
    <t xml:space="preserve">普通PO</t>
  </si>
  <si>
    <t xml:space="preserve">PO计划
月销</t>
  </si>
  <si>
    <t xml:space="preserve">PO实际
月销</t>
  </si>
  <si>
    <t xml:space="preserve">前台
月销</t>
  </si>
  <si>
    <t xml:space="preserve">前台期末库存</t>
  </si>
  <si>
    <t xml:space="preserve">入库备注</t>
  </si>
  <si>
    <t xml:space="preserve">到货时间</t>
  </si>
  <si>
    <t xml:space="preserve">出货时间</t>
  </si>
  <si>
    <t xml:space="preserve">下单时间</t>
  </si>
  <si>
    <t xml:space="preserve">订单状态</t>
  </si>
  <si>
    <t xml:space="preserve">采购单号</t>
  </si>
  <si>
    <t xml:space="preserve">物流
交期</t>
  </si>
  <si>
    <t xml:space="preserve">生产
交期</t>
  </si>
  <si>
    <t xml:space="preserve">视频链接</t>
  </si>
  <si>
    <t/>
    <r>
      <rPr>
        <u val="single"/>
        <color theme="10"/>
      </rPr>
      <t>https://www.tiktok.com/@/video/7507733538158972191?shop_region=US</t>
    </r>
  </si>
  <si>
    <t/>
    <r>
      <rPr>
        <u val="single"/>
        <color theme="10"/>
      </rPr>
      <t>https://www.tiktok.com/@/video/7505007970158185771?shop_region=US</t>
    </r>
  </si>
  <si>
    <t/>
    <r>
      <rPr>
        <u val="single"/>
        <color theme="10"/>
      </rPr>
      <t>https://www.tiktok.com/@/video/7510315444860063022?shop_region=US</t>
    </r>
  </si>
  <si>
    <t/>
    <r>
      <rPr>
        <u val="single"/>
        <color theme="10"/>
      </rPr>
      <t>https://www.tiktok.com/@/video/7509468659413372206?shop_region=US</t>
    </r>
  </si>
  <si>
    <t/>
    <r>
      <rPr>
        <u val="single"/>
        <color theme="10"/>
      </rPr>
      <t>https://www.tiktok.com/@/video/7507463120143600939?shop_region=US</t>
    </r>
  </si>
  <si>
    <t/>
    <r>
      <rPr>
        <u val="single"/>
        <color theme="10"/>
      </rPr>
      <t>https://www.tiktok.com/@/video/7509602854680710443?shop_region=US</t>
    </r>
  </si>
  <si>
    <t/>
    <r>
      <rPr>
        <u val="single"/>
        <color theme="10"/>
      </rPr>
      <t>https://www.tiktok.com/@/video/7512260049553607966?shop_region=US</t>
    </r>
  </si>
  <si>
    <t/>
    <r>
      <rPr>
        <u val="single"/>
        <color theme="10"/>
      </rPr>
      <t>https://www.tiktok.com/@/video/7510281518846135582?shop_region=US</t>
    </r>
  </si>
  <si>
    <t/>
    <r>
      <rPr>
        <u val="single"/>
        <color theme="10"/>
      </rPr>
      <t>https://www.tiktok.com/@/video/7512121539337194782?shop_region=US</t>
    </r>
  </si>
  <si>
    <t/>
    <r>
      <rPr>
        <u val="single"/>
        <color theme="10"/>
      </rPr>
      <t>https://www.tiktok.com/@/video/7512217482250177838?shop_region=US</t>
    </r>
  </si>
  <si>
    <t/>
    <r>
      <rPr>
        <u val="single"/>
        <color theme="10"/>
      </rPr>
      <t>https://www.tiktok.com/@/video/7510822530660289823?shop_region=US</t>
    </r>
  </si>
  <si>
    <t/>
    <r>
      <rPr>
        <u val="single"/>
        <color theme="10"/>
      </rPr>
      <t>https://www.tiktok.com/@/video/7513258934547860779?shop_region=US</t>
    </r>
  </si>
  <si>
    <t xml:space="preserve">DE</t>
  </si>
  <si>
    <t xml:space="preserve">FR</t>
  </si>
  <si>
    <t xml:space="preserve">IT</t>
  </si>
  <si>
    <t xml:space="preserve">ES</t>
  </si>
  <si>
    <t xml:space="preserve">UK</t>
  </si>
  <si>
    <t xml:space="preserve">BE</t>
  </si>
  <si>
    <t xml:space="preserve">SE</t>
  </si>
  <si>
    <t xml:space="preserve">NL</t>
  </si>
  <si>
    <t xml:space="preserve">2025年10月1日生效（减2.5%）</t>
  </si>
  <si>
    <t xml:space="preserve">佣金</t>
  </si>
  <si>
    <t xml:space="preserve">VAT</t>
  </si>
  <si>
    <t xml:space="preserve">占比</t>
  </si>
  <si>
    <t xml:space="preserve">2026年1月1日生效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</si>
</sst>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7">
    <numFmt numFmtId="164" formatCode="yyyy/m/d"/>
    <numFmt numFmtId="165" formatCode="0%"/>
    <numFmt numFmtId="166" formatCode="0.00"/>
    <numFmt numFmtId="167" formatCode="0.0"/>
    <numFmt numFmtId="168" formatCode="\¥#,##0.00_);[Red]\(\¥#,##0.00\)"/>
    <numFmt numFmtId="169" formatCode="0.00_);[Red]\(0.00\)"/>
    <numFmt numFmtId="170" formatCode="&quot;$&quot;#,##0.00;[Red]\-&quot;$&quot;#,##0.00"/>
    <numFmt numFmtId="171" formatCode="0.00_ ;[Red]\-0.00\ "/>
    <numFmt numFmtId="172" formatCode="0.0%"/>
    <numFmt numFmtId="173" formatCode="0.00%"/>
    <numFmt numFmtId="174" formatCode="&quot;$&quot;#,##0.0;[Red]\-&quot;$&quot;#,##0.0"/>
    <numFmt numFmtId="175" formatCode="0.0_ ;[Red]\-0.0\ "/>
    <numFmt numFmtId="176" formatCode="0%"/>
    <numFmt numFmtId="177" formatCode="0.0"/>
    <numFmt numFmtId="178" formatCode="&quot;$&quot;#,##0.00_);[Red]\(&quot;$&quot;#,##0.00\)"/>
    <numFmt numFmtId="179" formatCode="0.00_);[Red]\(0.00\)"/>
    <numFmt numFmtId="180" formatCode="0%"/>
    <numFmt numFmtId="181" formatCode="&quot;$&quot;#,##0.00_);[Red]\(&quot;$&quot;#,##0.00\)"/>
    <numFmt numFmtId="182" formatCode="0.00"/>
    <numFmt numFmtId="183" formatCode="\¥#,##0.00_);[Red]\(\¥#,##0.00\)"/>
    <numFmt numFmtId="184" formatCode="0.00_);[Red]\(0.00\)"/>
    <numFmt numFmtId="185" formatCode="&quot;$&quot;#,##0.00;[Red]\-&quot;$&quot;#,##0.00"/>
    <numFmt numFmtId="186" formatCode="&quot;$&quot;#,##0.00_);[Red]\(&quot;$&quot;#,##0.00\)"/>
    <numFmt numFmtId="187" formatCode="0.0%"/>
    <numFmt numFmtId="188" formatCode="0.00%"/>
    <numFmt numFmtId="189" formatCode="0.00_ ;[Red]\-0.00\ "/>
    <numFmt numFmtId="190" formatCode="0%"/>
    <numFmt numFmtId="191" formatCode="&quot;$&quot;#,##0.0_);[Red]\(&quot;$&quot;#,##0.0\)"/>
    <numFmt numFmtId="192" formatCode="\¥#,##0.0_);[Red]\(\¥#,##0.0\)"/>
    <numFmt numFmtId="193" formatCode="0.00_);[Red]\(0.00\)"/>
    <numFmt numFmtId="194" formatCode="0.00%"/>
    <numFmt numFmtId="195" formatCode="0_);[Red]\(0\)"/>
    <numFmt numFmtId="196" formatCode="0.0%"/>
    <numFmt numFmtId="197" formatCode="0.00"/>
    <numFmt numFmtId="198" formatCode="0%"/>
    <numFmt numFmtId="199" formatCode="#,##0.00_);[Red](#,##0.00)"/>
    <numFmt numFmtId="200" formatCode="0.00_ ;[Red]\-0.00\ "/>
    <numFmt numFmtId="201" formatCode="0.00_);[Red]\(0.00\)"/>
    <numFmt numFmtId="202" formatCode="0.0%"/>
    <numFmt numFmtId="203" formatCode="0.00%"/>
    <numFmt numFmtId="204" formatCode="0.0_ ;[Red]\-0.0\ "/>
    <numFmt numFmtId="205" formatCode="0%"/>
    <numFmt numFmtId="206" formatCode="0.0"/>
    <numFmt numFmtId="207" formatCode="#,##0.00_);[Red](#,##0.00)"/>
    <numFmt numFmtId="208" formatCode="0.00"/>
    <numFmt numFmtId="209" formatCode="0_);[Red]\(0\)"/>
    <numFmt numFmtId="210" formatCode="m/d;@"/>
    <numFmt numFmtId="211" formatCode="0%"/>
    <numFmt numFmtId="212" formatCode="0.00_ ;[Red]\-0.00\ "/>
    <numFmt numFmtId="213" formatCode="0.00_);[Red]\(0.00\)"/>
    <numFmt numFmtId="214" formatCode="0.0%"/>
    <numFmt numFmtId="215" formatCode="0.00%"/>
    <numFmt numFmtId="216" formatCode="0.0_ ;[Red]\-0.0\ "/>
    <numFmt numFmtId="217" formatCode="0%"/>
    <numFmt numFmtId="218" formatCode="0_ "/>
    <numFmt numFmtId="219" formatCode="0.00"/>
    <numFmt numFmtId="220" formatCode="0.0"/>
    <numFmt numFmtId="221" formatCode="#,##0.00_);[Red](#,##0.00)"/>
    <numFmt numFmtId="222" formatCode="0_);[Red]\(0\)"/>
    <numFmt numFmtId="223" formatCode="0.00_ ;[Red]\-0.00\ "/>
    <numFmt numFmtId="224" formatCode="0.00_);[Red]\(0.00\)"/>
    <numFmt numFmtId="225" formatCode="0.0%"/>
    <numFmt numFmtId="226" formatCode="0.00%"/>
    <numFmt numFmtId="227" formatCode="0.0_ ;[Red]\-0.0\ "/>
    <numFmt numFmtId="228" formatCode="0%"/>
    <numFmt numFmtId="229" formatCode="0_ "/>
    <numFmt numFmtId="230" formatCode="0.00"/>
    <numFmt numFmtId="231" formatCode="0.0"/>
    <numFmt numFmtId="232" formatCode="#,##0.00_);[Red](#,##0.00)"/>
    <numFmt numFmtId="233" formatCode="0_);[Red]\(0\)"/>
    <numFmt numFmtId="234" formatCode="#,##0.00_);[Red](#,##0.00)"/>
    <numFmt numFmtId="235" formatCode="#,##0.0_);[Red]\(#,##0.0\)"/>
    <numFmt numFmtId="236" formatCode="0.0"/>
    <numFmt numFmtId="237" formatCode="yyyy/m;@"/>
    <numFmt numFmtId="238" formatCode="0_ ;[Red]\-0\ "/>
    <numFmt numFmtId="239" formatCode="yyyy/m/d"/>
    <numFmt numFmtId="240" formatCode="0_ "/>
    <numFmt numFmtId="241" formatCode="yyyy/m;@"/>
    <numFmt numFmtId="242" formatCode="0_ ;[Red]\-0\ "/>
    <numFmt numFmtId="243" formatCode="yyyy/m/d"/>
    <numFmt numFmtId="244" formatCode="0_ "/>
    <numFmt numFmtId="245" formatCode="yyyy/m;@"/>
    <numFmt numFmtId="246" formatCode="0_ ;[Red]\-0\ "/>
    <numFmt numFmtId="247" formatCode="yyyy/m/d"/>
    <numFmt numFmtId="248" formatCode="0_ "/>
    <numFmt numFmtId="249" formatCode="0.00%"/>
    <numFmt numFmtId="250" formatCode="0%"/>
  </numFmts>
  <fonts count="22">
    <font>
      <sz val="12"/>
      <color theme="1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u val="single"/>
      <sz val="9"/>
      <color rgb="FF0066CC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u val="single"/>
      <sz val="9"/>
      <color rgb="FF3861AF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"/>
      <color rgb="FF0D0015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b val="true"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D0015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z val="10"/>
      <color rgb="FF0D0015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D0015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u val="single"/>
      <sz val="12"/>
      <color rgb="FF3861AF"/>
      <name val="Calibri"/>
      <family val="2"/>
      <scheme val="minor"/>
    </font>
    <font>
      <u val="single"/>
      <sz val="12"/>
      <color rgb="FF0066CC"/>
      <name val="Calibri"/>
      <family val="2"/>
      <scheme val="minor"/>
    </font>
  </fonts>
  <fills count="5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7800"/>
        <bgColor/>
      </patternFill>
    </fill>
    <fill>
      <patternFill patternType="solid">
        <fgColor rgb="FFFF0000"/>
        <bgColor/>
      </patternFill>
    </fill>
    <fill>
      <patternFill patternType="solid">
        <fgColor rgb="FFA3E043"/>
        <bgColor/>
      </patternFill>
    </fill>
    <fill>
      <patternFill patternType="solid">
        <fgColor rgb="FFFFFF00"/>
        <bgColor/>
      </patternFill>
    </fill>
    <fill>
      <patternFill patternType="solid">
        <fgColor rgb="FF98FA1C"/>
        <bgColor/>
      </patternFill>
    </fill>
    <fill>
      <patternFill patternType="solid">
        <fgColor rgb="FFFFD900"/>
        <bgColor/>
      </patternFill>
    </fill>
    <fill>
      <patternFill patternType="solid">
        <fgColor rgb="FFA3E043"/>
        <bgColor/>
      </patternFill>
    </fill>
    <fill>
      <patternFill patternType="solid">
        <fgColor rgb="FF4DA8EE"/>
        <bgColor/>
      </patternFill>
    </fill>
    <fill>
      <patternFill patternType="solid">
        <fgColor rgb="FFFFD900"/>
        <bgColor/>
      </patternFill>
    </fill>
    <fill>
      <patternFill patternType="solid">
        <fgColor rgb="FF98FA1C"/>
        <bgColor/>
      </patternFill>
    </fill>
    <fill>
      <patternFill patternType="solid">
        <fgColor rgb="FFFF0000"/>
        <bgColor/>
      </patternFill>
    </fill>
    <fill>
      <patternFill patternType="solid">
        <fgColor rgb="FFD9E1F4"/>
        <bgColor/>
      </patternFill>
    </fill>
    <fill>
      <patternFill patternType="solid">
        <fgColor rgb="FF98FA1C"/>
        <bgColor/>
      </patternFill>
    </fill>
    <fill>
      <patternFill patternType="solid">
        <fgColor rgb="FFFFFF00"/>
        <bgColor/>
      </patternFill>
    </fill>
    <fill>
      <patternFill patternType="solid">
        <fgColor rgb="FFF2F2F2"/>
        <bgColor/>
      </patternFill>
    </fill>
    <fill>
      <patternFill patternType="solid">
        <fgColor rgb="FF98FA1C"/>
        <bgColor/>
      </patternFill>
    </fill>
    <fill>
      <patternFill patternType="solid">
        <fgColor rgb="FFFFFF00"/>
        <bgColor/>
      </patternFill>
    </fill>
    <fill>
      <patternFill patternType="solid">
        <fgColor rgb="FFA3E043"/>
        <bgColor/>
      </patternFill>
    </fill>
    <fill>
      <patternFill patternType="solid">
        <fgColor rgb="FFFFD900"/>
        <bgColor/>
      </patternFill>
    </fill>
    <fill>
      <patternFill patternType="solid">
        <fgColor rgb="FFFFD900"/>
        <bgColor/>
      </patternFill>
    </fill>
    <fill>
      <patternFill patternType="solid">
        <fgColor rgb="FFFF0000"/>
        <bgColor/>
      </patternFill>
    </fill>
    <fill>
      <patternFill patternType="solid">
        <fgColor rgb="FF98FA1C"/>
        <bgColor/>
      </patternFill>
    </fill>
    <fill>
      <patternFill patternType="solid">
        <fgColor rgb="FFFF7800"/>
        <bgColor/>
      </patternFill>
    </fill>
    <fill>
      <patternFill patternType="solid">
        <fgColor rgb="FFA3E043"/>
        <bgColor/>
      </patternFill>
    </fill>
    <fill>
      <patternFill patternType="solid">
        <fgColor rgb="FFFFFF00"/>
        <bgColor/>
      </patternFill>
    </fill>
    <fill>
      <patternFill patternType="solid">
        <fgColor rgb="FFFF7800"/>
        <bgColor/>
      </patternFill>
    </fill>
    <fill>
      <patternFill patternType="solid">
        <fgColor rgb="FF37D9F0"/>
        <bgColor/>
      </patternFill>
    </fill>
    <fill>
      <patternFill patternType="solid">
        <fgColor rgb="FFFFD900"/>
        <bgColor/>
      </patternFill>
    </fill>
    <fill>
      <patternFill patternType="solid">
        <fgColor rgb="FF956FE7"/>
        <bgColor/>
      </patternFill>
    </fill>
    <fill>
      <patternFill patternType="solid">
        <fgColor rgb="FF37D9F0"/>
        <bgColor/>
      </patternFill>
    </fill>
    <fill>
      <patternFill patternType="solid">
        <fgColor rgb="FFFFD900"/>
        <bgColor/>
      </patternFill>
    </fill>
    <fill>
      <patternFill patternType="solid">
        <fgColor rgb="FF98FA1C"/>
        <bgColor/>
      </patternFill>
    </fill>
    <fill>
      <patternFill patternType="solid">
        <fgColor rgb="FFFF0000"/>
        <bgColor/>
      </patternFill>
    </fill>
    <fill>
      <patternFill patternType="solid">
        <fgColor rgb="FF98C091"/>
        <bgColor/>
      </patternFill>
    </fill>
    <fill>
      <patternFill patternType="solid">
        <fgColor rgb="FFEE7976"/>
        <bgColor/>
      </patternFill>
    </fill>
    <fill>
      <patternFill patternType="solid">
        <fgColor rgb="FF4DA8EE"/>
        <bgColor/>
      </patternFill>
    </fill>
    <fill>
      <patternFill patternType="solid">
        <fgColor rgb="FFD7D8D9"/>
        <bgColor/>
      </patternFill>
    </fill>
    <fill>
      <patternFill patternType="solid">
        <fgColor rgb="FF956FE7"/>
        <bgColor/>
      </patternFill>
    </fill>
    <fill>
      <patternFill patternType="solid">
        <fgColor rgb="FF9C8EC1"/>
        <bgColor/>
      </patternFill>
    </fill>
    <fill>
      <patternFill patternType="solid">
        <fgColor rgb="FFA3E043"/>
        <bgColor/>
      </patternFill>
    </fill>
    <fill>
      <patternFill patternType="solid">
        <fgColor rgb="FF98C091"/>
        <bgColor/>
      </patternFill>
    </fill>
    <fill>
      <patternFill patternType="solid">
        <fgColor rgb="FFEE7976"/>
        <bgColor/>
      </patternFill>
    </fill>
    <fill>
      <patternFill patternType="solid">
        <fgColor rgb="FF4DA8EE"/>
        <bgColor/>
      </patternFill>
    </fill>
    <fill>
      <patternFill patternType="solid">
        <fgColor rgb="FFD7D8D9"/>
        <bgColor/>
      </patternFill>
    </fill>
    <fill>
      <patternFill patternType="solid">
        <fgColor rgb="FF956FE7"/>
        <bgColor/>
      </patternFill>
    </fill>
    <fill>
      <patternFill patternType="solid">
        <fgColor rgb="FF9C8EC1"/>
        <bgColor/>
      </patternFill>
    </fill>
    <fill>
      <patternFill patternType="solid">
        <fgColor rgb="FFA3E043"/>
        <bgColor/>
      </patternFill>
    </fill>
    <fill>
      <patternFill patternType="solid">
        <fgColor rgb="FFFFD900"/>
        <bgColor/>
      </patternFill>
    </fill>
    <fill>
      <patternFill patternType="solid">
        <fgColor rgb="FFA3E043"/>
        <bgColor/>
      </patternFill>
    </fill>
    <fill>
      <patternFill patternType="solid">
        <fgColor rgb="FFFFFF00"/>
        <bgColor/>
      </patternFill>
    </fill>
    <fill>
      <patternFill patternType="solid">
        <fgColor rgb="FF98FA1C"/>
        <bgColor/>
      </patternFill>
    </fill>
    <fill>
      <patternFill patternType="solid">
        <fgColor rgb="FFA3E043"/>
        <bgColor/>
      </patternFill>
    </fill>
    <fill>
      <patternFill patternType="solid">
        <fgColor rgb="FFA3E043"/>
        <bgColor/>
      </patternFill>
    </fill>
    <fill>
      <patternFill patternType="solid">
        <fgColor rgb="FFFFD900"/>
        <bgColor/>
      </patternFill>
    </fill>
  </fills>
  <borders count="16">
    <border>
      <left/>
      <right/>
      <top/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/>
      <bottom style="thin">
        <color rgb="FF2B2B2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5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true" applyProtection="false" borderId="0" fillId="0" fontId="3" numFmtId="164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left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true" applyFont="true" applyNumberFormat="false" applyProtection="false" borderId="0" fillId="2" fontId="3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true" applyProtection="false" borderId="0" fillId="0" fontId="3" numFmtId="165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0" fillId="3" fontId="3" numFmtId="0" xfId="0">
      <alignment horizontal="center" vertical="center"/>
    </xf>
    <xf applyAlignment="true" applyBorder="false" applyFill="false" applyFont="true" applyNumberFormat="true" applyProtection="false" borderId="0" fillId="0" fontId="3" numFmtId="164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left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horizontal="left" vertical="center"/>
    </xf>
    <xf applyAlignment="true" applyBorder="false" applyFill="false" applyFont="true" applyNumberFormat="true" applyProtection="false" borderId="0" fillId="0" fontId="3" numFmtId="165" xfId="0">
      <alignment horizontal="center" vertical="center"/>
    </xf>
    <xf applyAlignment="true" applyBorder="false" applyFill="true" applyFont="true" applyNumberFormat="false" applyProtection="false" borderId="0" fillId="4" fontId="1" numFmtId="0" xfId="0">
      <alignment horizontal="center" vertical="center"/>
    </xf>
    <xf applyAlignment="true" applyBorder="false" applyFill="true" applyFont="true" applyNumberFormat="false" applyProtection="false" borderId="0" fillId="5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left" vertical="center"/>
    </xf>
    <xf applyAlignment="true" applyBorder="false" applyFill="false" applyFont="true" applyNumberFormat="true" applyProtection="false" borderId="0" fillId="0" fontId="3" numFmtId="166" xfId="0">
      <alignment horizontal="center" vertical="center"/>
    </xf>
    <xf applyAlignment="true" applyBorder="false" applyFill="false" applyFont="true" applyNumberFormat="true" applyProtection="false" borderId="0" fillId="0" fontId="3" numFmtId="167" xfId="0">
      <alignment horizontal="center" vertical="center"/>
    </xf>
    <xf applyAlignment="true" applyBorder="false" applyFill="true" applyFont="true" applyNumberFormat="false" applyProtection="false" borderId="0" fillId="6" fontId="3" numFmtId="0" xfId="0">
      <alignment horizontal="center" vertical="center"/>
    </xf>
    <xf applyAlignment="true" applyBorder="false" applyFill="true" applyFont="true" applyNumberFormat="false" applyProtection="false" borderId="0" fillId="7" fontId="3" numFmtId="0" xfId="0">
      <alignment horizontal="center" vertical="center"/>
    </xf>
    <xf applyAlignment="true" applyBorder="false" applyFill="true" applyFont="true" applyNumberFormat="true" applyProtection="false" borderId="0" fillId="7" fontId="3" numFmtId="166" xfId="0">
      <alignment horizontal="center" vertical="center"/>
    </xf>
    <xf applyAlignment="true" applyBorder="false" applyFill="true" applyFont="true" applyNumberFormat="true" applyProtection="false" borderId="0" fillId="7" fontId="3" numFmtId="167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true" applyProtection="false" borderId="0" fillId="0" fontId="3" numFmtId="166" xfId="0">
      <alignment horizontal="center" vertical="center"/>
    </xf>
    <xf applyAlignment="true" applyBorder="false" applyFill="false" applyFont="true" applyNumberFormat="true" applyProtection="false" borderId="0" fillId="0" fontId="3" numFmtId="167" xfId="0">
      <alignment horizontal="center" vertical="center"/>
    </xf>
    <xf applyAlignment="true" applyBorder="false" applyFill="true" applyFont="true" applyNumberFormat="true" applyProtection="false" borderId="1" fillId="8" fontId="1" numFmtId="168" xfId="0">
      <alignment horizontal="center" vertical="center" wrapText="true"/>
    </xf>
    <xf applyAlignment="true" applyBorder="false" applyFill="true" applyFont="true" applyNumberFormat="true" applyProtection="false" borderId="1" fillId="9" fontId="1" numFmtId="169" xfId="0">
      <alignment horizontal="center" vertical="center" wrapText="true"/>
    </xf>
    <xf applyAlignment="true" applyBorder="false" applyFill="true" applyFont="true" applyNumberFormat="true" applyProtection="false" borderId="1" fillId="9" fontId="1" numFmtId="170" xfId="0">
      <alignment horizontal="center" vertical="center" wrapText="true"/>
    </xf>
    <xf applyAlignment="true" applyBorder="false" applyFill="true" applyFont="true" applyNumberFormat="true" applyProtection="false" borderId="1" fillId="9" fontId="8" numFmtId="171" xfId="0">
      <alignment horizontal="center" vertical="center" wrapText="true"/>
    </xf>
    <xf applyAlignment="true" applyBorder="false" applyFill="true" applyFont="true" applyNumberFormat="true" applyProtection="false" borderId="1" fillId="9" fontId="8" numFmtId="172" xfId="0">
      <alignment horizontal="center" vertical="center" wrapText="true"/>
    </xf>
    <xf applyAlignment="true" applyBorder="false" applyFill="false" applyFont="true" applyNumberFormat="true" applyProtection="false" borderId="1" fillId="0" fontId="8" numFmtId="173" xfId="0">
      <alignment horizontal="center" vertical="center" wrapText="true"/>
    </xf>
    <xf applyAlignment="true" applyBorder="false" applyFill="true" applyFont="true" applyNumberFormat="true" applyProtection="false" borderId="1" fillId="10" fontId="8" numFmtId="173" xfId="0">
      <alignment horizontal="center" vertical="center" wrapText="true"/>
    </xf>
    <xf applyAlignment="true" applyBorder="false" applyFill="true" applyFont="true" applyNumberFormat="true" applyProtection="false" borderId="2" fillId="9" fontId="8" numFmtId="174" xfId="0">
      <alignment horizontal="center" vertical="center" wrapText="true"/>
    </xf>
    <xf applyAlignment="true" applyBorder="false" applyFill="false" applyFont="true" applyNumberFormat="true" applyProtection="false" borderId="1" fillId="0" fontId="8" numFmtId="175" xfId="0">
      <alignment horizontal="center" vertical="center" wrapText="true"/>
    </xf>
    <xf applyAlignment="true" applyBorder="false" applyFill="true" applyFont="true" applyNumberFormat="true" applyProtection="false" borderId="1" fillId="9" fontId="1" numFmtId="173" xfId="0">
      <alignment horizontal="center" vertical="center" wrapText="true"/>
    </xf>
    <xf applyAlignment="true" applyBorder="false" applyFill="true" applyFont="true" applyNumberFormat="true" applyProtection="false" borderId="1" fillId="9" fontId="1" numFmtId="176" xfId="0">
      <alignment horizontal="center" vertical="center" wrapText="true"/>
    </xf>
    <xf applyAlignment="true" applyBorder="false" applyFill="false" applyFont="true" applyNumberFormat="true" applyProtection="false" borderId="1" fillId="0" fontId="1" numFmtId="176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0" fillId="0" fontId="3" numFmtId="172" xfId="0">
      <alignment horizontal="center" vertical="center"/>
    </xf>
    <xf applyAlignment="true" applyBorder="false" applyFill="false" applyFont="true" applyNumberFormat="true" applyProtection="false" borderId="0" fillId="0" fontId="3" numFmtId="175" xfId="0">
      <alignment horizontal="center" vertical="center"/>
    </xf>
    <xf applyAlignment="true" applyBorder="false" applyFill="false" applyFont="true" applyNumberFormat="true" applyProtection="false" borderId="0" fillId="0" fontId="3" numFmtId="176" xfId="0">
      <alignment horizontal="center" vertical="center"/>
    </xf>
    <xf applyAlignment="true" applyBorder="false" applyFill="false" applyFont="true" applyNumberFormat="true" applyProtection="false" borderId="0" fillId="0" fontId="3" numFmtId="177" xfId="0">
      <alignment horizontal="center" vertical="center"/>
    </xf>
    <xf applyAlignment="true" applyBorder="false" applyFill="true" applyFont="true" applyNumberFormat="false" applyProtection="false" borderId="0" fillId="11" fontId="3" numFmtId="0" xfId="0">
      <alignment vertical="center"/>
    </xf>
    <xf applyAlignment="true" applyBorder="false" applyFill="true" applyFont="true" applyNumberFormat="false" applyProtection="false" borderId="0" fillId="12" fontId="3" numFmtId="0" xfId="0">
      <alignment vertical="center"/>
    </xf>
    <xf applyAlignment="true" applyBorder="false" applyFill="false" applyFont="true" applyNumberFormat="true" applyProtection="false" borderId="0" fillId="0" fontId="3" numFmtId="174" xfId="0">
      <alignment vertical="center"/>
    </xf>
    <xf applyAlignment="true" applyBorder="false" applyFill="false" applyFont="true" applyNumberFormat="true" applyProtection="false" borderId="0" fillId="0" fontId="3" numFmtId="175" xfId="0">
      <alignment vertical="center"/>
    </xf>
    <xf applyAlignment="true" applyBorder="false" applyFill="false" applyFont="true" applyNumberFormat="true" applyProtection="false" borderId="0" fillId="0" fontId="3" numFmtId="178" xfId="0">
      <alignment vertical="center"/>
    </xf>
    <xf applyAlignment="true" applyBorder="false" applyFill="true" applyFont="true" applyNumberFormat="false" applyProtection="false" borderId="3" fillId="13" fontId="9" numFmtId="0" xfId="0">
      <alignment horizontal="center" vertical="center"/>
    </xf>
    <xf applyAlignment="true" applyBorder="false" applyFill="true" applyFont="true" applyNumberFormat="true" applyProtection="false" borderId="3" fillId="13" fontId="9" numFmtId="179" xfId="0">
      <alignment horizontal="center" vertical="center"/>
    </xf>
    <xf applyAlignment="true" applyBorder="false" applyFill="true" applyFont="true" applyNumberFormat="false" applyProtection="false" borderId="3" fillId="14" fontId="9" numFmtId="0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horizontal="center" vertical="center"/>
    </xf>
    <xf applyAlignment="true" applyBorder="false" applyFill="true" applyFont="true" applyNumberFormat="true" applyProtection="false" borderId="3" fillId="13" fontId="9" numFmtId="180" xfId="0">
      <alignment horizontal="center" vertical="center"/>
    </xf>
    <xf applyAlignment="true" applyBorder="false" applyFill="true" applyFont="true" applyNumberFormat="false" applyProtection="false" borderId="4" fillId="15" fontId="10" numFmtId="0" xfId="0">
      <alignment horizontal="center" vertical="center"/>
    </xf>
    <xf applyAlignment="true" applyBorder="false" applyFill="true" applyFont="true" applyNumberFormat="true" applyProtection="false" borderId="3" fillId="16" fontId="9" numFmtId="181" xfId="0">
      <alignment horizontal="center" vertical="center"/>
    </xf>
    <xf applyAlignment="true" applyBorder="false" applyFill="true" applyFont="true" applyNumberFormat="true" applyProtection="false" borderId="4" fillId="16" fontId="9" numFmtId="179" xfId="0">
      <alignment horizontal="center" vertical="center"/>
    </xf>
    <xf applyAlignment="true" applyBorder="false" applyFill="true" applyFont="true" applyNumberFormat="false" applyProtection="false" borderId="4" fillId="16" fontId="9" numFmtId="0" xfId="0">
      <alignment horizontal="center" vertical="center"/>
    </xf>
    <xf applyAlignment="true" applyBorder="false" applyFill="true" applyFont="true" applyNumberFormat="true" applyProtection="false" borderId="3" fillId="16" fontId="9" numFmtId="179" xfId="0">
      <alignment horizontal="center" vertical="center"/>
    </xf>
    <xf applyAlignment="true" applyBorder="false" applyFill="true" applyFont="true" applyNumberFormat="true" applyProtection="false" borderId="4" fillId="16" fontId="9" numFmtId="181" xfId="0">
      <alignment horizontal="center" vertical="center"/>
    </xf>
    <xf applyAlignment="true" applyBorder="false" applyFill="true" applyFont="true" applyNumberFormat="true" applyProtection="false" borderId="4" fillId="16" fontId="9" numFmtId="180" xfId="0">
      <alignment horizontal="center" vertical="center"/>
    </xf>
    <xf applyAlignment="true" applyBorder="false" applyFill="true" applyFont="true" applyNumberFormat="false" applyProtection="false" borderId="3" fillId="16" fontId="9" numFmtId="0" xfId="0">
      <alignment horizontal="center" vertical="center"/>
    </xf>
    <xf applyAlignment="true" applyBorder="false" applyFill="false" applyFont="true" applyNumberFormat="true" applyProtection="false" borderId="0" fillId="0" fontId="9" numFmtId="180" xfId="0">
      <alignment horizontal="center" vertical="center"/>
    </xf>
    <xf applyAlignment="true" applyBorder="false" applyFill="false" applyFont="true" applyNumberFormat="false" applyProtection="false" borderId="4" fillId="0" fontId="10" numFmtId="0" xfId="0">
      <alignment horizontal="center" vertical="center"/>
    </xf>
    <xf applyAlignment="true" applyBorder="false" applyFill="true" applyFont="true" applyNumberFormat="true" applyProtection="false" borderId="3" fillId="16" fontId="9" numFmtId="182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vertical="center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false" applyFont="true" applyNumberFormat="true" applyProtection="false" borderId="0" fillId="0" fontId="9" numFmtId="179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5" fillId="0" fontId="1" numFmtId="183" xfId="0">
      <alignment horizontal="center" vertical="center" wrapText="true"/>
    </xf>
    <xf applyAlignment="true" applyBorder="false" applyFill="false" applyFont="true" applyNumberFormat="true" applyProtection="false" borderId="5" fillId="0" fontId="1" numFmtId="184" xfId="0">
      <alignment horizontal="center" vertical="center" wrapText="true"/>
    </xf>
    <xf applyAlignment="true" applyBorder="false" applyFill="false" applyFont="true" applyNumberFormat="true" applyProtection="false" borderId="5" fillId="0" fontId="1" numFmtId="185" xfId="0">
      <alignment horizontal="center" vertical="center" wrapText="true"/>
    </xf>
    <xf applyAlignment="true" applyBorder="false" applyFill="false" applyFont="true" applyNumberFormat="true" applyProtection="false" borderId="5" fillId="0" fontId="1" numFmtId="186" xfId="0">
      <alignment horizontal="center" vertical="center" wrapText="true"/>
    </xf>
    <xf applyAlignment="true" applyBorder="false" applyFill="false" applyFont="true" applyNumberFormat="true" applyProtection="false" borderId="5" fillId="0" fontId="8" numFmtId="185" xfId="0">
      <alignment horizontal="center" vertical="center" wrapText="true"/>
    </xf>
    <xf applyAlignment="true" applyBorder="false" applyFill="false" applyFont="true" applyNumberFormat="true" applyProtection="false" borderId="5" fillId="0" fontId="8" numFmtId="187" xfId="0">
      <alignment horizontal="center" vertical="center" wrapText="true"/>
    </xf>
    <xf applyAlignment="true" applyBorder="false" applyFill="true" applyFont="true" applyNumberFormat="true" applyProtection="false" borderId="5" fillId="17" fontId="8" numFmtId="188" xfId="0">
      <alignment horizontal="center" vertical="center" wrapText="true"/>
    </xf>
    <xf applyAlignment="true" applyBorder="false" applyFill="false" applyFont="true" applyNumberFormat="true" applyProtection="false" borderId="5" fillId="0" fontId="8" numFmtId="189" xfId="0">
      <alignment horizontal="center" vertical="center" wrapText="true"/>
    </xf>
    <xf applyAlignment="true" applyBorder="false" applyFill="false" applyFont="true" applyNumberFormat="false" applyProtection="false" borderId="5" fillId="0" fontId="8" numFmtId="0" xfId="0">
      <alignment horizontal="center" vertical="center" wrapText="true"/>
    </xf>
    <xf applyAlignment="true" applyBorder="false" applyFill="false" applyFont="true" applyNumberFormat="true" applyProtection="false" borderId="5" fillId="0" fontId="1" numFmtId="188" xfId="0">
      <alignment horizontal="center" vertical="center" wrapText="true"/>
    </xf>
    <xf applyAlignment="true" applyBorder="false" applyFill="false" applyFont="true" applyNumberFormat="true" applyProtection="false" borderId="5" fillId="0" fontId="1" numFmtId="190" xfId="0">
      <alignment horizontal="center" vertical="center" wrapText="true"/>
    </xf>
    <xf applyAlignment="true" applyBorder="false" applyFill="true" applyFont="true" applyNumberFormat="true" applyProtection="false" borderId="5" fillId="18" fontId="1" numFmtId="190" xfId="0">
      <alignment horizontal="center" vertical="center" wrapText="true"/>
    </xf>
    <xf applyAlignment="true" applyBorder="false" applyFill="true" applyFont="true" applyNumberFormat="true" applyProtection="false" borderId="5" fillId="18" fontId="8" numFmtId="184" xfId="0">
      <alignment horizontal="center" vertical="center" wrapText="true"/>
    </xf>
    <xf applyAlignment="true" applyBorder="false" applyFill="true" applyFont="true" applyNumberFormat="false" applyProtection="false" borderId="5" fillId="18" fontId="8" numFmtId="0" xfId="0">
      <alignment horizontal="center" vertical="center" wrapText="true"/>
    </xf>
    <xf applyAlignment="true" applyBorder="false" applyFill="true" applyFont="true" applyNumberFormat="false" applyProtection="false" borderId="5" fillId="19" fontId="3" numFmtId="0" xfId="0">
      <alignment horizontal="center" vertical="center"/>
    </xf>
    <xf applyAlignment="true" applyBorder="false" applyFill="false" applyFont="true" applyNumberFormat="false" applyProtection="false" borderId="5" fillId="0" fontId="3" numFmtId="0" xfId="0">
      <alignment horizontal="center" vertical="center"/>
    </xf>
    <xf applyAlignment="true" applyBorder="false" applyFill="false" applyFont="true" applyNumberFormat="false" applyProtection="false" borderId="5" fillId="0" fontId="3" numFmtId="0" xfId="0">
      <alignment horizontal="left" vertical="center"/>
    </xf>
    <xf applyAlignment="true" applyBorder="false" applyFill="false" applyFont="true" applyNumberFormat="true" applyProtection="false" borderId="5" fillId="0" fontId="3" numFmtId="186" xfId="0">
      <alignment horizontal="center" vertical="center"/>
    </xf>
    <xf applyAlignment="true" applyBorder="false" applyFill="false" applyFont="true" applyNumberFormat="true" applyProtection="false" borderId="5" fillId="0" fontId="3" numFmtId="185" xfId="0">
      <alignment horizontal="center" vertical="center"/>
    </xf>
    <xf applyAlignment="true" applyBorder="false" applyFill="false" applyFont="true" applyNumberFormat="true" applyProtection="false" borderId="5" fillId="0" fontId="3" numFmtId="187" xfId="0">
      <alignment horizontal="center" vertical="center"/>
    </xf>
    <xf applyAlignment="true" applyBorder="false" applyFill="false" applyFont="true" applyNumberFormat="true" applyProtection="false" borderId="5" fillId="0" fontId="3" numFmtId="188" xfId="0">
      <alignment horizontal="center" vertical="center"/>
    </xf>
    <xf applyAlignment="true" applyBorder="false" applyFill="false" applyFont="true" applyNumberFormat="true" applyProtection="false" borderId="5" fillId="0" fontId="3" numFmtId="183" xfId="0">
      <alignment horizontal="center" vertical="center"/>
    </xf>
    <xf applyAlignment="true" applyBorder="false" applyFill="false" applyFont="true" applyNumberFormat="true" applyProtection="false" borderId="5" fillId="0" fontId="3" numFmtId="190" xfId="0">
      <alignment horizontal="center" vertical="center"/>
    </xf>
    <xf applyAlignment="true" applyBorder="false" applyFill="false" applyFont="true" applyNumberFormat="true" applyProtection="false" borderId="5" fillId="0" fontId="12" numFmtId="191" xfId="0">
      <alignment horizontal="center" vertical="center" wrapText="true"/>
    </xf>
    <xf applyAlignment="true" applyBorder="false" applyFill="false" applyFont="true" applyNumberFormat="true" applyProtection="false" borderId="5" fillId="0" fontId="3" numFmtId="191" xfId="0">
      <alignment horizontal="center" vertical="center"/>
    </xf>
    <xf applyAlignment="true" applyBorder="false" applyFill="false" applyFont="true" applyNumberFormat="true" applyProtection="false" borderId="5" fillId="0" fontId="3" numFmtId="192" xfId="0">
      <alignment horizontal="center" vertical="center"/>
    </xf>
    <xf applyAlignment="true" applyBorder="false" applyFill="true" applyFont="true" applyNumberFormat="true" applyProtection="false" borderId="5" fillId="20" fontId="3" numFmtId="187" xfId="0">
      <alignment horizontal="center" vertical="center"/>
    </xf>
    <xf applyAlignment="true" applyBorder="false" applyFill="true" applyFont="true" applyNumberFormat="true" applyProtection="false" borderId="5" fillId="20" fontId="12" numFmtId="191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13" numFmtId="0" xfId="0">
      <alignment vertical="center"/>
    </xf>
    <xf applyAlignment="true" applyBorder="false" applyFill="false" applyFont="true" applyNumberFormat="false" applyProtection="false" borderId="0" fillId="0" fontId="13" numFmtId="0" xfId="0">
      <alignment horizontal="center" vertical="center"/>
    </xf>
    <xf applyAlignment="true" applyBorder="false" applyFill="false" applyFont="true" applyNumberFormat="true" applyProtection="false" borderId="0" fillId="0" fontId="13" numFmtId="193" xfId="0">
      <alignment horizontal="center" vertical="center"/>
    </xf>
    <xf applyAlignment="true" applyBorder="false" applyFill="false" applyFont="true" applyNumberFormat="true" applyProtection="false" borderId="0" fillId="0" fontId="13" numFmtId="194" xfId="0">
      <alignment horizontal="center" vertical="center"/>
    </xf>
    <xf applyAlignment="true" applyBorder="false" applyFill="false" applyFont="true" applyNumberFormat="true" applyProtection="false" borderId="0" fillId="0" fontId="13" numFmtId="195" xfId="0">
      <alignment horizontal="center" vertical="center"/>
    </xf>
    <xf applyAlignment="true" applyBorder="false" applyFill="true" applyFont="true" applyNumberFormat="true" applyProtection="false" borderId="0" fillId="21" fontId="13" numFmtId="193" xfId="0">
      <alignment horizontal="center" vertical="center"/>
    </xf>
    <xf applyAlignment="true" applyBorder="false" applyFill="true" applyFont="true" applyNumberFormat="false" applyProtection="false" borderId="0" fillId="22" fontId="13" numFmtId="0" xfId="0">
      <alignment horizontal="center" vertical="center"/>
    </xf>
    <xf applyAlignment="true" applyBorder="false" applyFill="false" applyFont="true" applyNumberFormat="true" applyProtection="false" borderId="0" fillId="0" fontId="13" numFmtId="196" xfId="0">
      <alignment horizontal="center" vertical="center"/>
    </xf>
    <xf applyAlignment="true" applyBorder="false" applyFill="true" applyFont="true" applyNumberFormat="false" applyProtection="false" borderId="0" fillId="23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true" applyProtection="false" borderId="0" fillId="0" fontId="3" numFmtId="193" xfId="0">
      <alignment horizontal="center" vertical="center"/>
    </xf>
    <xf applyAlignment="true" applyBorder="false" applyFill="true" applyFont="true" applyNumberFormat="true" applyProtection="false" borderId="0" fillId="22" fontId="3" numFmtId="197" xfId="0">
      <alignment horizontal="center" vertical="center"/>
    </xf>
    <xf applyAlignment="true" applyBorder="false" applyFill="false" applyFont="true" applyNumberFormat="true" applyProtection="false" borderId="0" fillId="0" fontId="3" numFmtId="198" xfId="0">
      <alignment horizontal="center" vertical="center"/>
    </xf>
    <xf applyAlignment="true" applyBorder="false" applyFill="false" applyFont="true" applyNumberFormat="true" applyProtection="false" borderId="0" fillId="0" fontId="3" numFmtId="194" xfId="0">
      <alignment horizontal="center" vertical="center"/>
    </xf>
    <xf applyAlignment="true" applyBorder="false" applyFill="false" applyFont="true" applyNumberFormat="true" applyProtection="false" borderId="0" fillId="0" fontId="3" numFmtId="195" xfId="0">
      <alignment horizontal="center" vertical="center"/>
    </xf>
    <xf applyAlignment="true" applyBorder="false" applyFill="true" applyFont="true" applyNumberFormat="true" applyProtection="false" borderId="0" fillId="21" fontId="3" numFmtId="193" xfId="0">
      <alignment horizontal="center" vertical="center"/>
    </xf>
    <xf applyAlignment="true" applyBorder="false" applyFill="false" applyFont="true" applyNumberFormat="true" applyProtection="false" borderId="0" fillId="0" fontId="3" numFmtId="196" xfId="0">
      <alignment horizontal="center" vertical="center"/>
    </xf>
    <xf applyAlignment="true" applyBorder="false" applyFill="false" applyFont="true" applyNumberFormat="true" applyProtection="false" borderId="0" fillId="0" fontId="3" numFmtId="197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0" fillId="21" fontId="3" numFmtId="0" xfId="0">
      <alignment vertical="center"/>
    </xf>
    <xf applyAlignment="true" applyBorder="false" applyFill="true" applyFont="true" applyNumberFormat="true" applyProtection="false" borderId="0" fillId="23" fontId="3" numFmtId="197" xfId="0">
      <alignment horizontal="center" vertical="center"/>
    </xf>
    <xf applyAlignment="true" applyBorder="false" applyFill="true" applyFont="true" applyNumberFormat="true" applyProtection="false" borderId="0" fillId="22" fontId="3" numFmtId="198" xfId="0">
      <alignment horizontal="center" vertical="center"/>
    </xf>
    <xf applyAlignment="true" applyBorder="false" applyFill="true" applyFont="true" applyNumberFormat="false" applyProtection="false" borderId="0" fillId="22" fontId="3" numFmtId="0" xfId="0">
      <alignment horizontal="center" vertical="center"/>
    </xf>
    <xf applyAlignment="true" applyBorder="false" applyFill="false" applyFont="true" applyNumberFormat="true" applyProtection="false" borderId="0" fillId="0" fontId="3" numFmtId="199" xfId="0">
      <alignment horizontal="center" vertical="center"/>
    </xf>
    <xf applyAlignment="true" applyBorder="false" applyFill="false" applyFont="true" applyNumberFormat="true" applyProtection="false" borderId="0" fillId="0" fontId="3" numFmtId="193" xfId="0">
      <alignment vertical="center"/>
    </xf>
    <xf applyAlignment="true" applyBorder="false" applyFill="false" applyFont="true" applyNumberFormat="true" applyProtection="false" borderId="0" fillId="0" fontId="3" numFmtId="194" xfId="0">
      <alignment vertical="center"/>
    </xf>
    <xf applyAlignment="true" applyBorder="false" applyFill="false" applyFont="true" applyNumberFormat="true" applyProtection="false" borderId="0" fillId="0" fontId="3" numFmtId="195" xfId="0">
      <alignment vertical="center"/>
    </xf>
    <xf applyAlignment="true" applyBorder="false" applyFill="false" applyFont="true" applyNumberFormat="true" applyProtection="false" borderId="0" fillId="0" fontId="3" numFmtId="196" xfId="0">
      <alignment vertical="center"/>
    </xf>
    <xf applyAlignment="true" applyBorder="false" applyFill="true" applyFont="true" applyNumberFormat="false" applyProtection="false" borderId="0" fillId="24" fontId="3" numFmtId="0" xfId="0">
      <alignment vertical="center"/>
    </xf>
    <xf applyAlignment="true" applyBorder="false" applyFill="true" applyFont="true" applyNumberFormat="false" applyProtection="false" borderId="6" fillId="25" fontId="14" numFmtId="0" xfId="0">
      <alignment horizontal="center" vertical="center" wrapText="true"/>
    </xf>
    <xf applyAlignment="true" applyBorder="false" applyFill="true" applyFont="true" applyNumberFormat="false" applyProtection="false" borderId="6" fillId="25" fontId="14" numFmtId="0" xfId="0">
      <alignment horizontal="center" vertical="center"/>
    </xf>
    <xf applyAlignment="true" applyBorder="false" applyFill="true" applyFont="true" applyNumberFormat="true" applyProtection="false" borderId="6" fillId="25" fontId="13" numFmtId="200" xfId="0">
      <alignment horizontal="center" vertical="center" wrapText="true"/>
    </xf>
    <xf applyAlignment="true" applyBorder="false" applyFill="true" applyFont="true" applyNumberFormat="true" applyProtection="false" borderId="6" fillId="26" fontId="13" numFmtId="201" xfId="0">
      <alignment horizontal="center" vertical="center" wrapText="true"/>
    </xf>
    <xf applyAlignment="true" applyBorder="false" applyFill="true" applyFont="true" applyNumberFormat="true" applyProtection="false" borderId="6" fillId="25" fontId="14" numFmtId="200" xfId="0">
      <alignment horizontal="center" vertical="center" wrapText="true"/>
    </xf>
    <xf applyAlignment="true" applyBorder="false" applyFill="true" applyFont="true" applyNumberFormat="true" applyProtection="false" borderId="6" fillId="25" fontId="14" numFmtId="202" xfId="0">
      <alignment horizontal="center" vertical="center" wrapText="true"/>
    </xf>
    <xf applyAlignment="true" applyBorder="false" applyFill="true" applyFont="true" applyNumberFormat="true" applyProtection="false" borderId="6" fillId="25" fontId="14" numFmtId="201" xfId="0">
      <alignment horizontal="center" vertical="center" wrapText="true"/>
    </xf>
    <xf applyAlignment="true" applyBorder="false" applyFill="true" applyFont="true" applyNumberFormat="true" applyProtection="false" borderId="6" fillId="25" fontId="14" numFmtId="203" xfId="0">
      <alignment horizontal="center" vertical="center" wrapText="true"/>
    </xf>
    <xf applyAlignment="true" applyBorder="false" applyFill="true" applyFont="true" applyNumberFormat="true" applyProtection="false" borderId="6" fillId="26" fontId="14" numFmtId="204" xfId="0">
      <alignment horizontal="center" vertical="center" wrapText="true"/>
    </xf>
    <xf applyAlignment="true" applyBorder="false" applyFill="true" applyFont="true" applyNumberFormat="true" applyProtection="false" borderId="6" fillId="26" fontId="14" numFmtId="200" xfId="0">
      <alignment horizontal="center" vertical="center" wrapText="true"/>
    </xf>
    <xf applyAlignment="true" applyBorder="false" applyFill="true" applyFont="true" applyNumberFormat="false" applyProtection="false" borderId="6" fillId="26" fontId="14" numFmtId="0" xfId="0">
      <alignment horizontal="center" vertical="center" wrapText="true"/>
    </xf>
    <xf applyAlignment="true" applyBorder="false" applyFill="true" applyFont="true" applyNumberFormat="true" applyProtection="false" borderId="6" fillId="26" fontId="13" numFmtId="203" xfId="0">
      <alignment horizontal="center" vertical="center" wrapText="true"/>
    </xf>
    <xf applyAlignment="true" applyBorder="false" applyFill="true" applyFont="true" applyNumberFormat="true" applyProtection="false" borderId="6" fillId="25" fontId="13" numFmtId="203" xfId="0">
      <alignment horizontal="center" vertical="center" wrapText="true"/>
    </xf>
    <xf applyAlignment="true" applyBorder="false" applyFill="true" applyFont="true" applyNumberFormat="true" applyProtection="false" borderId="6" fillId="25" fontId="13" numFmtId="205" xfId="0">
      <alignment horizontal="center" vertical="center" wrapText="true"/>
    </xf>
    <xf applyAlignment="true" applyBorder="false" applyFill="true" applyFont="true" applyNumberFormat="true" applyProtection="false" borderId="6" fillId="26" fontId="14" numFmtId="201" xfId="0">
      <alignment horizontal="center" vertical="center" wrapText="true"/>
    </xf>
    <xf applyAlignment="true" applyBorder="false" applyFill="true" applyFont="true" applyNumberFormat="false" applyProtection="false" borderId="6" fillId="25" fontId="14" numFmtId="0" xfId="0">
      <alignment horizontal="left" vertical="center" wrapText="true"/>
    </xf>
    <xf applyAlignment="true" applyBorder="false" applyFill="true" applyFont="true" applyNumberFormat="false" applyProtection="false" borderId="6" fillId="25" fontId="13" numFmtId="0" xfId="0">
      <alignment horizontal="center" vertical="center" wrapText="true"/>
    </xf>
    <xf applyAlignment="true" applyBorder="false" applyFill="true" applyFont="true" applyNumberFormat="false" applyProtection="false" borderId="6" fillId="25" fontId="15" numFmtId="0" xfId="0">
      <alignment horizontal="center" vertical="center"/>
    </xf>
    <xf applyAlignment="true" applyBorder="false" applyFill="false" applyFont="true" applyNumberFormat="false" applyProtection="false" borderId="6" fillId="0" fontId="15" numFmtId="0" xfId="0">
      <alignment horizontal="center" vertical="center"/>
    </xf>
    <xf applyAlignment="true" applyBorder="false" applyFill="true" applyFont="true" applyNumberFormat="false" applyProtection="false" borderId="6" fillId="27" fontId="15" numFmtId="0" xfId="0">
      <alignment horizontal="left" vertical="bottom" wrapText="true"/>
    </xf>
    <xf applyAlignment="true" applyBorder="false" applyFill="false" applyFont="true" applyNumberFormat="false" applyProtection="false" borderId="7" fillId="0" fontId="15" numFmtId="0" xfId="0">
      <alignment horizontal="center" vertical="bottom"/>
    </xf>
    <xf applyAlignment="true" applyBorder="false" applyFill="false" applyFont="true" applyNumberFormat="true" applyProtection="false" borderId="6" fillId="0" fontId="15" numFmtId="200" xfId="0">
      <alignment horizontal="center" vertical="center"/>
    </xf>
    <xf applyAlignment="true" applyBorder="false" applyFill="false" applyFont="true" applyNumberFormat="true" applyProtection="false" borderId="6" fillId="0" fontId="15" numFmtId="202" xfId="0">
      <alignment horizontal="center" vertical="center"/>
    </xf>
    <xf applyAlignment="true" applyBorder="false" applyFill="false" applyFont="true" applyNumberFormat="true" applyProtection="false" borderId="6" fillId="0" fontId="15" numFmtId="201" xfId="0">
      <alignment horizontal="center" vertical="center"/>
    </xf>
    <xf applyAlignment="true" applyBorder="false" applyFill="true" applyFont="true" applyNumberFormat="true" applyProtection="false" borderId="6" fillId="26" fontId="15" numFmtId="203" xfId="0">
      <alignment horizontal="center" vertical="center"/>
    </xf>
    <xf applyAlignment="true" applyBorder="false" applyFill="false" applyFont="true" applyNumberFormat="true" applyProtection="false" borderId="6" fillId="0" fontId="15" numFmtId="206" xfId="0">
      <alignment horizontal="center" vertical="center"/>
    </xf>
    <xf applyAlignment="true" applyBorder="false" applyFill="false" applyFont="true" applyNumberFormat="true" applyProtection="false" borderId="6" fillId="0" fontId="15" numFmtId="205" xfId="0">
      <alignment horizontal="center" vertical="center"/>
    </xf>
    <xf applyAlignment="true" applyBorder="false" applyFill="false" applyFont="true" applyNumberFormat="true" applyProtection="false" borderId="6" fillId="0" fontId="15" numFmtId="203" xfId="0">
      <alignment horizontal="center" vertical="center"/>
    </xf>
    <xf applyAlignment="true" applyBorder="false" applyFill="false" applyFont="true" applyNumberFormat="true" applyProtection="false" borderId="6" fillId="0" fontId="16" numFmtId="207" xfId="0">
      <alignment horizontal="center" vertical="center" wrapText="true"/>
    </xf>
    <xf applyAlignment="true" applyBorder="false" applyFill="false" applyFont="true" applyNumberFormat="true" applyProtection="false" borderId="6" fillId="0" fontId="15" numFmtId="208" xfId="0">
      <alignment horizontal="center" vertical="center"/>
    </xf>
    <xf applyAlignment="true" applyBorder="false" applyFill="false" applyFont="true" applyNumberFormat="false" applyProtection="false" borderId="6" fillId="0" fontId="13" numFmtId="0" xfId="0">
      <alignment horizontal="center" vertical="center"/>
    </xf>
    <xf applyAlignment="true" applyBorder="false" applyFill="false" applyFont="true" applyNumberFormat="false" applyProtection="false" borderId="6" fillId="0" fontId="15" numFmtId="0" xfId="0">
      <alignment vertical="center"/>
    </xf>
    <xf applyAlignment="true" applyBorder="false" applyFill="true" applyFont="true" applyNumberFormat="true" applyProtection="false" borderId="6" fillId="28" fontId="15" numFmtId="200" xfId="0">
      <alignment horizontal="center" vertical="center"/>
    </xf>
    <xf applyAlignment="true" applyBorder="false" applyFill="false" applyFont="true" applyNumberFormat="true" applyProtection="false" borderId="7" fillId="0" fontId="15" numFmtId="208" xfId="0">
      <alignment horizontal="center" vertical="bottom"/>
    </xf>
    <xf applyAlignment="true" applyBorder="false" applyFill="false" applyFont="true" applyNumberFormat="false" applyProtection="false" borderId="6" fillId="0" fontId="15" numFmtId="0" xfId="0">
      <alignment vertical="bottom"/>
    </xf>
    <xf applyAlignment="true" applyBorder="false" applyFill="false" applyFont="true" applyNumberFormat="false" applyProtection="false" borderId="6" fillId="0" fontId="15" numFmtId="0" xfId="0">
      <alignment horizontal="left" vertical="bottom" wrapText="true"/>
    </xf>
    <xf applyAlignment="true" applyBorder="false" applyFill="false" applyFont="true" applyNumberFormat="true" applyProtection="false" borderId="6" fillId="0" fontId="15" numFmtId="201" xfId="0">
      <alignment horizontal="center" vertical="center" wrapText="true"/>
    </xf>
    <xf applyAlignment="true" applyBorder="false" applyFill="false" applyFont="true" applyNumberFormat="true" applyProtection="false" borderId="6" fillId="0" fontId="15" numFmtId="209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true" applyProtection="false" borderId="6" fillId="29" fontId="15" numFmtId="200" xfId="0">
      <alignment horizontal="center" vertical="center"/>
    </xf>
    <xf applyAlignment="true" applyBorder="false" applyFill="false" applyFont="true" applyNumberFormat="false" applyProtection="false" borderId="6" fillId="0" fontId="3" numFmtId="0" xfId="0">
      <alignment horizontal="center" vertical="center"/>
    </xf>
    <xf applyAlignment="true" applyBorder="false" applyFill="true" applyFont="true" applyNumberFormat="true" applyProtection="false" borderId="8" fillId="29" fontId="15" numFmtId="208" xfId="0">
      <alignment horizontal="center" vertical="bottom"/>
    </xf>
    <xf applyAlignment="true" applyBorder="false" applyFill="true" applyFont="true" applyNumberFormat="false" applyProtection="false" borderId="7" fillId="29" fontId="15" numFmtId="0" xfId="0">
      <alignment horizontal="center" vertical="bottom"/>
    </xf>
    <xf applyAlignment="true" applyBorder="false" applyFill="false" applyFont="true" applyNumberFormat="true" applyProtection="false" borderId="8" fillId="0" fontId="15" numFmtId="208" xfId="0">
      <alignment horizontal="center" vertical="bottom"/>
    </xf>
    <xf applyAlignment="true" applyBorder="false" applyFill="false" applyFont="true" applyNumberFormat="false" applyProtection="false" borderId="6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true" applyFont="true" applyNumberFormat="false" applyProtection="false" borderId="6" fillId="30" fontId="15" numFmtId="0" xfId="0">
      <alignment horizontal="left" vertical="bottom" wrapText="true"/>
    </xf>
    <xf applyAlignment="true" applyBorder="false" applyFill="true" applyFont="true" applyNumberFormat="false" applyProtection="false" borderId="0" fillId="31" fontId="13" numFmtId="0" xfId="0">
      <alignment horizontal="center" vertical="center"/>
    </xf>
    <xf applyAlignment="true" applyBorder="false" applyFill="true" applyFont="true" applyNumberFormat="true" applyProtection="false" borderId="0" fillId="32" fontId="13" numFmtId="21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0" fillId="0" fontId="3" numFmtId="211" xfId="0">
      <alignment horizontal="left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left" vertical="center"/>
    </xf>
    <xf applyAlignment="true" applyBorder="false" applyFill="true" applyFont="true" applyNumberFormat="false" applyProtection="false" borderId="0" fillId="31" fontId="3" numFmtId="0" xfId="0">
      <alignment horizontal="center" vertical="center"/>
    </xf>
    <xf applyAlignment="true" applyBorder="false" applyFill="true" applyFont="true" applyNumberFormat="false" applyProtection="false" borderId="0" fillId="33" fontId="3" numFmtId="0" xfId="0">
      <alignment horizontal="center" vertical="center"/>
    </xf>
    <xf applyAlignment="true" applyBorder="false" applyFill="true" applyFont="true" applyNumberFormat="false" applyProtection="false" borderId="0" fillId="31" fontId="3" numFmtId="0" xfId="0">
      <alignment horizontal="left" vertical="center"/>
    </xf>
    <xf applyAlignment="true" applyBorder="false" applyFill="true" applyFont="true" applyNumberFormat="false" applyProtection="false" borderId="0" fillId="31" fontId="17" numFmtId="0" xfId="0">
      <alignment horizontal="center" vertical="center"/>
    </xf>
    <xf applyAlignment="true" applyBorder="false" applyFill="true" applyFont="true" applyNumberFormat="false" applyProtection="false" borderId="0" fillId="33" fontId="3" numFmtId="0" xfId="0">
      <alignment horizontal="left" vertical="center"/>
    </xf>
    <xf applyAlignment="true" applyBorder="false" applyFill="true" applyFont="true" applyNumberFormat="false" applyProtection="false" borderId="0" fillId="34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horizontal="left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true" applyFont="true" applyNumberFormat="false" applyProtection="false" borderId="0" fillId="33" fontId="3" numFmtId="0" xfId="0">
      <alignment horizontal="center" vertical="center"/>
    </xf>
    <xf applyAlignment="true" applyBorder="false" applyFill="true" applyFont="true" applyNumberFormat="false" applyProtection="false" borderId="0" fillId="31" fontId="17" numFmtId="0" xfId="0">
      <alignment horizontal="center" vertical="center"/>
    </xf>
    <xf applyAlignment="true" applyBorder="false" applyFill="false" applyFont="true" applyNumberFormat="false" applyProtection="false" borderId="9" fillId="0" fontId="14" numFmtId="0" xfId="0">
      <alignment horizontal="center" vertical="center" wrapText="true"/>
    </xf>
    <xf applyAlignment="true" applyBorder="false" applyFill="false" applyFont="true" applyNumberFormat="false" applyProtection="false" borderId="9" fillId="0" fontId="14" numFmtId="0" xfId="0">
      <alignment horizontal="center" vertical="center"/>
    </xf>
    <xf applyAlignment="true" applyBorder="false" applyFill="true" applyFont="true" applyNumberFormat="true" applyProtection="false" borderId="9" fillId="35" fontId="13" numFmtId="212" xfId="0">
      <alignment horizontal="center" vertical="center" wrapText="true"/>
    </xf>
    <xf applyAlignment="true" applyBorder="false" applyFill="true" applyFont="true" applyNumberFormat="true" applyProtection="false" borderId="9" fillId="35" fontId="13" numFmtId="213" xfId="0">
      <alignment horizontal="center" vertical="center" wrapText="true"/>
    </xf>
    <xf applyAlignment="true" applyBorder="false" applyFill="true" applyFont="true" applyNumberFormat="true" applyProtection="false" borderId="9" fillId="36" fontId="13" numFmtId="212" xfId="0">
      <alignment horizontal="center" vertical="center" wrapText="true"/>
    </xf>
    <xf applyAlignment="true" applyBorder="false" applyFill="true" applyFont="true" applyNumberFormat="true" applyProtection="false" borderId="9" fillId="37" fontId="13" numFmtId="212" xfId="0">
      <alignment horizontal="center" vertical="center" wrapText="true"/>
    </xf>
    <xf applyAlignment="true" applyBorder="false" applyFill="true" applyFont="true" applyNumberFormat="true" applyProtection="false" borderId="9" fillId="37" fontId="13" numFmtId="213" xfId="0">
      <alignment horizontal="center" vertical="center" wrapText="true"/>
    </xf>
    <xf applyAlignment="true" applyBorder="false" applyFill="true" applyFont="true" applyNumberFormat="true" applyProtection="false" borderId="9" fillId="37" fontId="14" numFmtId="212" xfId="0">
      <alignment horizontal="center" vertical="center" wrapText="true"/>
    </xf>
    <xf applyAlignment="true" applyBorder="false" applyFill="true" applyFont="true" applyNumberFormat="true" applyProtection="false" borderId="9" fillId="37" fontId="14" numFmtId="214" xfId="0">
      <alignment horizontal="center" vertical="center" wrapText="true"/>
    </xf>
    <xf applyAlignment="true" applyBorder="false" applyFill="false" applyFont="true" applyNumberFormat="true" applyProtection="false" borderId="9" fillId="0" fontId="14" numFmtId="213" xfId="0">
      <alignment horizontal="center" vertical="center" wrapText="true"/>
    </xf>
    <xf applyAlignment="true" applyBorder="false" applyFill="true" applyFont="true" applyNumberFormat="true" applyProtection="false" borderId="9" fillId="37" fontId="14" numFmtId="215" xfId="0">
      <alignment horizontal="center" vertical="center" wrapText="true"/>
    </xf>
    <xf applyAlignment="true" applyBorder="false" applyFill="true" applyFont="true" applyNumberFormat="false" applyProtection="false" borderId="9" fillId="38" fontId="14" numFmtId="0" xfId="0">
      <alignment horizontal="center" vertical="center" wrapText="true"/>
    </xf>
    <xf applyAlignment="true" applyBorder="false" applyFill="true" applyFont="true" applyNumberFormat="true" applyProtection="false" borderId="9" fillId="37" fontId="14" numFmtId="216" xfId="0">
      <alignment horizontal="center" vertical="center" wrapText="true"/>
    </xf>
    <xf applyAlignment="true" applyBorder="false" applyFill="true" applyFont="true" applyNumberFormat="true" applyProtection="false" borderId="9" fillId="36" fontId="13" numFmtId="213" xfId="0">
      <alignment horizontal="left" vertical="center" wrapText="true"/>
    </xf>
    <xf applyAlignment="true" applyBorder="false" applyFill="true" applyFont="true" applyNumberFormat="true" applyProtection="false" borderId="9" fillId="37" fontId="13" numFmtId="215" xfId="0">
      <alignment horizontal="center" vertical="center" wrapText="true"/>
    </xf>
    <xf applyAlignment="true" applyBorder="false" applyFill="true" applyFont="true" applyNumberFormat="true" applyProtection="false" borderId="9" fillId="37" fontId="13" numFmtId="217" xfId="0">
      <alignment horizontal="center" vertical="center" wrapText="true"/>
    </xf>
    <xf applyAlignment="true" applyBorder="false" applyFill="false" applyFont="true" applyNumberFormat="true" applyProtection="false" borderId="9" fillId="0" fontId="13" numFmtId="215" xfId="0">
      <alignment horizontal="center" vertical="center" wrapText="true"/>
    </xf>
    <xf applyAlignment="true" applyBorder="false" applyFill="true" applyFont="true" applyNumberFormat="true" applyProtection="false" borderId="9" fillId="39" fontId="14" numFmtId="213" xfId="0">
      <alignment horizontal="left" vertical="center" wrapText="true"/>
    </xf>
    <xf applyAlignment="true" applyBorder="false" applyFill="true" applyFont="true" applyNumberFormat="false" applyProtection="false" borderId="9" fillId="39" fontId="14" numFmtId="0" xfId="0">
      <alignment horizontal="left" vertical="center" wrapText="true"/>
    </xf>
    <xf applyAlignment="true" applyBorder="false" applyFill="true" applyFont="true" applyNumberFormat="true" applyProtection="false" borderId="9" fillId="40" fontId="13" numFmtId="217" xfId="0">
      <alignment horizontal="center" vertical="center" wrapText="true"/>
    </xf>
    <xf applyAlignment="true" applyBorder="false" applyFill="true" applyFont="true" applyNumberFormat="true" applyProtection="false" borderId="9" fillId="39" fontId="14" numFmtId="213" xfId="0">
      <alignment horizontal="center" vertical="center" wrapText="true"/>
    </xf>
    <xf applyAlignment="true" applyBorder="false" applyFill="false" applyFont="true" applyNumberFormat="true" applyProtection="false" borderId="9" fillId="0" fontId="13" numFmtId="217" xfId="0">
      <alignment horizontal="center" vertical="center" wrapText="true"/>
    </xf>
    <xf applyAlignment="true" applyBorder="false" applyFill="true" applyFont="true" applyNumberFormat="false" applyProtection="false" borderId="9" fillId="41" fontId="13" numFmtId="0" xfId="0">
      <alignment horizontal="center" vertical="center" wrapText="true"/>
    </xf>
    <xf applyAlignment="true" applyBorder="false" applyFill="true" applyFont="true" applyNumberFormat="true" applyProtection="false" borderId="9" fillId="41" fontId="13" numFmtId="217" xfId="0">
      <alignment horizontal="center" vertical="center" wrapText="true"/>
    </xf>
    <xf applyAlignment="true" applyBorder="false" applyFill="true" applyFont="true" applyNumberFormat="false" applyProtection="false" borderId="9" fillId="40" fontId="13" numFmtId="0" xfId="0">
      <alignment horizontal="center" vertical="center" wrapText="true"/>
    </xf>
    <xf applyAlignment="true" applyBorder="false" applyFill="false" applyFont="true" applyNumberFormat="false" applyProtection="false" borderId="9" fillId="0" fontId="13" numFmtId="0" xfId="0">
      <alignment horizontal="center" vertical="center" wrapText="true"/>
    </xf>
    <xf applyAlignment="true" applyBorder="false" applyFill="false" applyFont="true" applyNumberFormat="false" applyProtection="false" borderId="9" fillId="0" fontId="15" numFmtId="0" xfId="0">
      <alignment horizontal="center" vertical="center"/>
    </xf>
    <xf applyAlignment="true" applyBorder="false" applyFill="false" applyFont="true" applyNumberFormat="false" applyProtection="false" borderId="9" fillId="0" fontId="15" numFmtId="0" xfId="0">
      <alignment horizontal="left" vertical="bottom" wrapText="true"/>
    </xf>
    <xf applyAlignment="true" applyBorder="false" applyFill="false" applyFont="true" applyNumberFormat="true" applyProtection="false" borderId="9" fillId="0" fontId="15" numFmtId="218" xfId="0">
      <alignment horizontal="center" vertical="center" wrapText="true"/>
    </xf>
    <xf applyAlignment="true" applyBorder="false" applyFill="false" applyFont="true" applyNumberFormat="false" applyProtection="false" borderId="10" fillId="0" fontId="15" numFmtId="0" xfId="0">
      <alignment horizontal="center" vertical="bottom"/>
    </xf>
    <xf applyAlignment="true" applyBorder="false" applyFill="false" applyFont="true" applyNumberFormat="true" applyProtection="false" borderId="9" fillId="0" fontId="15" numFmtId="213" xfId="0">
      <alignment horizontal="center" vertical="center"/>
    </xf>
    <xf applyAlignment="true" applyBorder="false" applyFill="false" applyFont="true" applyNumberFormat="true" applyProtection="false" borderId="10" fillId="0" fontId="15" numFmtId="219" xfId="0">
      <alignment horizontal="center" vertical="bottom"/>
    </xf>
    <xf applyAlignment="true" applyBorder="false" applyFill="false" applyFont="true" applyNumberFormat="true" applyProtection="false" borderId="9" fillId="0" fontId="15" numFmtId="212" xfId="0">
      <alignment horizontal="center" vertical="center"/>
    </xf>
    <xf applyAlignment="true" applyBorder="false" applyFill="false" applyFont="true" applyNumberFormat="true" applyProtection="false" borderId="9" fillId="0" fontId="15" numFmtId="214" xfId="0">
      <alignment horizontal="center" vertical="center"/>
    </xf>
    <xf applyAlignment="true" applyBorder="false" applyFill="false" applyFont="true" applyNumberFormat="true" applyProtection="false" borderId="9" fillId="0" fontId="15" numFmtId="215" xfId="0">
      <alignment horizontal="center" vertical="center"/>
    </xf>
    <xf applyAlignment="true" applyBorder="false" applyFill="false" applyFont="true" applyNumberFormat="true" applyProtection="false" borderId="9" fillId="0" fontId="15" numFmtId="220" xfId="0">
      <alignment horizontal="center" vertical="center"/>
    </xf>
    <xf applyAlignment="true" applyBorder="false" applyFill="false" applyFont="true" applyNumberFormat="true" applyProtection="false" borderId="9" fillId="0" fontId="15" numFmtId="217" xfId="0">
      <alignment horizontal="center" vertical="center"/>
    </xf>
    <xf applyAlignment="true" applyBorder="false" applyFill="false" applyFont="true" applyNumberFormat="true" applyProtection="false" borderId="9" fillId="0" fontId="16" numFmtId="221" xfId="0">
      <alignment horizontal="center" vertical="center" wrapText="true"/>
    </xf>
    <xf applyAlignment="true" applyBorder="false" applyFill="false" applyFont="true" applyNumberFormat="true" applyProtection="false" borderId="9" fillId="0" fontId="15" numFmtId="219" xfId="0">
      <alignment horizontal="center" vertical="center"/>
    </xf>
    <xf applyAlignment="true" applyBorder="false" applyFill="false" applyFont="true" applyNumberFormat="false" applyProtection="false" borderId="9" fillId="0" fontId="13" numFmtId="0" xfId="0">
      <alignment horizontal="center" vertical="center"/>
    </xf>
    <xf applyAlignment="true" applyBorder="false" applyFill="false" applyFont="true" applyNumberFormat="false" applyProtection="false" borderId="9" fillId="0" fontId="15" numFmtId="0" xfId="0">
      <alignment vertical="bottom"/>
    </xf>
    <xf applyAlignment="true" applyBorder="false" applyFill="false" applyFont="true" applyNumberFormat="true" applyProtection="false" borderId="9" fillId="0" fontId="15" numFmtId="213" xfId="0">
      <alignment horizontal="center" vertical="center" wrapText="true"/>
    </xf>
    <xf applyAlignment="true" applyBorder="false" applyFill="false" applyFont="true" applyNumberFormat="true" applyProtection="false" borderId="9" fillId="0" fontId="15" numFmtId="222" xfId="0">
      <alignment horizontal="center" vertical="center"/>
    </xf>
    <xf applyAlignment="true" applyBorder="false" applyFill="false" applyFont="true" applyNumberFormat="false" applyProtection="false" borderId="11" fillId="0" fontId="14" numFmtId="0" xfId="0">
      <alignment horizontal="center" vertical="center" wrapText="true"/>
    </xf>
    <xf applyAlignment="true" applyBorder="false" applyFill="false" applyFont="true" applyNumberFormat="false" applyProtection="false" borderId="11" fillId="0" fontId="14" numFmtId="0" xfId="0">
      <alignment horizontal="center" vertical="center"/>
    </xf>
    <xf applyAlignment="true" applyBorder="false" applyFill="true" applyFont="true" applyNumberFormat="true" applyProtection="false" borderId="11" fillId="42" fontId="13" numFmtId="223" xfId="0">
      <alignment horizontal="center" vertical="center" wrapText="true"/>
    </xf>
    <xf applyAlignment="true" applyBorder="false" applyFill="true" applyFont="true" applyNumberFormat="true" applyProtection="false" borderId="11" fillId="42" fontId="13" numFmtId="224" xfId="0">
      <alignment horizontal="center" vertical="center" wrapText="true"/>
    </xf>
    <xf applyAlignment="true" applyBorder="false" applyFill="true" applyFont="true" applyNumberFormat="true" applyProtection="false" borderId="11" fillId="43" fontId="13" numFmtId="223" xfId="0">
      <alignment horizontal="center" vertical="center" wrapText="true"/>
    </xf>
    <xf applyAlignment="true" applyBorder="false" applyFill="true" applyFont="true" applyNumberFormat="true" applyProtection="false" borderId="11" fillId="44" fontId="13" numFmtId="223" xfId="0">
      <alignment horizontal="center" vertical="center" wrapText="true"/>
    </xf>
    <xf applyAlignment="true" applyBorder="false" applyFill="true" applyFont="true" applyNumberFormat="true" applyProtection="false" borderId="11" fillId="44" fontId="13" numFmtId="224" xfId="0">
      <alignment horizontal="center" vertical="center" wrapText="true"/>
    </xf>
    <xf applyAlignment="true" applyBorder="false" applyFill="true" applyFont="true" applyNumberFormat="true" applyProtection="false" borderId="11" fillId="44" fontId="14" numFmtId="223" xfId="0">
      <alignment horizontal="center" vertical="center" wrapText="true"/>
    </xf>
    <xf applyAlignment="true" applyBorder="false" applyFill="true" applyFont="true" applyNumberFormat="true" applyProtection="false" borderId="11" fillId="44" fontId="14" numFmtId="225" xfId="0">
      <alignment horizontal="center" vertical="center" wrapText="true"/>
    </xf>
    <xf applyAlignment="true" applyBorder="false" applyFill="false" applyFont="true" applyNumberFormat="true" applyProtection="false" borderId="11" fillId="0" fontId="14" numFmtId="224" xfId="0">
      <alignment horizontal="center" vertical="center" wrapText="true"/>
    </xf>
    <xf applyAlignment="true" applyBorder="false" applyFill="true" applyFont="true" applyNumberFormat="true" applyProtection="false" borderId="11" fillId="44" fontId="14" numFmtId="226" xfId="0">
      <alignment horizontal="center" vertical="center" wrapText="true"/>
    </xf>
    <xf applyAlignment="true" applyBorder="false" applyFill="true" applyFont="true" applyNumberFormat="false" applyProtection="false" borderId="11" fillId="45" fontId="14" numFmtId="0" xfId="0">
      <alignment horizontal="center" vertical="center" wrapText="true"/>
    </xf>
    <xf applyAlignment="true" applyBorder="false" applyFill="true" applyFont="true" applyNumberFormat="true" applyProtection="false" borderId="11" fillId="44" fontId="14" numFmtId="227" xfId="0">
      <alignment horizontal="center" vertical="center" wrapText="true"/>
    </xf>
    <xf applyAlignment="true" applyBorder="false" applyFill="true" applyFont="true" applyNumberFormat="true" applyProtection="false" borderId="11" fillId="43" fontId="13" numFmtId="224" xfId="0">
      <alignment horizontal="left" vertical="center" wrapText="true"/>
    </xf>
    <xf applyAlignment="true" applyBorder="false" applyFill="true" applyFont="true" applyNumberFormat="true" applyProtection="false" borderId="11" fillId="44" fontId="13" numFmtId="226" xfId="0">
      <alignment horizontal="center" vertical="center" wrapText="true"/>
    </xf>
    <xf applyAlignment="true" applyBorder="false" applyFill="true" applyFont="true" applyNumberFormat="true" applyProtection="false" borderId="11" fillId="44" fontId="13" numFmtId="228" xfId="0">
      <alignment horizontal="center" vertical="center" wrapText="true"/>
    </xf>
    <xf applyAlignment="true" applyBorder="false" applyFill="false" applyFont="true" applyNumberFormat="true" applyProtection="false" borderId="11" fillId="0" fontId="13" numFmtId="226" xfId="0">
      <alignment horizontal="center" vertical="center" wrapText="true"/>
    </xf>
    <xf applyAlignment="true" applyBorder="false" applyFill="true" applyFont="true" applyNumberFormat="true" applyProtection="false" borderId="11" fillId="46" fontId="14" numFmtId="224" xfId="0">
      <alignment horizontal="left" vertical="center" wrapText="true"/>
    </xf>
    <xf applyAlignment="true" applyBorder="false" applyFill="true" applyFont="true" applyNumberFormat="false" applyProtection="false" borderId="11" fillId="46" fontId="14" numFmtId="0" xfId="0">
      <alignment horizontal="left" vertical="center" wrapText="true"/>
    </xf>
    <xf applyAlignment="true" applyBorder="false" applyFill="true" applyFont="true" applyNumberFormat="true" applyProtection="false" borderId="11" fillId="47" fontId="13" numFmtId="228" xfId="0">
      <alignment horizontal="center" vertical="center" wrapText="true"/>
    </xf>
    <xf applyAlignment="true" applyBorder="false" applyFill="true" applyFont="true" applyNumberFormat="true" applyProtection="false" borderId="11" fillId="46" fontId="14" numFmtId="224" xfId="0">
      <alignment horizontal="center" vertical="center" wrapText="true"/>
    </xf>
    <xf applyAlignment="true" applyBorder="false" applyFill="false" applyFont="true" applyNumberFormat="true" applyProtection="false" borderId="11" fillId="0" fontId="13" numFmtId="228" xfId="0">
      <alignment horizontal="center" vertical="center" wrapText="true"/>
    </xf>
    <xf applyAlignment="true" applyBorder="false" applyFill="true" applyFont="true" applyNumberFormat="false" applyProtection="false" borderId="11" fillId="48" fontId="13" numFmtId="0" xfId="0">
      <alignment horizontal="center" vertical="center" wrapText="true"/>
    </xf>
    <xf applyAlignment="true" applyBorder="false" applyFill="true" applyFont="true" applyNumberFormat="true" applyProtection="false" borderId="11" fillId="48" fontId="13" numFmtId="228" xfId="0">
      <alignment horizontal="center" vertical="center" wrapText="true"/>
    </xf>
    <xf applyAlignment="true" applyBorder="false" applyFill="true" applyFont="true" applyNumberFormat="false" applyProtection="false" borderId="11" fillId="47" fontId="13" numFmtId="0" xfId="0">
      <alignment horizontal="center" vertical="center" wrapText="true"/>
    </xf>
    <xf applyAlignment="true" applyBorder="false" applyFill="false" applyFont="true" applyNumberFormat="false" applyProtection="false" borderId="11" fillId="0" fontId="13" numFmtId="0" xfId="0">
      <alignment horizontal="center" vertical="center" wrapText="true"/>
    </xf>
    <xf applyAlignment="true" applyBorder="false" applyFill="false" applyFont="true" applyNumberFormat="false" applyProtection="false" borderId="11" fillId="0" fontId="15" numFmtId="0" xfId="0">
      <alignment horizontal="center" vertical="center"/>
    </xf>
    <xf applyAlignment="true" applyBorder="false" applyFill="false" applyFont="true" applyNumberFormat="false" applyProtection="false" borderId="11" fillId="0" fontId="15" numFmtId="0" xfId="0">
      <alignment horizontal="left" vertical="bottom" wrapText="true"/>
    </xf>
    <xf applyAlignment="true" applyBorder="false" applyFill="false" applyFont="true" applyNumberFormat="true" applyProtection="false" borderId="11" fillId="0" fontId="15" numFmtId="229" xfId="0">
      <alignment horizontal="center" vertical="center" wrapText="true"/>
    </xf>
    <xf applyAlignment="true" applyBorder="false" applyFill="false" applyFont="true" applyNumberFormat="false" applyProtection="false" borderId="12" fillId="0" fontId="15" numFmtId="0" xfId="0">
      <alignment horizontal="center" vertical="bottom"/>
    </xf>
    <xf applyAlignment="true" applyBorder="false" applyFill="false" applyFont="true" applyNumberFormat="true" applyProtection="false" borderId="11" fillId="0" fontId="15" numFmtId="224" xfId="0">
      <alignment horizontal="center" vertical="center"/>
    </xf>
    <xf applyAlignment="true" applyBorder="false" applyFill="false" applyFont="true" applyNumberFormat="true" applyProtection="false" borderId="12" fillId="0" fontId="15" numFmtId="230" xfId="0">
      <alignment horizontal="center" vertical="bottom"/>
    </xf>
    <xf applyAlignment="true" applyBorder="false" applyFill="false" applyFont="true" applyNumberFormat="true" applyProtection="false" borderId="11" fillId="0" fontId="15" numFmtId="223" xfId="0">
      <alignment horizontal="center" vertical="center"/>
    </xf>
    <xf applyAlignment="true" applyBorder="false" applyFill="false" applyFont="true" applyNumberFormat="true" applyProtection="false" borderId="11" fillId="0" fontId="15" numFmtId="225" xfId="0">
      <alignment horizontal="center" vertical="center"/>
    </xf>
    <xf applyAlignment="true" applyBorder="false" applyFill="false" applyFont="true" applyNumberFormat="true" applyProtection="false" borderId="11" fillId="0" fontId="15" numFmtId="226" xfId="0">
      <alignment horizontal="center" vertical="center"/>
    </xf>
    <xf applyAlignment="true" applyBorder="false" applyFill="false" applyFont="true" applyNumberFormat="true" applyProtection="false" borderId="11" fillId="0" fontId="15" numFmtId="231" xfId="0">
      <alignment horizontal="center" vertical="center"/>
    </xf>
    <xf applyAlignment="true" applyBorder="false" applyFill="false" applyFont="true" applyNumberFormat="true" applyProtection="false" borderId="11" fillId="0" fontId="15" numFmtId="228" xfId="0">
      <alignment horizontal="center" vertical="center"/>
    </xf>
    <xf applyAlignment="true" applyBorder="false" applyFill="false" applyFont="true" applyNumberFormat="true" applyProtection="false" borderId="11" fillId="0" fontId="16" numFmtId="232" xfId="0">
      <alignment horizontal="center" vertical="center" wrapText="true"/>
    </xf>
    <xf applyAlignment="true" applyBorder="false" applyFill="false" applyFont="true" applyNumberFormat="true" applyProtection="false" borderId="11" fillId="0" fontId="15" numFmtId="230" xfId="0">
      <alignment horizontal="center" vertical="center"/>
    </xf>
    <xf applyAlignment="true" applyBorder="false" applyFill="false" applyFont="true" applyNumberFormat="false" applyProtection="false" borderId="11" fillId="0" fontId="13" numFmtId="0" xfId="0">
      <alignment horizontal="center" vertical="center"/>
    </xf>
    <xf applyAlignment="true" applyBorder="false" applyFill="false" applyFont="true" applyNumberFormat="false" applyProtection="false" borderId="11" fillId="0" fontId="15" numFmtId="0" xfId="0">
      <alignment vertical="bottom"/>
    </xf>
    <xf applyAlignment="true" applyBorder="false" applyFill="false" applyFont="true" applyNumberFormat="true" applyProtection="false" borderId="11" fillId="0" fontId="15" numFmtId="224" xfId="0">
      <alignment horizontal="center" vertical="center" wrapText="true"/>
    </xf>
    <xf applyAlignment="true" applyBorder="false" applyFill="false" applyFont="true" applyNumberFormat="true" applyProtection="false" borderId="11" fillId="0" fontId="15" numFmtId="233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true" applyProtection="false" borderId="0" fillId="0" fontId="1" numFmtId="234" xfId="0">
      <alignment horizontal="center" vertical="center"/>
    </xf>
    <xf applyAlignment="true" applyBorder="false" applyFill="false" applyFont="true" applyNumberFormat="true" applyProtection="false" borderId="0" fillId="0" fontId="1" numFmtId="235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true" applyProtection="false" borderId="0" fillId="0" fontId="3" numFmtId="234" xfId="0">
      <alignment horizontal="center" vertical="center"/>
    </xf>
    <xf applyAlignment="true" applyBorder="false" applyFill="false" applyFont="true" applyNumberFormat="true" applyProtection="false" borderId="0" fillId="0" fontId="3" numFmtId="235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0" fillId="0" fontId="3" numFmtId="236" xfId="0">
      <alignment horizontal="center" vertical="center"/>
    </xf>
    <xf applyAlignment="true" applyBorder="false" applyFill="true" applyFont="true" applyNumberFormat="false" applyProtection="false" borderId="0" fillId="49" fontId="3" numFmtId="0" xfId="0">
      <alignment horizontal="center" vertical="center"/>
    </xf>
    <xf applyAlignment="true" applyBorder="false" applyFill="true" applyFont="true" applyNumberFormat="false" applyProtection="false" borderId="13" fillId="50" fontId="13" numFmtId="0" xfId="0">
      <alignment horizontal="center" vertical="center"/>
    </xf>
    <xf applyAlignment="true" applyBorder="false" applyFill="false" applyFont="true" applyNumberFormat="true" applyProtection="false" borderId="13" fillId="0" fontId="3" numFmtId="237" xfId="0">
      <alignment horizontal="center" vertical="center"/>
    </xf>
    <xf applyAlignment="true" applyBorder="false" applyFill="false" applyFont="true" applyNumberFormat="true" applyProtection="false" borderId="13" fillId="0" fontId="15" numFmtId="238" xfId="0">
      <alignment horizontal="center" vertical="center"/>
    </xf>
    <xf applyAlignment="true" applyBorder="false" applyFill="false" applyFont="true" applyNumberFormat="false" applyProtection="false" borderId="13" fillId="0" fontId="15" numFmtId="0" xfId="0">
      <alignment horizontal="center" vertical="center"/>
    </xf>
    <xf applyAlignment="true" applyBorder="false" applyFill="true" applyFont="true" applyNumberFormat="false" applyProtection="false" borderId="13" fillId="51" fontId="15" numFmtId="0" xfId="0">
      <alignment horizontal="center" vertical="center"/>
    </xf>
    <xf applyAlignment="true" applyBorder="false" applyFill="false" applyFont="true" applyNumberFormat="false" applyProtection="false" borderId="13" fillId="0" fontId="15" numFmtId="0" xfId="0">
      <alignment horizontal="left" vertical="center" wrapText="true"/>
    </xf>
    <xf applyAlignment="true" applyBorder="false" applyFill="false" applyFont="true" applyNumberFormat="true" applyProtection="false" borderId="13" fillId="0" fontId="15" numFmtId="239" xfId="0">
      <alignment horizontal="center" vertical="center"/>
    </xf>
    <xf applyAlignment="true" applyBorder="false" applyFill="false" applyFont="true" applyNumberFormat="true" applyProtection="false" borderId="13" fillId="0" fontId="15" numFmtId="240" xfId="0">
      <alignment horizontal="center" vertical="center"/>
    </xf>
    <xf applyAlignment="true" applyBorder="false" applyFill="false" applyFont="true" applyNumberFormat="false" applyProtection="false" borderId="13" fillId="0" fontId="15" numFmtId="0" xfId="0">
      <alignment horizontal="left" vertical="center"/>
    </xf>
    <xf applyAlignment="true" applyBorder="false" applyFill="false" applyFont="true" applyNumberFormat="false" applyProtection="false" borderId="13" fillId="0" fontId="3" numFmtId="0" xfId="0">
      <alignment vertical="bottom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13" fillId="52" fontId="15" numFmtId="0" xfId="0">
      <alignment horizontal="center" vertical="center"/>
    </xf>
    <xf applyAlignment="true" applyBorder="false" applyFill="false" applyFont="true" applyNumberFormat="true" applyProtection="false" borderId="13" fillId="0" fontId="3" numFmtId="239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bottom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true" applyFont="true" applyNumberFormat="false" applyProtection="false" borderId="14" fillId="53" fontId="13" numFmtId="0" xfId="0">
      <alignment horizontal="center" vertical="center"/>
    </xf>
    <xf applyAlignment="true" applyBorder="false" applyFill="false" applyFont="true" applyNumberFormat="true" applyProtection="false" borderId="14" fillId="0" fontId="3" numFmtId="241" xfId="0">
      <alignment horizontal="center" vertical="center"/>
    </xf>
    <xf applyAlignment="true" applyBorder="false" applyFill="false" applyFont="true" applyNumberFormat="true" applyProtection="false" borderId="14" fillId="0" fontId="15" numFmtId="242" xfId="0">
      <alignment horizontal="center" vertical="center"/>
    </xf>
    <xf applyAlignment="true" applyBorder="false" applyFill="false" applyFont="true" applyNumberFormat="false" applyProtection="false" borderId="14" fillId="0" fontId="15" numFmtId="0" xfId="0">
      <alignment horizontal="center" vertical="center"/>
    </xf>
    <xf applyAlignment="true" applyBorder="false" applyFill="false" applyFont="true" applyNumberFormat="false" applyProtection="false" borderId="14" fillId="0" fontId="15" numFmtId="0" xfId="0">
      <alignment horizontal="center" vertical="center" wrapText="true"/>
    </xf>
    <xf applyAlignment="true" applyBorder="false" applyFill="false" applyFont="true" applyNumberFormat="true" applyProtection="false" borderId="14" fillId="0" fontId="15" numFmtId="243" xfId="0">
      <alignment horizontal="center" vertical="center"/>
    </xf>
    <xf applyAlignment="true" applyBorder="false" applyFill="false" applyFont="true" applyNumberFormat="true" applyProtection="false" borderId="14" fillId="0" fontId="15" numFmtId="244" xfId="0">
      <alignment horizontal="center" vertical="center"/>
    </xf>
    <xf applyAlignment="true" applyBorder="false" applyFill="false" applyFont="true" applyNumberFormat="false" applyProtection="false" borderId="14" fillId="0" fontId="15" numFmtId="0" xfId="0">
      <alignment horizontal="left" vertical="center"/>
    </xf>
    <xf applyAlignment="true" applyBorder="false" applyFill="false" applyFont="true" applyNumberFormat="false" applyProtection="false" borderId="14" fillId="0" fontId="3" numFmtId="0" xfId="0">
      <alignment vertical="bottom"/>
    </xf>
    <xf applyAlignment="true" applyBorder="false" applyFill="false" applyFont="true" applyNumberFormat="false" applyProtection="false" borderId="14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bottom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true" applyFont="true" applyNumberFormat="false" applyProtection="false" borderId="15" fillId="54" fontId="13" numFmtId="0" xfId="0">
      <alignment horizontal="center" vertical="center"/>
    </xf>
    <xf applyAlignment="true" applyBorder="false" applyFill="false" applyFont="true" applyNumberFormat="true" applyProtection="false" borderId="15" fillId="0" fontId="3" numFmtId="245" xfId="0">
      <alignment horizontal="center" vertical="center"/>
    </xf>
    <xf applyAlignment="true" applyBorder="false" applyFill="false" applyFont="true" applyNumberFormat="true" applyProtection="false" borderId="15" fillId="0" fontId="15" numFmtId="246" xfId="0">
      <alignment horizontal="center" vertical="center"/>
    </xf>
    <xf applyAlignment="true" applyBorder="false" applyFill="false" applyFont="true" applyNumberFormat="false" applyProtection="false" borderId="15" fillId="0" fontId="15" numFmtId="0" xfId="0">
      <alignment horizontal="center" vertical="center"/>
    </xf>
    <xf applyAlignment="true" applyBorder="false" applyFill="false" applyFont="true" applyNumberFormat="false" applyProtection="false" borderId="15" fillId="0" fontId="15" numFmtId="0" xfId="0">
      <alignment horizontal="left" vertical="center" wrapText="true"/>
    </xf>
    <xf applyAlignment="true" applyBorder="false" applyFill="false" applyFont="true" applyNumberFormat="true" applyProtection="false" borderId="15" fillId="0" fontId="15" numFmtId="247" xfId="0">
      <alignment horizontal="center" vertical="center"/>
    </xf>
    <xf applyAlignment="true" applyBorder="false" applyFill="false" applyFont="true" applyNumberFormat="true" applyProtection="false" borderId="15" fillId="0" fontId="15" numFmtId="248" xfId="0">
      <alignment horizontal="center" vertical="center"/>
    </xf>
    <xf applyAlignment="true" applyBorder="false" applyFill="false" applyFont="true" applyNumberFormat="false" applyProtection="false" borderId="15" fillId="0" fontId="15" numFmtId="0" xfId="0">
      <alignment horizontal="left" vertical="center"/>
    </xf>
    <xf applyAlignment="true" applyBorder="false" applyFill="false" applyFont="true" applyNumberFormat="false" applyProtection="false" borderId="15" fillId="0" fontId="3" numFmtId="0" xfId="0">
      <alignment vertical="bottom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bottom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true" applyFont="true" applyNumberFormat="false" applyProtection="false" borderId="0" fillId="55" fontId="19" numFmtId="0" xfId="0">
      <alignment horizontal="center" vertical="center"/>
    </xf>
    <xf applyAlignment="true" applyBorder="false" applyFill="false" applyFont="true" applyNumberFormat="false" applyProtection="false" borderId="0" fillId="0" fontId="20" numFmtId="0" xfId="0">
      <alignment horizontal="center" vertical="center"/>
    </xf>
    <xf applyAlignment="true" applyBorder="false" applyFill="false" applyFont="true" applyNumberFormat="false" applyProtection="false" borderId="0" fillId="0" fontId="19" numFmtId="0" xfId="0">
      <alignment horizontal="center" vertical="center"/>
    </xf>
    <xf applyAlignment="true" applyBorder="false" applyFill="false" applyFont="true" applyNumberFormat="false" applyProtection="false" borderId="0" fillId="0" fontId="21" numFmtId="0" xfId="0">
      <alignment vertical="bottom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0" fillId="0" fontId="3" numFmtId="249" xfId="0">
      <alignment vertical="center"/>
    </xf>
    <xf applyAlignment="true" applyBorder="false" applyFill="false" applyFont="true" applyNumberFormat="true" applyProtection="false" borderId="0" fillId="0" fontId="3" numFmtId="250" xfId="0">
      <alignment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</cellXfs>
  <cellStyles count="1">
    <cellStyle builtinId="0" name="Normal" xfId="0"/>
  </cellStyles>
  <dxfs count="30"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BD4D0"/>
        </patternFill>
      </fill>
    </dxf>
    <dxf>
      <font>
        <sz val="11"/>
        <color rgb="FF000000"/>
        <name val="Calibri"/>
        <family val="2"/>
        <scheme val="minor"/>
      </font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BD4D0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worksheets/sheet14.xml" Type="http://schemas.openxmlformats.org/officeDocument/2006/relationships/worksheet"></Relationship><Relationship Id="rId18" Target="worksheets/sheet15.xml" Type="http://schemas.openxmlformats.org/officeDocument/2006/relationships/worksheet"></Relationship><Relationship Id="rId19" Target="worksheets/sheet16.xml" Type="http://schemas.openxmlformats.org/officeDocument/2006/relationships/worksheet"></Relationship><Relationship Id="rId20" Target="worksheets/sheet17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2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22</xdr:col>
      <xdr:colOff>0</xdr:colOff>
      <xdr:row>0</xdr:row>
      <xdr:rowOff>38100</xdr:rowOff>
    </xdr:from>
    <xdr:to>
      <xdr:col>23</xdr:col>
      <xdr:colOff>0</xdr:colOff>
      <xdr:row>1</xdr:row>
      <xdr:rowOff>0</xdr:rowOff>
    </xdr:to>
    <xdr:pic>
      <xdr:nvPicPr>
        <xdr:cNvPr id="2" name="Picture 2" descr="rVNreY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5</xdr:col>
      <xdr:colOff>0</xdr:colOff>
      <xdr:row>10</xdr:row>
      <xdr:rowOff>0</xdr:rowOff>
    </xdr:to>
    <xdr:pic>
      <xdr:nvPicPr>
        <xdr:cNvPr id="2" name="Picture 2" descr="zJQyns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Relationship Id="rId3" Target="https://shimo.im/sheets/5bqndwNRpvUWYNAy/hctQE" Type="http://schemas.openxmlformats.org/officeDocument/2006/relationships/hyperlink" TargetMode="External"></Relationship><Relationship Id="rId4" Target="https://shimo.im/sheets/5bqndwNRpvUWYNAy/hctQE" Type="http://schemas.openxmlformats.org/officeDocument/2006/relationships/hyperlink" TargetMode="External"></Relationship><Relationship Id="rId5" Target="https://shimo.im/sheets/5bqndwNRpvUWYNAy/hctQE" Type="http://schemas.openxmlformats.org/officeDocument/2006/relationships/hyperlink" TargetMode="External"></Relationship><Relationship Id="rId6" Target="https://shimo.im/sheets/5bqndwNRpvUWYNAy/hctQE" Type="http://schemas.openxmlformats.org/officeDocument/2006/relationships/hyperlink" TargetMode="External"></Relationship><Relationship Id="rId7" Target="https://shimo.im/sheets/5bqndwNRpvUWYNAy/hctQE" Type="http://schemas.openxmlformats.org/officeDocument/2006/relationships/hyperlink" TargetMode="External"></Relationship><Relationship Id="rId8" Target="https://shimo.im/sheets/5bqndwNRpvUWYNAy/hctQE" Type="http://schemas.openxmlformats.org/officeDocument/2006/relationships/hyperlink" TargetMode="External"></Relationship><Relationship Id="rId9" Target="https://shimo.im/sheets/5bqndwNRpvUWYNAy/hctQE" Type="http://schemas.openxmlformats.org/officeDocument/2006/relationships/hyperlink" TargetMode="External"></Relationship><Relationship Id="rId10" Target="https://shimo.im/sheets/5bqndwNRpvUWYNAy/hctQE" Type="http://schemas.openxmlformats.org/officeDocument/2006/relationships/hyperlink" TargetMode="External"></Relationship><Relationship Id="rId11" Target="https://shimo.im/sheets/5bqndwNRpvUWYNAy/hctQE" Type="http://schemas.openxmlformats.org/officeDocument/2006/relationships/hyperlink" TargetMode="External"></Relationship><Relationship Id="rId12" Target="https://shimo.im/sheets/5bqndwNRpvUWYNAy/hctQE" Type="http://schemas.openxmlformats.org/officeDocument/2006/relationships/hyperlink" TargetMode="External"></Relationship><Relationship Id="rId13" Target="https://shimo.im/sheets/5bqndwNRpvUWYNAy/hctQE" Type="http://schemas.openxmlformats.org/officeDocument/2006/relationships/hyperlink" TargetMode="External"></Relationship><Relationship Id="rId14" Target="https://shimo.im/sheets/5bqndwNRpvUWYNAy/hctQE" Type="http://schemas.openxmlformats.org/officeDocument/2006/relationships/hyperlink" TargetMode="External"></Relationship><Relationship Id="rId15" Target="https://shimo.im/sheets/5rk9KXRngOSw6J3x/Uh9jY" Type="http://schemas.openxmlformats.org/officeDocument/2006/relationships/hyperlink" TargetMode="External"></Relationship><Relationship Id="rId16" Target="https://shimo.im/docx/RKAWMDjJgeUJvXq8" Type="http://schemas.openxmlformats.org/officeDocument/2006/relationships/hyperlink" TargetMode="External"></Relationship><Relationship Id="rId17" Target="https://shimo.im/docx/RKAWMDjJgeUJvXq8" Type="http://schemas.openxmlformats.org/officeDocument/2006/relationships/hyperlink" TargetMode="External"></Relationship><Relationship Id="rId18" Target="https://shimo.im/docx/8Nk6emELG8TwWxqL" Type="http://schemas.openxmlformats.org/officeDocument/2006/relationships/hyperlink" TargetMode="External"></Relationship><Relationship Id="rId19" Target="https://shimo.im/docx/Wr3DpbnyN9tEMP3J" Type="http://schemas.openxmlformats.org/officeDocument/2006/relationships/hyperlink" TargetMode="External"></Relationship><Relationship Id="rId20" Target="https://shimo.im/file/5rk9KXwYjmtmpo3x" Type="http://schemas.openxmlformats.org/officeDocument/2006/relationships/hyperlink" TargetMode="External"></Relationship><Relationship Id="rId21" Target="https://shimo.im/file/5rk9KXwYjmtmpo3x" Type="http://schemas.openxmlformats.org/officeDocument/2006/relationships/hyperlink" TargetMode="External"></Relationship><Relationship Id="rId22" Target="https://sanjdqeje0.feishu.cn/sheets/KU8Gs3PQfhloEbtWoX8cHAqjnyS?from=from_copylink" Type="http://schemas.openxmlformats.org/officeDocument/2006/relationships/hyperlink" TargetMode="External"></Relationship><Relationship Id="rId23" Target="https://sanjdqeje0.feishu.cn/sheets/KU8Gs3PQfhloEbtWoX8cHAqjnyS?from=from_copylink" Type="http://schemas.openxmlformats.org/officeDocument/2006/relationships/hyperlink" TargetMode="External"></Relationship><Relationship Id="rId24" Target="https://sanjdqeje0.feishu.cn/sheets/KU8Gs3PQfhloEbtWoX8cHAqjnyS?from=from_copylink" Type="http://schemas.openxmlformats.org/officeDocument/2006/relationships/hyperlink" TargetMode="External"></Relationship><Relationship Id="rId25" Target="https://sanjdqeje0.feishu.cn/sheets/KU8Gs3PQfhloEbtWoX8cHAqjnyS?from=from_copylink" Type="http://schemas.openxmlformats.org/officeDocument/2006/relationships/hyperlink" TargetMode="External"></Relationship><Relationship Id="rId26" Target="https://sanjdqeje0.feishu.cn/sheets/KU8Gs3PQfhloEbtWoX8cHAqjnyS?from=from_copylink" Type="http://schemas.openxmlformats.org/officeDocument/2006/relationships/hyperlink" TargetMode="External"></Relationship><Relationship Id="rId27" Target="https://sanjdqeje0.feishu.cn/sheets/KU8Gs3PQfhloEbtWoX8cHAqjnyS?from=from_copylink" Type="http://schemas.openxmlformats.org/officeDocument/2006/relationships/hyperlink" TargetMode="External"></Relationship><Relationship Id="rId28" Target="https://shimo.im/sheets/aBAYMYKEOah2rJAj/aj3k0" Type="http://schemas.openxmlformats.org/officeDocument/2006/relationships/hyperlink" TargetMode="External"></Relationship><Relationship Id="rId29" Target="https://shimo.im/sheets/aBAYMYKEOah2rJAj/aj3k0" Type="http://schemas.openxmlformats.org/officeDocument/2006/relationships/hyperlink" TargetMode="External"></Relationship><Relationship Id="rId30" Target="https://shimo.im/sheets/aBAYMYKEOah2rJAj/aj3k0" Type="http://schemas.openxmlformats.org/officeDocument/2006/relationships/hyperlink" TargetMode="External"></Relationship><Relationship Id="rId31" Target="https://shimo.im/sheets/aBAYMYKEOah2rJAj/aj3k0" Type="http://schemas.openxmlformats.org/officeDocument/2006/relationships/hyperlink" TargetMode="External"></Relationship><Relationship Id="rId32" Target="https://shimo.im/sheets/Wr3Dp1B0mnh8Zm3J/ZfbUi" Type="http://schemas.openxmlformats.org/officeDocument/2006/relationships/hyperlink" TargetMode="External"></Relationship><Relationship Id="rId33" Target="https://shimo.im/sheets/Wr3Dp1B0mnh8Zm3J/ZfbUi" Type="http://schemas.openxmlformats.org/officeDocument/2006/relationships/hyperlink" TargetMode="External"></Relationship><Relationship Id="rId34" Target="https://shimo.im/sheets/Wr3Dp1B0mnh8Zm3J/ZfbUi" Type="http://schemas.openxmlformats.org/officeDocument/2006/relationships/hyperlink" TargetMode="External"></Relationship><Relationship Id="rId35" Target="https://shimo.im/docx/2wAldwarwyia7gAP" Type="http://schemas.openxmlformats.org/officeDocument/2006/relationships/hyperlink" TargetMode="External"></Relationship><Relationship Id="rId36" Target="https://shimo.im/docx/2wAldwarwyia7gAP" Type="http://schemas.openxmlformats.org/officeDocument/2006/relationships/hyperlink" TargetMode="External"></Relationship><Relationship Id="rId37" Target="https://shimo.im/docx/2wAldwarwyia7gAP" Type="http://schemas.openxmlformats.org/officeDocument/2006/relationships/hyperlink" TargetMode="External"></Relationship><Relationship Id="rId38" Target="https://shimo.im/docx/2wAldwarwyia7gAP" Type="http://schemas.openxmlformats.org/officeDocument/2006/relationships/hyperlink" TargetMode="External"></Relationship><Relationship Id="rId39" Target="https://shimo.im/docx/2wAldwarwyia7gAP" Type="http://schemas.openxmlformats.org/officeDocument/2006/relationships/hyperlink" TargetMode="External"></Relationship><Relationship Id="rId40" Target="https://shimo.im/docx/2wAldwarwyia7gAP" Type="http://schemas.openxmlformats.org/officeDocument/2006/relationships/hyperlink" TargetMode="External"></Relationship><Relationship Id="rId41" Target="https://shimo.im/docx/2wAldwarwyia7gAP" Type="http://schemas.openxmlformats.org/officeDocument/2006/relationships/hyperlink" TargetMode="External"></Relationship><Relationship Id="rId42" Target="https://shimo.im/docx/2wAldwarwyia7gAP" Type="http://schemas.openxmlformats.org/officeDocument/2006/relationships/hyperlink" TargetMode="External"></Relationship><Relationship Id="rId43" Target="https://shimo.im/sheets/KlkKv6JnrEcZL7qd/vnhe5" Type="http://schemas.openxmlformats.org/officeDocument/2006/relationships/hyperlink" TargetMode="External"></Relationship><Relationship Id="rId44" Target="https://sanjdqeje0.feishu.cn/sheets/O2MTszxKDh9uVNtRbLRcD9xBnYb?from=from_copylink" Type="http://schemas.openxmlformats.org/officeDocument/2006/relationships/hyperlink" TargetMode="External"></Relationship><Relationship Id="rId45" Target="https://sanjdqeje0.feishu.cn/sheets/O2MTszxKDh9uVNtRbLRcD9xBnYb?from=from_copylink" Type="http://schemas.openxmlformats.org/officeDocument/2006/relationships/hyperlink" TargetMode="External"></Relationship><Relationship Id="rId46" Target="https://sanjdqeje0.feishu.cn/sheets/O2MTszxKDh9uVNtRbLRcD9xBnYb?from=from_copylink" Type="http://schemas.openxmlformats.org/officeDocument/2006/relationships/hyperlink" TargetMode="External"></Relationship><Relationship Id="rId47" Target="https://shimo.im/docx/25q5Xg6ddNcJ8Z3D" Type="http://schemas.openxmlformats.org/officeDocument/2006/relationships/hyperlink" TargetMode="External"></Relationship><Relationship Id="rId48" Target="https://shimo.im/sheets/913JMP2Z91cJPrAE/YTZoI" Type="http://schemas.openxmlformats.org/officeDocument/2006/relationships/hyperlink" TargetMode="External"></Relationship><Relationship Id="rId49" Target="https://shimo.im/sheets/913JMP2Z91cJPrAE/YTZoI" Type="http://schemas.openxmlformats.org/officeDocument/2006/relationships/hyperlink" TargetMode="External"></Relationship><Relationship Id="rId50" Target="https://shimo.im/sheets/R13jdwQw60uWm6k5/UV2uf" Type="http://schemas.openxmlformats.org/officeDocument/2006/relationships/hyperlink" TargetMode="External"></Relationship><Relationship Id="rId51" Target="https://shimo.im/sheets/R13jdwQw60uWm6k5/UV2uf" Type="http://schemas.openxmlformats.org/officeDocument/2006/relationships/hyperlink" TargetMode="External"></Relationship><Relationship Id="rId52" Target="https://shimo.im/sheets/R13jdwQw60uWm6k5/UV2uf" Type="http://schemas.openxmlformats.org/officeDocument/2006/relationships/hyperlink" TargetMode="External"></Relationship><Relationship Id="rId53" Target="https://shimo.im/sheets/R13jdwQw60uWm6k5/UV2uf" Type="http://schemas.openxmlformats.org/officeDocument/2006/relationships/hyperlink" TargetMode="External"></Relationship><Relationship Id="rId54" Target="https://shimo.im/sheets/R13jdwQw60uWm6k5/UV2uf" Type="http://schemas.openxmlformats.org/officeDocument/2006/relationships/hyperlink" TargetMode="External"></Relationship><Relationship Id="rId55" Target="https://shimo.im/sheets/R13jdwQw60uWm6k5/UV2uf" Type="http://schemas.openxmlformats.org/officeDocument/2006/relationships/hyperlink" TargetMode="External"></Relationship><Relationship Id="rId56" Target="https://shimo.im/docx/1lq7rnX8jNSe903e" Type="http://schemas.openxmlformats.org/officeDocument/2006/relationships/hyperlink" TargetMode="External"></Relationship><Relationship Id="rId57" Target="https://sanjdqeje0.feishu.cn/file/YT4Ob07PyogqKgxeXFrclrmZnfc" Type="http://schemas.openxmlformats.org/officeDocument/2006/relationships/hyperlink" TargetMode="External"></Relationship><Relationship Id="rId58" Target="https://sanjdqeje0.feishu.cn/file/YT4Ob07PyogqKgxeXFrclrmZnfc" Type="http://schemas.openxmlformats.org/officeDocument/2006/relationships/hyperlink" TargetMode="External"></Relationship><Relationship Id="rId59" Target="https://sanjdqeje0.feishu.cn/file/YT4Ob07PyogqKgxeXFrclrmZnfc" Type="http://schemas.openxmlformats.org/officeDocument/2006/relationships/hyperlink" TargetMode="External"></Relationship><Relationship Id="rId60" Target="https://shimo.im/sheets/913JMP2Z91cJPrAE/ZBXMH" Type="http://schemas.openxmlformats.org/officeDocument/2006/relationships/hyperlink" TargetMode="External"></Relationship><Relationship Id="rId61" Target="https://shimo.im/sheets/16q8xxLaLauGvdq7/AsI8C" Type="http://schemas.openxmlformats.org/officeDocument/2006/relationships/hyperlink" TargetMode="External"></Relationship><Relationship Id="rId62" Target="https://shimo.im/sheets/16q8xxLaLauGvdq7/AsI8C" Type="http://schemas.openxmlformats.org/officeDocument/2006/relationships/hyperlink" TargetMode="External"></Relationship><Relationship Id="rId63" Target="https://shimo.im/sheets/U9q91J8IqMOucZiP/wVlCH" Type="http://schemas.openxmlformats.org/officeDocument/2006/relationships/hyperlink" TargetMode="External"></Relationship><Relationship Id="rId64" Target="https://shimo.im/sheets/U9q91J8IqMOucZiP/wVlCH" Type="http://schemas.openxmlformats.org/officeDocument/2006/relationships/hyperlink" TargetMode="External"></Relationship><Relationship Id="rId65" Target="https://shimo.im/sheets/U9q91J8IqMOucZiP/wVlCH" Type="http://schemas.openxmlformats.org/officeDocument/2006/relationships/hyperlink" TargetMode="External"></Relationship><Relationship Id="rId66" Target="https://shimo.im/sheets/U9q91J8IqMOucZiP/wVlCH" Type="http://schemas.openxmlformats.org/officeDocument/2006/relationships/hyperlink" TargetMode="External"></Relationship><Relationship Id="rId67" Target="https://shimo.im/sheets/U9q91J8IqMOucZiP/wVlCH" Type="http://schemas.openxmlformats.org/officeDocument/2006/relationships/hyperlink" TargetMode="External"></Relationship><Relationship Id="rId68" Target="https://shimo.im/sheets/U9q91J8IqMOucZiP/wVlCH" Type="http://schemas.openxmlformats.org/officeDocument/2006/relationships/hyperlink" TargetMode="External"></Relationship><Relationship Id="rId69" Target="https://shimo.im/sheets/U9q91J8IqMOucZiP/wVlCH" Type="http://schemas.openxmlformats.org/officeDocument/2006/relationships/hyperlink" TargetMode="External"></Relationship><Relationship Id="rId70" Target="https://shimo.im/sheets/U9q91J8IqMOucZiP/wVlCH" Type="http://schemas.openxmlformats.org/officeDocument/2006/relationships/hyperlink" TargetMode="External"></Relationship><Relationship Id="rId71" Target="https://shimo.im/sheets/U9q91J8IqMOucZiP/wVlCH" Type="http://schemas.openxmlformats.org/officeDocument/2006/relationships/hyperlink" TargetMode="External"></Relationship><Relationship Id="rId72" Target="https://shimo.im/sheets/U9q91J8IqMOucZiP/wVlCH" Type="http://schemas.openxmlformats.org/officeDocument/2006/relationships/hyperlink" TargetMode="External"></Relationship><Relationship Id="rId73" Target="https://shimo.im/sheets/U9q91J8IqMOucZiP/wVlCH" Type="http://schemas.openxmlformats.org/officeDocument/2006/relationships/hyperlink" TargetMode="External"></Relationship><Relationship Id="rId74" Target="https://shimo.im/sheets/U9q91J8IqMOucZiP/wVlCH" Type="http://schemas.openxmlformats.org/officeDocument/2006/relationships/hyperlink" TargetMode="External"></Relationship><Relationship Id="rId75" Target="https://shimo.im/sheets/U9q91J8IqMOucZiP/wVlCH" Type="http://schemas.openxmlformats.org/officeDocument/2006/relationships/hyperlink" TargetMode="External"></Relationship><Relationship Id="rId76" Target="https://shimo.im/sheets/U9q91J8IqMOucZiP/wVlCH" Type="http://schemas.openxmlformats.org/officeDocument/2006/relationships/hyperlink" TargetMode="External"></Relationship><Relationship Id="rId77" Target="https://shimo.im/sheets/U9q91J8IqMOucZiP/wVlCH" Type="http://schemas.openxmlformats.org/officeDocument/2006/relationships/hyperlink" TargetMode="External"></Relationship><Relationship Id="rId78" Target="https://shimo.im/sheets/U9q91J8IqMOucZiP/wVlCH" Type="http://schemas.openxmlformats.org/officeDocument/2006/relationships/hyperlink" TargetMode="External"></Relationship><Relationship Id="rId79" Target="https://shimo.im/sheets/U9q91J8IqMOucZiP/wVlCH" Type="http://schemas.openxmlformats.org/officeDocument/2006/relationships/hyperlink" TargetMode="External"></Relationship><Relationship Id="rId80" Target="https://shimo.im/sheets/U9q91J8IqMOucZiP/wVlCH" Type="http://schemas.openxmlformats.org/officeDocument/2006/relationships/hyperlink" TargetMode="External"></Relationship><Relationship Id="rId81" Target="https://shimo.im/sheets/U9q91J8IqMOucZiP/wVlCH" Type="http://schemas.openxmlformats.org/officeDocument/2006/relationships/hyperlink" TargetMode="External"></Relationship><Relationship Id="rId82" Target="https://shimo.im/sheets/U9q91J8IqMOucZiP/wVlCH" Type="http://schemas.openxmlformats.org/officeDocument/2006/relationships/hyperlink" TargetMode="External"></Relationship><Relationship Id="rId83" Target="https://shimo.im/sheets/U9q91J8IqMOucZiP/wVlCH" Type="http://schemas.openxmlformats.org/officeDocument/2006/relationships/hyperlink" TargetMode="External"></Relationship><Relationship Id="rId84" Target="https://shimo.im/sheets/U9q91J8IqMOucZiP/wVlCH" Type="http://schemas.openxmlformats.org/officeDocument/2006/relationships/hyperlink" TargetMode="External"></Relationship><Relationship Id="rId85" Target="https://shimo.im/sheets/U9q91J8IqMOucZiP/wVlCH" Type="http://schemas.openxmlformats.org/officeDocument/2006/relationships/hyperlink" TargetMode="External"></Relationship><Relationship Id="rId86" Target="https://shimo.im/sheets/U9q91J8IqMOucZiP/wVlCH" Type="http://schemas.openxmlformats.org/officeDocument/2006/relationships/hyperlink" TargetMode="External"></Relationship><Relationship Id="rId87" Target="https://shimo.im/sheets/U9q91J8IqMOucZiP/wVlCH" Type="http://schemas.openxmlformats.org/officeDocument/2006/relationships/hyperlink" TargetMode="External"></Relationship><Relationship Id="rId88" Target="https://shimo.im/sheets/U9q91J8IqMOucZiP/wVlCH" Type="http://schemas.openxmlformats.org/officeDocument/2006/relationships/hyperlink" TargetMode="External"></Relationship><Relationship Id="rId89" Target="https://shimo.im/sheets/U9q91J8IqMOucZiP/wVlCH" Type="http://schemas.openxmlformats.org/officeDocument/2006/relationships/hyperlink" TargetMode="External"></Relationship><Relationship Id="rId90" Target="https://shimo.im/sheets/U9q91J8IqMOucZiP/wVlCH" Type="http://schemas.openxmlformats.org/officeDocument/2006/relationships/hyperlink" TargetMode="External"></Relationship><Relationship Id="rId91" Target="https://shimo.im/sheets/U9q91J8IqMOucZiP/wVlCH" Type="http://schemas.openxmlformats.org/officeDocument/2006/relationships/hyperlink" TargetMode="External"></Relationship><Relationship Id="rId92" Target="https://shimo.im/sheets/U9q91J8IqMOucZiP/wVlCH" Type="http://schemas.openxmlformats.org/officeDocument/2006/relationships/hyperlink" TargetMode="External"></Relationship><Relationship Id="rId93" Target="https://shimo.im/sheets/U9q91J8IqMOucZiP/wVlCH" Type="http://schemas.openxmlformats.org/officeDocument/2006/relationships/hyperlink" TargetMode="External"></Relationship><Relationship Id="rId94" Target="https://shimo.im/sheets/U9q91J8IqMOucZiP/wVlCH" Type="http://schemas.openxmlformats.org/officeDocument/2006/relationships/hyperlink" TargetMode="External"></Relationship><Relationship Id="rId95" Target="https://shimo.im/sheets/U9q91J8IqMOucZiP/wVlCH" Type="http://schemas.openxmlformats.org/officeDocument/2006/relationships/hyperlink" TargetMode="External"></Relationship><Relationship Id="rId96" Target="https://shimo.im/sheets/U9q91J8IqMOucZiP/wVlCH" Type="http://schemas.openxmlformats.org/officeDocument/2006/relationships/hyperlink" TargetMode="External"></Relationship><Relationship Id="rId97" Target="https://shimo.im/sheets/U9q91J8IqMOucZiP/wVlCH" Type="http://schemas.openxmlformats.org/officeDocument/2006/relationships/hyperlink" TargetMode="External"></Relationship><Relationship Id="rId98" Target="https://shimo.im/sheets/U9q91J8IqMOucZiP/wVlCH" Type="http://schemas.openxmlformats.org/officeDocument/2006/relationships/hyperlink" TargetMode="External"></Relationship><Relationship Id="rId99" Target="https://shimo.im/sheets/U9q91J8IqMOucZiP/wVlCH" Type="http://schemas.openxmlformats.org/officeDocument/2006/relationships/hyperlink" TargetMode="External"></Relationship><Relationship Id="rId100" Target="https://shimo.im/sheets/U9q91J8IqMOucZiP/wVlCH" Type="http://schemas.openxmlformats.org/officeDocument/2006/relationships/hyperlink" TargetMode="External"></Relationship><Relationship Id="rId101" Target="https://shimo.im/sheets/U9q91J8IqMOucZiP/wVlCH" Type="http://schemas.openxmlformats.org/officeDocument/2006/relationships/hyperlink" TargetMode="External"></Relationship><Relationship Id="rId102" Target="https://shimo.im/sheets/U9q91J8IqMOucZiP/wVlCH" Type="http://schemas.openxmlformats.org/officeDocument/2006/relationships/hyperlink" TargetMode="External"></Relationship><Relationship Id="rId103" Target="https://shimo.im/sheets/U9q91J8IqMOucZiP/wVlCH" Type="http://schemas.openxmlformats.org/officeDocument/2006/relationships/hyperlink" TargetMode="External"></Relationship><Relationship Id="rId104" Target="https://shimo.im/sheets/U9q91J8IqMOucZiP/wVlCH" Type="http://schemas.openxmlformats.org/officeDocument/2006/relationships/hyperlink" TargetMode="External"></Relationship><Relationship Id="rId105" Target="https://shimo.im/sheets/e1Azdp2E7ph1lzqW/NICpS" Type="http://schemas.openxmlformats.org/officeDocument/2006/relationships/hyperlink" TargetMode="External"></Relationship><Relationship Id="rId106" Target="https://shimo.im/sheets/zdkyd5GBB8syL0q6/GTpiM" Type="http://schemas.openxmlformats.org/officeDocument/2006/relationships/hyperlink" TargetMode="External"></Relationship><Relationship Id="rId107" Target="https://shimo.im/sheets/zdkyd5GBB8syL0q6/GTpiM" Type="http://schemas.openxmlformats.org/officeDocument/2006/relationships/hyperlink" TargetMode="External"></Relationship><Relationship Id="rId108" Target="https://shimo.im/sheets/m5kvdw4dOmFDDZ3X/G1jVx" Type="http://schemas.openxmlformats.org/officeDocument/2006/relationships/hyperlink" TargetMode="External"></Relationship><Relationship Id="rId109" Target="https://shimo.im/sheets/m5kvdw4dOmFDDZ3X/G1jVx" Type="http://schemas.openxmlformats.org/officeDocument/2006/relationships/hyperlink" TargetMode="External"></Relationship><Relationship Id="rId110" Target="https://shimo.im/sheets/m5kvdw4dOmFDDZ3X/G1jVx" Type="http://schemas.openxmlformats.org/officeDocument/2006/relationships/hyperlink" TargetMode="External"></Relationship><Relationship Id="rId111" Target="https://shimo.im/sheets/m5kvdw4dOmFDDZ3X/G1jVx" Type="http://schemas.openxmlformats.org/officeDocument/2006/relationships/hyperlink" TargetMode="External"></Relationship><Relationship Id="rId112" Target="https://shimo.im/sheets/Wr3Dp1XYQwhaeM3J/TkhgB" Type="http://schemas.openxmlformats.org/officeDocument/2006/relationships/hyperlink" TargetMode="External"></Relationship><Relationship Id="rId113" Target="https://shimo.im/sheets/Wr3Dp1XYQwhaeM3J/TkhgB" Type="http://schemas.openxmlformats.org/officeDocument/2006/relationships/hyperlink" TargetMode="External"></Relationship><Relationship Id="rId114" Target="https://shimo.im/sheets/Wr3Dp1XYQwhaeM3J/TkhgB" Type="http://schemas.openxmlformats.org/officeDocument/2006/relationships/hyperlink" TargetMode="External"></Relationship><Relationship Id="rId115" Target="https://shimo.im/sheets/m5kvdwonvnSRwD3X/Zz48c" Type="http://schemas.openxmlformats.org/officeDocument/2006/relationships/hyperlink" TargetMode="External"></Relationship><Relationship Id="rId116" Target="https://shimo.im/sheets/m5kvdwonvnSRwD3X/Zz48c" Type="http://schemas.openxmlformats.org/officeDocument/2006/relationships/hyperlink" TargetMode="External"></Relationship><Relationship Id="rId117" Target="https://shimo.im/sheets/m5kvdwonvnSRwD3X/Zz48c" Type="http://schemas.openxmlformats.org/officeDocument/2006/relationships/hyperlink" TargetMode="External"></Relationship><Relationship Id="rId118" Target="https://shimo.im/file/25q5XbZLowS7PR3D" Type="http://schemas.openxmlformats.org/officeDocument/2006/relationships/hyperlink" TargetMode="External"></Relationship><Relationship Id="rId119" Target="https://shimo.im/file/25q5XbZLowS7PR3D" Type="http://schemas.openxmlformats.org/officeDocument/2006/relationships/hyperlink" TargetMode="External"></Relationship><Relationship Id="rId120" Target="https://shimo.im/file/NJkbn7vwLQCRpkRp" Type="http://schemas.openxmlformats.org/officeDocument/2006/relationships/hyperlink" TargetMode="External"></Relationship><Relationship Id="rId121" Target="https://sanjdqeje0.feishu.cn/file/TJihbfhluoFrtdxwf86c6yUxndx?office_edit=1" Type="http://schemas.openxmlformats.org/officeDocument/2006/relationships/hyperlink" TargetMode="External"></Relationship><Relationship Id="rId122" Target="https://shimo.im/docx/5rk9KXGjdKsxEZ3x" Type="http://schemas.openxmlformats.org/officeDocument/2006/relationships/hyperlink" TargetMode="External"></Relationship><Relationship Id="rId123" Target="https://shimo.im/sheets/KrkElQwjEzFWEqJp/xXMQQ" Type="http://schemas.openxmlformats.org/officeDocument/2006/relationships/hyperlink" TargetMode="External"></Relationship><Relationship Id="rId124" Target="https://shimo.im/sheets/gO3odw62KrFQVpqD/0j0dU" Type="http://schemas.openxmlformats.org/officeDocument/2006/relationships/hyperlink" TargetMode="External"></Relationship><Relationship Id="rId125" Target="https://shimo.im/sheets/gO3odw62KrFQVpqD/0j0dU" Type="http://schemas.openxmlformats.org/officeDocument/2006/relationships/hyperlink" TargetMode="External"></Relationship><Relationship Id="rId126" Target="https://shimo.im/sheets/16q8x2ywXVFK9mq7/hdwA2" Type="http://schemas.openxmlformats.org/officeDocument/2006/relationships/hyperlink" TargetMode="External"></Relationship><Relationship Id="rId127" Target="https://shimo.im/sheets/16q8x2ywXVFK9mq7/hdwA2" Type="http://schemas.openxmlformats.org/officeDocument/2006/relationships/hyperlink" TargetMode="External"></Relationship><Relationship Id="rId128" Target="https://shimo.im/file/vVAXMG2zLju25d3m" Type="http://schemas.openxmlformats.org/officeDocument/2006/relationships/hyperlink" TargetMode="External"></Relationship><Relationship Id="rId129" Target="https://shimo.im/docx/m8AZMGg5pWs8Kekb" Type="http://schemas.openxmlformats.org/officeDocument/2006/relationships/hyperlink" TargetMode="External"></Relationship><Relationship Id="rId130" Target="https://shimo.im/docx/m8AZMGg5pWs8Kekb" Type="http://schemas.openxmlformats.org/officeDocument/2006/relationships/hyperlink" TargetMode="External"></Relationship><Relationship Id="rId131" Target="https://shimo.im/sheets/xaLcxBgvfrrvr6At/x4LSY" Type="http://schemas.openxmlformats.org/officeDocument/2006/relationships/hyperlink" TargetMode="External"></Relationship><Relationship Id="rId132" Target="https://shimo.im/sheets/1d3aMwgMnPse2Y3g/RmTDc" Type="http://schemas.openxmlformats.org/officeDocument/2006/relationships/hyperlink" TargetMode="External"></Relationship><Relationship Id="rId133" Target="https://shimo.im/sheets/1d3aMwgMnPse2Y3g/RmTDc" Type="http://schemas.openxmlformats.org/officeDocument/2006/relationships/hyperlink" TargetMode="External"></Relationship><Relationship Id="rId134" Target="https://shimo.im/sheets/xaLcxBgvfrrvr6At/Wckj9" Type="http://schemas.openxmlformats.org/officeDocument/2006/relationships/hyperlink" TargetMode="External"></Relationship><Relationship Id="rId135" Target="https://shimo.im/sheets/xaLcxBgvfrrvr6At/Wckj9" Type="http://schemas.openxmlformats.org/officeDocument/2006/relationships/hyperlink" TargetMode="External"></Relationship><Relationship Id="rId136" Target="https://shimo.im/file/913JMZXYlJf5z4AE" Type="http://schemas.openxmlformats.org/officeDocument/2006/relationships/hyperlink" TargetMode="External"></Relationship><Relationship Id="rId137" Target="https://shimo.im/file/913JMZXYlJf5z4AE" Type="http://schemas.openxmlformats.org/officeDocument/2006/relationships/hyperlink" TargetMode="External"></Relationship><Relationship Id="rId138" Target="https://shimo.im/file/913JMZXYlJf5z4AE" Type="http://schemas.openxmlformats.org/officeDocument/2006/relationships/hyperlink" TargetMode="External"></Relationship><Relationship Id="rId139" Target="https://shimo.im/file/913JMZXYlJf5z4AE" Type="http://schemas.openxmlformats.org/officeDocument/2006/relationships/hyperlink" TargetMode="External"></Relationship><Relationship Id="rId140" Target="https://shimo.im/sheets/gXqmdXrXJWuZEL3o/le0g0" Type="http://schemas.openxmlformats.org/officeDocument/2006/relationships/hyperlink" TargetMode="External"></Relationship><Relationship Id="rId141" Target="https://shimo.im/sheets/gXqmdXrXJWuZEL3o/le0g0" Type="http://schemas.openxmlformats.org/officeDocument/2006/relationships/hyperlink" TargetMode="External"></Relationship><Relationship Id="rId142" Target="https://shimo.im/sheets/gXqmdXrXJWuZEL3o/le0g0" Type="http://schemas.openxmlformats.org/officeDocument/2006/relationships/hyperlink" TargetMode="External"></Relationship><Relationship Id="rId143" Target="https://shimo.im/sheets/gXqmdXrXJWuZEL3o/le0g0" Type="http://schemas.openxmlformats.org/officeDocument/2006/relationships/hyperlink" TargetMode="External"></Relationship><Relationship Id="rId144" Target="https://shimo.im/sheets/gO3odwvxdEcW7OqD/cusv7" Type="http://schemas.openxmlformats.org/officeDocument/2006/relationships/hyperlink" TargetMode="External"></Relationship><Relationship Id="rId145" Target="https://shimo.im/sheets/gO3odwvxdEcW7OqD/cusv7" Type="http://schemas.openxmlformats.org/officeDocument/2006/relationships/hyperlink" TargetMode="External"></Relationship><Relationship Id="rId146" Target="https://shimo.im/sheets/16q8x20zMRfQ8Gq7/Va8UM" Type="http://schemas.openxmlformats.org/officeDocument/2006/relationships/hyperlink" TargetMode="External"></Relationship><Relationship Id="rId147" Target="https://shimo.im/sheets/16q8x20zMRfQ8Gq7/Va8UM" Type="http://schemas.openxmlformats.org/officeDocument/2006/relationships/hyperlink" TargetMode="External"></Relationship><Relationship Id="rId148" Target="https://shimo.im/sheets/16q8x20zMRfQ8Gq7/Va8UM" Type="http://schemas.openxmlformats.org/officeDocument/2006/relationships/hyperlink" TargetMode="External"></Relationship><Relationship Id="rId149" Target="https://shimo.im/sheets/16q8x20zMRfQ8Gq7/Va8UM" Type="http://schemas.openxmlformats.org/officeDocument/2006/relationships/hyperlink" TargetMode="External"></Relationship><Relationship Id="rId150" Target="https://shimo.im/sheets/ZzkLMZ0LzGC28eAQ/i7L3Q" Type="http://schemas.openxmlformats.org/officeDocument/2006/relationships/hyperlink" TargetMode="External"></Relationship><Relationship Id="rId151" Target="https://shimo.im/sheets/ZzkLMZ0LzGC28eAQ/i7L3Q" Type="http://schemas.openxmlformats.org/officeDocument/2006/relationships/hyperlink" TargetMode="External"></Relationship><Relationship Id="rId152" Target="https://shimo.im/sheets/ZzkLMZ0LzGC28eAQ/i7L3Q" Type="http://schemas.openxmlformats.org/officeDocument/2006/relationships/hyperlink" TargetMode="External"></Relationship><Relationship Id="rId153" Target="https://shimo.im/sheets/ZzkLMZ0LzGC28eAQ/i7L3Q" Type="http://schemas.openxmlformats.org/officeDocument/2006/relationships/hyperlink" TargetMode="External"></Relationship><Relationship Id="rId154" Target="https://shimo.im/sheets/ZzkLMZ0LzGC28eAQ/i7L3Q" Type="http://schemas.openxmlformats.org/officeDocument/2006/relationships/hyperlink" TargetMode="External"></Relationship><Relationship Id="rId155" Target="https://shimo.im/sheets/ZzkLMZ0LzGC28eAQ/i7L3Q" Type="http://schemas.openxmlformats.org/officeDocument/2006/relationships/hyperlink" TargetMode="External"></Relationship><Relationship Id="rId156" Target="https://shimo.im/sheets/ZzkLMZ0LzGC28eAQ/i7L3Q" Type="http://schemas.openxmlformats.org/officeDocument/2006/relationships/hyperlink" TargetMode="External"></Relationship><Relationship Id="rId157" Target="https://shimo.im/docx/N2A1gPjYr4h47GqD" Type="http://schemas.openxmlformats.org/officeDocument/2006/relationships/hyperlink" TargetMode="External"></Relationship><Relationship Id="rId158" Target="https://shimo.im/file/KrkElQ9QYdS84XqJ" Type="http://schemas.openxmlformats.org/officeDocument/2006/relationships/hyperlink" TargetMode="External"></Relationship><Relationship Id="rId159" Target="https://shimo.im/file/KrkElQ9QYdS84XqJ" Type="http://schemas.openxmlformats.org/officeDocument/2006/relationships/hyperlink" TargetMode="External"></Relationship><Relationship Id="rId160" Target="https://shimo.im/file/KrkElQ9QYdS84XqJ" Type="http://schemas.openxmlformats.org/officeDocument/2006/relationships/hyperlink" TargetMode="External"></Relationship><Relationship Id="rId161" Target="https://shimo.im/file/KrkElQ9QYdS84XqJ" Type="http://schemas.openxmlformats.org/officeDocument/2006/relationships/hyperlink" TargetMode="External"></Relationship><Relationship Id="rId162" Target="https://shimo.im/file/KrkElQ9QYdS84XqJ" Type="http://schemas.openxmlformats.org/officeDocument/2006/relationships/hyperlink" TargetMode="External"></Relationship><Relationship Id="rId163" Target="https://shimo.im/file/KrkElQ9QYdS84XqJ" Type="http://schemas.openxmlformats.org/officeDocument/2006/relationships/hyperlink" TargetMode="External"></Relationship><Relationship Id="rId164" Target="https://shimo.im/sheets/KlkKv6JnrEcZL7qd" Type="http://schemas.openxmlformats.org/officeDocument/2006/relationships/hyperlink" TargetMode="External"></Relationship><Relationship Id="rId165" Target="https://shimo.im/sheets/KlkKv6JnrEcZL7qd" Type="http://schemas.openxmlformats.org/officeDocument/2006/relationships/hyperlink" TargetMode="External"></Relationship></Relationships>
</file>

<file path=xl/worksheets/_rels/sheet3.xml.rels><?xml version="1.0" encoding="UTF-8" standalone="yes"?>
<Relationships xmlns="http://schemas.openxmlformats.org/package/2006/relationships"><Relationship Id="rId1" Target="../drawings/vmlDrawing2.vml" Type="http://schemas.openxmlformats.org/officeDocument/2006/relationships/vmlDrawing"></Relationship><Relationship Id="rId2" Target="../comments2.xml" Type="http://schemas.openxmlformats.org/officeDocument/2006/relationships/comments"></Relationship><Relationship Id="rId3" Target="../drawings/drawing1.xml" Type="http://schemas.openxmlformats.org/officeDocument/2006/relationships/drawing"></Relationship></Relationships>
</file>

<file path=xl/worksheets/_rels/sheet4.xml.rels><?xml version="1.0" encoding="UTF-8" standalone="yes"?>
<Relationships xmlns="http://schemas.openxmlformats.org/package/2006/relationships"><Relationship Id="rId1" Target="../drawings/vmlDrawing3.vml" Type="http://schemas.openxmlformats.org/officeDocument/2006/relationships/vmlDrawing"></Relationship><Relationship Id="rId2" Target="../comments3.xml" Type="http://schemas.openxmlformats.org/officeDocument/2006/relationships/comments"></Relationship></Relationships>
</file>

<file path=xl/worksheets/_rels/sheet6.xml.rels><?xml version="1.0" encoding="UTF-8" standalone="yes"?>
<Relationships xmlns="http://schemas.openxmlformats.org/package/2006/relationships"><Relationship Id="rId1" Target="../drawings/vmlDrawing4.vml" Type="http://schemas.openxmlformats.org/officeDocument/2006/relationships/vmlDrawing"></Relationship><Relationship Id="rId2" Target="../comments4.xml" Type="http://schemas.openxmlformats.org/officeDocument/2006/relationships/comments"></Relationship><Relationship Id="rId3" Target="../drawings/drawing2.xml" Type="http://schemas.openxmlformats.org/officeDocument/2006/relationships/drawing"></Relationship></Relationships>
</file>

<file path=xl/worksheets/_rels/sheet9.xml.rels><?xml version="1.0" encoding="UTF-8" standalone="yes"?>
<Relationships xmlns="http://schemas.openxmlformats.org/package/2006/relationships"><Relationship Id="rId1" Target="../drawings/vmlDrawing5.vml" Type="http://schemas.openxmlformats.org/officeDocument/2006/relationships/vmlDrawing"></Relationship><Relationship Id="rId2" Target="../comments5.xml" Type="http://schemas.openxmlformats.org/officeDocument/2006/relationships/comments"></Relationship></Relationships>
</file>

<file path=xl/worksheets/_rels/sheet12.xml.rels><?xml version="1.0" encoding="UTF-8" standalone="yes"?>
<Relationships xmlns="http://schemas.openxmlformats.org/package/2006/relationships"><Relationship Id="rId1" Target="../drawings/vmlDrawing6.vml" Type="http://schemas.openxmlformats.org/officeDocument/2006/relationships/vmlDrawing"></Relationship><Relationship Id="rId2" Target="../comments6.xml" Type="http://schemas.openxmlformats.org/officeDocument/2006/relationships/comments"></Relationship></Relationships>
</file>

<file path=xl/worksheets/_rels/sheet16.xml.rels><?xml version="1.0" encoding="UTF-8" standalone="yes"?>
<Relationships xmlns="http://schemas.openxmlformats.org/package/2006/relationships"><Relationship Id="rId1" Target="https://www.tiktok.com/@/video/7509602854680710443?shop_region=US" Type="http://schemas.openxmlformats.org/officeDocument/2006/relationships/hyperlink" TargetMode="External"></Relationship><Relationship Id="rId2" Target="https://www.tiktok.com/@/video/7510281518846135582?shop_region=US" Type="http://schemas.openxmlformats.org/officeDocument/2006/relationships/hyperlink" TargetMode="External"></Relationship><Relationship Id="rId3" Target="https://www.tiktok.com/@/video/7512217482250177838?shop_region=US" Type="http://schemas.openxmlformats.org/officeDocument/2006/relationships/hyperlink" TargetMode="External"></Relationship><Relationship Id="rId4" Target="https://www.tiktok.com/@/video/7513258934547860779?shop_region=US" Type="http://schemas.openxmlformats.org/officeDocument/2006/relationships/hyperlink" TargetMode="External"></Relationship><Relationship Id="rId5" Target="https://www.tiktok.com/@/video/7505007970158185771?shop_region=US" Type="http://schemas.openxmlformats.org/officeDocument/2006/relationships/hyperlink" TargetMode="External"></Relationship><Relationship Id="rId6" Target="https://www.tiktok.com/@/video/7509468659413372206?shop_region=US" Type="http://schemas.openxmlformats.org/officeDocument/2006/relationships/hyperlink" TargetMode="External"></Relationship><Relationship Id="rId7" Target="https://www.tiktok.com/@/video/7507463120143600939?shop_region=US" Type="http://schemas.openxmlformats.org/officeDocument/2006/relationships/hyperlink" TargetMode="External"></Relationship><Relationship Id="rId8" Target="https://www.tiktok.com/@/video/7512260049553607966?shop_region=US" Type="http://schemas.openxmlformats.org/officeDocument/2006/relationships/hyperlink" TargetMode="External"></Relationship><Relationship Id="rId9" Target="https://www.tiktok.com/@/video/7512121539337194782?shop_region=US" Type="http://schemas.openxmlformats.org/officeDocument/2006/relationships/hyperlink" TargetMode="External"></Relationship><Relationship Id="rId10" Target="https://www.tiktok.com/@/video/7510822530660289823?shop_region=US" Type="http://schemas.openxmlformats.org/officeDocument/2006/relationships/hyperlink" TargetMode="External"></Relationship><Relationship Id="rId11" Target="https://www.tiktok.com/@/video/7507733538158972191?shop_region=US" Type="http://schemas.openxmlformats.org/officeDocument/2006/relationships/hyperlink" TargetMode="External"></Relationship><Relationship Id="rId12" Target="https://www.tiktok.com/@/video/7510315444860063022?shop_region=US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E2" xSplit="4" ySplit="1"/>
    </sheetView>
  </sheetViews>
  <sheetFormatPr defaultRowHeight="16"/>
  <cols>
    <col collapsed="false" customWidth="true" hidden="false" max="37" min="37" style="0" width="17.4"/>
    <col collapsed="false" customWidth="true" hidden="false" max="53" min="53" style="0" width="17.4"/>
    <col collapsed="false" customWidth="true" hidden="false" max="67" min="67" style="0" width="17.4"/>
    <col collapsed="false" customWidth="true" hidden="false" max="4" min="4" style="0" width="15.666666666666666"/>
    <col collapsed="false" customWidth="true" hidden="false" max="20" min="20" style="0" width="17.4"/>
    <col collapsed="false" customWidth="true" hidden="false" max="38" min="38" style="0" width="17.4"/>
    <col collapsed="false" customWidth="true" hidden="false" max="54" min="54" style="0" width="17.4"/>
    <col collapsed="false" customWidth="true" hidden="false" max="68" min="68" style="0" width="17.4"/>
    <col collapsed="false" customWidth="true" hidden="false" max="5" min="5" style="0" width="11.266666666666667"/>
    <col collapsed="false" customWidth="true" hidden="false" max="21" min="21" style="0" width="20.733333333333334"/>
    <col collapsed="false" customWidth="true" hidden="false" max="39" min="39" style="0" width="17.4"/>
    <col collapsed="false" customWidth="true" hidden="false" max="55" min="55" style="0" width="17.4"/>
    <col collapsed="false" customWidth="true" hidden="false" max="69" min="69" style="0" width="17.4"/>
    <col collapsed="false" customWidth="true" hidden="false" max="6" min="6" style="0" width="12.733333333333333"/>
    <col collapsed="false" customWidth="true" hidden="false" max="22" min="22" style="0" width="37.53333333333333"/>
    <col collapsed="false" customWidth="true" hidden="false" max="40" min="40" style="0" width="17.4"/>
    <col collapsed="false" customWidth="true" hidden="false" max="56" min="56" style="0" width="17.4"/>
    <col collapsed="false" customWidth="true" hidden="false" max="70" min="70" style="0" width="17.4"/>
    <col collapsed="false" customWidth="true" hidden="false" max="71" min="71" style="0" width="17.4"/>
    <col collapsed="false" customWidth="true" hidden="false" max="7" min="7" style="0" width="17.4"/>
    <col collapsed="false" customWidth="true" hidden="false" max="23" min="23" style="0" width="37.53333333333333"/>
    <col collapsed="false" customWidth="true" hidden="false" max="41" min="41" style="0" width="17.4"/>
    <col collapsed="false" customWidth="true" hidden="false" max="57" min="57" style="0" width="17.4"/>
    <col collapsed="false" customWidth="true" hidden="false" max="72" min="72" style="0" width="17.4"/>
    <col collapsed="false" customWidth="true" hidden="false" max="8" min="8" style="0" width="7"/>
    <col collapsed="false" customWidth="true" hidden="false" max="24" min="24" style="0" width="17.4"/>
    <col collapsed="false" customWidth="true" hidden="false" max="42" min="42" style="0" width="17.4"/>
    <col collapsed="false" customWidth="true" hidden="false" max="58" min="58" style="0" width="17.4"/>
    <col collapsed="false" customWidth="true" hidden="false" max="73" min="73" style="0" width="17.4"/>
    <col collapsed="false" customWidth="true" hidden="false" max="9" min="9" style="0" width="10.466666666666667"/>
    <col collapsed="false" customWidth="true" hidden="false" max="25" min="25" style="0" width="13.666666666666666"/>
    <col collapsed="false" customWidth="true" hidden="false" max="43" min="43" style="0" width="17.4"/>
    <col collapsed="false" customWidth="true" hidden="false" max="59" min="59" style="0" width="17.4"/>
    <col collapsed="false" customWidth="true" hidden="false" max="74" min="74" style="0" width="27.933333333333334"/>
    <col collapsed="false" customWidth="true" hidden="false" max="10" min="10" style="0" width="13.266666666666667"/>
    <col collapsed="false" customWidth="true" hidden="false" max="26" min="26" style="0" width="12.2"/>
    <col collapsed="false" customWidth="true" hidden="false" max="44" min="44" style="0" width="17.4"/>
    <col collapsed="false" customWidth="true" hidden="false" max="60" min="60" style="0" width="17.4"/>
    <col collapsed="false" customWidth="true" hidden="false" max="75" min="75" style="0" width="22.066666666666666"/>
    <col collapsed="false" customWidth="true" hidden="false" max="11" min="11" style="0" width="10.066666666666666"/>
    <col collapsed="false" customWidth="true" hidden="false" max="27" min="27" style="0" width="12.2"/>
    <col collapsed="false" customWidth="true" hidden="false" max="28" min="28" style="0" width="17.4"/>
    <col collapsed="false" customWidth="true" hidden="false" max="45" min="45" style="0" width="17.4"/>
    <col collapsed="false" customWidth="true" hidden="false" max="61" min="61" style="0" width="17.4"/>
    <col collapsed="false" customWidth="true" hidden="false" max="76" min="76" style="0" width="21.666666666666668"/>
    <col collapsed="false" customWidth="true" hidden="false" max="12" min="12" style="0" width="17.4"/>
    <col collapsed="false" customWidth="true" hidden="false" max="13" min="13" style="0" width="20.424679089026935"/>
    <col collapsed="false" customWidth="true" hidden="false" max="46" min="46" style="0" width="17.4"/>
    <col collapsed="false" customWidth="true" hidden="false" max="62" min="62" style="0" width="17.4"/>
    <col collapsed="false" customWidth="true" hidden="false" max="77" min="77" style="0" width="17.4"/>
    <col collapsed="false" customWidth="true" hidden="false" max="14" min="14" style="0" width="17.4"/>
    <col collapsed="false" customWidth="true" hidden="false" max="29" min="29" style="0" width="17.4"/>
    <col collapsed="false" customWidth="true" hidden="false" max="47" min="47" style="0" width="17.4"/>
    <col collapsed="false" customWidth="true" hidden="false" max="63" min="63" style="0" width="17.4"/>
    <col collapsed="false" customWidth="true" hidden="false" max="78" min="78" style="0" width="26.146666666666473"/>
    <col collapsed="false" customWidth="true" hidden="false" max="15" min="15" style="0" width="17.4"/>
    <col collapsed="false" customWidth="true" hidden="false" max="30" min="30" style="0" width="17.4"/>
    <col collapsed="false" customWidth="true" hidden="false" max="48" min="48" style="0" width="17.4"/>
    <col collapsed="false" customWidth="true" hidden="false" max="64" min="64" style="0" width="17.4"/>
    <col collapsed="false" customWidth="true" hidden="false" max="16" min="16" style="0" width="21.133333333333333"/>
    <col collapsed="false" customWidth="true" hidden="false" max="31" min="31" style="0" width="17.4"/>
    <col collapsed="false" customWidth="true" hidden="false" max="49" min="49" style="0" width="17.4"/>
    <col collapsed="false" customWidth="true" hidden="false" max="32" min="32" style="0" width="17.4"/>
    <col collapsed="false" customWidth="true" hidden="false" max="33" min="33" style="0" width="17.4"/>
    <col collapsed="false" customWidth="true" hidden="false" max="34" min="34" style="0" width="17.4"/>
    <col collapsed="false" customWidth="true" hidden="false" max="50" min="50" style="0" width="17.4"/>
    <col collapsed="false" customWidth="true" hidden="false" max="1" min="1" style="0" width="7.933333333333334"/>
    <col collapsed="false" customWidth="true" hidden="false" max="17" min="17" style="0" width="41.4"/>
    <col collapsed="false" customWidth="true" hidden="false" max="35" min="35" style="0" width="17.4"/>
    <col collapsed="false" customWidth="true" hidden="false" max="51" min="51" style="0" width="17.4"/>
    <col collapsed="false" customWidth="true" hidden="false" max="65" min="65" style="0" width="17.4"/>
    <col collapsed="false" customWidth="true" hidden="false" max="2" min="2" style="0" width="13"/>
    <col collapsed="false" customWidth="true" hidden="false" max="18" min="18" style="0" width="17.4"/>
    <col collapsed="false" customWidth="true" hidden="false" max="36" min="36" style="0" width="17.4"/>
    <col collapsed="false" customWidth="true" hidden="false" max="52" min="52" style="0" width="17.4"/>
    <col collapsed="false" customWidth="true" hidden="false" max="66" min="66" style="0" width="17.4"/>
    <col collapsed="false" customWidth="true" hidden="false" max="3" min="3" style="0" width="15.533333333333333"/>
    <col collapsed="false" customWidth="true" hidden="false" max="19" min="19" style="0" width="17.4"/>
  </cols>
  <sheetData>
    <row customHeight="true" ht="18.51851851851852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2" t="s">
        <v>15</v>
      </c>
      <c r="P1" s="1" t="s">
        <v>16</v>
      </c>
      <c r="Q1" s="2" t="s">
        <v>17</v>
      </c>
      <c r="R1" s="1" t="s">
        <v>18</v>
      </c>
      <c r="S1" s="2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34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3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4" t="s">
        <v>73</v>
      </c>
      <c r="BW1" s="5" t="s">
        <v>74</v>
      </c>
      <c r="BX1" s="5" t="s">
        <v>75</v>
      </c>
      <c r="BY1" s="1" t="s">
        <v>76</v>
      </c>
      <c r="BZ1" s="1" t="s">
        <v>77</v>
      </c>
    </row>
    <row customHeight="true" ht="18.51851851851852" r="2">
      <c r="A2" s="6" t="s">
        <v>78</v>
      </c>
      <c r="B2" s="6" t="s">
        <v>79</v>
      </c>
      <c r="C2" s="6" t="s">
        <v>80</v>
      </c>
      <c r="D2" s="7">
        <v>45734</v>
      </c>
      <c r="E2" s="6" t="s">
        <v>81</v>
      </c>
      <c r="F2" s="6" t="s">
        <v>82</v>
      </c>
      <c r="G2" s="6" t="s">
        <v>83</v>
      </c>
      <c r="H2" s="6" t="s">
        <v>84</v>
      </c>
      <c r="I2" s="6" t="s">
        <v>85</v>
      </c>
      <c r="J2" s="6" t="s">
        <v>86</v>
      </c>
      <c r="K2" s="6" t="s">
        <v>87</v>
      </c>
      <c r="L2" s="8" t="s">
        <v>88</v>
      </c>
      <c r="M2" s="6" t="s">
        <v>89</v>
      </c>
      <c r="N2" s="6" t="s">
        <v>90</v>
      </c>
      <c r="O2" s="9" t="s">
        <v>91</v>
      </c>
      <c r="P2" s="6" t="s">
        <v>92</v>
      </c>
      <c r="Q2" s="9" t="s">
        <v>93</v>
      </c>
      <c r="R2" s="10" t="s">
        <v>94</v>
      </c>
      <c r="S2" s="9" t="s">
        <v>95</v>
      </c>
      <c r="T2" s="6" t="s">
        <v>89</v>
      </c>
      <c r="U2" s="6"/>
      <c r="V2" s="9" t="s">
        <v>96</v>
      </c>
      <c r="W2" s="6" t="s">
        <v>97</v>
      </c>
      <c r="X2" s="6" t="s">
        <v>79</v>
      </c>
      <c r="Y2" s="11">
        <v>432</v>
      </c>
      <c r="Z2" s="7">
        <v>45767</v>
      </c>
      <c r="AA2" s="7">
        <v>45777</v>
      </c>
      <c r="AB2" s="7">
        <v>45784</v>
      </c>
      <c r="AC2" s="6" t="s">
        <v>87</v>
      </c>
      <c r="AD2" s="6" t="s">
        <v>87</v>
      </c>
      <c r="AE2" s="6" t="s">
        <v>87</v>
      </c>
      <c r="AF2" s="6" t="s">
        <v>87</v>
      </c>
      <c r="AG2" s="7">
        <v>45754</v>
      </c>
      <c r="AH2" s="7"/>
      <c r="AI2" s="12" t="s">
        <v>98</v>
      </c>
      <c r="AJ2" s="7">
        <v>45776</v>
      </c>
      <c r="AK2" s="12"/>
      <c r="AL2" s="6" t="s">
        <v>99</v>
      </c>
      <c r="AM2" s="6"/>
      <c r="AN2" s="6"/>
      <c r="AO2" s="6">
        <v>5</v>
      </c>
      <c r="AP2" s="7">
        <v>45776</v>
      </c>
      <c r="AQ2" s="6"/>
      <c r="AR2" s="6">
        <v>5</v>
      </c>
      <c r="AS2" s="6"/>
      <c r="AT2" s="6"/>
      <c r="AU2" s="6" t="s">
        <v>87</v>
      </c>
      <c r="AV2" s="6" t="s">
        <v>87</v>
      </c>
      <c r="AW2" s="7">
        <v>45777</v>
      </c>
      <c r="AX2" s="13"/>
      <c r="AY2" s="6" t="s">
        <v>87</v>
      </c>
      <c r="AZ2" s="7">
        <v>45748</v>
      </c>
      <c r="BA2" s="7">
        <v>45765</v>
      </c>
      <c r="BB2" s="6" t="s">
        <v>87</v>
      </c>
      <c r="BC2" s="6" t="s">
        <v>87</v>
      </c>
      <c r="BD2" s="6" t="s">
        <v>92</v>
      </c>
      <c r="BE2" s="6" t="s">
        <v>92</v>
      </c>
      <c r="BF2" s="6" t="s">
        <v>87</v>
      </c>
      <c r="BG2" s="6" t="s">
        <v>87</v>
      </c>
      <c r="BH2" s="6" t="s">
        <v>87</v>
      </c>
      <c r="BI2" s="6" t="s">
        <v>92</v>
      </c>
      <c r="BJ2" s="6" t="s">
        <v>87</v>
      </c>
      <c r="BK2" s="6" t="s">
        <v>92</v>
      </c>
      <c r="BL2" s="6" t="s">
        <v>87</v>
      </c>
      <c r="BM2" s="6" t="s">
        <v>87</v>
      </c>
      <c r="BN2" s="14">
        <v>1</v>
      </c>
      <c r="BO2" s="6" t="s">
        <v>92</v>
      </c>
      <c r="BP2" s="6" t="s">
        <v>92</v>
      </c>
      <c r="BQ2" s="6" t="s">
        <v>87</v>
      </c>
      <c r="BR2" s="6" t="s">
        <v>87</v>
      </c>
      <c r="BS2" s="6" t="s">
        <v>87</v>
      </c>
      <c r="BT2" s="6" t="s">
        <v>87</v>
      </c>
      <c r="BU2" s="6" t="s">
        <v>87</v>
      </c>
      <c r="BV2" s="15" t="s">
        <v>100</v>
      </c>
      <c r="BW2" s="6" t="s">
        <v>101</v>
      </c>
      <c r="BX2" s="6" t="s">
        <v>75</v>
      </c>
      <c r="BY2" s="10" t="s">
        <v>102</v>
      </c>
      <c r="BZ2" s="10" t="s">
        <v>103</v>
      </c>
    </row>
    <row customHeight="true" ht="18.51851851851852" r="3">
      <c r="A3" s="6" t="s">
        <v>104</v>
      </c>
      <c r="B3" s="6" t="s">
        <v>105</v>
      </c>
      <c r="C3" s="6" t="s">
        <v>106</v>
      </c>
      <c r="D3" s="7">
        <v>45734</v>
      </c>
      <c r="E3" s="6" t="s">
        <v>81</v>
      </c>
      <c r="F3" s="6" t="s">
        <v>82</v>
      </c>
      <c r="G3" s="6" t="s">
        <v>83</v>
      </c>
      <c r="H3" s="6" t="s">
        <v>107</v>
      </c>
      <c r="I3" s="6" t="s">
        <v>85</v>
      </c>
      <c r="J3" s="6" t="s">
        <v>86</v>
      </c>
      <c r="K3" s="6" t="s">
        <v>87</v>
      </c>
      <c r="L3" s="16" t="s">
        <v>88</v>
      </c>
      <c r="M3" s="6" t="s">
        <v>89</v>
      </c>
      <c r="N3" s="6" t="s">
        <v>90</v>
      </c>
      <c r="O3" s="9" t="s">
        <v>108</v>
      </c>
      <c r="P3" s="6" t="s">
        <v>92</v>
      </c>
      <c r="Q3" s="9" t="s">
        <v>109</v>
      </c>
      <c r="R3" s="6" t="s">
        <v>89</v>
      </c>
      <c r="S3" s="17"/>
      <c r="T3" s="6" t="s">
        <v>89</v>
      </c>
      <c r="U3" s="6"/>
      <c r="V3" s="9" t="s">
        <v>96</v>
      </c>
      <c r="W3" s="6" t="s">
        <v>110</v>
      </c>
      <c r="X3" s="6" t="s">
        <v>105</v>
      </c>
      <c r="Y3" s="11">
        <v>270</v>
      </c>
      <c r="Z3" s="7">
        <v>45767</v>
      </c>
      <c r="AA3" s="7">
        <v>45777</v>
      </c>
      <c r="AB3" s="7">
        <v>45784</v>
      </c>
      <c r="AC3" s="6" t="s">
        <v>87</v>
      </c>
      <c r="AD3" s="6" t="s">
        <v>87</v>
      </c>
      <c r="AE3" s="6" t="s">
        <v>87</v>
      </c>
      <c r="AF3" s="6" t="s">
        <v>87</v>
      </c>
      <c r="AG3" s="7">
        <v>45754</v>
      </c>
      <c r="AH3" s="7"/>
      <c r="AI3" s="12" t="s">
        <v>98</v>
      </c>
      <c r="AJ3" s="7">
        <v>45776</v>
      </c>
      <c r="AK3" s="12"/>
      <c r="AL3" s="8" t="s">
        <v>99</v>
      </c>
      <c r="AM3" s="8"/>
      <c r="AN3" s="8"/>
      <c r="AO3" s="6">
        <v>5</v>
      </c>
      <c r="AP3" s="7">
        <v>45776</v>
      </c>
      <c r="AQ3" s="6"/>
      <c r="AR3" s="6">
        <v>5</v>
      </c>
      <c r="AS3" s="6"/>
      <c r="AT3" s="6"/>
      <c r="AU3" s="13" t="s">
        <v>87</v>
      </c>
      <c r="AV3" s="13" t="s">
        <v>87</v>
      </c>
      <c r="AW3" s="7">
        <v>45777</v>
      </c>
      <c r="AX3" s="13"/>
      <c r="AY3" s="6" t="s">
        <v>87</v>
      </c>
      <c r="AZ3" s="7">
        <v>45748</v>
      </c>
      <c r="BA3" s="7">
        <v>45765</v>
      </c>
      <c r="BB3" s="6" t="s">
        <v>87</v>
      </c>
      <c r="BC3" s="6" t="s">
        <v>87</v>
      </c>
      <c r="BD3" s="6" t="s">
        <v>92</v>
      </c>
      <c r="BE3" s="6" t="s">
        <v>92</v>
      </c>
      <c r="BF3" s="6" t="s">
        <v>87</v>
      </c>
      <c r="BG3" s="6" t="s">
        <v>87</v>
      </c>
      <c r="BH3" s="6" t="s">
        <v>87</v>
      </c>
      <c r="BI3" s="6" t="s">
        <v>92</v>
      </c>
      <c r="BJ3" s="6" t="s">
        <v>87</v>
      </c>
      <c r="BK3" s="6" t="s">
        <v>92</v>
      </c>
      <c r="BL3" s="6" t="s">
        <v>87</v>
      </c>
      <c r="BM3" s="6" t="s">
        <v>87</v>
      </c>
      <c r="BN3" s="14">
        <v>1</v>
      </c>
      <c r="BO3" s="6" t="s">
        <v>92</v>
      </c>
      <c r="BP3" s="6" t="s">
        <v>92</v>
      </c>
      <c r="BQ3" s="6" t="s">
        <v>87</v>
      </c>
      <c r="BR3" s="6" t="s">
        <v>87</v>
      </c>
      <c r="BS3" s="6" t="s">
        <v>87</v>
      </c>
      <c r="BT3" s="6" t="s">
        <v>87</v>
      </c>
      <c r="BU3" s="6" t="s">
        <v>87</v>
      </c>
      <c r="BV3" s="15" t="s">
        <v>100</v>
      </c>
      <c r="BW3" s="6" t="s">
        <v>101</v>
      </c>
      <c r="BX3" s="15" t="s">
        <v>111</v>
      </c>
      <c r="BY3" s="6"/>
      <c r="BZ3" s="6"/>
    </row>
    <row customHeight="true" ht="18.51851851851852" r="4">
      <c r="A4" s="6" t="s">
        <v>104</v>
      </c>
      <c r="B4" s="6" t="s">
        <v>105</v>
      </c>
      <c r="C4" s="6" t="s">
        <v>106</v>
      </c>
      <c r="D4" s="7">
        <v>45734</v>
      </c>
      <c r="E4" s="6" t="s">
        <v>81</v>
      </c>
      <c r="F4" s="6" t="s">
        <v>82</v>
      </c>
      <c r="G4" s="6" t="s">
        <v>83</v>
      </c>
      <c r="H4" s="6" t="s">
        <v>107</v>
      </c>
      <c r="I4" s="6" t="s">
        <v>85</v>
      </c>
      <c r="J4" s="6" t="s">
        <v>86</v>
      </c>
      <c r="K4" s="6" t="s">
        <v>87</v>
      </c>
      <c r="L4" s="16" t="s">
        <v>88</v>
      </c>
      <c r="M4" s="6" t="s">
        <v>89</v>
      </c>
      <c r="N4" s="6" t="s">
        <v>90</v>
      </c>
      <c r="O4" s="9" t="s">
        <v>108</v>
      </c>
      <c r="P4" s="6" t="s">
        <v>92</v>
      </c>
      <c r="Q4" s="9" t="s">
        <v>109</v>
      </c>
      <c r="R4" s="6" t="s">
        <v>89</v>
      </c>
      <c r="S4" s="17"/>
      <c r="T4" s="6" t="s">
        <v>89</v>
      </c>
      <c r="U4" s="6"/>
      <c r="V4" s="9" t="s">
        <v>96</v>
      </c>
      <c r="W4" s="6" t="s">
        <v>110</v>
      </c>
      <c r="X4" s="6" t="s">
        <v>105</v>
      </c>
      <c r="Y4" s="11">
        <v>270</v>
      </c>
      <c r="Z4" s="7">
        <v>45767</v>
      </c>
      <c r="AA4" s="7">
        <v>45777</v>
      </c>
      <c r="AB4" s="7">
        <v>45784</v>
      </c>
      <c r="AC4" s="6" t="s">
        <v>87</v>
      </c>
      <c r="AD4" s="6" t="s">
        <v>87</v>
      </c>
      <c r="AE4" s="6" t="s">
        <v>87</v>
      </c>
      <c r="AF4" s="6" t="s">
        <v>87</v>
      </c>
      <c r="AG4" s="7">
        <v>45754</v>
      </c>
      <c r="AH4" s="7"/>
      <c r="AI4" s="12" t="s">
        <v>98</v>
      </c>
      <c r="AJ4" s="7">
        <v>45776</v>
      </c>
      <c r="AK4" s="12"/>
      <c r="AL4" s="8" t="s">
        <v>99</v>
      </c>
      <c r="AM4" s="8"/>
      <c r="AN4" s="8"/>
      <c r="AO4" s="6">
        <v>5</v>
      </c>
      <c r="AP4" s="7">
        <v>45776</v>
      </c>
      <c r="AQ4" s="6"/>
      <c r="AR4" s="6">
        <v>5</v>
      </c>
      <c r="AS4" s="6"/>
      <c r="AT4" s="6"/>
      <c r="AU4" s="13" t="s">
        <v>87</v>
      </c>
      <c r="AV4" s="13" t="s">
        <v>87</v>
      </c>
      <c r="AW4" s="7">
        <v>45777</v>
      </c>
      <c r="AX4" s="13"/>
      <c r="AY4" s="6" t="s">
        <v>87</v>
      </c>
      <c r="AZ4" s="7">
        <v>45748</v>
      </c>
      <c r="BA4" s="7">
        <v>45765</v>
      </c>
      <c r="BB4" s="6" t="s">
        <v>87</v>
      </c>
      <c r="BC4" s="6" t="s">
        <v>87</v>
      </c>
      <c r="BD4" s="6" t="s">
        <v>92</v>
      </c>
      <c r="BE4" s="6" t="s">
        <v>92</v>
      </c>
      <c r="BF4" s="6" t="s">
        <v>87</v>
      </c>
      <c r="BG4" s="6" t="s">
        <v>87</v>
      </c>
      <c r="BH4" s="6" t="s">
        <v>87</v>
      </c>
      <c r="BI4" s="6" t="s">
        <v>92</v>
      </c>
      <c r="BJ4" s="6" t="s">
        <v>87</v>
      </c>
      <c r="BK4" s="6" t="s">
        <v>92</v>
      </c>
      <c r="BL4" s="6" t="s">
        <v>87</v>
      </c>
      <c r="BM4" s="6" t="s">
        <v>87</v>
      </c>
      <c r="BN4" s="14">
        <v>1</v>
      </c>
      <c r="BO4" s="6" t="s">
        <v>92</v>
      </c>
      <c r="BP4" s="6" t="s">
        <v>92</v>
      </c>
      <c r="BQ4" s="6" t="s">
        <v>87</v>
      </c>
      <c r="BR4" s="6" t="s">
        <v>87</v>
      </c>
      <c r="BS4" s="6" t="s">
        <v>87</v>
      </c>
      <c r="BT4" s="6" t="s">
        <v>87</v>
      </c>
      <c r="BU4" s="6" t="s">
        <v>87</v>
      </c>
      <c r="BV4" s="15" t="s">
        <v>100</v>
      </c>
      <c r="BW4" s="6" t="s">
        <v>101</v>
      </c>
      <c r="BX4" s="15" t="s">
        <v>111</v>
      </c>
      <c r="BY4" s="6"/>
      <c r="BZ4" s="6"/>
    </row>
    <row customHeight="true" ht="18.51851851851852" r="5">
      <c r="A5" s="6" t="s">
        <v>112</v>
      </c>
      <c r="B5" s="6" t="s">
        <v>113</v>
      </c>
      <c r="C5" s="6" t="s">
        <v>114</v>
      </c>
      <c r="D5" s="7">
        <v>45734</v>
      </c>
      <c r="E5" s="6" t="s">
        <v>81</v>
      </c>
      <c r="F5" s="6" t="s">
        <v>82</v>
      </c>
      <c r="G5" s="6" t="s">
        <v>83</v>
      </c>
      <c r="H5" s="6" t="s">
        <v>84</v>
      </c>
      <c r="I5" s="6" t="s">
        <v>85</v>
      </c>
      <c r="J5" s="6" t="s">
        <v>86</v>
      </c>
      <c r="K5" s="6" t="s">
        <v>87</v>
      </c>
      <c r="L5" s="16" t="s">
        <v>88</v>
      </c>
      <c r="M5" s="6" t="s">
        <v>89</v>
      </c>
      <c r="N5" s="6" t="s">
        <v>90</v>
      </c>
      <c r="O5" s="9" t="s">
        <v>91</v>
      </c>
      <c r="P5" s="6" t="s">
        <v>92</v>
      </c>
      <c r="Q5" s="9" t="s">
        <v>93</v>
      </c>
      <c r="R5" s="10" t="s">
        <v>94</v>
      </c>
      <c r="S5" s="9" t="s">
        <v>95</v>
      </c>
      <c r="T5" s="6" t="s">
        <v>89</v>
      </c>
      <c r="U5" s="6"/>
      <c r="V5" s="9" t="s">
        <v>96</v>
      </c>
      <c r="W5" s="6" t="s">
        <v>115</v>
      </c>
      <c r="X5" s="6" t="s">
        <v>113</v>
      </c>
      <c r="Y5" s="11">
        <v>432</v>
      </c>
      <c r="Z5" s="7">
        <v>45767</v>
      </c>
      <c r="AA5" s="7">
        <v>45777</v>
      </c>
      <c r="AB5" s="7">
        <v>45784</v>
      </c>
      <c r="AC5" s="6" t="s">
        <v>87</v>
      </c>
      <c r="AD5" s="6" t="s">
        <v>87</v>
      </c>
      <c r="AE5" s="6" t="s">
        <v>87</v>
      </c>
      <c r="AF5" s="6" t="s">
        <v>87</v>
      </c>
      <c r="AG5" s="7">
        <v>45754</v>
      </c>
      <c r="AH5" s="7"/>
      <c r="AI5" s="12" t="s">
        <v>98</v>
      </c>
      <c r="AJ5" s="7">
        <v>45776</v>
      </c>
      <c r="AK5" s="12"/>
      <c r="AL5" s="8" t="s">
        <v>99</v>
      </c>
      <c r="AM5" s="8"/>
      <c r="AN5" s="8"/>
      <c r="AO5" s="6">
        <v>5</v>
      </c>
      <c r="AP5" s="7">
        <v>45769</v>
      </c>
      <c r="AQ5" s="6"/>
      <c r="AR5" s="6">
        <v>5</v>
      </c>
      <c r="AS5" s="6"/>
      <c r="AT5" s="6"/>
      <c r="AU5" s="13" t="s">
        <v>87</v>
      </c>
      <c r="AV5" s="13" t="s">
        <v>87</v>
      </c>
      <c r="AW5" s="7">
        <v>45777</v>
      </c>
      <c r="AX5" s="13"/>
      <c r="AY5" s="6" t="s">
        <v>87</v>
      </c>
      <c r="AZ5" s="7">
        <v>45748</v>
      </c>
      <c r="BA5" s="7">
        <v>45765</v>
      </c>
      <c r="BB5" s="6" t="s">
        <v>87</v>
      </c>
      <c r="BC5" s="6" t="s">
        <v>87</v>
      </c>
      <c r="BD5" s="6" t="s">
        <v>92</v>
      </c>
      <c r="BE5" s="6" t="s">
        <v>92</v>
      </c>
      <c r="BF5" s="6" t="s">
        <v>87</v>
      </c>
      <c r="BG5" s="6" t="s">
        <v>87</v>
      </c>
      <c r="BH5" s="6" t="s">
        <v>87</v>
      </c>
      <c r="BI5" s="6" t="s">
        <v>92</v>
      </c>
      <c r="BJ5" s="6" t="s">
        <v>87</v>
      </c>
      <c r="BK5" s="6" t="s">
        <v>92</v>
      </c>
      <c r="BL5" s="6" t="s">
        <v>87</v>
      </c>
      <c r="BM5" s="6" t="s">
        <v>87</v>
      </c>
      <c r="BN5" s="14">
        <v>1</v>
      </c>
      <c r="BO5" s="6" t="s">
        <v>92</v>
      </c>
      <c r="BP5" s="6" t="s">
        <v>92</v>
      </c>
      <c r="BQ5" s="6" t="s">
        <v>87</v>
      </c>
      <c r="BR5" s="6" t="s">
        <v>87</v>
      </c>
      <c r="BS5" s="6" t="s">
        <v>87</v>
      </c>
      <c r="BT5" s="6" t="s">
        <v>87</v>
      </c>
      <c r="BU5" s="6" t="s">
        <v>87</v>
      </c>
      <c r="BV5" s="6"/>
      <c r="BW5" s="6" t="s">
        <v>101</v>
      </c>
      <c r="BX5" s="6"/>
      <c r="BY5" s="6"/>
      <c r="BZ5" s="6"/>
    </row>
    <row customHeight="true" ht="18.51851851851852" r="6">
      <c r="A6" s="6" t="s">
        <v>116</v>
      </c>
      <c r="B6" s="6" t="s">
        <v>117</v>
      </c>
      <c r="C6" s="6" t="s">
        <v>118</v>
      </c>
      <c r="D6" s="7">
        <v>45734</v>
      </c>
      <c r="E6" s="6" t="s">
        <v>81</v>
      </c>
      <c r="F6" s="6" t="s">
        <v>82</v>
      </c>
      <c r="G6" s="6" t="s">
        <v>83</v>
      </c>
      <c r="H6" s="6" t="s">
        <v>107</v>
      </c>
      <c r="I6" s="6" t="s">
        <v>85</v>
      </c>
      <c r="J6" s="6" t="s">
        <v>86</v>
      </c>
      <c r="K6" s="6" t="s">
        <v>87</v>
      </c>
      <c r="L6" s="16" t="s">
        <v>88</v>
      </c>
      <c r="M6" s="6" t="s">
        <v>89</v>
      </c>
      <c r="N6" s="6" t="s">
        <v>90</v>
      </c>
      <c r="O6" s="9" t="s">
        <v>108</v>
      </c>
      <c r="P6" s="6" t="s">
        <v>92</v>
      </c>
      <c r="Q6" s="9" t="s">
        <v>109</v>
      </c>
      <c r="R6" s="6" t="s">
        <v>89</v>
      </c>
      <c r="S6" s="17"/>
      <c r="T6" s="6" t="s">
        <v>89</v>
      </c>
      <c r="U6" s="6"/>
      <c r="V6" s="9" t="s">
        <v>96</v>
      </c>
      <c r="W6" s="6" t="s">
        <v>119</v>
      </c>
      <c r="X6" s="6" t="s">
        <v>117</v>
      </c>
      <c r="Y6" s="11">
        <v>270</v>
      </c>
      <c r="Z6" s="7">
        <v>45767</v>
      </c>
      <c r="AA6" s="7">
        <v>45777</v>
      </c>
      <c r="AB6" s="7">
        <v>45784</v>
      </c>
      <c r="AC6" s="6" t="s">
        <v>87</v>
      </c>
      <c r="AD6" s="6" t="s">
        <v>87</v>
      </c>
      <c r="AE6" s="6" t="s">
        <v>87</v>
      </c>
      <c r="AF6" s="6" t="s">
        <v>87</v>
      </c>
      <c r="AG6" s="7">
        <v>45754</v>
      </c>
      <c r="AH6" s="7"/>
      <c r="AI6" s="12" t="s">
        <v>98</v>
      </c>
      <c r="AJ6" s="7">
        <v>45776</v>
      </c>
      <c r="AK6" s="12"/>
      <c r="AL6" s="8" t="s">
        <v>99</v>
      </c>
      <c r="AM6" s="8"/>
      <c r="AN6" s="8"/>
      <c r="AO6" s="6">
        <v>5</v>
      </c>
      <c r="AP6" s="7">
        <v>45769</v>
      </c>
      <c r="AQ6" s="6"/>
      <c r="AR6" s="6">
        <v>5</v>
      </c>
      <c r="AS6" s="6"/>
      <c r="AT6" s="6"/>
      <c r="AU6" s="13" t="s">
        <v>87</v>
      </c>
      <c r="AV6" s="13" t="s">
        <v>87</v>
      </c>
      <c r="AW6" s="7">
        <v>45777</v>
      </c>
      <c r="AX6" s="13"/>
      <c r="AY6" s="6" t="s">
        <v>87</v>
      </c>
      <c r="AZ6" s="7">
        <v>45748</v>
      </c>
      <c r="BA6" s="7">
        <v>45765</v>
      </c>
      <c r="BB6" s="6" t="s">
        <v>87</v>
      </c>
      <c r="BC6" s="6" t="s">
        <v>87</v>
      </c>
      <c r="BD6" s="6" t="s">
        <v>92</v>
      </c>
      <c r="BE6" s="6" t="s">
        <v>92</v>
      </c>
      <c r="BF6" s="6" t="s">
        <v>87</v>
      </c>
      <c r="BG6" s="6" t="s">
        <v>87</v>
      </c>
      <c r="BH6" s="6" t="s">
        <v>87</v>
      </c>
      <c r="BI6" s="6" t="s">
        <v>92</v>
      </c>
      <c r="BJ6" s="6" t="s">
        <v>87</v>
      </c>
      <c r="BK6" s="6" t="s">
        <v>92</v>
      </c>
      <c r="BL6" s="6" t="s">
        <v>87</v>
      </c>
      <c r="BM6" s="6" t="s">
        <v>87</v>
      </c>
      <c r="BN6" s="14">
        <v>1</v>
      </c>
      <c r="BO6" s="6" t="s">
        <v>92</v>
      </c>
      <c r="BP6" s="6" t="s">
        <v>92</v>
      </c>
      <c r="BQ6" s="6" t="s">
        <v>87</v>
      </c>
      <c r="BR6" s="6" t="s">
        <v>87</v>
      </c>
      <c r="BS6" s="6" t="s">
        <v>87</v>
      </c>
      <c r="BT6" s="6" t="s">
        <v>87</v>
      </c>
      <c r="BU6" s="6" t="s">
        <v>87</v>
      </c>
      <c r="BV6" s="6"/>
      <c r="BW6" s="6" t="s">
        <v>101</v>
      </c>
      <c r="BX6" s="6"/>
      <c r="BY6" s="6"/>
      <c r="BZ6" s="6"/>
    </row>
    <row customHeight="true" ht="18.51851851851852" r="7">
      <c r="A7" s="6" t="s">
        <v>116</v>
      </c>
      <c r="B7" s="6" t="s">
        <v>120</v>
      </c>
      <c r="C7" s="6" t="s">
        <v>118</v>
      </c>
      <c r="D7" s="7">
        <v>45734</v>
      </c>
      <c r="E7" s="6" t="s">
        <v>81</v>
      </c>
      <c r="F7" s="6" t="s">
        <v>82</v>
      </c>
      <c r="G7" s="6" t="s">
        <v>83</v>
      </c>
      <c r="H7" s="6" t="s">
        <v>107</v>
      </c>
      <c r="I7" s="6" t="s">
        <v>85</v>
      </c>
      <c r="J7" s="6" t="s">
        <v>86</v>
      </c>
      <c r="K7" s="6" t="s">
        <v>87</v>
      </c>
      <c r="L7" s="16" t="s">
        <v>88</v>
      </c>
      <c r="M7" s="6" t="s">
        <v>89</v>
      </c>
      <c r="N7" s="6" t="s">
        <v>90</v>
      </c>
      <c r="O7" s="9" t="s">
        <v>108</v>
      </c>
      <c r="P7" s="6" t="s">
        <v>92</v>
      </c>
      <c r="Q7" s="9" t="s">
        <v>109</v>
      </c>
      <c r="R7" s="6" t="s">
        <v>89</v>
      </c>
      <c r="S7" s="17"/>
      <c r="T7" s="6" t="s">
        <v>89</v>
      </c>
      <c r="U7" s="6"/>
      <c r="V7" s="9" t="s">
        <v>96</v>
      </c>
      <c r="W7" s="6" t="s">
        <v>119</v>
      </c>
      <c r="X7" s="6" t="s">
        <v>117</v>
      </c>
      <c r="Y7" s="11">
        <v>270</v>
      </c>
      <c r="Z7" s="7">
        <v>45767</v>
      </c>
      <c r="AA7" s="7">
        <v>45777</v>
      </c>
      <c r="AB7" s="7">
        <v>45784</v>
      </c>
      <c r="AC7" s="6" t="s">
        <v>87</v>
      </c>
      <c r="AD7" s="6" t="s">
        <v>87</v>
      </c>
      <c r="AE7" s="6" t="s">
        <v>87</v>
      </c>
      <c r="AF7" s="6" t="s">
        <v>87</v>
      </c>
      <c r="AG7" s="7">
        <v>45754</v>
      </c>
      <c r="AH7" s="7"/>
      <c r="AI7" s="12" t="s">
        <v>98</v>
      </c>
      <c r="AJ7" s="7">
        <v>45776</v>
      </c>
      <c r="AK7" s="12"/>
      <c r="AL7" s="8" t="s">
        <v>99</v>
      </c>
      <c r="AM7" s="8"/>
      <c r="AN7" s="8"/>
      <c r="AO7" s="6">
        <v>5</v>
      </c>
      <c r="AP7" s="7">
        <v>45769</v>
      </c>
      <c r="AQ7" s="6"/>
      <c r="AR7" s="6">
        <v>5</v>
      </c>
      <c r="AS7" s="6"/>
      <c r="AT7" s="6"/>
      <c r="AU7" s="13" t="s">
        <v>87</v>
      </c>
      <c r="AV7" s="13" t="s">
        <v>87</v>
      </c>
      <c r="AW7" s="7">
        <v>45777</v>
      </c>
      <c r="AX7" s="13"/>
      <c r="AY7" s="6" t="s">
        <v>87</v>
      </c>
      <c r="AZ7" s="7">
        <v>45748</v>
      </c>
      <c r="BA7" s="7">
        <v>45765</v>
      </c>
      <c r="BB7" s="6" t="s">
        <v>87</v>
      </c>
      <c r="BC7" s="6" t="s">
        <v>87</v>
      </c>
      <c r="BD7" s="6" t="s">
        <v>92</v>
      </c>
      <c r="BE7" s="6" t="s">
        <v>92</v>
      </c>
      <c r="BF7" s="6" t="s">
        <v>87</v>
      </c>
      <c r="BG7" s="6" t="s">
        <v>87</v>
      </c>
      <c r="BH7" s="6" t="s">
        <v>87</v>
      </c>
      <c r="BI7" s="6" t="s">
        <v>92</v>
      </c>
      <c r="BJ7" s="6" t="s">
        <v>87</v>
      </c>
      <c r="BK7" s="6" t="s">
        <v>92</v>
      </c>
      <c r="BL7" s="6" t="s">
        <v>87</v>
      </c>
      <c r="BM7" s="6" t="s">
        <v>87</v>
      </c>
      <c r="BN7" s="14">
        <v>1</v>
      </c>
      <c r="BO7" s="6" t="s">
        <v>92</v>
      </c>
      <c r="BP7" s="6" t="s">
        <v>92</v>
      </c>
      <c r="BQ7" s="6" t="s">
        <v>87</v>
      </c>
      <c r="BR7" s="6" t="s">
        <v>87</v>
      </c>
      <c r="BS7" s="6" t="s">
        <v>87</v>
      </c>
      <c r="BT7" s="6" t="s">
        <v>87</v>
      </c>
      <c r="BU7" s="6" t="s">
        <v>87</v>
      </c>
      <c r="BV7" s="6"/>
      <c r="BW7" s="6" t="s">
        <v>101</v>
      </c>
      <c r="BX7" s="6"/>
      <c r="BY7" s="6"/>
      <c r="BZ7" s="6"/>
    </row>
    <row customHeight="true" ht="18.51851851851852" r="8">
      <c r="A8" s="6" t="s">
        <v>121</v>
      </c>
      <c r="B8" s="18" t="s">
        <v>122</v>
      </c>
      <c r="C8" s="6" t="s">
        <v>123</v>
      </c>
      <c r="D8" s="7">
        <v>45734</v>
      </c>
      <c r="E8" s="6" t="s">
        <v>81</v>
      </c>
      <c r="F8" s="6" t="s">
        <v>82</v>
      </c>
      <c r="G8" s="6" t="s">
        <v>83</v>
      </c>
      <c r="H8" s="6" t="s">
        <v>84</v>
      </c>
      <c r="I8" s="6" t="s">
        <v>124</v>
      </c>
      <c r="J8" s="6" t="s">
        <v>86</v>
      </c>
      <c r="K8" s="6" t="s">
        <v>87</v>
      </c>
      <c r="L8" s="16" t="s">
        <v>88</v>
      </c>
      <c r="M8" s="10" t="s">
        <v>125</v>
      </c>
      <c r="N8" s="6" t="s">
        <v>90</v>
      </c>
      <c r="O8" s="9" t="s">
        <v>126</v>
      </c>
      <c r="P8" s="6" t="s">
        <v>92</v>
      </c>
      <c r="Q8" s="9" t="s">
        <v>127</v>
      </c>
      <c r="R8" s="10" t="s">
        <v>128</v>
      </c>
      <c r="S8" s="9" t="s">
        <v>129</v>
      </c>
      <c r="T8" s="6" t="s">
        <v>89</v>
      </c>
      <c r="U8" s="10" t="s">
        <v>130</v>
      </c>
      <c r="V8" s="9" t="s">
        <v>131</v>
      </c>
      <c r="W8" s="6" t="s">
        <v>132</v>
      </c>
      <c r="X8" s="6" t="s">
        <v>120</v>
      </c>
      <c r="Y8" s="19">
        <v>360</v>
      </c>
      <c r="Z8" s="7">
        <v>45761</v>
      </c>
      <c r="AA8" s="7">
        <v>45794</v>
      </c>
      <c r="AB8" s="7">
        <v>45802</v>
      </c>
      <c r="AC8" s="6" t="s">
        <v>87</v>
      </c>
      <c r="AD8" s="6" t="s">
        <v>87</v>
      </c>
      <c r="AE8" s="6" t="s">
        <v>87</v>
      </c>
      <c r="AF8" s="6" t="s">
        <v>87</v>
      </c>
      <c r="AG8" s="7">
        <v>45761</v>
      </c>
      <c r="AH8" s="7">
        <v>45769</v>
      </c>
      <c r="AI8" s="6" t="s">
        <v>133</v>
      </c>
      <c r="AJ8" s="7">
        <v>45776</v>
      </c>
      <c r="AK8" s="6"/>
      <c r="AL8" s="8" t="s">
        <v>99</v>
      </c>
      <c r="AM8" s="8"/>
      <c r="AN8" s="8"/>
      <c r="AO8" s="6">
        <v>5</v>
      </c>
      <c r="AP8" s="7">
        <v>45769</v>
      </c>
      <c r="AQ8" s="6"/>
      <c r="AR8" s="6">
        <v>5</v>
      </c>
      <c r="AS8" s="6"/>
      <c r="AT8" s="6"/>
      <c r="AU8" s="13" t="s">
        <v>87</v>
      </c>
      <c r="AV8" s="13" t="s">
        <v>87</v>
      </c>
      <c r="AW8" s="6" t="s">
        <v>87</v>
      </c>
      <c r="AX8" s="13"/>
      <c r="AY8" s="6" t="s">
        <v>87</v>
      </c>
      <c r="AZ8" s="7">
        <v>45748</v>
      </c>
      <c r="BA8" s="7">
        <v>45765</v>
      </c>
      <c r="BB8" s="6" t="s">
        <v>87</v>
      </c>
      <c r="BC8" s="6" t="s">
        <v>87</v>
      </c>
      <c r="BD8" s="6" t="s">
        <v>92</v>
      </c>
      <c r="BE8" s="6" t="s">
        <v>92</v>
      </c>
      <c r="BF8" s="6" t="s">
        <v>87</v>
      </c>
      <c r="BG8" s="6" t="s">
        <v>87</v>
      </c>
      <c r="BH8" s="6" t="s">
        <v>87</v>
      </c>
      <c r="BI8" s="6" t="s">
        <v>92</v>
      </c>
      <c r="BJ8" s="6" t="s">
        <v>87</v>
      </c>
      <c r="BK8" s="6" t="s">
        <v>92</v>
      </c>
      <c r="BL8" s="6" t="s">
        <v>87</v>
      </c>
      <c r="BM8" s="6" t="s">
        <v>87</v>
      </c>
      <c r="BN8" s="14">
        <v>1</v>
      </c>
      <c r="BO8" s="6" t="s">
        <v>92</v>
      </c>
      <c r="BP8" s="6" t="s">
        <v>92</v>
      </c>
      <c r="BQ8" s="6" t="s">
        <v>87</v>
      </c>
      <c r="BR8" s="6" t="s">
        <v>87</v>
      </c>
      <c r="BS8" s="6" t="s">
        <v>87</v>
      </c>
      <c r="BT8" s="6" t="s">
        <v>87</v>
      </c>
      <c r="BU8" s="6" t="s">
        <v>87</v>
      </c>
      <c r="BV8" s="6"/>
      <c r="BW8" s="6" t="s">
        <v>101</v>
      </c>
      <c r="BX8" s="6"/>
      <c r="BY8" s="6"/>
      <c r="BZ8" s="6"/>
    </row>
    <row customHeight="true" ht="18.51851851851852" r="9">
      <c r="A9" s="6" t="s">
        <v>134</v>
      </c>
      <c r="B9" s="6" t="s">
        <v>135</v>
      </c>
      <c r="C9" s="6" t="s">
        <v>136</v>
      </c>
      <c r="D9" s="7">
        <v>45734</v>
      </c>
      <c r="E9" s="6" t="s">
        <v>81</v>
      </c>
      <c r="F9" s="6" t="s">
        <v>82</v>
      </c>
      <c r="G9" s="6" t="s">
        <v>83</v>
      </c>
      <c r="H9" s="6" t="s">
        <v>107</v>
      </c>
      <c r="I9" s="6" t="s">
        <v>124</v>
      </c>
      <c r="J9" s="6" t="s">
        <v>86</v>
      </c>
      <c r="K9" s="6" t="s">
        <v>87</v>
      </c>
      <c r="L9" s="16" t="s">
        <v>88</v>
      </c>
      <c r="M9" s="10" t="s">
        <v>125</v>
      </c>
      <c r="N9" s="6" t="s">
        <v>90</v>
      </c>
      <c r="O9" s="9" t="s">
        <v>137</v>
      </c>
      <c r="P9" s="6" t="s">
        <v>92</v>
      </c>
      <c r="Q9" s="9" t="s">
        <v>138</v>
      </c>
      <c r="R9" s="10" t="s">
        <v>139</v>
      </c>
      <c r="S9" s="17"/>
      <c r="T9" s="6" t="s">
        <v>89</v>
      </c>
      <c r="U9" s="10" t="s">
        <v>130</v>
      </c>
      <c r="V9" s="9" t="s">
        <v>140</v>
      </c>
      <c r="W9" s="6" t="s">
        <v>141</v>
      </c>
      <c r="X9" s="6" t="s">
        <v>135</v>
      </c>
      <c r="Y9" s="19">
        <v>160</v>
      </c>
      <c r="Z9" s="7">
        <v>45761</v>
      </c>
      <c r="AA9" s="7">
        <v>45794</v>
      </c>
      <c r="AB9" s="7">
        <v>45802</v>
      </c>
      <c r="AC9" s="6" t="s">
        <v>87</v>
      </c>
      <c r="AD9" s="6" t="s">
        <v>87</v>
      </c>
      <c r="AE9" s="6" t="s">
        <v>87</v>
      </c>
      <c r="AF9" s="6" t="s">
        <v>87</v>
      </c>
      <c r="AG9" s="7">
        <v>45761</v>
      </c>
      <c r="AH9" s="7">
        <v>45769</v>
      </c>
      <c r="AI9" s="6" t="s">
        <v>133</v>
      </c>
      <c r="AJ9" s="7">
        <v>45776</v>
      </c>
      <c r="AK9" s="6"/>
      <c r="AL9" s="8" t="s">
        <v>99</v>
      </c>
      <c r="AM9" s="8"/>
      <c r="AN9" s="8"/>
      <c r="AO9" s="6">
        <v>5</v>
      </c>
      <c r="AP9" s="7">
        <v>45769</v>
      </c>
      <c r="AQ9" s="6"/>
      <c r="AR9" s="6">
        <v>5</v>
      </c>
      <c r="AS9" s="6"/>
      <c r="AT9" s="6"/>
      <c r="AU9" s="13" t="s">
        <v>87</v>
      </c>
      <c r="AV9" s="13" t="s">
        <v>87</v>
      </c>
      <c r="AW9" s="13" t="s">
        <v>87</v>
      </c>
      <c r="AX9" s="13"/>
      <c r="AY9" s="6" t="s">
        <v>87</v>
      </c>
      <c r="AZ9" s="7">
        <v>45748</v>
      </c>
      <c r="BA9" s="7">
        <v>45765</v>
      </c>
      <c r="BB9" s="6" t="s">
        <v>87</v>
      </c>
      <c r="BC9" s="6" t="s">
        <v>87</v>
      </c>
      <c r="BD9" s="6" t="s">
        <v>92</v>
      </c>
      <c r="BE9" s="6" t="s">
        <v>92</v>
      </c>
      <c r="BF9" s="6" t="s">
        <v>87</v>
      </c>
      <c r="BG9" s="6" t="s">
        <v>87</v>
      </c>
      <c r="BH9" s="6" t="s">
        <v>87</v>
      </c>
      <c r="BI9" s="6" t="s">
        <v>92</v>
      </c>
      <c r="BJ9" s="6" t="s">
        <v>87</v>
      </c>
      <c r="BK9" s="6" t="s">
        <v>92</v>
      </c>
      <c r="BL9" s="6" t="s">
        <v>87</v>
      </c>
      <c r="BM9" s="6" t="s">
        <v>87</v>
      </c>
      <c r="BN9" s="14">
        <v>1</v>
      </c>
      <c r="BO9" s="6" t="s">
        <v>92</v>
      </c>
      <c r="BP9" s="6" t="s">
        <v>92</v>
      </c>
      <c r="BQ9" s="6" t="s">
        <v>87</v>
      </c>
      <c r="BR9" s="6" t="s">
        <v>87</v>
      </c>
      <c r="BS9" s="6" t="s">
        <v>87</v>
      </c>
      <c r="BT9" s="6" t="s">
        <v>87</v>
      </c>
      <c r="BU9" s="6" t="s">
        <v>87</v>
      </c>
      <c r="BV9" s="6"/>
      <c r="BW9" s="6" t="s">
        <v>101</v>
      </c>
      <c r="BX9" s="6"/>
      <c r="BY9" s="6"/>
      <c r="BZ9" s="6"/>
    </row>
    <row customHeight="true" ht="18.51851851851852" r="10">
      <c r="A10" s="6" t="s">
        <v>134</v>
      </c>
      <c r="B10" s="6" t="s">
        <v>135</v>
      </c>
      <c r="C10" s="6" t="s">
        <v>136</v>
      </c>
      <c r="D10" s="7">
        <v>45734</v>
      </c>
      <c r="E10" s="6" t="s">
        <v>81</v>
      </c>
      <c r="F10" s="6" t="s">
        <v>82</v>
      </c>
      <c r="G10" s="6" t="s">
        <v>83</v>
      </c>
      <c r="H10" s="6" t="s">
        <v>107</v>
      </c>
      <c r="I10" s="6" t="s">
        <v>124</v>
      </c>
      <c r="J10" s="6" t="s">
        <v>86</v>
      </c>
      <c r="K10" s="6" t="s">
        <v>87</v>
      </c>
      <c r="L10" s="16" t="s">
        <v>88</v>
      </c>
      <c r="M10" s="10" t="s">
        <v>125</v>
      </c>
      <c r="N10" s="6" t="s">
        <v>90</v>
      </c>
      <c r="O10" s="9" t="s">
        <v>137</v>
      </c>
      <c r="P10" s="6" t="s">
        <v>92</v>
      </c>
      <c r="Q10" s="9" t="s">
        <v>138</v>
      </c>
      <c r="R10" s="10" t="s">
        <v>139</v>
      </c>
      <c r="S10" s="17"/>
      <c r="T10" s="6" t="s">
        <v>89</v>
      </c>
      <c r="U10" s="10" t="s">
        <v>130</v>
      </c>
      <c r="V10" s="9" t="s">
        <v>140</v>
      </c>
      <c r="W10" s="6" t="s">
        <v>141</v>
      </c>
      <c r="X10" s="6" t="s">
        <v>135</v>
      </c>
      <c r="Y10" s="19">
        <v>160</v>
      </c>
      <c r="Z10" s="7">
        <v>45761</v>
      </c>
      <c r="AA10" s="7">
        <v>45794</v>
      </c>
      <c r="AB10" s="7">
        <v>45802</v>
      </c>
      <c r="AC10" s="6" t="s">
        <v>87</v>
      </c>
      <c r="AD10" s="6" t="s">
        <v>87</v>
      </c>
      <c r="AE10" s="6" t="s">
        <v>87</v>
      </c>
      <c r="AF10" s="6" t="s">
        <v>87</v>
      </c>
      <c r="AG10" s="7">
        <v>45761</v>
      </c>
      <c r="AH10" s="7">
        <v>45769</v>
      </c>
      <c r="AI10" s="6" t="s">
        <v>133</v>
      </c>
      <c r="AJ10" s="7">
        <v>45776</v>
      </c>
      <c r="AK10" s="6"/>
      <c r="AL10" s="8" t="s">
        <v>99</v>
      </c>
      <c r="AM10" s="8"/>
      <c r="AN10" s="8"/>
      <c r="AO10" s="6">
        <v>5</v>
      </c>
      <c r="AP10" s="7">
        <v>45769</v>
      </c>
      <c r="AQ10" s="6"/>
      <c r="AR10" s="6">
        <v>5</v>
      </c>
      <c r="AS10" s="6"/>
      <c r="AT10" s="6"/>
      <c r="AU10" s="13" t="s">
        <v>87</v>
      </c>
      <c r="AV10" s="13" t="s">
        <v>87</v>
      </c>
      <c r="AW10" s="13" t="s">
        <v>87</v>
      </c>
      <c r="AX10" s="13"/>
      <c r="AY10" s="6" t="s">
        <v>87</v>
      </c>
      <c r="AZ10" s="7">
        <v>45748</v>
      </c>
      <c r="BA10" s="7">
        <v>45765</v>
      </c>
      <c r="BB10" s="6" t="s">
        <v>87</v>
      </c>
      <c r="BC10" s="6" t="s">
        <v>87</v>
      </c>
      <c r="BD10" s="6" t="s">
        <v>92</v>
      </c>
      <c r="BE10" s="6" t="s">
        <v>92</v>
      </c>
      <c r="BF10" s="6" t="s">
        <v>87</v>
      </c>
      <c r="BG10" s="6" t="s">
        <v>87</v>
      </c>
      <c r="BH10" s="6" t="s">
        <v>87</v>
      </c>
      <c r="BI10" s="6" t="s">
        <v>92</v>
      </c>
      <c r="BJ10" s="6" t="s">
        <v>87</v>
      </c>
      <c r="BK10" s="6" t="s">
        <v>92</v>
      </c>
      <c r="BL10" s="6" t="s">
        <v>87</v>
      </c>
      <c r="BM10" s="6" t="s">
        <v>87</v>
      </c>
      <c r="BN10" s="14">
        <v>1</v>
      </c>
      <c r="BO10" s="6" t="s">
        <v>92</v>
      </c>
      <c r="BP10" s="6" t="s">
        <v>92</v>
      </c>
      <c r="BQ10" s="6" t="s">
        <v>87</v>
      </c>
      <c r="BR10" s="6" t="s">
        <v>87</v>
      </c>
      <c r="BS10" s="6" t="s">
        <v>87</v>
      </c>
      <c r="BT10" s="6" t="s">
        <v>87</v>
      </c>
      <c r="BU10" s="6" t="s">
        <v>87</v>
      </c>
      <c r="BV10" s="6"/>
      <c r="BW10" s="6" t="s">
        <v>101</v>
      </c>
      <c r="BX10" s="6"/>
      <c r="BY10" s="6"/>
      <c r="BZ10" s="6"/>
    </row>
    <row customHeight="true" ht="18.51851851851852" r="11">
      <c r="A11" s="6" t="s">
        <v>78</v>
      </c>
      <c r="B11" s="6" t="s">
        <v>79</v>
      </c>
      <c r="C11" s="6" t="s">
        <v>142</v>
      </c>
      <c r="D11" s="7">
        <v>45734</v>
      </c>
      <c r="E11" s="6" t="s">
        <v>81</v>
      </c>
      <c r="F11" s="6" t="s">
        <v>82</v>
      </c>
      <c r="G11" s="6" t="s">
        <v>143</v>
      </c>
      <c r="H11" s="6" t="s">
        <v>84</v>
      </c>
      <c r="I11" s="6" t="s">
        <v>85</v>
      </c>
      <c r="J11" s="6" t="s">
        <v>86</v>
      </c>
      <c r="K11" s="6" t="s">
        <v>87</v>
      </c>
      <c r="L11" s="16" t="s">
        <v>88</v>
      </c>
      <c r="M11" s="6" t="s">
        <v>89</v>
      </c>
      <c r="N11" s="6" t="s">
        <v>92</v>
      </c>
      <c r="O11" s="17" t="s">
        <v>144</v>
      </c>
      <c r="P11" s="6" t="s">
        <v>92</v>
      </c>
      <c r="Q11" s="17" t="s">
        <v>145</v>
      </c>
      <c r="R11" s="6" t="s">
        <v>89</v>
      </c>
      <c r="S11" s="17"/>
      <c r="T11" s="6" t="s">
        <v>89</v>
      </c>
      <c r="U11" s="6"/>
      <c r="V11" s="9" t="s">
        <v>96</v>
      </c>
      <c r="W11" s="6" t="s">
        <v>146</v>
      </c>
      <c r="X11" s="6" t="s">
        <v>79</v>
      </c>
      <c r="Y11" s="11">
        <v>1080</v>
      </c>
      <c r="Z11" s="7">
        <v>45754</v>
      </c>
      <c r="AA11" s="7">
        <v>45784</v>
      </c>
      <c r="AB11" s="7">
        <v>45784</v>
      </c>
      <c r="AC11" s="6" t="s">
        <v>87</v>
      </c>
      <c r="AD11" s="6" t="s">
        <v>87</v>
      </c>
      <c r="AE11" s="6" t="s">
        <v>87</v>
      </c>
      <c r="AF11" s="6" t="s">
        <v>87</v>
      </c>
      <c r="AG11" s="7">
        <v>45742</v>
      </c>
      <c r="AH11" s="7">
        <v>45769</v>
      </c>
      <c r="AI11" s="6" t="s">
        <v>89</v>
      </c>
      <c r="AJ11" s="7">
        <v>45776</v>
      </c>
      <c r="AK11" s="6"/>
      <c r="AL11" s="6" t="s">
        <v>89</v>
      </c>
      <c r="AM11" s="8"/>
      <c r="AN11" s="8"/>
      <c r="AO11" s="6">
        <v>5</v>
      </c>
      <c r="AP11" s="7">
        <v>45769</v>
      </c>
      <c r="AQ11" s="6"/>
      <c r="AR11" s="6">
        <v>5</v>
      </c>
      <c r="AS11" s="6"/>
      <c r="AT11" s="6"/>
      <c r="AU11" s="13" t="s">
        <v>87</v>
      </c>
      <c r="AV11" s="13" t="s">
        <v>87</v>
      </c>
      <c r="AW11" s="13" t="s">
        <v>87</v>
      </c>
      <c r="AX11" s="13"/>
      <c r="AY11" s="6" t="s">
        <v>87</v>
      </c>
      <c r="AZ11" s="7">
        <v>45748</v>
      </c>
      <c r="BA11" s="7">
        <v>45765</v>
      </c>
      <c r="BB11" s="6" t="s">
        <v>87</v>
      </c>
      <c r="BC11" s="6" t="s">
        <v>87</v>
      </c>
      <c r="BD11" s="6" t="s">
        <v>92</v>
      </c>
      <c r="BE11" s="6" t="s">
        <v>92</v>
      </c>
      <c r="BF11" s="6" t="s">
        <v>87</v>
      </c>
      <c r="BG11" s="6" t="s">
        <v>87</v>
      </c>
      <c r="BH11" s="6" t="s">
        <v>87</v>
      </c>
      <c r="BI11" s="6" t="s">
        <v>92</v>
      </c>
      <c r="BJ11" s="6" t="s">
        <v>87</v>
      </c>
      <c r="BK11" s="6" t="s">
        <v>92</v>
      </c>
      <c r="BL11" s="6" t="s">
        <v>87</v>
      </c>
      <c r="BM11" s="6" t="s">
        <v>87</v>
      </c>
      <c r="BN11" s="14">
        <v>1</v>
      </c>
      <c r="BO11" s="6" t="s">
        <v>92</v>
      </c>
      <c r="BP11" s="6" t="s">
        <v>92</v>
      </c>
      <c r="BQ11" s="6" t="s">
        <v>87</v>
      </c>
      <c r="BR11" s="6" t="s">
        <v>87</v>
      </c>
      <c r="BS11" s="6" t="s">
        <v>87</v>
      </c>
      <c r="BT11" s="6" t="s">
        <v>87</v>
      </c>
      <c r="BU11" s="6" t="s">
        <v>87</v>
      </c>
      <c r="BV11" s="6"/>
      <c r="BW11" s="6" t="s">
        <v>101</v>
      </c>
      <c r="BX11" s="6"/>
      <c r="BY11" s="6"/>
      <c r="BZ11" s="6"/>
    </row>
    <row customHeight="true" ht="18.51851851851852" r="12">
      <c r="A12" s="6" t="s">
        <v>78</v>
      </c>
      <c r="B12" s="6" t="s">
        <v>79</v>
      </c>
      <c r="C12" s="6" t="s">
        <v>142</v>
      </c>
      <c r="D12" s="7">
        <v>45734</v>
      </c>
      <c r="E12" s="6" t="s">
        <v>81</v>
      </c>
      <c r="F12" s="6" t="s">
        <v>82</v>
      </c>
      <c r="G12" s="6" t="s">
        <v>143</v>
      </c>
      <c r="H12" s="6" t="s">
        <v>84</v>
      </c>
      <c r="I12" s="6" t="s">
        <v>85</v>
      </c>
      <c r="J12" s="6" t="s">
        <v>86</v>
      </c>
      <c r="K12" s="13" t="s">
        <v>87</v>
      </c>
      <c r="L12" s="16" t="s">
        <v>88</v>
      </c>
      <c r="M12" s="6" t="s">
        <v>89</v>
      </c>
      <c r="N12" s="6"/>
      <c r="O12" s="17"/>
      <c r="P12" s="6"/>
      <c r="Q12" s="17" t="s">
        <v>145</v>
      </c>
      <c r="R12" s="6" t="s">
        <v>89</v>
      </c>
      <c r="S12" s="17"/>
      <c r="T12" s="6"/>
      <c r="U12" s="6"/>
      <c r="V12" s="9" t="s">
        <v>96</v>
      </c>
      <c r="W12" s="6" t="s">
        <v>147</v>
      </c>
      <c r="X12" s="6" t="s">
        <v>79</v>
      </c>
      <c r="Y12" s="6">
        <v>0</v>
      </c>
      <c r="Z12" s="20">
        <v>45754</v>
      </c>
      <c r="AA12" s="20">
        <v>45784</v>
      </c>
      <c r="AB12" s="20">
        <v>45784</v>
      </c>
      <c r="AC12" s="13" t="s">
        <v>87</v>
      </c>
      <c r="AD12" s="13" t="s">
        <v>87</v>
      </c>
      <c r="AE12" s="13" t="s">
        <v>87</v>
      </c>
      <c r="AF12" s="13" t="s">
        <v>87</v>
      </c>
      <c r="AG12" s="20">
        <v>45742</v>
      </c>
      <c r="AH12" s="7">
        <v>45769</v>
      </c>
      <c r="AI12" s="6" t="s">
        <v>89</v>
      </c>
      <c r="AJ12" s="7">
        <v>45776</v>
      </c>
      <c r="AK12" s="6"/>
      <c r="AL12" s="6" t="s">
        <v>89</v>
      </c>
      <c r="AM12" s="8"/>
      <c r="AN12" s="8"/>
      <c r="AO12" s="6">
        <v>5</v>
      </c>
      <c r="AP12" s="7">
        <v>45769</v>
      </c>
      <c r="AQ12" s="6"/>
      <c r="AR12" s="6">
        <v>5</v>
      </c>
      <c r="AS12" s="6"/>
      <c r="AT12" s="6"/>
      <c r="AU12" s="13" t="s">
        <v>87</v>
      </c>
      <c r="AV12" s="13" t="s">
        <v>87</v>
      </c>
      <c r="AW12" s="13" t="s">
        <v>87</v>
      </c>
      <c r="AX12" s="13"/>
      <c r="AY12" s="6"/>
      <c r="AZ12" s="7"/>
      <c r="BA12" s="7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14"/>
      <c r="BO12" s="6"/>
      <c r="BP12" s="6"/>
      <c r="BQ12" s="6"/>
      <c r="BR12" s="6"/>
      <c r="BS12" s="6" t="s">
        <v>87</v>
      </c>
      <c r="BT12" s="6" t="s">
        <v>87</v>
      </c>
      <c r="BU12" s="6" t="s">
        <v>87</v>
      </c>
      <c r="BV12" s="6"/>
      <c r="BW12" s="6" t="s">
        <v>101</v>
      </c>
      <c r="BX12" s="21" t="s">
        <v>148</v>
      </c>
      <c r="BY12" s="6"/>
      <c r="BZ12" s="6"/>
    </row>
    <row customHeight="true" ht="18.51851851851852" r="13">
      <c r="A13" s="6" t="s">
        <v>104</v>
      </c>
      <c r="B13" s="6" t="s">
        <v>105</v>
      </c>
      <c r="C13" s="6" t="s">
        <v>149</v>
      </c>
      <c r="D13" s="7">
        <v>45734</v>
      </c>
      <c r="E13" s="6" t="s">
        <v>81</v>
      </c>
      <c r="F13" s="6" t="s">
        <v>82</v>
      </c>
      <c r="G13" s="6" t="s">
        <v>143</v>
      </c>
      <c r="H13" s="6" t="s">
        <v>107</v>
      </c>
      <c r="I13" s="6" t="s">
        <v>85</v>
      </c>
      <c r="J13" s="6" t="s">
        <v>86</v>
      </c>
      <c r="K13" s="13" t="s">
        <v>87</v>
      </c>
      <c r="L13" s="16" t="s">
        <v>88</v>
      </c>
      <c r="M13" s="6" t="s">
        <v>89</v>
      </c>
      <c r="N13" s="6" t="s">
        <v>92</v>
      </c>
      <c r="O13" s="17" t="s">
        <v>144</v>
      </c>
      <c r="P13" s="6" t="s">
        <v>92</v>
      </c>
      <c r="Q13" s="17" t="s">
        <v>145</v>
      </c>
      <c r="R13" s="6" t="s">
        <v>89</v>
      </c>
      <c r="S13" s="17"/>
      <c r="T13" s="6" t="s">
        <v>89</v>
      </c>
      <c r="U13" s="6"/>
      <c r="V13" s="9" t="s">
        <v>96</v>
      </c>
      <c r="W13" s="6" t="s">
        <v>150</v>
      </c>
      <c r="X13" s="6" t="s">
        <v>105</v>
      </c>
      <c r="Y13" s="11">
        <v>540</v>
      </c>
      <c r="Z13" s="20">
        <v>45754</v>
      </c>
      <c r="AA13" s="20">
        <v>45784</v>
      </c>
      <c r="AB13" s="20">
        <v>45784</v>
      </c>
      <c r="AC13" s="13" t="s">
        <v>87</v>
      </c>
      <c r="AD13" s="13" t="s">
        <v>87</v>
      </c>
      <c r="AE13" s="6" t="s">
        <v>87</v>
      </c>
      <c r="AF13" s="6" t="s">
        <v>87</v>
      </c>
      <c r="AG13" s="7">
        <v>45742</v>
      </c>
      <c r="AH13" s="7">
        <v>45769</v>
      </c>
      <c r="AI13" s="6" t="s">
        <v>89</v>
      </c>
      <c r="AJ13" s="7">
        <v>45776</v>
      </c>
      <c r="AK13" s="6"/>
      <c r="AL13" s="6" t="s">
        <v>89</v>
      </c>
      <c r="AM13" s="8"/>
      <c r="AN13" s="8"/>
      <c r="AO13" s="6">
        <v>5</v>
      </c>
      <c r="AP13" s="7">
        <v>45769</v>
      </c>
      <c r="AQ13" s="6"/>
      <c r="AR13" s="6">
        <v>5</v>
      </c>
      <c r="AS13" s="6"/>
      <c r="AT13" s="6"/>
      <c r="AU13" s="13" t="s">
        <v>87</v>
      </c>
      <c r="AV13" s="13" t="s">
        <v>87</v>
      </c>
      <c r="AW13" s="13" t="s">
        <v>87</v>
      </c>
      <c r="AX13" s="13"/>
      <c r="AY13" s="6" t="s">
        <v>87</v>
      </c>
      <c r="AZ13" s="7">
        <v>45748</v>
      </c>
      <c r="BA13" s="7">
        <v>45765</v>
      </c>
      <c r="BB13" s="6" t="s">
        <v>87</v>
      </c>
      <c r="BC13" s="6" t="s">
        <v>87</v>
      </c>
      <c r="BD13" s="6" t="s">
        <v>92</v>
      </c>
      <c r="BE13" s="6" t="s">
        <v>92</v>
      </c>
      <c r="BF13" s="6" t="s">
        <v>87</v>
      </c>
      <c r="BG13" s="6" t="s">
        <v>87</v>
      </c>
      <c r="BH13" s="6" t="s">
        <v>87</v>
      </c>
      <c r="BI13" s="6" t="s">
        <v>92</v>
      </c>
      <c r="BJ13" s="6" t="s">
        <v>87</v>
      </c>
      <c r="BK13" s="6" t="s">
        <v>92</v>
      </c>
      <c r="BL13" s="6" t="s">
        <v>87</v>
      </c>
      <c r="BM13" s="6" t="s">
        <v>87</v>
      </c>
      <c r="BN13" s="14">
        <v>1</v>
      </c>
      <c r="BO13" s="6" t="s">
        <v>92</v>
      </c>
      <c r="BP13" s="6" t="s">
        <v>92</v>
      </c>
      <c r="BQ13" s="6" t="s">
        <v>87</v>
      </c>
      <c r="BR13" s="6" t="s">
        <v>87</v>
      </c>
      <c r="BS13" s="6" t="s">
        <v>87</v>
      </c>
      <c r="BT13" s="6" t="s">
        <v>87</v>
      </c>
      <c r="BU13" s="6" t="s">
        <v>87</v>
      </c>
      <c r="BV13" s="6"/>
      <c r="BW13" s="6" t="s">
        <v>101</v>
      </c>
      <c r="BX13" s="21" t="s">
        <v>148</v>
      </c>
      <c r="BY13" s="6"/>
      <c r="BZ13" s="6"/>
    </row>
    <row customHeight="true" ht="18.51851851851852" r="14">
      <c r="A14" s="6" t="s">
        <v>112</v>
      </c>
      <c r="B14" s="6" t="s">
        <v>113</v>
      </c>
      <c r="C14" s="6" t="s">
        <v>151</v>
      </c>
      <c r="D14" s="7">
        <v>45734</v>
      </c>
      <c r="E14" s="6" t="s">
        <v>81</v>
      </c>
      <c r="F14" s="6" t="s">
        <v>82</v>
      </c>
      <c r="G14" s="6" t="s">
        <v>143</v>
      </c>
      <c r="H14" s="6" t="s">
        <v>84</v>
      </c>
      <c r="I14" s="6" t="s">
        <v>85</v>
      </c>
      <c r="J14" s="6" t="s">
        <v>86</v>
      </c>
      <c r="K14" s="13" t="s">
        <v>87</v>
      </c>
      <c r="L14" s="16" t="s">
        <v>88</v>
      </c>
      <c r="M14" s="6" t="s">
        <v>89</v>
      </c>
      <c r="N14" s="6" t="s">
        <v>92</v>
      </c>
      <c r="O14" s="17" t="s">
        <v>144</v>
      </c>
      <c r="P14" s="6" t="s">
        <v>92</v>
      </c>
      <c r="Q14" s="17" t="s">
        <v>145</v>
      </c>
      <c r="R14" s="6" t="s">
        <v>89</v>
      </c>
      <c r="S14" s="17"/>
      <c r="T14" s="6" t="s">
        <v>89</v>
      </c>
      <c r="U14" s="6"/>
      <c r="V14" s="9" t="s">
        <v>96</v>
      </c>
      <c r="W14" s="6" t="s">
        <v>152</v>
      </c>
      <c r="X14" s="6" t="s">
        <v>113</v>
      </c>
      <c r="Y14" s="11">
        <v>1080</v>
      </c>
      <c r="Z14" s="20">
        <v>45754</v>
      </c>
      <c r="AA14" s="20">
        <v>45784</v>
      </c>
      <c r="AB14" s="20">
        <v>45784</v>
      </c>
      <c r="AC14" s="13" t="s">
        <v>87</v>
      </c>
      <c r="AD14" s="13" t="s">
        <v>87</v>
      </c>
      <c r="AE14" s="6" t="s">
        <v>87</v>
      </c>
      <c r="AF14" s="6" t="s">
        <v>87</v>
      </c>
      <c r="AG14" s="7">
        <v>45742</v>
      </c>
      <c r="AH14" s="7">
        <v>45769</v>
      </c>
      <c r="AI14" s="6" t="s">
        <v>89</v>
      </c>
      <c r="AJ14" s="7">
        <v>45776</v>
      </c>
      <c r="AK14" s="6"/>
      <c r="AL14" s="6" t="s">
        <v>89</v>
      </c>
      <c r="AM14" s="8"/>
      <c r="AN14" s="8"/>
      <c r="AO14" s="6">
        <v>5</v>
      </c>
      <c r="AP14" s="7">
        <v>45769</v>
      </c>
      <c r="AQ14" s="6"/>
      <c r="AR14" s="6">
        <v>5</v>
      </c>
      <c r="AS14" s="6"/>
      <c r="AT14" s="6"/>
      <c r="AU14" s="13" t="s">
        <v>87</v>
      </c>
      <c r="AV14" s="13" t="s">
        <v>87</v>
      </c>
      <c r="AW14" s="13" t="s">
        <v>87</v>
      </c>
      <c r="AX14" s="13"/>
      <c r="AY14" s="6" t="s">
        <v>87</v>
      </c>
      <c r="AZ14" s="7">
        <v>45748</v>
      </c>
      <c r="BA14" s="7">
        <v>45765</v>
      </c>
      <c r="BB14" s="6" t="s">
        <v>87</v>
      </c>
      <c r="BC14" s="6" t="s">
        <v>87</v>
      </c>
      <c r="BD14" s="6" t="s">
        <v>92</v>
      </c>
      <c r="BE14" s="6" t="s">
        <v>92</v>
      </c>
      <c r="BF14" s="6" t="s">
        <v>87</v>
      </c>
      <c r="BG14" s="6" t="s">
        <v>87</v>
      </c>
      <c r="BH14" s="6" t="s">
        <v>87</v>
      </c>
      <c r="BI14" s="6" t="s">
        <v>92</v>
      </c>
      <c r="BJ14" s="6" t="s">
        <v>87</v>
      </c>
      <c r="BK14" s="6" t="s">
        <v>92</v>
      </c>
      <c r="BL14" s="6" t="s">
        <v>87</v>
      </c>
      <c r="BM14" s="6" t="s">
        <v>87</v>
      </c>
      <c r="BN14" s="14">
        <v>1</v>
      </c>
      <c r="BO14" s="6" t="s">
        <v>92</v>
      </c>
      <c r="BP14" s="6" t="s">
        <v>92</v>
      </c>
      <c r="BQ14" s="6" t="s">
        <v>87</v>
      </c>
      <c r="BR14" s="6" t="s">
        <v>87</v>
      </c>
      <c r="BS14" s="6" t="s">
        <v>87</v>
      </c>
      <c r="BT14" s="6" t="s">
        <v>87</v>
      </c>
      <c r="BU14" s="6" t="s">
        <v>87</v>
      </c>
      <c r="BV14" s="6"/>
      <c r="BW14" s="6" t="s">
        <v>101</v>
      </c>
      <c r="BX14" s="6"/>
      <c r="BY14" s="6"/>
      <c r="BZ14" s="6"/>
    </row>
    <row customHeight="true" ht="18.51851851851852" r="15">
      <c r="A15" s="6" t="s">
        <v>112</v>
      </c>
      <c r="B15" s="6" t="s">
        <v>113</v>
      </c>
      <c r="C15" s="6" t="s">
        <v>151</v>
      </c>
      <c r="D15" s="7">
        <v>45734</v>
      </c>
      <c r="E15" s="6" t="s">
        <v>81</v>
      </c>
      <c r="F15" s="6" t="s">
        <v>82</v>
      </c>
      <c r="G15" s="6" t="s">
        <v>143</v>
      </c>
      <c r="H15" s="6" t="s">
        <v>84</v>
      </c>
      <c r="I15" s="6" t="s">
        <v>85</v>
      </c>
      <c r="J15" s="6" t="s">
        <v>86</v>
      </c>
      <c r="K15" s="13" t="s">
        <v>87</v>
      </c>
      <c r="L15" s="16" t="s">
        <v>88</v>
      </c>
      <c r="M15" s="6"/>
      <c r="N15" s="6"/>
      <c r="O15" s="17"/>
      <c r="P15" s="6"/>
      <c r="Q15" s="17" t="s">
        <v>145</v>
      </c>
      <c r="R15" s="6" t="s">
        <v>89</v>
      </c>
      <c r="S15" s="17"/>
      <c r="T15" s="6"/>
      <c r="U15" s="6"/>
      <c r="V15" s="9" t="s">
        <v>96</v>
      </c>
      <c r="W15" s="6" t="s">
        <v>153</v>
      </c>
      <c r="X15" s="6" t="s">
        <v>113</v>
      </c>
      <c r="Y15" s="6">
        <v>0</v>
      </c>
      <c r="Z15" s="20">
        <v>45754</v>
      </c>
      <c r="AA15" s="20">
        <v>45784</v>
      </c>
      <c r="AB15" s="20">
        <v>45784</v>
      </c>
      <c r="AC15" s="13" t="s">
        <v>87</v>
      </c>
      <c r="AD15" s="13" t="s">
        <v>87</v>
      </c>
      <c r="AE15" s="13" t="s">
        <v>87</v>
      </c>
      <c r="AF15" s="13" t="s">
        <v>87</v>
      </c>
      <c r="AG15" s="20">
        <v>45742</v>
      </c>
      <c r="AH15" s="7"/>
      <c r="AI15" s="6" t="s">
        <v>89</v>
      </c>
      <c r="AJ15" s="6"/>
      <c r="AK15" s="6"/>
      <c r="AL15" s="6" t="s">
        <v>89</v>
      </c>
      <c r="AM15" s="8"/>
      <c r="AN15" s="8"/>
      <c r="AO15" s="6">
        <v>5</v>
      </c>
      <c r="AP15" s="7">
        <v>45769</v>
      </c>
      <c r="AQ15" s="6"/>
      <c r="AR15" s="6">
        <v>5</v>
      </c>
      <c r="AS15" s="6"/>
      <c r="AT15" s="6"/>
      <c r="AU15" s="13" t="s">
        <v>87</v>
      </c>
      <c r="AV15" s="13" t="s">
        <v>87</v>
      </c>
      <c r="AW15" s="13" t="s">
        <v>87</v>
      </c>
      <c r="AX15" s="13"/>
      <c r="AY15" s="6"/>
      <c r="AZ15" s="7"/>
      <c r="BA15" s="7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14"/>
      <c r="BO15" s="6"/>
      <c r="BP15" s="6"/>
      <c r="BQ15" s="6"/>
      <c r="BR15" s="6"/>
      <c r="BS15" s="6" t="s">
        <v>87</v>
      </c>
      <c r="BT15" s="6" t="s">
        <v>87</v>
      </c>
      <c r="BU15" s="6" t="s">
        <v>87</v>
      </c>
      <c r="BV15" s="6"/>
      <c r="BW15" s="6" t="s">
        <v>101</v>
      </c>
      <c r="BX15" s="6"/>
      <c r="BY15" s="6"/>
      <c r="BZ15" s="6"/>
    </row>
    <row customHeight="true" ht="18.51851851851852" r="16">
      <c r="A16" s="6" t="s">
        <v>116</v>
      </c>
      <c r="B16" s="6" t="s">
        <v>117</v>
      </c>
      <c r="C16" s="6" t="s">
        <v>154</v>
      </c>
      <c r="D16" s="7">
        <v>45734</v>
      </c>
      <c r="E16" s="6" t="s">
        <v>81</v>
      </c>
      <c r="F16" s="6" t="s">
        <v>82</v>
      </c>
      <c r="G16" s="6" t="s">
        <v>143</v>
      </c>
      <c r="H16" s="6" t="s">
        <v>107</v>
      </c>
      <c r="I16" s="6" t="s">
        <v>85</v>
      </c>
      <c r="J16" s="6" t="s">
        <v>86</v>
      </c>
      <c r="K16" s="13" t="s">
        <v>87</v>
      </c>
      <c r="L16" s="16" t="s">
        <v>88</v>
      </c>
      <c r="M16" s="6" t="s">
        <v>89</v>
      </c>
      <c r="N16" s="6" t="s">
        <v>92</v>
      </c>
      <c r="O16" s="17" t="s">
        <v>144</v>
      </c>
      <c r="P16" s="6" t="s">
        <v>92</v>
      </c>
      <c r="Q16" s="17" t="s">
        <v>145</v>
      </c>
      <c r="R16" s="6" t="s">
        <v>89</v>
      </c>
      <c r="S16" s="17"/>
      <c r="T16" s="6" t="s">
        <v>89</v>
      </c>
      <c r="U16" s="6"/>
      <c r="V16" s="9" t="s">
        <v>96</v>
      </c>
      <c r="W16" s="6" t="s">
        <v>155</v>
      </c>
      <c r="X16" s="6" t="s">
        <v>117</v>
      </c>
      <c r="Y16" s="11">
        <v>540</v>
      </c>
      <c r="Z16" s="20">
        <v>45754</v>
      </c>
      <c r="AA16" s="20">
        <v>45784</v>
      </c>
      <c r="AB16" s="20">
        <v>45784</v>
      </c>
      <c r="AC16" s="13" t="s">
        <v>87</v>
      </c>
      <c r="AD16" s="13" t="s">
        <v>87</v>
      </c>
      <c r="AE16" s="6" t="s">
        <v>87</v>
      </c>
      <c r="AF16" s="6" t="s">
        <v>87</v>
      </c>
      <c r="AG16" s="7">
        <v>45742</v>
      </c>
      <c r="AH16" s="7">
        <v>45769</v>
      </c>
      <c r="AI16" s="6" t="s">
        <v>89</v>
      </c>
      <c r="AJ16" s="7">
        <v>45776</v>
      </c>
      <c r="AK16" s="6"/>
      <c r="AL16" s="6" t="s">
        <v>89</v>
      </c>
      <c r="AM16" s="8"/>
      <c r="AN16" s="8"/>
      <c r="AO16" s="6">
        <v>5</v>
      </c>
      <c r="AP16" s="7">
        <v>45769</v>
      </c>
      <c r="AQ16" s="6"/>
      <c r="AR16" s="6">
        <v>5</v>
      </c>
      <c r="AS16" s="6"/>
      <c r="AT16" s="6"/>
      <c r="AU16" s="13" t="s">
        <v>87</v>
      </c>
      <c r="AV16" s="13" t="s">
        <v>87</v>
      </c>
      <c r="AW16" s="13" t="s">
        <v>87</v>
      </c>
      <c r="AX16" s="13"/>
      <c r="AY16" s="6" t="s">
        <v>87</v>
      </c>
      <c r="AZ16" s="7">
        <v>45748</v>
      </c>
      <c r="BA16" s="7">
        <v>45765</v>
      </c>
      <c r="BB16" s="6" t="s">
        <v>87</v>
      </c>
      <c r="BC16" s="6" t="s">
        <v>87</v>
      </c>
      <c r="BD16" s="6" t="s">
        <v>92</v>
      </c>
      <c r="BE16" s="6" t="s">
        <v>92</v>
      </c>
      <c r="BF16" s="6" t="s">
        <v>87</v>
      </c>
      <c r="BG16" s="6" t="s">
        <v>87</v>
      </c>
      <c r="BH16" s="6" t="s">
        <v>87</v>
      </c>
      <c r="BI16" s="6" t="s">
        <v>92</v>
      </c>
      <c r="BJ16" s="6" t="s">
        <v>87</v>
      </c>
      <c r="BK16" s="6" t="s">
        <v>92</v>
      </c>
      <c r="BL16" s="6" t="s">
        <v>87</v>
      </c>
      <c r="BM16" s="6" t="s">
        <v>87</v>
      </c>
      <c r="BN16" s="14">
        <v>1</v>
      </c>
      <c r="BO16" s="6" t="s">
        <v>92</v>
      </c>
      <c r="BP16" s="6" t="s">
        <v>92</v>
      </c>
      <c r="BQ16" s="6" t="s">
        <v>87</v>
      </c>
      <c r="BR16" s="6" t="s">
        <v>87</v>
      </c>
      <c r="BS16" s="6" t="s">
        <v>87</v>
      </c>
      <c r="BT16" s="6" t="s">
        <v>87</v>
      </c>
      <c r="BU16" s="6" t="s">
        <v>87</v>
      </c>
      <c r="BV16" s="6"/>
      <c r="BW16" s="6" t="s">
        <v>101</v>
      </c>
      <c r="BX16" s="6"/>
      <c r="BY16" s="6"/>
      <c r="BZ16" s="6"/>
    </row>
    <row customHeight="true" ht="18.51851851851852" r="17">
      <c r="A17" s="6" t="s">
        <v>121</v>
      </c>
      <c r="B17" s="6" t="s">
        <v>120</v>
      </c>
      <c r="C17" s="6" t="s">
        <v>156</v>
      </c>
      <c r="D17" s="7">
        <v>45734</v>
      </c>
      <c r="E17" s="6" t="s">
        <v>81</v>
      </c>
      <c r="F17" s="6" t="s">
        <v>82</v>
      </c>
      <c r="G17" s="6" t="s">
        <v>143</v>
      </c>
      <c r="H17" s="6" t="s">
        <v>84</v>
      </c>
      <c r="I17" s="6" t="s">
        <v>124</v>
      </c>
      <c r="J17" s="6" t="s">
        <v>86</v>
      </c>
      <c r="K17" s="13" t="s">
        <v>87</v>
      </c>
      <c r="L17" s="16" t="s">
        <v>88</v>
      </c>
      <c r="M17" s="10" t="s">
        <v>125</v>
      </c>
      <c r="N17" s="6" t="s">
        <v>92</v>
      </c>
      <c r="O17" s="17" t="s">
        <v>144</v>
      </c>
      <c r="P17" s="6" t="s">
        <v>92</v>
      </c>
      <c r="Q17" s="17" t="s">
        <v>145</v>
      </c>
      <c r="R17" s="6" t="s">
        <v>89</v>
      </c>
      <c r="S17" s="17"/>
      <c r="T17" s="6" t="s">
        <v>89</v>
      </c>
      <c r="U17" s="6"/>
      <c r="V17" s="9" t="s">
        <v>131</v>
      </c>
      <c r="W17" s="6" t="s">
        <v>157</v>
      </c>
      <c r="X17" s="6" t="s">
        <v>120</v>
      </c>
      <c r="Y17" s="6">
        <v>0</v>
      </c>
      <c r="Z17" s="20">
        <v>45754</v>
      </c>
      <c r="AA17" s="20">
        <v>45784</v>
      </c>
      <c r="AB17" s="20">
        <v>45784</v>
      </c>
      <c r="AC17" s="13" t="s">
        <v>87</v>
      </c>
      <c r="AD17" s="13" t="s">
        <v>87</v>
      </c>
      <c r="AE17" s="6" t="s">
        <v>87</v>
      </c>
      <c r="AF17" s="6" t="s">
        <v>87</v>
      </c>
      <c r="AG17" s="7">
        <v>45761</v>
      </c>
      <c r="AH17" s="7">
        <v>45769</v>
      </c>
      <c r="AI17" s="6" t="s">
        <v>89</v>
      </c>
      <c r="AJ17" s="7">
        <v>45776</v>
      </c>
      <c r="AK17" s="6"/>
      <c r="AL17" s="6" t="s">
        <v>89</v>
      </c>
      <c r="AM17" s="8"/>
      <c r="AN17" s="8"/>
      <c r="AO17" s="6">
        <v>5</v>
      </c>
      <c r="AP17" s="7">
        <v>45769</v>
      </c>
      <c r="AQ17" s="6"/>
      <c r="AR17" s="6">
        <v>5</v>
      </c>
      <c r="AS17" s="6"/>
      <c r="AT17" s="6"/>
      <c r="AU17" s="13" t="s">
        <v>87</v>
      </c>
      <c r="AV17" s="13" t="s">
        <v>87</v>
      </c>
      <c r="AW17" s="13" t="s">
        <v>87</v>
      </c>
      <c r="AX17" s="13"/>
      <c r="AY17" s="6" t="s">
        <v>87</v>
      </c>
      <c r="AZ17" s="7">
        <v>45748</v>
      </c>
      <c r="BA17" s="7">
        <v>45765</v>
      </c>
      <c r="BB17" s="6" t="s">
        <v>87</v>
      </c>
      <c r="BC17" s="6" t="s">
        <v>87</v>
      </c>
      <c r="BD17" s="6" t="s">
        <v>92</v>
      </c>
      <c r="BE17" s="6" t="s">
        <v>92</v>
      </c>
      <c r="BF17" s="6" t="s">
        <v>87</v>
      </c>
      <c r="BG17" s="6" t="s">
        <v>87</v>
      </c>
      <c r="BH17" s="6" t="s">
        <v>87</v>
      </c>
      <c r="BI17" s="6" t="s">
        <v>92</v>
      </c>
      <c r="BJ17" s="6" t="s">
        <v>87</v>
      </c>
      <c r="BK17" s="6" t="s">
        <v>92</v>
      </c>
      <c r="BL17" s="6" t="s">
        <v>87</v>
      </c>
      <c r="BM17" s="6" t="s">
        <v>87</v>
      </c>
      <c r="BN17" s="14">
        <v>1</v>
      </c>
      <c r="BO17" s="6" t="s">
        <v>92</v>
      </c>
      <c r="BP17" s="6" t="s">
        <v>92</v>
      </c>
      <c r="BQ17" s="6" t="s">
        <v>87</v>
      </c>
      <c r="BR17" s="6" t="s">
        <v>87</v>
      </c>
      <c r="BS17" s="6" t="s">
        <v>87</v>
      </c>
      <c r="BT17" s="6" t="s">
        <v>87</v>
      </c>
      <c r="BU17" s="6" t="s">
        <v>87</v>
      </c>
      <c r="BV17" s="6"/>
      <c r="BW17" s="6" t="s">
        <v>101</v>
      </c>
      <c r="BX17" s="21" t="s">
        <v>158</v>
      </c>
      <c r="BY17" s="6"/>
      <c r="BZ17" s="6"/>
    </row>
    <row customHeight="true" ht="18.51851851851852" r="18">
      <c r="A18" s="6" t="s">
        <v>121</v>
      </c>
      <c r="B18" s="6" t="s">
        <v>120</v>
      </c>
      <c r="C18" s="6" t="s">
        <v>156</v>
      </c>
      <c r="D18" s="7">
        <v>45734</v>
      </c>
      <c r="E18" s="6" t="s">
        <v>81</v>
      </c>
      <c r="F18" s="6" t="s">
        <v>82</v>
      </c>
      <c r="G18" s="6" t="s">
        <v>143</v>
      </c>
      <c r="H18" s="6" t="s">
        <v>84</v>
      </c>
      <c r="I18" s="6" t="s">
        <v>124</v>
      </c>
      <c r="J18" s="6" t="s">
        <v>86</v>
      </c>
      <c r="K18" s="13" t="s">
        <v>87</v>
      </c>
      <c r="L18" s="16" t="s">
        <v>88</v>
      </c>
      <c r="M18" s="10"/>
      <c r="N18" s="6"/>
      <c r="O18" s="17"/>
      <c r="P18" s="6"/>
      <c r="Q18" s="17" t="s">
        <v>145</v>
      </c>
      <c r="R18" s="6" t="s">
        <v>89</v>
      </c>
      <c r="S18" s="17"/>
      <c r="T18" s="6"/>
      <c r="U18" s="6"/>
      <c r="V18" s="9" t="s">
        <v>131</v>
      </c>
      <c r="W18" s="6" t="s">
        <v>159</v>
      </c>
      <c r="X18" s="6" t="s">
        <v>120</v>
      </c>
      <c r="Y18" s="19">
        <v>1140</v>
      </c>
      <c r="Z18" s="7">
        <v>45761</v>
      </c>
      <c r="AA18" s="7">
        <v>45808</v>
      </c>
      <c r="AB18" s="7">
        <v>45808</v>
      </c>
      <c r="AC18" s="13" t="s">
        <v>87</v>
      </c>
      <c r="AD18" s="13" t="s">
        <v>87</v>
      </c>
      <c r="AE18" s="13" t="s">
        <v>87</v>
      </c>
      <c r="AF18" s="13" t="s">
        <v>87</v>
      </c>
      <c r="AG18" s="7">
        <v>45761</v>
      </c>
      <c r="AH18" s="7">
        <v>45769</v>
      </c>
      <c r="AI18" s="6" t="s">
        <v>89</v>
      </c>
      <c r="AJ18" s="7">
        <v>45776</v>
      </c>
      <c r="AK18" s="6"/>
      <c r="AL18" s="6" t="s">
        <v>89</v>
      </c>
      <c r="AM18" s="8"/>
      <c r="AN18" s="8"/>
      <c r="AO18" s="6">
        <v>5</v>
      </c>
      <c r="AP18" s="7">
        <v>45769</v>
      </c>
      <c r="AQ18" s="6"/>
      <c r="AR18" s="6">
        <v>5</v>
      </c>
      <c r="AS18" s="6"/>
      <c r="AT18" s="6"/>
      <c r="AU18" s="13" t="s">
        <v>87</v>
      </c>
      <c r="AV18" s="13" t="s">
        <v>87</v>
      </c>
      <c r="AW18" s="13" t="s">
        <v>87</v>
      </c>
      <c r="AX18" s="13"/>
      <c r="AY18" s="6"/>
      <c r="AZ18" s="7"/>
      <c r="BA18" s="7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14"/>
      <c r="BO18" s="6"/>
      <c r="BP18" s="6"/>
      <c r="BQ18" s="6"/>
      <c r="BR18" s="6"/>
      <c r="BS18" s="6" t="s">
        <v>87</v>
      </c>
      <c r="BT18" s="6" t="s">
        <v>87</v>
      </c>
      <c r="BU18" s="6" t="s">
        <v>87</v>
      </c>
      <c r="BV18" s="6"/>
      <c r="BW18" s="6" t="s">
        <v>101</v>
      </c>
      <c r="BX18" s="21" t="s">
        <v>158</v>
      </c>
      <c r="BY18" s="6"/>
      <c r="BZ18" s="6"/>
    </row>
    <row customHeight="true" ht="18.51851851851852" r="19">
      <c r="A19" s="6" t="s">
        <v>134</v>
      </c>
      <c r="B19" s="6" t="s">
        <v>135</v>
      </c>
      <c r="C19" s="6" t="s">
        <v>160</v>
      </c>
      <c r="D19" s="7">
        <v>45734</v>
      </c>
      <c r="E19" s="6" t="s">
        <v>81</v>
      </c>
      <c r="F19" s="6" t="s">
        <v>82</v>
      </c>
      <c r="G19" s="6" t="s">
        <v>143</v>
      </c>
      <c r="H19" s="6" t="s">
        <v>107</v>
      </c>
      <c r="I19" s="6" t="s">
        <v>124</v>
      </c>
      <c r="J19" s="6" t="s">
        <v>86</v>
      </c>
      <c r="K19" s="6" t="s">
        <v>87</v>
      </c>
      <c r="L19" s="16" t="s">
        <v>88</v>
      </c>
      <c r="M19" s="10" t="s">
        <v>125</v>
      </c>
      <c r="N19" s="6" t="s">
        <v>92</v>
      </c>
      <c r="O19" s="17" t="s">
        <v>144</v>
      </c>
      <c r="P19" s="6"/>
      <c r="Q19" s="17" t="s">
        <v>145</v>
      </c>
      <c r="R19" s="6" t="s">
        <v>89</v>
      </c>
      <c r="S19" s="17"/>
      <c r="T19" s="6" t="s">
        <v>89</v>
      </c>
      <c r="U19" s="6"/>
      <c r="V19" s="9" t="s">
        <v>131</v>
      </c>
      <c r="W19" s="6" t="s">
        <v>161</v>
      </c>
      <c r="X19" s="6" t="s">
        <v>135</v>
      </c>
      <c r="Y19" s="19">
        <v>340</v>
      </c>
      <c r="Z19" s="7">
        <v>45761</v>
      </c>
      <c r="AA19" s="7">
        <v>45808</v>
      </c>
      <c r="AB19" s="7">
        <v>45808</v>
      </c>
      <c r="AC19" s="6" t="s">
        <v>87</v>
      </c>
      <c r="AD19" s="6" t="s">
        <v>87</v>
      </c>
      <c r="AE19" s="6" t="s">
        <v>87</v>
      </c>
      <c r="AF19" s="6" t="s">
        <v>87</v>
      </c>
      <c r="AG19" s="7">
        <v>45761</v>
      </c>
      <c r="AH19" s="7">
        <v>45769</v>
      </c>
      <c r="AI19" s="6" t="s">
        <v>89</v>
      </c>
      <c r="AJ19" s="7">
        <v>45776</v>
      </c>
      <c r="AK19" s="6"/>
      <c r="AL19" s="6" t="s">
        <v>89</v>
      </c>
      <c r="AM19" s="8"/>
      <c r="AN19" s="8"/>
      <c r="AO19" s="6">
        <v>5</v>
      </c>
      <c r="AP19" s="7">
        <v>45769</v>
      </c>
      <c r="AQ19" s="6"/>
      <c r="AR19" s="6">
        <v>5</v>
      </c>
      <c r="AS19" s="6"/>
      <c r="AT19" s="6"/>
      <c r="AU19" s="6" t="s">
        <v>87</v>
      </c>
      <c r="AV19" s="6" t="s">
        <v>87</v>
      </c>
      <c r="AW19" s="13" t="s">
        <v>87</v>
      </c>
      <c r="AX19" s="13"/>
      <c r="AY19" s="6" t="s">
        <v>87</v>
      </c>
      <c r="AZ19" s="7">
        <v>45748</v>
      </c>
      <c r="BA19" s="7">
        <v>45765</v>
      </c>
      <c r="BB19" s="6" t="s">
        <v>87</v>
      </c>
      <c r="BC19" s="6" t="s">
        <v>87</v>
      </c>
      <c r="BD19" s="6" t="s">
        <v>92</v>
      </c>
      <c r="BE19" s="6" t="s">
        <v>92</v>
      </c>
      <c r="BF19" s="6" t="s">
        <v>87</v>
      </c>
      <c r="BG19" s="6" t="s">
        <v>87</v>
      </c>
      <c r="BH19" s="6" t="s">
        <v>87</v>
      </c>
      <c r="BI19" s="6" t="s">
        <v>92</v>
      </c>
      <c r="BJ19" s="6" t="s">
        <v>87</v>
      </c>
      <c r="BK19" s="6" t="s">
        <v>92</v>
      </c>
      <c r="BL19" s="6" t="s">
        <v>87</v>
      </c>
      <c r="BM19" s="6" t="s">
        <v>87</v>
      </c>
      <c r="BN19" s="14">
        <v>1</v>
      </c>
      <c r="BO19" s="6" t="s">
        <v>92</v>
      </c>
      <c r="BP19" s="6" t="s">
        <v>92</v>
      </c>
      <c r="BQ19" s="6" t="s">
        <v>87</v>
      </c>
      <c r="BR19" s="6" t="s">
        <v>87</v>
      </c>
      <c r="BS19" s="6" t="s">
        <v>87</v>
      </c>
      <c r="BT19" s="6" t="s">
        <v>87</v>
      </c>
      <c r="BU19" s="6" t="s">
        <v>87</v>
      </c>
      <c r="BV19" s="6"/>
      <c r="BW19" s="6" t="s">
        <v>101</v>
      </c>
      <c r="BX19" s="21" t="s">
        <v>162</v>
      </c>
      <c r="BY19" s="6"/>
      <c r="BZ19" s="6"/>
    </row>
    <row customHeight="true" ht="18.51851851851852" r="20">
      <c r="A20" s="6" t="s">
        <v>134</v>
      </c>
      <c r="B20" s="6" t="s">
        <v>135</v>
      </c>
      <c r="C20" s="6" t="s">
        <v>160</v>
      </c>
      <c r="D20" s="7">
        <v>45734</v>
      </c>
      <c r="E20" s="6" t="s">
        <v>81</v>
      </c>
      <c r="F20" s="6" t="s">
        <v>82</v>
      </c>
      <c r="G20" s="6" t="s">
        <v>143</v>
      </c>
      <c r="H20" s="6" t="s">
        <v>107</v>
      </c>
      <c r="I20" s="6" t="s">
        <v>124</v>
      </c>
      <c r="J20" s="6" t="s">
        <v>86</v>
      </c>
      <c r="K20" s="6" t="s">
        <v>87</v>
      </c>
      <c r="L20" s="16" t="s">
        <v>88</v>
      </c>
      <c r="M20" s="10" t="s">
        <v>125</v>
      </c>
      <c r="N20" s="6" t="s">
        <v>92</v>
      </c>
      <c r="O20" s="17" t="s">
        <v>144</v>
      </c>
      <c r="P20" s="6"/>
      <c r="Q20" s="17" t="s">
        <v>145</v>
      </c>
      <c r="R20" s="6" t="s">
        <v>89</v>
      </c>
      <c r="S20" s="17"/>
      <c r="T20" s="6" t="s">
        <v>89</v>
      </c>
      <c r="U20" s="6"/>
      <c r="V20" s="9" t="s">
        <v>131</v>
      </c>
      <c r="W20" s="6" t="s">
        <v>161</v>
      </c>
      <c r="X20" s="6" t="s">
        <v>135</v>
      </c>
      <c r="Y20" s="19">
        <v>340</v>
      </c>
      <c r="Z20" s="7">
        <v>45761</v>
      </c>
      <c r="AA20" s="7">
        <v>45808</v>
      </c>
      <c r="AB20" s="7">
        <v>45808</v>
      </c>
      <c r="AC20" s="6" t="s">
        <v>87</v>
      </c>
      <c r="AD20" s="6" t="s">
        <v>87</v>
      </c>
      <c r="AE20" s="6" t="s">
        <v>87</v>
      </c>
      <c r="AF20" s="6" t="s">
        <v>87</v>
      </c>
      <c r="AG20" s="7">
        <v>45761</v>
      </c>
      <c r="AH20" s="7">
        <v>45769</v>
      </c>
      <c r="AI20" s="6" t="s">
        <v>89</v>
      </c>
      <c r="AJ20" s="7">
        <v>45776</v>
      </c>
      <c r="AK20" s="6"/>
      <c r="AL20" s="6" t="s">
        <v>89</v>
      </c>
      <c r="AM20" s="8"/>
      <c r="AN20" s="8"/>
      <c r="AO20" s="6">
        <v>5</v>
      </c>
      <c r="AP20" s="7">
        <v>45769</v>
      </c>
      <c r="AQ20" s="6"/>
      <c r="AR20" s="6">
        <v>5</v>
      </c>
      <c r="AS20" s="6"/>
      <c r="AT20" s="6"/>
      <c r="AU20" s="6" t="s">
        <v>87</v>
      </c>
      <c r="AV20" s="6" t="s">
        <v>87</v>
      </c>
      <c r="AW20" s="13" t="s">
        <v>87</v>
      </c>
      <c r="AX20" s="13"/>
      <c r="AY20" s="6" t="s">
        <v>87</v>
      </c>
      <c r="AZ20" s="7">
        <v>45748</v>
      </c>
      <c r="BA20" s="7">
        <v>45765</v>
      </c>
      <c r="BB20" s="6" t="s">
        <v>87</v>
      </c>
      <c r="BC20" s="6" t="s">
        <v>87</v>
      </c>
      <c r="BD20" s="6" t="s">
        <v>92</v>
      </c>
      <c r="BE20" s="6" t="s">
        <v>92</v>
      </c>
      <c r="BF20" s="6" t="s">
        <v>87</v>
      </c>
      <c r="BG20" s="6" t="s">
        <v>87</v>
      </c>
      <c r="BH20" s="6" t="s">
        <v>87</v>
      </c>
      <c r="BI20" s="6" t="s">
        <v>92</v>
      </c>
      <c r="BJ20" s="6" t="s">
        <v>87</v>
      </c>
      <c r="BK20" s="6" t="s">
        <v>92</v>
      </c>
      <c r="BL20" s="6" t="s">
        <v>87</v>
      </c>
      <c r="BM20" s="6" t="s">
        <v>87</v>
      </c>
      <c r="BN20" s="14">
        <v>1</v>
      </c>
      <c r="BO20" s="6" t="s">
        <v>92</v>
      </c>
      <c r="BP20" s="6" t="s">
        <v>92</v>
      </c>
      <c r="BQ20" s="6" t="s">
        <v>87</v>
      </c>
      <c r="BR20" s="6" t="s">
        <v>87</v>
      </c>
      <c r="BS20" s="6" t="s">
        <v>87</v>
      </c>
      <c r="BT20" s="6" t="s">
        <v>87</v>
      </c>
      <c r="BU20" s="6" t="s">
        <v>87</v>
      </c>
      <c r="BV20" s="6"/>
      <c r="BW20" s="6" t="s">
        <v>101</v>
      </c>
      <c r="BX20" s="21" t="s">
        <v>162</v>
      </c>
      <c r="BY20" s="6"/>
      <c r="BZ20" s="6"/>
    </row>
    <row customHeight="true" ht="18.51851851851852" r="21">
      <c r="A21" s="6" t="s">
        <v>134</v>
      </c>
      <c r="B21" s="6" t="s">
        <v>135</v>
      </c>
      <c r="C21" s="17" t="s">
        <v>163</v>
      </c>
      <c r="D21" s="7">
        <v>45743</v>
      </c>
      <c r="E21" s="6" t="s">
        <v>81</v>
      </c>
      <c r="F21" s="6" t="s">
        <v>82</v>
      </c>
      <c r="G21" s="6" t="s">
        <v>83</v>
      </c>
      <c r="H21" s="6" t="s">
        <v>84</v>
      </c>
      <c r="I21" s="6" t="s">
        <v>85</v>
      </c>
      <c r="J21" s="6" t="s">
        <v>86</v>
      </c>
      <c r="K21" s="6" t="s">
        <v>87</v>
      </c>
      <c r="L21" s="16" t="s">
        <v>88</v>
      </c>
      <c r="M21" s="10" t="s">
        <v>164</v>
      </c>
      <c r="N21" s="6" t="s">
        <v>88</v>
      </c>
      <c r="O21" s="9" t="s">
        <v>165</v>
      </c>
      <c r="P21" s="6"/>
      <c r="Q21" s="17" t="s">
        <v>145</v>
      </c>
      <c r="R21" s="10" t="s">
        <v>166</v>
      </c>
      <c r="S21" s="17"/>
      <c r="T21" s="6" t="s">
        <v>89</v>
      </c>
      <c r="U21" s="6"/>
      <c r="V21" s="22" t="s">
        <v>167</v>
      </c>
      <c r="W21" s="6" t="s">
        <v>163</v>
      </c>
      <c r="X21" s="6" t="s">
        <v>135</v>
      </c>
      <c r="Y21" s="6"/>
      <c r="Z21" s="7">
        <v>45761</v>
      </c>
      <c r="AA21" s="7">
        <v>45808</v>
      </c>
      <c r="AB21" s="7">
        <v>45808</v>
      </c>
      <c r="AC21" s="6" t="s">
        <v>87</v>
      </c>
      <c r="AD21" s="6" t="s">
        <v>87</v>
      </c>
      <c r="AE21" s="6" t="s">
        <v>87</v>
      </c>
      <c r="AF21" s="6" t="s">
        <v>87</v>
      </c>
      <c r="AG21" s="20">
        <v>45761</v>
      </c>
      <c r="AH21" s="20">
        <v>45769</v>
      </c>
      <c r="AI21" s="6" t="s">
        <v>89</v>
      </c>
      <c r="AJ21" s="20">
        <v>45776</v>
      </c>
      <c r="AK21" s="6"/>
      <c r="AL21" s="6" t="s">
        <v>89</v>
      </c>
      <c r="AM21" s="8"/>
      <c r="AN21" s="8"/>
      <c r="AO21" s="6">
        <v>5</v>
      </c>
      <c r="AP21" s="7">
        <v>45769</v>
      </c>
      <c r="AQ21" s="6"/>
      <c r="AR21" s="6">
        <v>5</v>
      </c>
      <c r="AS21" s="6"/>
      <c r="AT21" s="6"/>
      <c r="AU21" s="6" t="s">
        <v>87</v>
      </c>
      <c r="AV21" s="6" t="s">
        <v>87</v>
      </c>
      <c r="AW21" s="13" t="s">
        <v>87</v>
      </c>
      <c r="AX21" s="13"/>
      <c r="AY21" s="6" t="s">
        <v>87</v>
      </c>
      <c r="AZ21" s="7">
        <v>45748</v>
      </c>
      <c r="BA21" s="7">
        <v>45765</v>
      </c>
      <c r="BB21" s="6" t="s">
        <v>87</v>
      </c>
      <c r="BC21" s="6" t="s">
        <v>87</v>
      </c>
      <c r="BD21" s="6" t="s">
        <v>92</v>
      </c>
      <c r="BE21" s="6" t="s">
        <v>92</v>
      </c>
      <c r="BF21" s="6" t="s">
        <v>87</v>
      </c>
      <c r="BG21" s="6" t="s">
        <v>87</v>
      </c>
      <c r="BH21" s="6" t="s">
        <v>87</v>
      </c>
      <c r="BI21" s="6" t="s">
        <v>92</v>
      </c>
      <c r="BJ21" s="6" t="s">
        <v>87</v>
      </c>
      <c r="BK21" s="6" t="s">
        <v>92</v>
      </c>
      <c r="BL21" s="6" t="s">
        <v>87</v>
      </c>
      <c r="BM21" s="6" t="s">
        <v>87</v>
      </c>
      <c r="BN21" s="14">
        <v>1</v>
      </c>
      <c r="BO21" s="6" t="s">
        <v>92</v>
      </c>
      <c r="BP21" s="6" t="s">
        <v>92</v>
      </c>
      <c r="BQ21" s="6" t="s">
        <v>87</v>
      </c>
      <c r="BR21" s="6" t="s">
        <v>87</v>
      </c>
      <c r="BS21" s="6" t="s">
        <v>87</v>
      </c>
      <c r="BT21" s="6" t="s">
        <v>87</v>
      </c>
      <c r="BU21" s="6" t="s">
        <v>87</v>
      </c>
      <c r="BV21" s="6"/>
      <c r="BW21" s="6" t="s">
        <v>101</v>
      </c>
      <c r="BX21" s="6"/>
      <c r="BY21" s="6"/>
      <c r="BZ21" s="6"/>
    </row>
    <row customHeight="true" ht="18.51851851851852" r="22">
      <c r="A22" s="6" t="s">
        <v>134</v>
      </c>
      <c r="B22" s="6" t="s">
        <v>135</v>
      </c>
      <c r="C22" s="17" t="s">
        <v>168</v>
      </c>
      <c r="D22" s="7">
        <v>45743</v>
      </c>
      <c r="E22" s="6" t="s">
        <v>81</v>
      </c>
      <c r="F22" s="6" t="s">
        <v>82</v>
      </c>
      <c r="G22" s="6" t="s">
        <v>83</v>
      </c>
      <c r="H22" s="6" t="s">
        <v>107</v>
      </c>
      <c r="I22" s="6" t="s">
        <v>85</v>
      </c>
      <c r="J22" s="6" t="s">
        <v>86</v>
      </c>
      <c r="K22" s="6" t="s">
        <v>87</v>
      </c>
      <c r="L22" s="16" t="s">
        <v>88</v>
      </c>
      <c r="M22" s="10" t="s">
        <v>164</v>
      </c>
      <c r="N22" s="6" t="s">
        <v>88</v>
      </c>
      <c r="O22" s="9" t="s">
        <v>165</v>
      </c>
      <c r="P22" s="6"/>
      <c r="Q22" s="17" t="s">
        <v>145</v>
      </c>
      <c r="R22" s="17"/>
      <c r="S22" s="17"/>
      <c r="T22" s="6" t="s">
        <v>89</v>
      </c>
      <c r="U22" s="6"/>
      <c r="V22" s="22" t="s">
        <v>167</v>
      </c>
      <c r="W22" s="6" t="s">
        <v>168</v>
      </c>
      <c r="X22" s="6" t="s">
        <v>135</v>
      </c>
      <c r="Y22" s="6"/>
      <c r="Z22" s="7">
        <v>45761</v>
      </c>
      <c r="AA22" s="7">
        <v>45808</v>
      </c>
      <c r="AB22" s="7">
        <v>45808</v>
      </c>
      <c r="AC22" s="6" t="s">
        <v>87</v>
      </c>
      <c r="AD22" s="6" t="s">
        <v>87</v>
      </c>
      <c r="AE22" s="6" t="s">
        <v>87</v>
      </c>
      <c r="AF22" s="6" t="s">
        <v>87</v>
      </c>
      <c r="AG22" s="20">
        <v>45761</v>
      </c>
      <c r="AH22" s="20">
        <v>45769</v>
      </c>
      <c r="AI22" s="6" t="s">
        <v>89</v>
      </c>
      <c r="AJ22" s="20">
        <v>45776</v>
      </c>
      <c r="AK22" s="6"/>
      <c r="AL22" s="6" t="s">
        <v>89</v>
      </c>
      <c r="AM22" s="8"/>
      <c r="AN22" s="8"/>
      <c r="AO22" s="6">
        <v>5</v>
      </c>
      <c r="AP22" s="7">
        <v>45769</v>
      </c>
      <c r="AQ22" s="6"/>
      <c r="AR22" s="6">
        <v>5</v>
      </c>
      <c r="AS22" s="6"/>
      <c r="AT22" s="6"/>
      <c r="AU22" s="6" t="s">
        <v>87</v>
      </c>
      <c r="AV22" s="6" t="s">
        <v>87</v>
      </c>
      <c r="AW22" s="13" t="s">
        <v>87</v>
      </c>
      <c r="AX22" s="13"/>
      <c r="AY22" s="6" t="s">
        <v>87</v>
      </c>
      <c r="AZ22" s="7">
        <v>45748</v>
      </c>
      <c r="BA22" s="7">
        <v>45765</v>
      </c>
      <c r="BB22" s="6" t="s">
        <v>87</v>
      </c>
      <c r="BC22" s="6" t="s">
        <v>87</v>
      </c>
      <c r="BD22" s="6" t="s">
        <v>92</v>
      </c>
      <c r="BE22" s="6" t="s">
        <v>92</v>
      </c>
      <c r="BF22" s="6" t="s">
        <v>87</v>
      </c>
      <c r="BG22" s="6" t="s">
        <v>87</v>
      </c>
      <c r="BH22" s="6" t="s">
        <v>87</v>
      </c>
      <c r="BI22" s="6" t="s">
        <v>92</v>
      </c>
      <c r="BJ22" s="6" t="s">
        <v>87</v>
      </c>
      <c r="BK22" s="6" t="s">
        <v>92</v>
      </c>
      <c r="BL22" s="6" t="s">
        <v>87</v>
      </c>
      <c r="BM22" s="6" t="s">
        <v>87</v>
      </c>
      <c r="BN22" s="14">
        <v>1</v>
      </c>
      <c r="BO22" s="6" t="s">
        <v>92</v>
      </c>
      <c r="BP22" s="6" t="s">
        <v>92</v>
      </c>
      <c r="BQ22" s="6" t="s">
        <v>87</v>
      </c>
      <c r="BR22" s="6" t="s">
        <v>87</v>
      </c>
      <c r="BS22" s="6" t="s">
        <v>87</v>
      </c>
      <c r="BT22" s="6" t="s">
        <v>87</v>
      </c>
      <c r="BU22" s="6" t="s">
        <v>87</v>
      </c>
      <c r="BV22" s="6"/>
      <c r="BW22" s="6" t="s">
        <v>101</v>
      </c>
      <c r="BX22" s="6"/>
      <c r="BY22" s="6"/>
      <c r="BZ22" s="6"/>
    </row>
    <row customHeight="true" ht="18.51851851851852" r="23">
      <c r="A23" s="6" t="s">
        <v>134</v>
      </c>
      <c r="B23" s="6" t="s">
        <v>135</v>
      </c>
      <c r="C23" s="17" t="s">
        <v>169</v>
      </c>
      <c r="D23" s="7">
        <v>45749</v>
      </c>
      <c r="E23" s="6" t="s">
        <v>81</v>
      </c>
      <c r="F23" s="6" t="s">
        <v>82</v>
      </c>
      <c r="G23" s="6" t="s">
        <v>83</v>
      </c>
      <c r="H23" s="6" t="s">
        <v>84</v>
      </c>
      <c r="I23" s="6" t="s">
        <v>124</v>
      </c>
      <c r="J23" s="6" t="s">
        <v>86</v>
      </c>
      <c r="K23" s="6" t="s">
        <v>87</v>
      </c>
      <c r="L23" s="16" t="s">
        <v>88</v>
      </c>
      <c r="M23" s="10" t="s">
        <v>170</v>
      </c>
      <c r="N23" s="6" t="s">
        <v>88</v>
      </c>
      <c r="O23" s="9" t="s">
        <v>165</v>
      </c>
      <c r="P23" s="6"/>
      <c r="Q23" s="17" t="s">
        <v>145</v>
      </c>
      <c r="R23" s="10" t="s">
        <v>171</v>
      </c>
      <c r="S23" s="17"/>
      <c r="T23" s="6" t="s">
        <v>89</v>
      </c>
      <c r="U23" s="6"/>
      <c r="V23" s="22" t="s">
        <v>172</v>
      </c>
      <c r="W23" s="6" t="s">
        <v>169</v>
      </c>
      <c r="X23" s="6" t="s">
        <v>135</v>
      </c>
      <c r="Y23" s="6"/>
      <c r="Z23" s="7">
        <v>45761</v>
      </c>
      <c r="AA23" s="7">
        <v>45808</v>
      </c>
      <c r="AB23" s="7">
        <v>45808</v>
      </c>
      <c r="AC23" s="6" t="s">
        <v>87</v>
      </c>
      <c r="AD23" s="6" t="s">
        <v>87</v>
      </c>
      <c r="AE23" s="6" t="s">
        <v>87</v>
      </c>
      <c r="AF23" s="6" t="s">
        <v>87</v>
      </c>
      <c r="AG23" s="20">
        <v>45761</v>
      </c>
      <c r="AH23" s="20">
        <v>45769</v>
      </c>
      <c r="AI23" s="6" t="s">
        <v>89</v>
      </c>
      <c r="AJ23" s="20">
        <v>45776</v>
      </c>
      <c r="AK23" s="6"/>
      <c r="AL23" s="6" t="s">
        <v>89</v>
      </c>
      <c r="AM23" s="8"/>
      <c r="AN23" s="8"/>
      <c r="AO23" s="6">
        <v>5</v>
      </c>
      <c r="AP23" s="7">
        <v>45769</v>
      </c>
      <c r="AQ23" s="6"/>
      <c r="AR23" s="6">
        <v>5</v>
      </c>
      <c r="AS23" s="6"/>
      <c r="AT23" s="6"/>
      <c r="AU23" s="6" t="s">
        <v>87</v>
      </c>
      <c r="AV23" s="6" t="s">
        <v>87</v>
      </c>
      <c r="AW23" s="13" t="s">
        <v>87</v>
      </c>
      <c r="AX23" s="13"/>
      <c r="AY23" s="6" t="s">
        <v>87</v>
      </c>
      <c r="AZ23" s="7">
        <v>45748</v>
      </c>
      <c r="BA23" s="7">
        <v>45765</v>
      </c>
      <c r="BB23" s="6" t="s">
        <v>87</v>
      </c>
      <c r="BC23" s="6" t="s">
        <v>87</v>
      </c>
      <c r="BD23" s="6" t="s">
        <v>92</v>
      </c>
      <c r="BE23" s="6" t="s">
        <v>92</v>
      </c>
      <c r="BF23" s="6" t="s">
        <v>87</v>
      </c>
      <c r="BG23" s="6" t="s">
        <v>87</v>
      </c>
      <c r="BH23" s="6" t="s">
        <v>87</v>
      </c>
      <c r="BI23" s="6" t="s">
        <v>92</v>
      </c>
      <c r="BJ23" s="6" t="s">
        <v>87</v>
      </c>
      <c r="BK23" s="6" t="s">
        <v>92</v>
      </c>
      <c r="BL23" s="6" t="s">
        <v>87</v>
      </c>
      <c r="BM23" s="6" t="s">
        <v>87</v>
      </c>
      <c r="BN23" s="14">
        <v>1</v>
      </c>
      <c r="BO23" s="6" t="s">
        <v>92</v>
      </c>
      <c r="BP23" s="6" t="s">
        <v>92</v>
      </c>
      <c r="BQ23" s="6" t="s">
        <v>87</v>
      </c>
      <c r="BR23" s="6" t="s">
        <v>87</v>
      </c>
      <c r="BS23" s="6" t="s">
        <v>87</v>
      </c>
      <c r="BT23" s="6" t="s">
        <v>87</v>
      </c>
      <c r="BU23" s="6" t="s">
        <v>87</v>
      </c>
      <c r="BV23" s="6"/>
      <c r="BW23" s="6" t="s">
        <v>101</v>
      </c>
      <c r="BX23" s="6"/>
      <c r="BY23" s="6"/>
      <c r="BZ23" s="6"/>
    </row>
    <row customHeight="true" ht="18.51851851851852" r="24">
      <c r="A24" s="6" t="s">
        <v>134</v>
      </c>
      <c r="B24" s="6" t="s">
        <v>135</v>
      </c>
      <c r="C24" s="17" t="s">
        <v>173</v>
      </c>
      <c r="D24" s="7">
        <v>45749</v>
      </c>
      <c r="E24" s="6" t="s">
        <v>81</v>
      </c>
      <c r="F24" s="6" t="s">
        <v>82</v>
      </c>
      <c r="G24" s="6" t="s">
        <v>83</v>
      </c>
      <c r="H24" s="6" t="s">
        <v>107</v>
      </c>
      <c r="I24" s="6" t="s">
        <v>124</v>
      </c>
      <c r="J24" s="6" t="s">
        <v>86</v>
      </c>
      <c r="K24" s="6" t="s">
        <v>87</v>
      </c>
      <c r="L24" s="16" t="s">
        <v>88</v>
      </c>
      <c r="M24" s="10" t="s">
        <v>170</v>
      </c>
      <c r="N24" s="6" t="s">
        <v>88</v>
      </c>
      <c r="O24" s="9"/>
      <c r="P24" s="6"/>
      <c r="Q24" s="17" t="s">
        <v>145</v>
      </c>
      <c r="R24" s="17"/>
      <c r="S24" s="17"/>
      <c r="T24" s="6" t="s">
        <v>89</v>
      </c>
      <c r="U24" s="13"/>
      <c r="V24" s="22" t="s">
        <v>172</v>
      </c>
      <c r="W24" s="6" t="s">
        <v>173</v>
      </c>
      <c r="X24" s="6" t="s">
        <v>135</v>
      </c>
      <c r="Y24" s="6"/>
      <c r="Z24" s="7">
        <v>45761</v>
      </c>
      <c r="AA24" s="7">
        <v>45808</v>
      </c>
      <c r="AB24" s="7">
        <v>45808</v>
      </c>
      <c r="AC24" s="6" t="s">
        <v>87</v>
      </c>
      <c r="AD24" s="6" t="s">
        <v>87</v>
      </c>
      <c r="AE24" s="6" t="s">
        <v>87</v>
      </c>
      <c r="AF24" s="6" t="s">
        <v>87</v>
      </c>
      <c r="AG24" s="20">
        <v>45761</v>
      </c>
      <c r="AH24" s="20">
        <v>45769</v>
      </c>
      <c r="AI24" s="6" t="s">
        <v>89</v>
      </c>
      <c r="AJ24" s="20">
        <v>45776</v>
      </c>
      <c r="AK24" s="6"/>
      <c r="AL24" s="6" t="s">
        <v>89</v>
      </c>
      <c r="AM24" s="8"/>
      <c r="AN24" s="8"/>
      <c r="AO24" s="6">
        <v>5</v>
      </c>
      <c r="AP24" s="7">
        <v>45769</v>
      </c>
      <c r="AQ24" s="6"/>
      <c r="AR24" s="6">
        <v>5</v>
      </c>
      <c r="AS24" s="6"/>
      <c r="AT24" s="6"/>
      <c r="AU24" s="6" t="s">
        <v>87</v>
      </c>
      <c r="AV24" s="6" t="s">
        <v>87</v>
      </c>
      <c r="AW24" s="13" t="s">
        <v>87</v>
      </c>
      <c r="AX24" s="13"/>
      <c r="AY24" s="6" t="s">
        <v>87</v>
      </c>
      <c r="AZ24" s="7">
        <v>45748</v>
      </c>
      <c r="BA24" s="7">
        <v>45765</v>
      </c>
      <c r="BB24" s="6" t="s">
        <v>87</v>
      </c>
      <c r="BC24" s="6" t="s">
        <v>87</v>
      </c>
      <c r="BD24" s="6" t="s">
        <v>92</v>
      </c>
      <c r="BE24" s="6" t="s">
        <v>92</v>
      </c>
      <c r="BF24" s="6" t="s">
        <v>87</v>
      </c>
      <c r="BG24" s="6" t="s">
        <v>87</v>
      </c>
      <c r="BH24" s="6" t="s">
        <v>87</v>
      </c>
      <c r="BI24" s="6" t="s">
        <v>92</v>
      </c>
      <c r="BJ24" s="6" t="s">
        <v>87</v>
      </c>
      <c r="BK24" s="6" t="s">
        <v>92</v>
      </c>
      <c r="BL24" s="6" t="s">
        <v>87</v>
      </c>
      <c r="BM24" s="6" t="s">
        <v>87</v>
      </c>
      <c r="BN24" s="14">
        <v>1</v>
      </c>
      <c r="BO24" s="6" t="s">
        <v>92</v>
      </c>
      <c r="BP24" s="6" t="s">
        <v>92</v>
      </c>
      <c r="BQ24" s="6" t="s">
        <v>87</v>
      </c>
      <c r="BR24" s="6" t="s">
        <v>87</v>
      </c>
      <c r="BS24" s="6" t="s">
        <v>87</v>
      </c>
      <c r="BT24" s="6" t="s">
        <v>87</v>
      </c>
      <c r="BU24" s="6" t="s">
        <v>87</v>
      </c>
      <c r="BV24" s="6"/>
      <c r="BW24" s="6" t="s">
        <v>101</v>
      </c>
      <c r="BX24" s="6"/>
      <c r="BY24" s="6"/>
      <c r="BZ24" s="6"/>
    </row>
    <row customHeight="true" ht="18.51851851851852" r="25">
      <c r="A25" s="6" t="s">
        <v>134</v>
      </c>
      <c r="B25" s="6" t="s">
        <v>135</v>
      </c>
      <c r="C25" s="17" t="s">
        <v>173</v>
      </c>
      <c r="D25" s="7">
        <v>45749</v>
      </c>
      <c r="E25" s="6" t="s">
        <v>81</v>
      </c>
      <c r="F25" s="6" t="s">
        <v>82</v>
      </c>
      <c r="G25" s="6" t="s">
        <v>83</v>
      </c>
      <c r="H25" s="6" t="s">
        <v>107</v>
      </c>
      <c r="I25" s="6" t="s">
        <v>124</v>
      </c>
      <c r="J25" s="6" t="s">
        <v>86</v>
      </c>
      <c r="K25" s="6" t="s">
        <v>87</v>
      </c>
      <c r="L25" s="16" t="s">
        <v>88</v>
      </c>
      <c r="M25" s="10" t="s">
        <v>170</v>
      </c>
      <c r="N25" s="6" t="s">
        <v>88</v>
      </c>
      <c r="O25" s="9"/>
      <c r="P25" s="6"/>
      <c r="Q25" s="17" t="s">
        <v>145</v>
      </c>
      <c r="R25" s="17"/>
      <c r="S25" s="17"/>
      <c r="T25" s="6" t="s">
        <v>89</v>
      </c>
      <c r="U25" s="13"/>
      <c r="V25" s="22" t="s">
        <v>172</v>
      </c>
      <c r="W25" s="6" t="s">
        <v>173</v>
      </c>
      <c r="X25" s="6" t="s">
        <v>135</v>
      </c>
      <c r="Y25" s="6"/>
      <c r="Z25" s="7">
        <v>45761</v>
      </c>
      <c r="AA25" s="7">
        <v>45808</v>
      </c>
      <c r="AB25" s="7">
        <v>45808</v>
      </c>
      <c r="AC25" s="6" t="s">
        <v>87</v>
      </c>
      <c r="AD25" s="6" t="s">
        <v>87</v>
      </c>
      <c r="AE25" s="6" t="s">
        <v>87</v>
      </c>
      <c r="AF25" s="6" t="s">
        <v>87</v>
      </c>
      <c r="AG25" s="20">
        <v>45761</v>
      </c>
      <c r="AH25" s="20">
        <v>45769</v>
      </c>
      <c r="AI25" s="6" t="s">
        <v>89</v>
      </c>
      <c r="AJ25" s="20">
        <v>45776</v>
      </c>
      <c r="AK25" s="6"/>
      <c r="AL25" s="6" t="s">
        <v>89</v>
      </c>
      <c r="AM25" s="8"/>
      <c r="AN25" s="8"/>
      <c r="AO25" s="6">
        <v>5</v>
      </c>
      <c r="AP25" s="7">
        <v>45769</v>
      </c>
      <c r="AQ25" s="6"/>
      <c r="AR25" s="6">
        <v>5</v>
      </c>
      <c r="AS25" s="6"/>
      <c r="AT25" s="6"/>
      <c r="AU25" s="6" t="s">
        <v>87</v>
      </c>
      <c r="AV25" s="6" t="s">
        <v>87</v>
      </c>
      <c r="AW25" s="13" t="s">
        <v>87</v>
      </c>
      <c r="AX25" s="13"/>
      <c r="AY25" s="6" t="s">
        <v>87</v>
      </c>
      <c r="AZ25" s="7">
        <v>45748</v>
      </c>
      <c r="BA25" s="7">
        <v>45765</v>
      </c>
      <c r="BB25" s="6" t="s">
        <v>87</v>
      </c>
      <c r="BC25" s="6" t="s">
        <v>87</v>
      </c>
      <c r="BD25" s="6" t="s">
        <v>92</v>
      </c>
      <c r="BE25" s="6" t="s">
        <v>92</v>
      </c>
      <c r="BF25" s="6" t="s">
        <v>87</v>
      </c>
      <c r="BG25" s="6" t="s">
        <v>87</v>
      </c>
      <c r="BH25" s="6" t="s">
        <v>87</v>
      </c>
      <c r="BI25" s="6" t="s">
        <v>92</v>
      </c>
      <c r="BJ25" s="6" t="s">
        <v>87</v>
      </c>
      <c r="BK25" s="6" t="s">
        <v>92</v>
      </c>
      <c r="BL25" s="6" t="s">
        <v>87</v>
      </c>
      <c r="BM25" s="6" t="s">
        <v>87</v>
      </c>
      <c r="BN25" s="14">
        <v>1</v>
      </c>
      <c r="BO25" s="6" t="s">
        <v>92</v>
      </c>
      <c r="BP25" s="6" t="s">
        <v>92</v>
      </c>
      <c r="BQ25" s="6" t="s">
        <v>87</v>
      </c>
      <c r="BR25" s="6" t="s">
        <v>87</v>
      </c>
      <c r="BS25" s="6" t="s">
        <v>87</v>
      </c>
      <c r="BT25" s="6" t="s">
        <v>87</v>
      </c>
      <c r="BU25" s="6" t="s">
        <v>87</v>
      </c>
      <c r="BV25" s="6"/>
      <c r="BW25" s="6" t="s">
        <v>101</v>
      </c>
      <c r="BX25" s="6"/>
      <c r="BY25" s="6"/>
      <c r="BZ25" s="6"/>
    </row>
    <row customHeight="true" ht="18.51851851851852" r="26">
      <c r="A26" s="6" t="s">
        <v>134</v>
      </c>
      <c r="B26" s="6" t="s">
        <v>135</v>
      </c>
      <c r="C26" s="17" t="s">
        <v>174</v>
      </c>
      <c r="D26" s="7">
        <v>45754</v>
      </c>
      <c r="E26" s="6" t="s">
        <v>81</v>
      </c>
      <c r="F26" s="6" t="s">
        <v>82</v>
      </c>
      <c r="G26" s="6" t="s">
        <v>83</v>
      </c>
      <c r="H26" s="6" t="s">
        <v>84</v>
      </c>
      <c r="I26" s="6" t="s">
        <v>124</v>
      </c>
      <c r="J26" s="6" t="s">
        <v>86</v>
      </c>
      <c r="K26" s="6" t="s">
        <v>87</v>
      </c>
      <c r="L26" s="16" t="s">
        <v>88</v>
      </c>
      <c r="M26" s="10" t="s">
        <v>175</v>
      </c>
      <c r="N26" s="6" t="s">
        <v>88</v>
      </c>
      <c r="O26" s="9" t="s">
        <v>176</v>
      </c>
      <c r="P26" s="6"/>
      <c r="Q26" s="9" t="s">
        <v>177</v>
      </c>
      <c r="R26" s="9" t="s">
        <v>178</v>
      </c>
      <c r="S26" s="17"/>
      <c r="T26" s="6" t="s">
        <v>89</v>
      </c>
      <c r="U26" s="13"/>
      <c r="V26" s="22" t="s">
        <v>172</v>
      </c>
      <c r="W26" s="6" t="s">
        <v>174</v>
      </c>
      <c r="X26" s="6" t="s">
        <v>135</v>
      </c>
      <c r="Y26" s="6"/>
      <c r="Z26" s="7">
        <v>45761</v>
      </c>
      <c r="AA26" s="7">
        <v>45808</v>
      </c>
      <c r="AB26" s="7">
        <v>45808</v>
      </c>
      <c r="AC26" s="6" t="s">
        <v>87</v>
      </c>
      <c r="AD26" s="6" t="s">
        <v>87</v>
      </c>
      <c r="AE26" s="6" t="s">
        <v>87</v>
      </c>
      <c r="AF26" s="6" t="s">
        <v>87</v>
      </c>
      <c r="AG26" s="20">
        <v>45761</v>
      </c>
      <c r="AH26" s="20">
        <v>45769</v>
      </c>
      <c r="AI26" s="6" t="s">
        <v>89</v>
      </c>
      <c r="AJ26" s="20">
        <v>45776</v>
      </c>
      <c r="AK26" s="6"/>
      <c r="AL26" s="6" t="s">
        <v>89</v>
      </c>
      <c r="AM26" s="8"/>
      <c r="AN26" s="8"/>
      <c r="AO26" s="6">
        <v>5</v>
      </c>
      <c r="AP26" s="7">
        <v>45769</v>
      </c>
      <c r="AQ26" s="6"/>
      <c r="AR26" s="6">
        <v>5</v>
      </c>
      <c r="AS26" s="6"/>
      <c r="AT26" s="6"/>
      <c r="AU26" s="6" t="s">
        <v>87</v>
      </c>
      <c r="AV26" s="6" t="s">
        <v>87</v>
      </c>
      <c r="AW26" s="13" t="s">
        <v>87</v>
      </c>
      <c r="AX26" s="13"/>
      <c r="AY26" s="6" t="s">
        <v>87</v>
      </c>
      <c r="AZ26" s="7">
        <v>45748</v>
      </c>
      <c r="BA26" s="7">
        <v>45765</v>
      </c>
      <c r="BB26" s="6" t="s">
        <v>87</v>
      </c>
      <c r="BC26" s="6" t="s">
        <v>87</v>
      </c>
      <c r="BD26" s="6" t="s">
        <v>92</v>
      </c>
      <c r="BE26" s="6" t="s">
        <v>92</v>
      </c>
      <c r="BF26" s="6" t="s">
        <v>87</v>
      </c>
      <c r="BG26" s="6" t="s">
        <v>87</v>
      </c>
      <c r="BH26" s="6" t="s">
        <v>87</v>
      </c>
      <c r="BI26" s="6" t="s">
        <v>92</v>
      </c>
      <c r="BJ26" s="6" t="s">
        <v>87</v>
      </c>
      <c r="BK26" s="6" t="s">
        <v>92</v>
      </c>
      <c r="BL26" s="6" t="s">
        <v>87</v>
      </c>
      <c r="BM26" s="6" t="s">
        <v>87</v>
      </c>
      <c r="BN26" s="14">
        <v>1</v>
      </c>
      <c r="BO26" s="6" t="s">
        <v>92</v>
      </c>
      <c r="BP26" s="6" t="s">
        <v>92</v>
      </c>
      <c r="BQ26" s="6" t="s">
        <v>87</v>
      </c>
      <c r="BR26" s="6" t="s">
        <v>87</v>
      </c>
      <c r="BS26" s="6" t="s">
        <v>87</v>
      </c>
      <c r="BT26" s="6" t="s">
        <v>87</v>
      </c>
      <c r="BU26" s="6" t="s">
        <v>87</v>
      </c>
      <c r="BV26" s="6"/>
      <c r="BW26" s="6" t="s">
        <v>101</v>
      </c>
      <c r="BX26" s="6"/>
      <c r="BY26" s="6"/>
      <c r="BZ26" s="6"/>
    </row>
    <row customHeight="true" ht="18.51851851851852" r="27">
      <c r="A27" s="6" t="s">
        <v>134</v>
      </c>
      <c r="B27" s="6" t="s">
        <v>135</v>
      </c>
      <c r="C27" s="17" t="s">
        <v>179</v>
      </c>
      <c r="D27" s="7">
        <v>45754</v>
      </c>
      <c r="E27" s="6" t="s">
        <v>81</v>
      </c>
      <c r="F27" s="6" t="s">
        <v>82</v>
      </c>
      <c r="G27" s="6" t="s">
        <v>83</v>
      </c>
      <c r="H27" s="6" t="s">
        <v>107</v>
      </c>
      <c r="I27" s="6" t="s">
        <v>124</v>
      </c>
      <c r="J27" s="6" t="s">
        <v>86</v>
      </c>
      <c r="K27" s="6" t="s">
        <v>87</v>
      </c>
      <c r="L27" s="16" t="s">
        <v>88</v>
      </c>
      <c r="M27" s="10" t="s">
        <v>175</v>
      </c>
      <c r="N27" s="6"/>
      <c r="O27" s="9"/>
      <c r="P27" s="6"/>
      <c r="Q27" s="9" t="s">
        <v>180</v>
      </c>
      <c r="R27" s="9" t="s">
        <v>178</v>
      </c>
      <c r="S27" s="17"/>
      <c r="T27" s="6" t="s">
        <v>89</v>
      </c>
      <c r="U27" s="13"/>
      <c r="V27" s="22" t="s">
        <v>172</v>
      </c>
      <c r="W27" s="6" t="s">
        <v>179</v>
      </c>
      <c r="X27" s="6" t="s">
        <v>135</v>
      </c>
      <c r="Y27" s="6"/>
      <c r="Z27" s="7">
        <v>45761</v>
      </c>
      <c r="AA27" s="7">
        <v>45808</v>
      </c>
      <c r="AB27" s="7">
        <v>45808</v>
      </c>
      <c r="AC27" s="6" t="s">
        <v>87</v>
      </c>
      <c r="AD27" s="6" t="s">
        <v>87</v>
      </c>
      <c r="AE27" s="6" t="s">
        <v>87</v>
      </c>
      <c r="AF27" s="6" t="s">
        <v>87</v>
      </c>
      <c r="AG27" s="20">
        <v>45761</v>
      </c>
      <c r="AH27" s="20">
        <v>45769</v>
      </c>
      <c r="AI27" s="6" t="s">
        <v>89</v>
      </c>
      <c r="AJ27" s="20">
        <v>45776</v>
      </c>
      <c r="AK27" s="6"/>
      <c r="AL27" s="6" t="s">
        <v>89</v>
      </c>
      <c r="AM27" s="8"/>
      <c r="AN27" s="8"/>
      <c r="AO27" s="6">
        <v>5</v>
      </c>
      <c r="AP27" s="7">
        <v>45769</v>
      </c>
      <c r="AQ27" s="6"/>
      <c r="AR27" s="6">
        <v>5</v>
      </c>
      <c r="AS27" s="6"/>
      <c r="AT27" s="6"/>
      <c r="AU27" s="6" t="s">
        <v>87</v>
      </c>
      <c r="AV27" s="6" t="s">
        <v>87</v>
      </c>
      <c r="AW27" s="13" t="s">
        <v>87</v>
      </c>
      <c r="AX27" s="13"/>
      <c r="AY27" s="6" t="s">
        <v>87</v>
      </c>
      <c r="AZ27" s="7">
        <v>45748</v>
      </c>
      <c r="BA27" s="7">
        <v>45765</v>
      </c>
      <c r="BB27" s="6" t="s">
        <v>87</v>
      </c>
      <c r="BC27" s="6" t="s">
        <v>87</v>
      </c>
      <c r="BD27" s="6" t="s">
        <v>92</v>
      </c>
      <c r="BE27" s="6" t="s">
        <v>92</v>
      </c>
      <c r="BF27" s="6" t="s">
        <v>87</v>
      </c>
      <c r="BG27" s="6" t="s">
        <v>87</v>
      </c>
      <c r="BH27" s="6" t="s">
        <v>87</v>
      </c>
      <c r="BI27" s="6" t="s">
        <v>92</v>
      </c>
      <c r="BJ27" s="6" t="s">
        <v>87</v>
      </c>
      <c r="BK27" s="6" t="s">
        <v>92</v>
      </c>
      <c r="BL27" s="6" t="s">
        <v>87</v>
      </c>
      <c r="BM27" s="6" t="s">
        <v>87</v>
      </c>
      <c r="BN27" s="14">
        <v>1</v>
      </c>
      <c r="BO27" s="6" t="s">
        <v>92</v>
      </c>
      <c r="BP27" s="6" t="s">
        <v>92</v>
      </c>
      <c r="BQ27" s="6" t="s">
        <v>87</v>
      </c>
      <c r="BR27" s="6" t="s">
        <v>87</v>
      </c>
      <c r="BS27" s="6" t="s">
        <v>87</v>
      </c>
      <c r="BT27" s="6" t="s">
        <v>87</v>
      </c>
      <c r="BU27" s="6" t="s">
        <v>87</v>
      </c>
      <c r="BV27" s="6"/>
      <c r="BW27" s="6" t="s">
        <v>101</v>
      </c>
      <c r="BX27" s="6"/>
      <c r="BY27" s="6"/>
      <c r="BZ27" s="6"/>
    </row>
    <row customHeight="true" ht="18.51851851851852" r="28">
      <c r="A28" s="6" t="s">
        <v>134</v>
      </c>
      <c r="B28" s="6" t="s">
        <v>135</v>
      </c>
      <c r="C28" s="17" t="s">
        <v>181</v>
      </c>
      <c r="D28" s="7">
        <v>45754</v>
      </c>
      <c r="E28" s="6" t="s">
        <v>81</v>
      </c>
      <c r="F28" s="6" t="s">
        <v>82</v>
      </c>
      <c r="G28" s="6" t="s">
        <v>83</v>
      </c>
      <c r="H28" s="6" t="s">
        <v>84</v>
      </c>
      <c r="I28" s="6" t="s">
        <v>124</v>
      </c>
      <c r="J28" s="6" t="s">
        <v>86</v>
      </c>
      <c r="K28" s="6" t="s">
        <v>87</v>
      </c>
      <c r="L28" s="16" t="s">
        <v>88</v>
      </c>
      <c r="M28" s="10" t="s">
        <v>175</v>
      </c>
      <c r="N28" s="6" t="s">
        <v>88</v>
      </c>
      <c r="O28" s="9" t="s">
        <v>176</v>
      </c>
      <c r="P28" s="6"/>
      <c r="Q28" s="9" t="s">
        <v>177</v>
      </c>
      <c r="R28" s="9" t="s">
        <v>178</v>
      </c>
      <c r="S28" s="17"/>
      <c r="T28" s="6" t="s">
        <v>89</v>
      </c>
      <c r="U28" s="13"/>
      <c r="V28" s="22" t="s">
        <v>172</v>
      </c>
      <c r="W28" s="6" t="s">
        <v>181</v>
      </c>
      <c r="X28" s="6" t="s">
        <v>135</v>
      </c>
      <c r="Y28" s="6"/>
      <c r="Z28" s="7">
        <v>45761</v>
      </c>
      <c r="AA28" s="7">
        <v>45808</v>
      </c>
      <c r="AB28" s="7">
        <v>45808</v>
      </c>
      <c r="AC28" s="6" t="s">
        <v>87</v>
      </c>
      <c r="AD28" s="6" t="s">
        <v>87</v>
      </c>
      <c r="AE28" s="6" t="s">
        <v>87</v>
      </c>
      <c r="AF28" s="6" t="s">
        <v>87</v>
      </c>
      <c r="AG28" s="20">
        <v>45761</v>
      </c>
      <c r="AH28" s="20">
        <v>45769</v>
      </c>
      <c r="AI28" s="6" t="s">
        <v>89</v>
      </c>
      <c r="AJ28" s="20">
        <v>45776</v>
      </c>
      <c r="AK28" s="6"/>
      <c r="AL28" s="6" t="s">
        <v>89</v>
      </c>
      <c r="AM28" s="8"/>
      <c r="AN28" s="8"/>
      <c r="AO28" s="6">
        <v>5</v>
      </c>
      <c r="AP28" s="7">
        <v>45769</v>
      </c>
      <c r="AQ28" s="6"/>
      <c r="AR28" s="6">
        <v>5</v>
      </c>
      <c r="AS28" s="6"/>
      <c r="AT28" s="6"/>
      <c r="AU28" s="6" t="s">
        <v>87</v>
      </c>
      <c r="AV28" s="6" t="s">
        <v>87</v>
      </c>
      <c r="AW28" s="13" t="s">
        <v>87</v>
      </c>
      <c r="AX28" s="13"/>
      <c r="AY28" s="6" t="s">
        <v>87</v>
      </c>
      <c r="AZ28" s="7">
        <v>45748</v>
      </c>
      <c r="BA28" s="7">
        <v>45765</v>
      </c>
      <c r="BB28" s="6" t="s">
        <v>87</v>
      </c>
      <c r="BC28" s="6" t="s">
        <v>87</v>
      </c>
      <c r="BD28" s="6" t="s">
        <v>92</v>
      </c>
      <c r="BE28" s="6" t="s">
        <v>92</v>
      </c>
      <c r="BF28" s="6" t="s">
        <v>87</v>
      </c>
      <c r="BG28" s="6" t="s">
        <v>87</v>
      </c>
      <c r="BH28" s="6" t="s">
        <v>87</v>
      </c>
      <c r="BI28" s="6" t="s">
        <v>92</v>
      </c>
      <c r="BJ28" s="6" t="s">
        <v>87</v>
      </c>
      <c r="BK28" s="6" t="s">
        <v>92</v>
      </c>
      <c r="BL28" s="6" t="s">
        <v>87</v>
      </c>
      <c r="BM28" s="6" t="s">
        <v>87</v>
      </c>
      <c r="BN28" s="14">
        <v>1</v>
      </c>
      <c r="BO28" s="6" t="s">
        <v>92</v>
      </c>
      <c r="BP28" s="6" t="s">
        <v>92</v>
      </c>
      <c r="BQ28" s="6" t="s">
        <v>87</v>
      </c>
      <c r="BR28" s="6" t="s">
        <v>87</v>
      </c>
      <c r="BS28" s="6" t="s">
        <v>87</v>
      </c>
      <c r="BT28" s="6" t="s">
        <v>87</v>
      </c>
      <c r="BU28" s="6" t="s">
        <v>87</v>
      </c>
      <c r="BV28" s="6"/>
      <c r="BW28" s="6" t="s">
        <v>101</v>
      </c>
      <c r="BX28" s="6"/>
      <c r="BY28" s="6"/>
      <c r="BZ28" s="6"/>
    </row>
    <row customHeight="true" ht="18.51851851851852" r="29">
      <c r="A29" s="6" t="s">
        <v>134</v>
      </c>
      <c r="B29" s="6" t="s">
        <v>135</v>
      </c>
      <c r="C29" s="17" t="s">
        <v>182</v>
      </c>
      <c r="D29" s="7">
        <v>45754</v>
      </c>
      <c r="E29" s="6" t="s">
        <v>81</v>
      </c>
      <c r="F29" s="6" t="s">
        <v>82</v>
      </c>
      <c r="G29" s="6" t="s">
        <v>83</v>
      </c>
      <c r="H29" s="6" t="s">
        <v>107</v>
      </c>
      <c r="I29" s="6" t="s">
        <v>124</v>
      </c>
      <c r="J29" s="6" t="s">
        <v>86</v>
      </c>
      <c r="K29" s="6" t="s">
        <v>87</v>
      </c>
      <c r="L29" s="16" t="s">
        <v>88</v>
      </c>
      <c r="M29" s="10" t="s">
        <v>175</v>
      </c>
      <c r="N29" s="6"/>
      <c r="O29" s="9"/>
      <c r="P29" s="6"/>
      <c r="Q29" s="9" t="s">
        <v>180</v>
      </c>
      <c r="R29" s="9" t="s">
        <v>178</v>
      </c>
      <c r="S29" s="17"/>
      <c r="T29" s="6" t="s">
        <v>89</v>
      </c>
      <c r="U29" s="13"/>
      <c r="V29" s="22" t="s">
        <v>172</v>
      </c>
      <c r="W29" s="6" t="s">
        <v>182</v>
      </c>
      <c r="X29" s="6" t="s">
        <v>135</v>
      </c>
      <c r="Y29" s="6"/>
      <c r="Z29" s="7">
        <v>45761</v>
      </c>
      <c r="AA29" s="7">
        <v>45808</v>
      </c>
      <c r="AB29" s="7">
        <v>45808</v>
      </c>
      <c r="AC29" s="6" t="s">
        <v>87</v>
      </c>
      <c r="AD29" s="6" t="s">
        <v>87</v>
      </c>
      <c r="AE29" s="6" t="s">
        <v>87</v>
      </c>
      <c r="AF29" s="6" t="s">
        <v>87</v>
      </c>
      <c r="AG29" s="20">
        <v>45761</v>
      </c>
      <c r="AH29" s="20">
        <v>45769</v>
      </c>
      <c r="AI29" s="6" t="s">
        <v>89</v>
      </c>
      <c r="AJ29" s="20">
        <v>45776</v>
      </c>
      <c r="AK29" s="6"/>
      <c r="AL29" s="6" t="s">
        <v>89</v>
      </c>
      <c r="AM29" s="8"/>
      <c r="AN29" s="8"/>
      <c r="AO29" s="6">
        <v>5</v>
      </c>
      <c r="AP29" s="7">
        <v>45769</v>
      </c>
      <c r="AQ29" s="6"/>
      <c r="AR29" s="6">
        <v>5</v>
      </c>
      <c r="AS29" s="6"/>
      <c r="AT29" s="6"/>
      <c r="AU29" s="6" t="s">
        <v>87</v>
      </c>
      <c r="AV29" s="6" t="s">
        <v>87</v>
      </c>
      <c r="AW29" s="13" t="s">
        <v>87</v>
      </c>
      <c r="AX29" s="13"/>
      <c r="AY29" s="6" t="s">
        <v>87</v>
      </c>
      <c r="AZ29" s="7">
        <v>45748</v>
      </c>
      <c r="BA29" s="7">
        <v>45765</v>
      </c>
      <c r="BB29" s="6" t="s">
        <v>87</v>
      </c>
      <c r="BC29" s="6" t="s">
        <v>87</v>
      </c>
      <c r="BD29" s="6" t="s">
        <v>92</v>
      </c>
      <c r="BE29" s="6" t="s">
        <v>92</v>
      </c>
      <c r="BF29" s="6" t="s">
        <v>87</v>
      </c>
      <c r="BG29" s="6" t="s">
        <v>87</v>
      </c>
      <c r="BH29" s="6" t="s">
        <v>87</v>
      </c>
      <c r="BI29" s="6" t="s">
        <v>92</v>
      </c>
      <c r="BJ29" s="6" t="s">
        <v>87</v>
      </c>
      <c r="BK29" s="6" t="s">
        <v>92</v>
      </c>
      <c r="BL29" s="6" t="s">
        <v>87</v>
      </c>
      <c r="BM29" s="6" t="s">
        <v>87</v>
      </c>
      <c r="BN29" s="14">
        <v>1</v>
      </c>
      <c r="BO29" s="6" t="s">
        <v>92</v>
      </c>
      <c r="BP29" s="6" t="s">
        <v>92</v>
      </c>
      <c r="BQ29" s="6" t="s">
        <v>87</v>
      </c>
      <c r="BR29" s="6" t="s">
        <v>87</v>
      </c>
      <c r="BS29" s="6" t="s">
        <v>87</v>
      </c>
      <c r="BT29" s="6" t="s">
        <v>87</v>
      </c>
      <c r="BU29" s="6" t="s">
        <v>87</v>
      </c>
      <c r="BV29" s="6"/>
      <c r="BW29" s="6" t="s">
        <v>101</v>
      </c>
      <c r="BX29" s="6"/>
      <c r="BY29" s="6"/>
      <c r="BZ29" s="6"/>
    </row>
    <row customHeight="true" ht="18.51851851851852" r="30">
      <c r="A30" s="6" t="s">
        <v>134</v>
      </c>
      <c r="B30" s="6" t="s">
        <v>135</v>
      </c>
      <c r="C30" s="17" t="s">
        <v>182</v>
      </c>
      <c r="D30" s="7">
        <v>45754</v>
      </c>
      <c r="E30" s="6" t="s">
        <v>81</v>
      </c>
      <c r="F30" s="6" t="s">
        <v>82</v>
      </c>
      <c r="G30" s="6" t="s">
        <v>83</v>
      </c>
      <c r="H30" s="6" t="s">
        <v>107</v>
      </c>
      <c r="I30" s="6" t="s">
        <v>124</v>
      </c>
      <c r="J30" s="6" t="s">
        <v>86</v>
      </c>
      <c r="K30" s="6" t="s">
        <v>87</v>
      </c>
      <c r="L30" s="16" t="s">
        <v>88</v>
      </c>
      <c r="M30" s="10" t="s">
        <v>175</v>
      </c>
      <c r="N30" s="6"/>
      <c r="O30" s="9"/>
      <c r="P30" s="6"/>
      <c r="Q30" s="9" t="s">
        <v>180</v>
      </c>
      <c r="R30" s="9" t="s">
        <v>178</v>
      </c>
      <c r="S30" s="17"/>
      <c r="T30" s="6" t="s">
        <v>89</v>
      </c>
      <c r="U30" s="13"/>
      <c r="V30" s="22" t="s">
        <v>172</v>
      </c>
      <c r="W30" s="6" t="s">
        <v>182</v>
      </c>
      <c r="X30" s="6" t="s">
        <v>135</v>
      </c>
      <c r="Y30" s="6"/>
      <c r="Z30" s="7">
        <v>45761</v>
      </c>
      <c r="AA30" s="7">
        <v>45808</v>
      </c>
      <c r="AB30" s="7">
        <v>45808</v>
      </c>
      <c r="AC30" s="6" t="s">
        <v>87</v>
      </c>
      <c r="AD30" s="6" t="s">
        <v>87</v>
      </c>
      <c r="AE30" s="6" t="s">
        <v>87</v>
      </c>
      <c r="AF30" s="6" t="s">
        <v>87</v>
      </c>
      <c r="AG30" s="20">
        <v>45761</v>
      </c>
      <c r="AH30" s="20">
        <v>45769</v>
      </c>
      <c r="AI30" s="6" t="s">
        <v>89</v>
      </c>
      <c r="AJ30" s="20">
        <v>45776</v>
      </c>
      <c r="AK30" s="6"/>
      <c r="AL30" s="6" t="s">
        <v>89</v>
      </c>
      <c r="AM30" s="8"/>
      <c r="AN30" s="8"/>
      <c r="AO30" s="6">
        <v>5</v>
      </c>
      <c r="AP30" s="7">
        <v>45769</v>
      </c>
      <c r="AQ30" s="6"/>
      <c r="AR30" s="6">
        <v>5</v>
      </c>
      <c r="AS30" s="6"/>
      <c r="AT30" s="6"/>
      <c r="AU30" s="6" t="s">
        <v>87</v>
      </c>
      <c r="AV30" s="6" t="s">
        <v>87</v>
      </c>
      <c r="AW30" s="13" t="s">
        <v>87</v>
      </c>
      <c r="AX30" s="13"/>
      <c r="AY30" s="6" t="s">
        <v>87</v>
      </c>
      <c r="AZ30" s="7">
        <v>45748</v>
      </c>
      <c r="BA30" s="7">
        <v>45765</v>
      </c>
      <c r="BB30" s="6" t="s">
        <v>87</v>
      </c>
      <c r="BC30" s="6" t="s">
        <v>87</v>
      </c>
      <c r="BD30" s="6" t="s">
        <v>92</v>
      </c>
      <c r="BE30" s="6" t="s">
        <v>92</v>
      </c>
      <c r="BF30" s="6" t="s">
        <v>87</v>
      </c>
      <c r="BG30" s="6" t="s">
        <v>87</v>
      </c>
      <c r="BH30" s="6" t="s">
        <v>87</v>
      </c>
      <c r="BI30" s="6" t="s">
        <v>92</v>
      </c>
      <c r="BJ30" s="6" t="s">
        <v>87</v>
      </c>
      <c r="BK30" s="6" t="s">
        <v>92</v>
      </c>
      <c r="BL30" s="6" t="s">
        <v>87</v>
      </c>
      <c r="BM30" s="6" t="s">
        <v>87</v>
      </c>
      <c r="BN30" s="14">
        <v>1</v>
      </c>
      <c r="BO30" s="6" t="s">
        <v>92</v>
      </c>
      <c r="BP30" s="6" t="s">
        <v>92</v>
      </c>
      <c r="BQ30" s="6" t="s">
        <v>87</v>
      </c>
      <c r="BR30" s="6" t="s">
        <v>87</v>
      </c>
      <c r="BS30" s="6" t="s">
        <v>87</v>
      </c>
      <c r="BT30" s="6" t="s">
        <v>87</v>
      </c>
      <c r="BU30" s="6" t="s">
        <v>87</v>
      </c>
      <c r="BV30" s="6"/>
      <c r="BW30" s="6" t="s">
        <v>101</v>
      </c>
      <c r="BX30" s="6"/>
      <c r="BY30" s="6"/>
      <c r="BZ30" s="6"/>
    </row>
    <row customHeight="true" ht="18.51851851851852" r="31">
      <c r="A31" s="6" t="s">
        <v>134</v>
      </c>
      <c r="B31" s="6" t="s">
        <v>135</v>
      </c>
      <c r="C31" s="17" t="s">
        <v>182</v>
      </c>
      <c r="D31" s="7">
        <v>45754</v>
      </c>
      <c r="E31" s="6" t="s">
        <v>81</v>
      </c>
      <c r="F31" s="6" t="s">
        <v>82</v>
      </c>
      <c r="G31" s="6" t="s">
        <v>83</v>
      </c>
      <c r="H31" s="6" t="s">
        <v>107</v>
      </c>
      <c r="I31" s="6" t="s">
        <v>124</v>
      </c>
      <c r="J31" s="6" t="s">
        <v>86</v>
      </c>
      <c r="K31" s="6" t="s">
        <v>87</v>
      </c>
      <c r="L31" s="16" t="s">
        <v>88</v>
      </c>
      <c r="M31" s="10" t="s">
        <v>175</v>
      </c>
      <c r="N31" s="6"/>
      <c r="O31" s="9"/>
      <c r="P31" s="6"/>
      <c r="Q31" s="9" t="s">
        <v>180</v>
      </c>
      <c r="R31" s="9" t="s">
        <v>178</v>
      </c>
      <c r="S31" s="17"/>
      <c r="T31" s="6" t="s">
        <v>89</v>
      </c>
      <c r="U31" s="13"/>
      <c r="V31" s="22" t="s">
        <v>172</v>
      </c>
      <c r="W31" s="6" t="s">
        <v>182</v>
      </c>
      <c r="X31" s="6" t="s">
        <v>135</v>
      </c>
      <c r="Y31" s="6"/>
      <c r="Z31" s="7">
        <v>45761</v>
      </c>
      <c r="AA31" s="7">
        <v>45808</v>
      </c>
      <c r="AB31" s="7">
        <v>45808</v>
      </c>
      <c r="AC31" s="6" t="s">
        <v>87</v>
      </c>
      <c r="AD31" s="6" t="s">
        <v>87</v>
      </c>
      <c r="AE31" s="6" t="s">
        <v>87</v>
      </c>
      <c r="AF31" s="6" t="s">
        <v>87</v>
      </c>
      <c r="AG31" s="20">
        <v>45761</v>
      </c>
      <c r="AH31" s="20">
        <v>45769</v>
      </c>
      <c r="AI31" s="6" t="s">
        <v>89</v>
      </c>
      <c r="AJ31" s="20">
        <v>45776</v>
      </c>
      <c r="AK31" s="6"/>
      <c r="AL31" s="6" t="s">
        <v>89</v>
      </c>
      <c r="AM31" s="8"/>
      <c r="AN31" s="8"/>
      <c r="AO31" s="6">
        <v>5</v>
      </c>
      <c r="AP31" s="7">
        <v>45769</v>
      </c>
      <c r="AQ31" s="6"/>
      <c r="AR31" s="6">
        <v>5</v>
      </c>
      <c r="AS31" s="6"/>
      <c r="AT31" s="6"/>
      <c r="AU31" s="6" t="s">
        <v>87</v>
      </c>
      <c r="AV31" s="6" t="s">
        <v>87</v>
      </c>
      <c r="AW31" s="13" t="s">
        <v>87</v>
      </c>
      <c r="AX31" s="13"/>
      <c r="AY31" s="6" t="s">
        <v>87</v>
      </c>
      <c r="AZ31" s="7">
        <v>45748</v>
      </c>
      <c r="BA31" s="7">
        <v>45765</v>
      </c>
      <c r="BB31" s="6" t="s">
        <v>87</v>
      </c>
      <c r="BC31" s="6" t="s">
        <v>87</v>
      </c>
      <c r="BD31" s="6" t="s">
        <v>92</v>
      </c>
      <c r="BE31" s="6" t="s">
        <v>92</v>
      </c>
      <c r="BF31" s="6" t="s">
        <v>87</v>
      </c>
      <c r="BG31" s="6" t="s">
        <v>87</v>
      </c>
      <c r="BH31" s="6" t="s">
        <v>87</v>
      </c>
      <c r="BI31" s="6" t="s">
        <v>92</v>
      </c>
      <c r="BJ31" s="6" t="s">
        <v>87</v>
      </c>
      <c r="BK31" s="6" t="s">
        <v>92</v>
      </c>
      <c r="BL31" s="6" t="s">
        <v>87</v>
      </c>
      <c r="BM31" s="6" t="s">
        <v>87</v>
      </c>
      <c r="BN31" s="14">
        <v>1</v>
      </c>
      <c r="BO31" s="6" t="s">
        <v>92</v>
      </c>
      <c r="BP31" s="6" t="s">
        <v>92</v>
      </c>
      <c r="BQ31" s="6" t="s">
        <v>87</v>
      </c>
      <c r="BR31" s="6" t="s">
        <v>87</v>
      </c>
      <c r="BS31" s="6" t="s">
        <v>87</v>
      </c>
      <c r="BT31" s="6" t="s">
        <v>87</v>
      </c>
      <c r="BU31" s="6" t="s">
        <v>87</v>
      </c>
      <c r="BV31" s="6"/>
      <c r="BW31" s="6" t="s">
        <v>101</v>
      </c>
      <c r="BX31" s="6"/>
      <c r="BY31" s="6"/>
      <c r="BZ31" s="6"/>
    </row>
    <row customHeight="true" ht="18.51851851851852" r="32">
      <c r="A32" s="6" t="s">
        <v>134</v>
      </c>
      <c r="B32" s="6" t="s">
        <v>135</v>
      </c>
      <c r="C32" s="17" t="s">
        <v>183</v>
      </c>
      <c r="D32" s="7">
        <v>45758</v>
      </c>
      <c r="E32" s="6" t="s">
        <v>81</v>
      </c>
      <c r="F32" s="6" t="s">
        <v>82</v>
      </c>
      <c r="G32" s="6" t="s">
        <v>83</v>
      </c>
      <c r="H32" s="6" t="s">
        <v>84</v>
      </c>
      <c r="I32" s="6" t="s">
        <v>85</v>
      </c>
      <c r="J32" s="6" t="s">
        <v>86</v>
      </c>
      <c r="K32" s="6" t="s">
        <v>87</v>
      </c>
      <c r="L32" s="16" t="s">
        <v>88</v>
      </c>
      <c r="M32" s="6"/>
      <c r="N32" s="6" t="s">
        <v>88</v>
      </c>
      <c r="O32" s="17"/>
      <c r="P32" s="6"/>
      <c r="Q32" s="17"/>
      <c r="R32" s="6"/>
      <c r="S32" s="17"/>
      <c r="T32" s="6" t="s">
        <v>89</v>
      </c>
      <c r="U32" s="13"/>
      <c r="V32" s="22" t="s">
        <v>172</v>
      </c>
      <c r="W32" s="6" t="s">
        <v>183</v>
      </c>
      <c r="X32" s="6" t="s">
        <v>135</v>
      </c>
      <c r="Y32" s="6"/>
      <c r="Z32" s="7">
        <v>45761</v>
      </c>
      <c r="AA32" s="7">
        <v>45808</v>
      </c>
      <c r="AB32" s="7">
        <v>45808</v>
      </c>
      <c r="AC32" s="6" t="s">
        <v>87</v>
      </c>
      <c r="AD32" s="6" t="s">
        <v>87</v>
      </c>
      <c r="AE32" s="6" t="s">
        <v>87</v>
      </c>
      <c r="AF32" s="6" t="s">
        <v>87</v>
      </c>
      <c r="AG32" s="20">
        <v>45761</v>
      </c>
      <c r="AH32" s="20">
        <v>45769</v>
      </c>
      <c r="AI32" s="6" t="s">
        <v>89</v>
      </c>
      <c r="AJ32" s="20">
        <v>45776</v>
      </c>
      <c r="AK32" s="6"/>
      <c r="AL32" s="6" t="s">
        <v>89</v>
      </c>
      <c r="AM32" s="8"/>
      <c r="AN32" s="8"/>
      <c r="AO32" s="6">
        <v>5</v>
      </c>
      <c r="AP32" s="7">
        <v>45769</v>
      </c>
      <c r="AQ32" s="6"/>
      <c r="AR32" s="6">
        <v>5</v>
      </c>
      <c r="AS32" s="6"/>
      <c r="AT32" s="6"/>
      <c r="AU32" s="6" t="s">
        <v>87</v>
      </c>
      <c r="AV32" s="6" t="s">
        <v>87</v>
      </c>
      <c r="AW32" s="13" t="s">
        <v>87</v>
      </c>
      <c r="AX32" s="13"/>
      <c r="AY32" s="6" t="s">
        <v>87</v>
      </c>
      <c r="AZ32" s="7">
        <v>45748</v>
      </c>
      <c r="BA32" s="7">
        <v>45765</v>
      </c>
      <c r="BB32" s="6" t="s">
        <v>87</v>
      </c>
      <c r="BC32" s="6" t="s">
        <v>87</v>
      </c>
      <c r="BD32" s="6" t="s">
        <v>92</v>
      </c>
      <c r="BE32" s="6" t="s">
        <v>92</v>
      </c>
      <c r="BF32" s="6" t="s">
        <v>87</v>
      </c>
      <c r="BG32" s="6" t="s">
        <v>87</v>
      </c>
      <c r="BH32" s="6" t="s">
        <v>87</v>
      </c>
      <c r="BI32" s="6" t="s">
        <v>92</v>
      </c>
      <c r="BJ32" s="6" t="s">
        <v>87</v>
      </c>
      <c r="BK32" s="6" t="s">
        <v>92</v>
      </c>
      <c r="BL32" s="6" t="s">
        <v>87</v>
      </c>
      <c r="BM32" s="6" t="s">
        <v>87</v>
      </c>
      <c r="BN32" s="14">
        <v>1</v>
      </c>
      <c r="BO32" s="6" t="s">
        <v>92</v>
      </c>
      <c r="BP32" s="6" t="s">
        <v>92</v>
      </c>
      <c r="BQ32" s="6" t="s">
        <v>87</v>
      </c>
      <c r="BR32" s="6" t="s">
        <v>87</v>
      </c>
      <c r="BS32" s="6" t="s">
        <v>87</v>
      </c>
      <c r="BT32" s="6" t="s">
        <v>87</v>
      </c>
      <c r="BU32" s="6" t="s">
        <v>87</v>
      </c>
      <c r="BV32" s="6"/>
      <c r="BW32" s="6" t="s">
        <v>101</v>
      </c>
      <c r="BX32" s="6"/>
      <c r="BY32" s="6"/>
      <c r="BZ32" s="6"/>
    </row>
    <row customHeight="true" ht="18.51851851851852" r="33">
      <c r="A33" s="6" t="s">
        <v>134</v>
      </c>
      <c r="B33" s="6" t="s">
        <v>135</v>
      </c>
      <c r="C33" s="17" t="s">
        <v>184</v>
      </c>
      <c r="D33" s="7">
        <v>45758</v>
      </c>
      <c r="E33" s="6" t="s">
        <v>81</v>
      </c>
      <c r="F33" s="6" t="s">
        <v>82</v>
      </c>
      <c r="G33" s="6" t="s">
        <v>83</v>
      </c>
      <c r="H33" s="6" t="s">
        <v>107</v>
      </c>
      <c r="I33" s="6" t="s">
        <v>85</v>
      </c>
      <c r="J33" s="6" t="s">
        <v>86</v>
      </c>
      <c r="K33" s="6" t="s">
        <v>87</v>
      </c>
      <c r="L33" s="16" t="s">
        <v>88</v>
      </c>
      <c r="M33" s="6"/>
      <c r="N33" s="6" t="s">
        <v>88</v>
      </c>
      <c r="O33" s="17"/>
      <c r="P33" s="6"/>
      <c r="Q33" s="17"/>
      <c r="R33" s="6"/>
      <c r="S33" s="17"/>
      <c r="T33" s="6" t="s">
        <v>89</v>
      </c>
      <c r="U33" s="13"/>
      <c r="V33" s="22" t="s">
        <v>172</v>
      </c>
      <c r="W33" s="6" t="s">
        <v>184</v>
      </c>
      <c r="X33" s="6" t="s">
        <v>135</v>
      </c>
      <c r="Y33" s="6"/>
      <c r="Z33" s="7">
        <v>45761</v>
      </c>
      <c r="AA33" s="7">
        <v>45808</v>
      </c>
      <c r="AB33" s="7">
        <v>45808</v>
      </c>
      <c r="AC33" s="6" t="s">
        <v>87</v>
      </c>
      <c r="AD33" s="6" t="s">
        <v>87</v>
      </c>
      <c r="AE33" s="6" t="s">
        <v>87</v>
      </c>
      <c r="AF33" s="6" t="s">
        <v>87</v>
      </c>
      <c r="AG33" s="20">
        <v>45761</v>
      </c>
      <c r="AH33" s="20">
        <v>45769</v>
      </c>
      <c r="AI33" s="6" t="s">
        <v>89</v>
      </c>
      <c r="AJ33" s="20">
        <v>45776</v>
      </c>
      <c r="AK33" s="6"/>
      <c r="AL33" s="6" t="s">
        <v>89</v>
      </c>
      <c r="AM33" s="8"/>
      <c r="AN33" s="8"/>
      <c r="AO33" s="6">
        <v>5</v>
      </c>
      <c r="AP33" s="7">
        <v>45769</v>
      </c>
      <c r="AQ33" s="6"/>
      <c r="AR33" s="6">
        <v>5</v>
      </c>
      <c r="AS33" s="6"/>
      <c r="AT33" s="6"/>
      <c r="AU33" s="6" t="s">
        <v>87</v>
      </c>
      <c r="AV33" s="6" t="s">
        <v>87</v>
      </c>
      <c r="AW33" s="13" t="s">
        <v>87</v>
      </c>
      <c r="AX33" s="13"/>
      <c r="AY33" s="6" t="s">
        <v>87</v>
      </c>
      <c r="AZ33" s="7">
        <v>45748</v>
      </c>
      <c r="BA33" s="7">
        <v>45765</v>
      </c>
      <c r="BB33" s="6" t="s">
        <v>87</v>
      </c>
      <c r="BC33" s="6" t="s">
        <v>87</v>
      </c>
      <c r="BD33" s="6" t="s">
        <v>92</v>
      </c>
      <c r="BE33" s="6" t="s">
        <v>92</v>
      </c>
      <c r="BF33" s="6" t="s">
        <v>87</v>
      </c>
      <c r="BG33" s="6" t="s">
        <v>87</v>
      </c>
      <c r="BH33" s="6" t="s">
        <v>87</v>
      </c>
      <c r="BI33" s="6" t="s">
        <v>92</v>
      </c>
      <c r="BJ33" s="6" t="s">
        <v>87</v>
      </c>
      <c r="BK33" s="6" t="s">
        <v>92</v>
      </c>
      <c r="BL33" s="6" t="s">
        <v>87</v>
      </c>
      <c r="BM33" s="6" t="s">
        <v>87</v>
      </c>
      <c r="BN33" s="14">
        <v>1</v>
      </c>
      <c r="BO33" s="6" t="s">
        <v>92</v>
      </c>
      <c r="BP33" s="6" t="s">
        <v>92</v>
      </c>
      <c r="BQ33" s="6" t="s">
        <v>87</v>
      </c>
      <c r="BR33" s="6" t="s">
        <v>87</v>
      </c>
      <c r="BS33" s="6" t="s">
        <v>87</v>
      </c>
      <c r="BT33" s="6" t="s">
        <v>87</v>
      </c>
      <c r="BU33" s="6" t="s">
        <v>87</v>
      </c>
      <c r="BV33" s="6"/>
      <c r="BW33" s="6" t="s">
        <v>101</v>
      </c>
      <c r="BX33" s="6"/>
      <c r="BY33" s="6"/>
      <c r="BZ33" s="6"/>
    </row>
    <row customHeight="true" ht="18.51851851851852" r="34">
      <c r="A34" s="6" t="s">
        <v>134</v>
      </c>
      <c r="B34" s="6" t="s">
        <v>135</v>
      </c>
      <c r="C34" s="17" t="s">
        <v>184</v>
      </c>
      <c r="D34" s="7">
        <v>45758</v>
      </c>
      <c r="E34" s="6" t="s">
        <v>81</v>
      </c>
      <c r="F34" s="6" t="s">
        <v>82</v>
      </c>
      <c r="G34" s="6" t="s">
        <v>83</v>
      </c>
      <c r="H34" s="6" t="s">
        <v>107</v>
      </c>
      <c r="I34" s="6" t="s">
        <v>85</v>
      </c>
      <c r="J34" s="6" t="s">
        <v>86</v>
      </c>
      <c r="K34" s="6" t="s">
        <v>87</v>
      </c>
      <c r="L34" s="16" t="s">
        <v>88</v>
      </c>
      <c r="M34" s="6"/>
      <c r="N34" s="6" t="s">
        <v>88</v>
      </c>
      <c r="O34" s="17"/>
      <c r="P34" s="6"/>
      <c r="Q34" s="17"/>
      <c r="R34" s="6"/>
      <c r="S34" s="17"/>
      <c r="T34" s="6" t="s">
        <v>89</v>
      </c>
      <c r="U34" s="13"/>
      <c r="V34" s="22" t="s">
        <v>172</v>
      </c>
      <c r="W34" s="6" t="s">
        <v>184</v>
      </c>
      <c r="X34" s="6" t="s">
        <v>135</v>
      </c>
      <c r="Y34" s="6"/>
      <c r="Z34" s="7">
        <v>45761</v>
      </c>
      <c r="AA34" s="7">
        <v>45808</v>
      </c>
      <c r="AB34" s="7">
        <v>45808</v>
      </c>
      <c r="AC34" s="6" t="s">
        <v>87</v>
      </c>
      <c r="AD34" s="6" t="s">
        <v>87</v>
      </c>
      <c r="AE34" s="6" t="s">
        <v>87</v>
      </c>
      <c r="AF34" s="6" t="s">
        <v>87</v>
      </c>
      <c r="AG34" s="20">
        <v>45761</v>
      </c>
      <c r="AH34" s="20">
        <v>45769</v>
      </c>
      <c r="AI34" s="6" t="s">
        <v>89</v>
      </c>
      <c r="AJ34" s="20">
        <v>45776</v>
      </c>
      <c r="AK34" s="6"/>
      <c r="AL34" s="6" t="s">
        <v>89</v>
      </c>
      <c r="AM34" s="8"/>
      <c r="AN34" s="8"/>
      <c r="AO34" s="6">
        <v>5</v>
      </c>
      <c r="AP34" s="7">
        <v>45769</v>
      </c>
      <c r="AQ34" s="6"/>
      <c r="AR34" s="6">
        <v>5</v>
      </c>
      <c r="AS34" s="6"/>
      <c r="AT34" s="6"/>
      <c r="AU34" s="6" t="s">
        <v>87</v>
      </c>
      <c r="AV34" s="6" t="s">
        <v>87</v>
      </c>
      <c r="AW34" s="6" t="s">
        <v>87</v>
      </c>
      <c r="AX34" s="13"/>
      <c r="AY34" s="6" t="s">
        <v>87</v>
      </c>
      <c r="AZ34" s="7">
        <v>45748</v>
      </c>
      <c r="BA34" s="7">
        <v>45765</v>
      </c>
      <c r="BB34" s="6" t="s">
        <v>87</v>
      </c>
      <c r="BC34" s="6" t="s">
        <v>87</v>
      </c>
      <c r="BD34" s="6" t="s">
        <v>92</v>
      </c>
      <c r="BE34" s="6" t="s">
        <v>92</v>
      </c>
      <c r="BF34" s="6" t="s">
        <v>87</v>
      </c>
      <c r="BG34" s="6" t="s">
        <v>87</v>
      </c>
      <c r="BH34" s="6" t="s">
        <v>87</v>
      </c>
      <c r="BI34" s="6" t="s">
        <v>92</v>
      </c>
      <c r="BJ34" s="6" t="s">
        <v>87</v>
      </c>
      <c r="BK34" s="6" t="s">
        <v>92</v>
      </c>
      <c r="BL34" s="6" t="s">
        <v>87</v>
      </c>
      <c r="BM34" s="6" t="s">
        <v>87</v>
      </c>
      <c r="BN34" s="14">
        <v>1</v>
      </c>
      <c r="BO34" s="6" t="s">
        <v>92</v>
      </c>
      <c r="BP34" s="6" t="s">
        <v>92</v>
      </c>
      <c r="BQ34" s="6" t="s">
        <v>87</v>
      </c>
      <c r="BR34" s="6" t="s">
        <v>87</v>
      </c>
      <c r="BS34" s="6" t="s">
        <v>87</v>
      </c>
      <c r="BT34" s="6" t="s">
        <v>87</v>
      </c>
      <c r="BU34" s="6" t="s">
        <v>87</v>
      </c>
      <c r="BV34" s="6"/>
      <c r="BW34" s="6" t="s">
        <v>101</v>
      </c>
      <c r="BX34" s="6"/>
      <c r="BY34" s="6"/>
      <c r="BZ34" s="6"/>
    </row>
    <row customHeight="true" ht="18.51851851851852" r="35">
      <c r="A35" s="6" t="s">
        <v>134</v>
      </c>
      <c r="B35" s="6" t="s">
        <v>135</v>
      </c>
      <c r="C35" s="17" t="s">
        <v>184</v>
      </c>
      <c r="D35" s="7">
        <v>45758</v>
      </c>
      <c r="E35" s="6" t="s">
        <v>81</v>
      </c>
      <c r="F35" s="6" t="s">
        <v>82</v>
      </c>
      <c r="G35" s="6" t="s">
        <v>83</v>
      </c>
      <c r="H35" s="6" t="s">
        <v>107</v>
      </c>
      <c r="I35" s="6" t="s">
        <v>85</v>
      </c>
      <c r="J35" s="6" t="s">
        <v>86</v>
      </c>
      <c r="K35" s="6" t="s">
        <v>87</v>
      </c>
      <c r="L35" s="16" t="s">
        <v>88</v>
      </c>
      <c r="M35" s="6"/>
      <c r="N35" s="6" t="s">
        <v>88</v>
      </c>
      <c r="O35" s="17"/>
      <c r="P35" s="6"/>
      <c r="Q35" s="17"/>
      <c r="R35" s="6"/>
      <c r="S35" s="17"/>
      <c r="T35" s="6" t="s">
        <v>89</v>
      </c>
      <c r="U35" s="13"/>
      <c r="V35" s="22" t="s">
        <v>172</v>
      </c>
      <c r="W35" s="6" t="s">
        <v>184</v>
      </c>
      <c r="X35" s="6" t="s">
        <v>135</v>
      </c>
      <c r="Y35" s="6"/>
      <c r="Z35" s="7">
        <v>45761</v>
      </c>
      <c r="AA35" s="7">
        <v>45808</v>
      </c>
      <c r="AB35" s="7">
        <v>45808</v>
      </c>
      <c r="AC35" s="6" t="s">
        <v>87</v>
      </c>
      <c r="AD35" s="6" t="s">
        <v>87</v>
      </c>
      <c r="AE35" s="6" t="s">
        <v>87</v>
      </c>
      <c r="AF35" s="6" t="s">
        <v>87</v>
      </c>
      <c r="AG35" s="20">
        <v>45761</v>
      </c>
      <c r="AH35" s="20">
        <v>45769</v>
      </c>
      <c r="AI35" s="6" t="s">
        <v>89</v>
      </c>
      <c r="AJ35" s="20">
        <v>45776</v>
      </c>
      <c r="AK35" s="6"/>
      <c r="AL35" s="6" t="s">
        <v>89</v>
      </c>
      <c r="AM35" s="8"/>
      <c r="AN35" s="8"/>
      <c r="AO35" s="6">
        <v>5</v>
      </c>
      <c r="AP35" s="7">
        <v>45769</v>
      </c>
      <c r="AQ35" s="6"/>
      <c r="AR35" s="6">
        <v>5</v>
      </c>
      <c r="AS35" s="6"/>
      <c r="AT35" s="6"/>
      <c r="AU35" s="6" t="s">
        <v>87</v>
      </c>
      <c r="AV35" s="6" t="s">
        <v>87</v>
      </c>
      <c r="AW35" s="6" t="s">
        <v>87</v>
      </c>
      <c r="AX35" s="13"/>
      <c r="AY35" s="6" t="s">
        <v>87</v>
      </c>
      <c r="AZ35" s="7">
        <v>45748</v>
      </c>
      <c r="BA35" s="7">
        <v>45765</v>
      </c>
      <c r="BB35" s="6" t="s">
        <v>87</v>
      </c>
      <c r="BC35" s="6" t="s">
        <v>87</v>
      </c>
      <c r="BD35" s="6" t="s">
        <v>92</v>
      </c>
      <c r="BE35" s="6" t="s">
        <v>92</v>
      </c>
      <c r="BF35" s="6" t="s">
        <v>87</v>
      </c>
      <c r="BG35" s="6" t="s">
        <v>87</v>
      </c>
      <c r="BH35" s="6" t="s">
        <v>87</v>
      </c>
      <c r="BI35" s="6" t="s">
        <v>92</v>
      </c>
      <c r="BJ35" s="6" t="s">
        <v>87</v>
      </c>
      <c r="BK35" s="6" t="s">
        <v>92</v>
      </c>
      <c r="BL35" s="6" t="s">
        <v>87</v>
      </c>
      <c r="BM35" s="6" t="s">
        <v>87</v>
      </c>
      <c r="BN35" s="14">
        <v>1</v>
      </c>
      <c r="BO35" s="6" t="s">
        <v>92</v>
      </c>
      <c r="BP35" s="6" t="s">
        <v>92</v>
      </c>
      <c r="BQ35" s="6" t="s">
        <v>87</v>
      </c>
      <c r="BR35" s="6" t="s">
        <v>87</v>
      </c>
      <c r="BS35" s="6" t="s">
        <v>87</v>
      </c>
      <c r="BT35" s="6" t="s">
        <v>87</v>
      </c>
      <c r="BU35" s="6" t="s">
        <v>87</v>
      </c>
      <c r="BV35" s="6"/>
      <c r="BW35" s="6" t="s">
        <v>101</v>
      </c>
      <c r="BX35" s="6"/>
      <c r="BY35" s="6"/>
      <c r="BZ35" s="6"/>
    </row>
    <row customHeight="true" ht="18.51851851851852" r="36">
      <c r="A36" s="6" t="s">
        <v>134</v>
      </c>
      <c r="B36" s="6" t="s">
        <v>135</v>
      </c>
      <c r="C36" s="17" t="s">
        <v>185</v>
      </c>
      <c r="D36" s="7">
        <v>45758</v>
      </c>
      <c r="E36" s="6" t="s">
        <v>81</v>
      </c>
      <c r="F36" s="6" t="s">
        <v>82</v>
      </c>
      <c r="G36" s="6" t="s">
        <v>83</v>
      </c>
      <c r="H36" s="6" t="s">
        <v>84</v>
      </c>
      <c r="I36" s="6" t="s">
        <v>85</v>
      </c>
      <c r="J36" s="6" t="s">
        <v>86</v>
      </c>
      <c r="K36" s="6" t="s">
        <v>87</v>
      </c>
      <c r="L36" s="16" t="s">
        <v>88</v>
      </c>
      <c r="M36" s="10" t="s">
        <v>186</v>
      </c>
      <c r="N36" s="6" t="s">
        <v>88</v>
      </c>
      <c r="O36" s="17"/>
      <c r="P36" s="6"/>
      <c r="Q36" s="17"/>
      <c r="R36" s="10" t="s">
        <v>186</v>
      </c>
      <c r="S36" s="17"/>
      <c r="T36" s="6" t="s">
        <v>89</v>
      </c>
      <c r="U36" s="13"/>
      <c r="V36" s="22" t="s">
        <v>172</v>
      </c>
      <c r="W36" s="6" t="s">
        <v>185</v>
      </c>
      <c r="X36" s="6" t="s">
        <v>135</v>
      </c>
      <c r="Y36" s="6"/>
      <c r="Z36" s="7">
        <v>45761</v>
      </c>
      <c r="AA36" s="7">
        <v>45808</v>
      </c>
      <c r="AB36" s="7">
        <v>45808</v>
      </c>
      <c r="AC36" s="6" t="s">
        <v>87</v>
      </c>
      <c r="AD36" s="6" t="s">
        <v>87</v>
      </c>
      <c r="AE36" s="6" t="s">
        <v>87</v>
      </c>
      <c r="AF36" s="6" t="s">
        <v>87</v>
      </c>
      <c r="AG36" s="20">
        <v>45761</v>
      </c>
      <c r="AH36" s="20">
        <v>45769</v>
      </c>
      <c r="AI36" s="6" t="s">
        <v>89</v>
      </c>
      <c r="AJ36" s="20">
        <v>45776</v>
      </c>
      <c r="AK36" s="6"/>
      <c r="AL36" s="6" t="s">
        <v>89</v>
      </c>
      <c r="AM36" s="8"/>
      <c r="AN36" s="8"/>
      <c r="AO36" s="6">
        <v>5</v>
      </c>
      <c r="AP36" s="7">
        <v>45769</v>
      </c>
      <c r="AQ36" s="6"/>
      <c r="AR36" s="6">
        <v>5</v>
      </c>
      <c r="AS36" s="6"/>
      <c r="AT36" s="6"/>
      <c r="AU36" s="6" t="s">
        <v>87</v>
      </c>
      <c r="AV36" s="6" t="s">
        <v>87</v>
      </c>
      <c r="AW36" s="6" t="s">
        <v>87</v>
      </c>
      <c r="AX36" s="13"/>
      <c r="AY36" s="6" t="s">
        <v>87</v>
      </c>
      <c r="AZ36" s="7">
        <v>45748</v>
      </c>
      <c r="BA36" s="7">
        <v>45765</v>
      </c>
      <c r="BB36" s="6" t="s">
        <v>87</v>
      </c>
      <c r="BC36" s="6" t="s">
        <v>87</v>
      </c>
      <c r="BD36" s="6" t="s">
        <v>92</v>
      </c>
      <c r="BE36" s="6" t="s">
        <v>92</v>
      </c>
      <c r="BF36" s="6" t="s">
        <v>87</v>
      </c>
      <c r="BG36" s="6" t="s">
        <v>87</v>
      </c>
      <c r="BH36" s="6" t="s">
        <v>87</v>
      </c>
      <c r="BI36" s="6" t="s">
        <v>92</v>
      </c>
      <c r="BJ36" s="6" t="s">
        <v>87</v>
      </c>
      <c r="BK36" s="6" t="s">
        <v>92</v>
      </c>
      <c r="BL36" s="6" t="s">
        <v>87</v>
      </c>
      <c r="BM36" s="6" t="s">
        <v>87</v>
      </c>
      <c r="BN36" s="14">
        <v>1</v>
      </c>
      <c r="BO36" s="6" t="s">
        <v>92</v>
      </c>
      <c r="BP36" s="6" t="s">
        <v>92</v>
      </c>
      <c r="BQ36" s="6" t="s">
        <v>87</v>
      </c>
      <c r="BR36" s="6" t="s">
        <v>87</v>
      </c>
      <c r="BS36" s="6" t="s">
        <v>87</v>
      </c>
      <c r="BT36" s="6" t="s">
        <v>87</v>
      </c>
      <c r="BU36" s="6" t="s">
        <v>87</v>
      </c>
      <c r="BV36" s="6"/>
      <c r="BW36" s="6" t="s">
        <v>101</v>
      </c>
      <c r="BX36" s="6"/>
      <c r="BY36" s="6"/>
      <c r="BZ36" s="6"/>
    </row>
    <row customHeight="true" ht="18.51851851851852" r="37">
      <c r="A37" s="6" t="s">
        <v>134</v>
      </c>
      <c r="B37" s="6" t="s">
        <v>135</v>
      </c>
      <c r="C37" s="17" t="s">
        <v>187</v>
      </c>
      <c r="D37" s="7">
        <v>45758</v>
      </c>
      <c r="E37" s="6" t="s">
        <v>81</v>
      </c>
      <c r="F37" s="6" t="s">
        <v>82</v>
      </c>
      <c r="G37" s="6" t="s">
        <v>83</v>
      </c>
      <c r="H37" s="6" t="s">
        <v>107</v>
      </c>
      <c r="I37" s="6" t="s">
        <v>85</v>
      </c>
      <c r="J37" s="6" t="s">
        <v>86</v>
      </c>
      <c r="K37" s="6" t="s">
        <v>87</v>
      </c>
      <c r="L37" s="16" t="s">
        <v>88</v>
      </c>
      <c r="M37" s="10" t="s">
        <v>186</v>
      </c>
      <c r="N37" s="6" t="s">
        <v>88</v>
      </c>
      <c r="O37" s="17"/>
      <c r="P37" s="6"/>
      <c r="Q37" s="17"/>
      <c r="R37" s="10" t="s">
        <v>186</v>
      </c>
      <c r="S37" s="17"/>
      <c r="T37" s="6" t="s">
        <v>89</v>
      </c>
      <c r="U37" s="13"/>
      <c r="V37" s="22" t="s">
        <v>172</v>
      </c>
      <c r="W37" s="6" t="s">
        <v>187</v>
      </c>
      <c r="X37" s="6" t="s">
        <v>135</v>
      </c>
      <c r="Y37" s="6"/>
      <c r="Z37" s="7">
        <v>45761</v>
      </c>
      <c r="AA37" s="7">
        <v>45808</v>
      </c>
      <c r="AB37" s="7">
        <v>45808</v>
      </c>
      <c r="AC37" s="6" t="s">
        <v>87</v>
      </c>
      <c r="AD37" s="6" t="s">
        <v>87</v>
      </c>
      <c r="AE37" s="6" t="s">
        <v>87</v>
      </c>
      <c r="AF37" s="6" t="s">
        <v>87</v>
      </c>
      <c r="AG37" s="20">
        <v>45761</v>
      </c>
      <c r="AH37" s="20">
        <v>45769</v>
      </c>
      <c r="AI37" s="6" t="s">
        <v>89</v>
      </c>
      <c r="AJ37" s="20">
        <v>45776</v>
      </c>
      <c r="AK37" s="6"/>
      <c r="AL37" s="6" t="s">
        <v>89</v>
      </c>
      <c r="AM37" s="8"/>
      <c r="AN37" s="8"/>
      <c r="AO37" s="6">
        <v>5</v>
      </c>
      <c r="AP37" s="7">
        <v>45769</v>
      </c>
      <c r="AQ37" s="6"/>
      <c r="AR37" s="6">
        <v>5</v>
      </c>
      <c r="AS37" s="6"/>
      <c r="AT37" s="6"/>
      <c r="AU37" s="6" t="s">
        <v>87</v>
      </c>
      <c r="AV37" s="6" t="s">
        <v>87</v>
      </c>
      <c r="AW37" s="6" t="s">
        <v>87</v>
      </c>
      <c r="AX37" s="13"/>
      <c r="AY37" s="6" t="s">
        <v>87</v>
      </c>
      <c r="AZ37" s="7">
        <v>45748</v>
      </c>
      <c r="BA37" s="7">
        <v>45765</v>
      </c>
      <c r="BB37" s="6" t="s">
        <v>87</v>
      </c>
      <c r="BC37" s="6" t="s">
        <v>87</v>
      </c>
      <c r="BD37" s="6" t="s">
        <v>92</v>
      </c>
      <c r="BE37" s="6" t="s">
        <v>92</v>
      </c>
      <c r="BF37" s="6" t="s">
        <v>87</v>
      </c>
      <c r="BG37" s="6" t="s">
        <v>87</v>
      </c>
      <c r="BH37" s="6" t="s">
        <v>87</v>
      </c>
      <c r="BI37" s="6" t="s">
        <v>92</v>
      </c>
      <c r="BJ37" s="6" t="s">
        <v>87</v>
      </c>
      <c r="BK37" s="6" t="s">
        <v>92</v>
      </c>
      <c r="BL37" s="6" t="s">
        <v>87</v>
      </c>
      <c r="BM37" s="6" t="s">
        <v>87</v>
      </c>
      <c r="BN37" s="14">
        <v>1</v>
      </c>
      <c r="BO37" s="6" t="s">
        <v>92</v>
      </c>
      <c r="BP37" s="6" t="s">
        <v>92</v>
      </c>
      <c r="BQ37" s="6" t="s">
        <v>87</v>
      </c>
      <c r="BR37" s="6" t="s">
        <v>87</v>
      </c>
      <c r="BS37" s="6" t="s">
        <v>87</v>
      </c>
      <c r="BT37" s="6" t="s">
        <v>87</v>
      </c>
      <c r="BU37" s="6" t="s">
        <v>87</v>
      </c>
      <c r="BV37" s="6"/>
      <c r="BW37" s="6" t="s">
        <v>101</v>
      </c>
      <c r="BX37" s="6"/>
      <c r="BY37" s="6"/>
      <c r="BZ37" s="6"/>
    </row>
    <row customHeight="true" ht="18.51851851851852" r="38">
      <c r="A38" s="6" t="s">
        <v>134</v>
      </c>
      <c r="B38" s="6" t="s">
        <v>135</v>
      </c>
      <c r="C38" s="17" t="s">
        <v>187</v>
      </c>
      <c r="D38" s="7">
        <v>45758</v>
      </c>
      <c r="E38" s="6" t="s">
        <v>81</v>
      </c>
      <c r="F38" s="6" t="s">
        <v>82</v>
      </c>
      <c r="G38" s="6" t="s">
        <v>83</v>
      </c>
      <c r="H38" s="6" t="s">
        <v>107</v>
      </c>
      <c r="I38" s="6" t="s">
        <v>85</v>
      </c>
      <c r="J38" s="6" t="s">
        <v>86</v>
      </c>
      <c r="K38" s="6" t="s">
        <v>87</v>
      </c>
      <c r="L38" s="16" t="s">
        <v>88</v>
      </c>
      <c r="M38" s="10" t="s">
        <v>186</v>
      </c>
      <c r="N38" s="6" t="s">
        <v>88</v>
      </c>
      <c r="O38" s="17"/>
      <c r="P38" s="6"/>
      <c r="Q38" s="17"/>
      <c r="R38" s="10" t="s">
        <v>186</v>
      </c>
      <c r="S38" s="17"/>
      <c r="T38" s="6" t="s">
        <v>89</v>
      </c>
      <c r="U38" s="13"/>
      <c r="V38" s="22" t="s">
        <v>172</v>
      </c>
      <c r="W38" s="6" t="s">
        <v>187</v>
      </c>
      <c r="X38" s="6" t="s">
        <v>135</v>
      </c>
      <c r="Y38" s="6"/>
      <c r="Z38" s="7">
        <v>45761</v>
      </c>
      <c r="AA38" s="7">
        <v>45808</v>
      </c>
      <c r="AB38" s="7">
        <v>45808</v>
      </c>
      <c r="AC38" s="6" t="s">
        <v>87</v>
      </c>
      <c r="AD38" s="6" t="s">
        <v>87</v>
      </c>
      <c r="AE38" s="6" t="s">
        <v>87</v>
      </c>
      <c r="AF38" s="6" t="s">
        <v>87</v>
      </c>
      <c r="AG38" s="20">
        <v>45761</v>
      </c>
      <c r="AH38" s="20">
        <v>45769</v>
      </c>
      <c r="AI38" s="6" t="s">
        <v>89</v>
      </c>
      <c r="AJ38" s="20">
        <v>45776</v>
      </c>
      <c r="AK38" s="6"/>
      <c r="AL38" s="6" t="s">
        <v>89</v>
      </c>
      <c r="AM38" s="8"/>
      <c r="AN38" s="8"/>
      <c r="AO38" s="6">
        <v>5</v>
      </c>
      <c r="AP38" s="7">
        <v>45769</v>
      </c>
      <c r="AQ38" s="6"/>
      <c r="AR38" s="6">
        <v>5</v>
      </c>
      <c r="AS38" s="6"/>
      <c r="AT38" s="6"/>
      <c r="AU38" s="6" t="s">
        <v>87</v>
      </c>
      <c r="AV38" s="6" t="s">
        <v>87</v>
      </c>
      <c r="AW38" s="6" t="s">
        <v>87</v>
      </c>
      <c r="AX38" s="13"/>
      <c r="AY38" s="6" t="s">
        <v>87</v>
      </c>
      <c r="AZ38" s="7">
        <v>45748</v>
      </c>
      <c r="BA38" s="7">
        <v>45765</v>
      </c>
      <c r="BB38" s="6" t="s">
        <v>87</v>
      </c>
      <c r="BC38" s="6" t="s">
        <v>87</v>
      </c>
      <c r="BD38" s="6" t="s">
        <v>92</v>
      </c>
      <c r="BE38" s="6" t="s">
        <v>92</v>
      </c>
      <c r="BF38" s="6" t="s">
        <v>87</v>
      </c>
      <c r="BG38" s="6" t="s">
        <v>87</v>
      </c>
      <c r="BH38" s="6" t="s">
        <v>87</v>
      </c>
      <c r="BI38" s="6" t="s">
        <v>92</v>
      </c>
      <c r="BJ38" s="6" t="s">
        <v>87</v>
      </c>
      <c r="BK38" s="6" t="s">
        <v>92</v>
      </c>
      <c r="BL38" s="6" t="s">
        <v>87</v>
      </c>
      <c r="BM38" s="6" t="s">
        <v>87</v>
      </c>
      <c r="BN38" s="14">
        <v>1</v>
      </c>
      <c r="BO38" s="6" t="s">
        <v>92</v>
      </c>
      <c r="BP38" s="6" t="s">
        <v>92</v>
      </c>
      <c r="BQ38" s="6" t="s">
        <v>87</v>
      </c>
      <c r="BR38" s="6" t="s">
        <v>87</v>
      </c>
      <c r="BS38" s="6" t="s">
        <v>87</v>
      </c>
      <c r="BT38" s="6" t="s">
        <v>87</v>
      </c>
      <c r="BU38" s="6" t="s">
        <v>87</v>
      </c>
      <c r="BV38" s="6"/>
      <c r="BW38" s="6" t="s">
        <v>101</v>
      </c>
      <c r="BX38" s="6"/>
      <c r="BY38" s="6"/>
      <c r="BZ38" s="6"/>
    </row>
    <row customHeight="true" ht="18.51851851851852" r="39">
      <c r="A39" s="6" t="s">
        <v>134</v>
      </c>
      <c r="B39" s="6" t="s">
        <v>135</v>
      </c>
      <c r="C39" s="17" t="s">
        <v>187</v>
      </c>
      <c r="D39" s="7">
        <v>45758</v>
      </c>
      <c r="E39" s="6" t="s">
        <v>81</v>
      </c>
      <c r="F39" s="6" t="s">
        <v>82</v>
      </c>
      <c r="G39" s="6" t="s">
        <v>83</v>
      </c>
      <c r="H39" s="6" t="s">
        <v>107</v>
      </c>
      <c r="I39" s="6" t="s">
        <v>85</v>
      </c>
      <c r="J39" s="6" t="s">
        <v>86</v>
      </c>
      <c r="K39" s="6" t="s">
        <v>87</v>
      </c>
      <c r="L39" s="16" t="s">
        <v>88</v>
      </c>
      <c r="M39" s="10" t="s">
        <v>186</v>
      </c>
      <c r="N39" s="6" t="s">
        <v>88</v>
      </c>
      <c r="O39" s="17"/>
      <c r="P39" s="6"/>
      <c r="Q39" s="17"/>
      <c r="R39" s="10" t="s">
        <v>186</v>
      </c>
      <c r="S39" s="17"/>
      <c r="T39" s="6" t="s">
        <v>89</v>
      </c>
      <c r="U39" s="13"/>
      <c r="V39" s="22" t="s">
        <v>172</v>
      </c>
      <c r="W39" s="6" t="s">
        <v>187</v>
      </c>
      <c r="X39" s="6" t="s">
        <v>135</v>
      </c>
      <c r="Y39" s="6"/>
      <c r="Z39" s="7">
        <v>45761</v>
      </c>
      <c r="AA39" s="7">
        <v>45808</v>
      </c>
      <c r="AB39" s="7">
        <v>45808</v>
      </c>
      <c r="AC39" s="6" t="s">
        <v>87</v>
      </c>
      <c r="AD39" s="6" t="s">
        <v>87</v>
      </c>
      <c r="AE39" s="6" t="s">
        <v>87</v>
      </c>
      <c r="AF39" s="6" t="s">
        <v>87</v>
      </c>
      <c r="AG39" s="20">
        <v>45761</v>
      </c>
      <c r="AH39" s="20">
        <v>45769</v>
      </c>
      <c r="AI39" s="6" t="s">
        <v>89</v>
      </c>
      <c r="AJ39" s="20">
        <v>45776</v>
      </c>
      <c r="AK39" s="6"/>
      <c r="AL39" s="6" t="s">
        <v>89</v>
      </c>
      <c r="AM39" s="8"/>
      <c r="AN39" s="8"/>
      <c r="AO39" s="6">
        <v>5</v>
      </c>
      <c r="AP39" s="7">
        <v>45769</v>
      </c>
      <c r="AQ39" s="6"/>
      <c r="AR39" s="6">
        <v>5</v>
      </c>
      <c r="AS39" s="6"/>
      <c r="AT39" s="6"/>
      <c r="AU39" s="6" t="s">
        <v>87</v>
      </c>
      <c r="AV39" s="6" t="s">
        <v>87</v>
      </c>
      <c r="AW39" s="6" t="s">
        <v>87</v>
      </c>
      <c r="AX39" s="13"/>
      <c r="AY39" s="6" t="s">
        <v>87</v>
      </c>
      <c r="AZ39" s="7">
        <v>45748</v>
      </c>
      <c r="BA39" s="7">
        <v>45765</v>
      </c>
      <c r="BB39" s="6" t="s">
        <v>87</v>
      </c>
      <c r="BC39" s="6" t="s">
        <v>87</v>
      </c>
      <c r="BD39" s="6" t="s">
        <v>92</v>
      </c>
      <c r="BE39" s="6" t="s">
        <v>92</v>
      </c>
      <c r="BF39" s="6" t="s">
        <v>87</v>
      </c>
      <c r="BG39" s="6" t="s">
        <v>87</v>
      </c>
      <c r="BH39" s="6" t="s">
        <v>87</v>
      </c>
      <c r="BI39" s="6" t="s">
        <v>92</v>
      </c>
      <c r="BJ39" s="6" t="s">
        <v>87</v>
      </c>
      <c r="BK39" s="6" t="s">
        <v>92</v>
      </c>
      <c r="BL39" s="6" t="s">
        <v>87</v>
      </c>
      <c r="BM39" s="6" t="s">
        <v>87</v>
      </c>
      <c r="BN39" s="14">
        <v>1</v>
      </c>
      <c r="BO39" s="6" t="s">
        <v>92</v>
      </c>
      <c r="BP39" s="6" t="s">
        <v>92</v>
      </c>
      <c r="BQ39" s="6" t="s">
        <v>87</v>
      </c>
      <c r="BR39" s="6" t="s">
        <v>87</v>
      </c>
      <c r="BS39" s="6" t="s">
        <v>87</v>
      </c>
      <c r="BT39" s="6" t="s">
        <v>87</v>
      </c>
      <c r="BU39" s="6" t="s">
        <v>87</v>
      </c>
      <c r="BV39" s="6"/>
      <c r="BW39" s="6" t="s">
        <v>101</v>
      </c>
      <c r="BX39" s="6"/>
      <c r="BY39" s="6"/>
      <c r="BZ39" s="6"/>
    </row>
    <row customHeight="true" ht="18.51851851851852" r="40">
      <c r="A40" s="6" t="s">
        <v>134</v>
      </c>
      <c r="B40" s="6" t="s">
        <v>135</v>
      </c>
      <c r="C40" s="17" t="s">
        <v>188</v>
      </c>
      <c r="D40" s="7">
        <v>45758</v>
      </c>
      <c r="E40" s="6" t="s">
        <v>81</v>
      </c>
      <c r="F40" s="6" t="s">
        <v>82</v>
      </c>
      <c r="G40" s="6" t="s">
        <v>83</v>
      </c>
      <c r="H40" s="6" t="s">
        <v>84</v>
      </c>
      <c r="I40" s="6" t="s">
        <v>85</v>
      </c>
      <c r="J40" s="6" t="s">
        <v>86</v>
      </c>
      <c r="K40" s="6" t="s">
        <v>87</v>
      </c>
      <c r="L40" s="16" t="s">
        <v>88</v>
      </c>
      <c r="M40" s="23"/>
      <c r="N40" s="6" t="s">
        <v>88</v>
      </c>
      <c r="O40" s="17"/>
      <c r="P40" s="6"/>
      <c r="Q40" s="17"/>
      <c r="R40" s="23"/>
      <c r="S40" s="17"/>
      <c r="T40" s="6" t="s">
        <v>89</v>
      </c>
      <c r="U40" s="13"/>
      <c r="V40" s="22" t="s">
        <v>172</v>
      </c>
      <c r="W40" s="6" t="s">
        <v>188</v>
      </c>
      <c r="X40" s="6" t="s">
        <v>135</v>
      </c>
      <c r="Y40" s="6"/>
      <c r="Z40" s="7">
        <v>45761</v>
      </c>
      <c r="AA40" s="7">
        <v>45808</v>
      </c>
      <c r="AB40" s="7">
        <v>45808</v>
      </c>
      <c r="AC40" s="6" t="s">
        <v>87</v>
      </c>
      <c r="AD40" s="6" t="s">
        <v>87</v>
      </c>
      <c r="AE40" s="6" t="s">
        <v>87</v>
      </c>
      <c r="AF40" s="6" t="s">
        <v>87</v>
      </c>
      <c r="AG40" s="20">
        <v>45761</v>
      </c>
      <c r="AH40" s="20">
        <v>45769</v>
      </c>
      <c r="AI40" s="6" t="s">
        <v>89</v>
      </c>
      <c r="AJ40" s="20">
        <v>45776</v>
      </c>
      <c r="AK40" s="6"/>
      <c r="AL40" s="6" t="s">
        <v>89</v>
      </c>
      <c r="AM40" s="8"/>
      <c r="AN40" s="8"/>
      <c r="AO40" s="6">
        <v>5</v>
      </c>
      <c r="AP40" s="7">
        <v>45769</v>
      </c>
      <c r="AQ40" s="6"/>
      <c r="AR40" s="6">
        <v>5</v>
      </c>
      <c r="AS40" s="6"/>
      <c r="AT40" s="6"/>
      <c r="AU40" s="6" t="s">
        <v>87</v>
      </c>
      <c r="AV40" s="6" t="s">
        <v>87</v>
      </c>
      <c r="AW40" s="6" t="s">
        <v>87</v>
      </c>
      <c r="AX40" s="13"/>
      <c r="AY40" s="6" t="s">
        <v>87</v>
      </c>
      <c r="AZ40" s="7">
        <v>45748</v>
      </c>
      <c r="BA40" s="7">
        <v>45765</v>
      </c>
      <c r="BB40" s="6" t="s">
        <v>87</v>
      </c>
      <c r="BC40" s="6" t="s">
        <v>87</v>
      </c>
      <c r="BD40" s="6" t="s">
        <v>92</v>
      </c>
      <c r="BE40" s="6" t="s">
        <v>92</v>
      </c>
      <c r="BF40" s="6" t="s">
        <v>87</v>
      </c>
      <c r="BG40" s="6" t="s">
        <v>87</v>
      </c>
      <c r="BH40" s="6" t="s">
        <v>87</v>
      </c>
      <c r="BI40" s="6" t="s">
        <v>92</v>
      </c>
      <c r="BJ40" s="6" t="s">
        <v>87</v>
      </c>
      <c r="BK40" s="6" t="s">
        <v>92</v>
      </c>
      <c r="BL40" s="6" t="s">
        <v>87</v>
      </c>
      <c r="BM40" s="6" t="s">
        <v>87</v>
      </c>
      <c r="BN40" s="14">
        <v>1</v>
      </c>
      <c r="BO40" s="6" t="s">
        <v>92</v>
      </c>
      <c r="BP40" s="6" t="s">
        <v>92</v>
      </c>
      <c r="BQ40" s="6" t="s">
        <v>87</v>
      </c>
      <c r="BR40" s="6" t="s">
        <v>87</v>
      </c>
      <c r="BS40" s="6" t="s">
        <v>87</v>
      </c>
      <c r="BT40" s="6" t="s">
        <v>87</v>
      </c>
      <c r="BU40" s="6" t="s">
        <v>87</v>
      </c>
      <c r="BV40" s="6"/>
      <c r="BW40" s="6" t="s">
        <v>101</v>
      </c>
      <c r="BX40" s="6"/>
      <c r="BY40" s="6"/>
      <c r="BZ40" s="6"/>
    </row>
    <row customHeight="true" ht="18.51851851851852" r="41">
      <c r="A41" s="6" t="s">
        <v>134</v>
      </c>
      <c r="B41" s="6" t="s">
        <v>135</v>
      </c>
      <c r="C41" s="17" t="s">
        <v>189</v>
      </c>
      <c r="D41" s="7">
        <v>45758</v>
      </c>
      <c r="E41" s="6" t="s">
        <v>81</v>
      </c>
      <c r="F41" s="6" t="s">
        <v>82</v>
      </c>
      <c r="G41" s="6" t="s">
        <v>83</v>
      </c>
      <c r="H41" s="6" t="s">
        <v>107</v>
      </c>
      <c r="I41" s="6" t="s">
        <v>85</v>
      </c>
      <c r="J41" s="6" t="s">
        <v>86</v>
      </c>
      <c r="K41" s="6" t="s">
        <v>87</v>
      </c>
      <c r="L41" s="16" t="s">
        <v>88</v>
      </c>
      <c r="M41" s="23"/>
      <c r="N41" s="6" t="s">
        <v>88</v>
      </c>
      <c r="O41" s="17"/>
      <c r="P41" s="6"/>
      <c r="Q41" s="17"/>
      <c r="R41" s="23"/>
      <c r="S41" s="17"/>
      <c r="T41" s="6" t="s">
        <v>89</v>
      </c>
      <c r="U41" s="13"/>
      <c r="V41" s="22" t="s">
        <v>172</v>
      </c>
      <c r="W41" s="6" t="s">
        <v>189</v>
      </c>
      <c r="X41" s="6" t="s">
        <v>135</v>
      </c>
      <c r="Y41" s="6"/>
      <c r="Z41" s="7">
        <v>45761</v>
      </c>
      <c r="AA41" s="7">
        <v>45808</v>
      </c>
      <c r="AB41" s="7">
        <v>45808</v>
      </c>
      <c r="AC41" s="6" t="s">
        <v>87</v>
      </c>
      <c r="AD41" s="6" t="s">
        <v>87</v>
      </c>
      <c r="AE41" s="6" t="s">
        <v>87</v>
      </c>
      <c r="AF41" s="6" t="s">
        <v>87</v>
      </c>
      <c r="AG41" s="20">
        <v>45761</v>
      </c>
      <c r="AH41" s="20">
        <v>45769</v>
      </c>
      <c r="AI41" s="6" t="s">
        <v>89</v>
      </c>
      <c r="AJ41" s="20">
        <v>45776</v>
      </c>
      <c r="AK41" s="6"/>
      <c r="AL41" s="6" t="s">
        <v>89</v>
      </c>
      <c r="AM41" s="8"/>
      <c r="AN41" s="8"/>
      <c r="AO41" s="6">
        <v>5</v>
      </c>
      <c r="AP41" s="7">
        <v>45769</v>
      </c>
      <c r="AQ41" s="6"/>
      <c r="AR41" s="6">
        <v>5</v>
      </c>
      <c r="AS41" s="6"/>
      <c r="AT41" s="6"/>
      <c r="AU41" s="6" t="s">
        <v>87</v>
      </c>
      <c r="AV41" s="6" t="s">
        <v>87</v>
      </c>
      <c r="AW41" s="6" t="s">
        <v>87</v>
      </c>
      <c r="AX41" s="13"/>
      <c r="AY41" s="6" t="s">
        <v>87</v>
      </c>
      <c r="AZ41" s="7">
        <v>45748</v>
      </c>
      <c r="BA41" s="7">
        <v>45765</v>
      </c>
      <c r="BB41" s="6" t="s">
        <v>87</v>
      </c>
      <c r="BC41" s="6" t="s">
        <v>87</v>
      </c>
      <c r="BD41" s="6" t="s">
        <v>92</v>
      </c>
      <c r="BE41" s="6" t="s">
        <v>92</v>
      </c>
      <c r="BF41" s="6" t="s">
        <v>87</v>
      </c>
      <c r="BG41" s="6" t="s">
        <v>87</v>
      </c>
      <c r="BH41" s="6" t="s">
        <v>87</v>
      </c>
      <c r="BI41" s="6" t="s">
        <v>92</v>
      </c>
      <c r="BJ41" s="6" t="s">
        <v>87</v>
      </c>
      <c r="BK41" s="6" t="s">
        <v>92</v>
      </c>
      <c r="BL41" s="6" t="s">
        <v>87</v>
      </c>
      <c r="BM41" s="6" t="s">
        <v>87</v>
      </c>
      <c r="BN41" s="14">
        <v>1</v>
      </c>
      <c r="BO41" s="6" t="s">
        <v>92</v>
      </c>
      <c r="BP41" s="6" t="s">
        <v>92</v>
      </c>
      <c r="BQ41" s="6" t="s">
        <v>87</v>
      </c>
      <c r="BR41" s="6" t="s">
        <v>87</v>
      </c>
      <c r="BS41" s="6" t="s">
        <v>87</v>
      </c>
      <c r="BT41" s="6" t="s">
        <v>87</v>
      </c>
      <c r="BU41" s="6" t="s">
        <v>87</v>
      </c>
      <c r="BV41" s="6"/>
      <c r="BW41" s="6" t="s">
        <v>101</v>
      </c>
      <c r="BX41" s="6"/>
      <c r="BY41" s="6"/>
      <c r="BZ41" s="6"/>
    </row>
    <row customHeight="true" ht="18.51851851851852" r="42">
      <c r="A42" s="6" t="s">
        <v>134</v>
      </c>
      <c r="B42" s="6" t="s">
        <v>135</v>
      </c>
      <c r="C42" s="17" t="s">
        <v>189</v>
      </c>
      <c r="D42" s="7">
        <v>45758</v>
      </c>
      <c r="E42" s="6" t="s">
        <v>81</v>
      </c>
      <c r="F42" s="6" t="s">
        <v>82</v>
      </c>
      <c r="G42" s="6" t="s">
        <v>83</v>
      </c>
      <c r="H42" s="6" t="s">
        <v>107</v>
      </c>
      <c r="I42" s="6" t="s">
        <v>85</v>
      </c>
      <c r="J42" s="6" t="s">
        <v>86</v>
      </c>
      <c r="K42" s="6" t="s">
        <v>87</v>
      </c>
      <c r="L42" s="16" t="s">
        <v>88</v>
      </c>
      <c r="M42" s="23"/>
      <c r="N42" s="6" t="s">
        <v>88</v>
      </c>
      <c r="O42" s="17"/>
      <c r="P42" s="6"/>
      <c r="Q42" s="17"/>
      <c r="R42" s="23"/>
      <c r="S42" s="17"/>
      <c r="T42" s="6" t="s">
        <v>89</v>
      </c>
      <c r="U42" s="13"/>
      <c r="V42" s="22" t="s">
        <v>172</v>
      </c>
      <c r="W42" s="6" t="s">
        <v>189</v>
      </c>
      <c r="X42" s="6" t="s">
        <v>135</v>
      </c>
      <c r="Y42" s="6"/>
      <c r="Z42" s="7">
        <v>45761</v>
      </c>
      <c r="AA42" s="7">
        <v>45808</v>
      </c>
      <c r="AB42" s="7">
        <v>45808</v>
      </c>
      <c r="AC42" s="6" t="s">
        <v>87</v>
      </c>
      <c r="AD42" s="6" t="s">
        <v>87</v>
      </c>
      <c r="AE42" s="6" t="s">
        <v>87</v>
      </c>
      <c r="AF42" s="6" t="s">
        <v>87</v>
      </c>
      <c r="AG42" s="20">
        <v>45761</v>
      </c>
      <c r="AH42" s="20">
        <v>45769</v>
      </c>
      <c r="AI42" s="6" t="s">
        <v>89</v>
      </c>
      <c r="AJ42" s="20">
        <v>45776</v>
      </c>
      <c r="AK42" s="6"/>
      <c r="AL42" s="6" t="s">
        <v>89</v>
      </c>
      <c r="AM42" s="8"/>
      <c r="AN42" s="8"/>
      <c r="AO42" s="6">
        <v>5</v>
      </c>
      <c r="AP42" s="7">
        <v>45769</v>
      </c>
      <c r="AQ42" s="6"/>
      <c r="AR42" s="6">
        <v>5</v>
      </c>
      <c r="AS42" s="6"/>
      <c r="AT42" s="6"/>
      <c r="AU42" s="6" t="s">
        <v>87</v>
      </c>
      <c r="AV42" s="6" t="s">
        <v>87</v>
      </c>
      <c r="AW42" s="6" t="s">
        <v>87</v>
      </c>
      <c r="AX42" s="13"/>
      <c r="AY42" s="6" t="s">
        <v>87</v>
      </c>
      <c r="AZ42" s="7">
        <v>45748</v>
      </c>
      <c r="BA42" s="7">
        <v>45765</v>
      </c>
      <c r="BB42" s="6" t="s">
        <v>87</v>
      </c>
      <c r="BC42" s="6" t="s">
        <v>87</v>
      </c>
      <c r="BD42" s="6" t="s">
        <v>92</v>
      </c>
      <c r="BE42" s="6" t="s">
        <v>92</v>
      </c>
      <c r="BF42" s="6" t="s">
        <v>87</v>
      </c>
      <c r="BG42" s="6" t="s">
        <v>87</v>
      </c>
      <c r="BH42" s="6" t="s">
        <v>87</v>
      </c>
      <c r="BI42" s="6" t="s">
        <v>92</v>
      </c>
      <c r="BJ42" s="6" t="s">
        <v>87</v>
      </c>
      <c r="BK42" s="6" t="s">
        <v>92</v>
      </c>
      <c r="BL42" s="6" t="s">
        <v>87</v>
      </c>
      <c r="BM42" s="6" t="s">
        <v>87</v>
      </c>
      <c r="BN42" s="14">
        <v>1</v>
      </c>
      <c r="BO42" s="6" t="s">
        <v>92</v>
      </c>
      <c r="BP42" s="6" t="s">
        <v>92</v>
      </c>
      <c r="BQ42" s="6" t="s">
        <v>87</v>
      </c>
      <c r="BR42" s="6" t="s">
        <v>87</v>
      </c>
      <c r="BS42" s="6" t="s">
        <v>87</v>
      </c>
      <c r="BT42" s="6" t="s">
        <v>87</v>
      </c>
      <c r="BU42" s="6" t="s">
        <v>87</v>
      </c>
      <c r="BV42" s="6"/>
      <c r="BW42" s="6" t="s">
        <v>101</v>
      </c>
      <c r="BX42" s="6"/>
      <c r="BY42" s="6"/>
      <c r="BZ42" s="6"/>
    </row>
    <row customHeight="true" ht="18.51851851851852" r="43">
      <c r="A43" s="6" t="s">
        <v>134</v>
      </c>
      <c r="B43" s="6" t="s">
        <v>135</v>
      </c>
      <c r="C43" s="17" t="s">
        <v>190</v>
      </c>
      <c r="D43" s="7">
        <v>45770</v>
      </c>
      <c r="E43" s="13" t="s">
        <v>81</v>
      </c>
      <c r="F43" s="13" t="s">
        <v>82</v>
      </c>
      <c r="G43" s="13" t="s">
        <v>83</v>
      </c>
      <c r="H43" s="13" t="s">
        <v>107</v>
      </c>
      <c r="I43" s="13" t="s">
        <v>85</v>
      </c>
      <c r="J43" s="13" t="s">
        <v>86</v>
      </c>
      <c r="K43" s="13" t="s">
        <v>87</v>
      </c>
      <c r="L43" s="16" t="s">
        <v>88</v>
      </c>
      <c r="M43" s="24" t="s">
        <v>191</v>
      </c>
      <c r="N43" s="6" t="s">
        <v>88</v>
      </c>
      <c r="O43" s="17"/>
      <c r="P43" s="6"/>
      <c r="Q43" s="9" t="s">
        <v>192</v>
      </c>
      <c r="R43" s="9" t="s">
        <v>193</v>
      </c>
      <c r="S43" s="17"/>
      <c r="T43" s="6"/>
      <c r="U43" s="13"/>
      <c r="V43" s="22" t="s">
        <v>172</v>
      </c>
      <c r="W43" s="6" t="s">
        <v>189</v>
      </c>
      <c r="X43" s="6" t="s">
        <v>135</v>
      </c>
      <c r="Y43" s="6"/>
      <c r="Z43" s="7">
        <v>45761</v>
      </c>
      <c r="AA43" s="7">
        <v>45808</v>
      </c>
      <c r="AB43" s="7">
        <v>45808</v>
      </c>
      <c r="AC43" s="6" t="s">
        <v>87</v>
      </c>
      <c r="AD43" s="6" t="s">
        <v>87</v>
      </c>
      <c r="AE43" s="6" t="s">
        <v>87</v>
      </c>
      <c r="AF43" s="6" t="s">
        <v>87</v>
      </c>
      <c r="AG43" s="20">
        <v>45761</v>
      </c>
      <c r="AH43" s="20">
        <v>45769</v>
      </c>
      <c r="AI43" s="6" t="s">
        <v>89</v>
      </c>
      <c r="AJ43" s="20">
        <v>45776</v>
      </c>
      <c r="AK43" s="6"/>
      <c r="AL43" s="6" t="s">
        <v>89</v>
      </c>
      <c r="AM43" s="8"/>
      <c r="AN43" s="8"/>
      <c r="AO43" s="6">
        <v>5</v>
      </c>
      <c r="AP43" s="7">
        <v>45769</v>
      </c>
      <c r="AQ43" s="6"/>
      <c r="AR43" s="6">
        <v>5</v>
      </c>
      <c r="AS43" s="6"/>
      <c r="AT43" s="6"/>
      <c r="AU43" s="6" t="s">
        <v>87</v>
      </c>
      <c r="AV43" s="6" t="s">
        <v>87</v>
      </c>
      <c r="AW43" s="6" t="s">
        <v>87</v>
      </c>
      <c r="AX43" s="13"/>
      <c r="AY43" s="6" t="s">
        <v>87</v>
      </c>
      <c r="AZ43" s="7">
        <v>45748</v>
      </c>
      <c r="BA43" s="7">
        <v>45765</v>
      </c>
      <c r="BB43" s="6" t="s">
        <v>87</v>
      </c>
      <c r="BC43" s="6" t="s">
        <v>87</v>
      </c>
      <c r="BD43" s="6" t="s">
        <v>92</v>
      </c>
      <c r="BE43" s="6" t="s">
        <v>92</v>
      </c>
      <c r="BF43" s="6" t="s">
        <v>87</v>
      </c>
      <c r="BG43" s="6" t="s">
        <v>87</v>
      </c>
      <c r="BH43" s="6" t="s">
        <v>87</v>
      </c>
      <c r="BI43" s="6" t="s">
        <v>92</v>
      </c>
      <c r="BJ43" s="6" t="s">
        <v>87</v>
      </c>
      <c r="BK43" s="6" t="s">
        <v>92</v>
      </c>
      <c r="BL43" s="6" t="s">
        <v>87</v>
      </c>
      <c r="BM43" s="6" t="s">
        <v>87</v>
      </c>
      <c r="BN43" s="14">
        <v>1</v>
      </c>
      <c r="BO43" s="6" t="s">
        <v>92</v>
      </c>
      <c r="BP43" s="6" t="s">
        <v>92</v>
      </c>
      <c r="BQ43" s="6" t="s">
        <v>87</v>
      </c>
      <c r="BR43" s="6" t="s">
        <v>87</v>
      </c>
      <c r="BS43" s="6" t="s">
        <v>87</v>
      </c>
      <c r="BT43" s="6" t="s">
        <v>87</v>
      </c>
      <c r="BU43" s="6" t="s">
        <v>87</v>
      </c>
      <c r="BV43" s="6"/>
      <c r="BW43" s="6" t="s">
        <v>101</v>
      </c>
      <c r="BX43" s="6"/>
      <c r="BY43" s="6"/>
      <c r="BZ43" s="6"/>
    </row>
    <row customHeight="true" ht="18.51851851851852" r="44">
      <c r="A44" s="6" t="s">
        <v>134</v>
      </c>
      <c r="B44" s="6" t="s">
        <v>135</v>
      </c>
      <c r="C44" s="17" t="s">
        <v>194</v>
      </c>
      <c r="D44" s="7">
        <v>45770</v>
      </c>
      <c r="E44" s="6" t="s">
        <v>81</v>
      </c>
      <c r="F44" s="6" t="s">
        <v>82</v>
      </c>
      <c r="G44" s="6" t="s">
        <v>83</v>
      </c>
      <c r="H44" s="6" t="s">
        <v>107</v>
      </c>
      <c r="I44" s="6" t="s">
        <v>85</v>
      </c>
      <c r="J44" s="6" t="s">
        <v>86</v>
      </c>
      <c r="K44" s="6" t="s">
        <v>87</v>
      </c>
      <c r="L44" s="16" t="s">
        <v>88</v>
      </c>
      <c r="M44" s="24" t="s">
        <v>195</v>
      </c>
      <c r="N44" s="6" t="s">
        <v>88</v>
      </c>
      <c r="O44" s="17"/>
      <c r="P44" s="6"/>
      <c r="Q44" s="17"/>
      <c r="R44" s="17"/>
      <c r="S44" s="17"/>
      <c r="T44" s="6"/>
      <c r="U44" s="13"/>
      <c r="V44" s="22" t="s">
        <v>172</v>
      </c>
      <c r="W44" s="6" t="s">
        <v>194</v>
      </c>
      <c r="X44" s="6" t="s">
        <v>135</v>
      </c>
      <c r="Y44" s="6"/>
      <c r="Z44" s="7">
        <v>45761</v>
      </c>
      <c r="AA44" s="7">
        <v>45808</v>
      </c>
      <c r="AB44" s="7">
        <v>45808</v>
      </c>
      <c r="AC44" s="6" t="s">
        <v>87</v>
      </c>
      <c r="AD44" s="6" t="s">
        <v>87</v>
      </c>
      <c r="AE44" s="6" t="s">
        <v>87</v>
      </c>
      <c r="AF44" s="6" t="s">
        <v>87</v>
      </c>
      <c r="AG44" s="20">
        <v>45761</v>
      </c>
      <c r="AH44" s="20">
        <v>45769</v>
      </c>
      <c r="AI44" s="6" t="s">
        <v>89</v>
      </c>
      <c r="AJ44" s="20">
        <v>45776</v>
      </c>
      <c r="AK44" s="6"/>
      <c r="AL44" s="6" t="s">
        <v>89</v>
      </c>
      <c r="AM44" s="8"/>
      <c r="AN44" s="8"/>
      <c r="AO44" s="6">
        <v>5</v>
      </c>
      <c r="AP44" s="7">
        <v>45769</v>
      </c>
      <c r="AQ44" s="6"/>
      <c r="AR44" s="6">
        <v>5</v>
      </c>
      <c r="AS44" s="6"/>
      <c r="AT44" s="6"/>
      <c r="AU44" s="6" t="s">
        <v>87</v>
      </c>
      <c r="AV44" s="6" t="s">
        <v>87</v>
      </c>
      <c r="AW44" s="6" t="s">
        <v>87</v>
      </c>
      <c r="AX44" s="13"/>
      <c r="AY44" s="6" t="s">
        <v>87</v>
      </c>
      <c r="AZ44" s="7">
        <v>45748</v>
      </c>
      <c r="BA44" s="7">
        <v>45765</v>
      </c>
      <c r="BB44" s="6" t="s">
        <v>87</v>
      </c>
      <c r="BC44" s="6" t="s">
        <v>87</v>
      </c>
      <c r="BD44" s="6" t="s">
        <v>92</v>
      </c>
      <c r="BE44" s="6" t="s">
        <v>92</v>
      </c>
      <c r="BF44" s="6" t="s">
        <v>87</v>
      </c>
      <c r="BG44" s="6" t="s">
        <v>87</v>
      </c>
      <c r="BH44" s="6" t="s">
        <v>87</v>
      </c>
      <c r="BI44" s="6" t="s">
        <v>92</v>
      </c>
      <c r="BJ44" s="6" t="s">
        <v>87</v>
      </c>
      <c r="BK44" s="6" t="s">
        <v>92</v>
      </c>
      <c r="BL44" s="6" t="s">
        <v>87</v>
      </c>
      <c r="BM44" s="6" t="s">
        <v>87</v>
      </c>
      <c r="BN44" s="14">
        <v>1</v>
      </c>
      <c r="BO44" s="6" t="s">
        <v>92</v>
      </c>
      <c r="BP44" s="6" t="s">
        <v>92</v>
      </c>
      <c r="BQ44" s="6" t="s">
        <v>87</v>
      </c>
      <c r="BR44" s="6" t="s">
        <v>87</v>
      </c>
      <c r="BS44" s="6" t="s">
        <v>87</v>
      </c>
      <c r="BT44" s="6" t="s">
        <v>87</v>
      </c>
      <c r="BU44" s="6" t="s">
        <v>87</v>
      </c>
      <c r="BV44" s="6"/>
      <c r="BW44" s="6" t="s">
        <v>101</v>
      </c>
      <c r="BX44" s="6"/>
      <c r="BY44" s="6"/>
      <c r="BZ44" s="6"/>
    </row>
    <row customHeight="true" ht="18.51851851851852" r="45">
      <c r="A45" s="6" t="s">
        <v>134</v>
      </c>
      <c r="B45" s="6" t="s">
        <v>135</v>
      </c>
      <c r="C45" s="17" t="s">
        <v>196</v>
      </c>
      <c r="D45" s="7">
        <v>45770</v>
      </c>
      <c r="E45" s="6" t="s">
        <v>81</v>
      </c>
      <c r="F45" s="6" t="s">
        <v>82</v>
      </c>
      <c r="G45" s="6" t="s">
        <v>83</v>
      </c>
      <c r="H45" s="6" t="s">
        <v>107</v>
      </c>
      <c r="I45" s="6" t="s">
        <v>85</v>
      </c>
      <c r="J45" s="6" t="s">
        <v>86</v>
      </c>
      <c r="K45" s="6" t="s">
        <v>87</v>
      </c>
      <c r="L45" s="16" t="s">
        <v>88</v>
      </c>
      <c r="M45" s="24" t="s">
        <v>197</v>
      </c>
      <c r="N45" s="6" t="s">
        <v>88</v>
      </c>
      <c r="O45" s="17"/>
      <c r="P45" s="6"/>
      <c r="Q45" s="17"/>
      <c r="R45" s="17"/>
      <c r="S45" s="17"/>
      <c r="T45" s="6"/>
      <c r="U45" s="13"/>
      <c r="V45" s="22" t="s">
        <v>172</v>
      </c>
      <c r="W45" s="6" t="s">
        <v>196</v>
      </c>
      <c r="X45" s="6" t="s">
        <v>135</v>
      </c>
      <c r="Y45" s="6"/>
      <c r="Z45" s="7">
        <v>45761</v>
      </c>
      <c r="AA45" s="7">
        <v>45808</v>
      </c>
      <c r="AB45" s="7">
        <v>45808</v>
      </c>
      <c r="AC45" s="6" t="s">
        <v>87</v>
      </c>
      <c r="AD45" s="6" t="s">
        <v>87</v>
      </c>
      <c r="AE45" s="6" t="s">
        <v>87</v>
      </c>
      <c r="AF45" s="6" t="s">
        <v>87</v>
      </c>
      <c r="AG45" s="20">
        <v>45761</v>
      </c>
      <c r="AH45" s="20">
        <v>45769</v>
      </c>
      <c r="AI45" s="6" t="s">
        <v>89</v>
      </c>
      <c r="AJ45" s="20">
        <v>45776</v>
      </c>
      <c r="AK45" s="6"/>
      <c r="AL45" s="6" t="s">
        <v>89</v>
      </c>
      <c r="AM45" s="8"/>
      <c r="AN45" s="8"/>
      <c r="AO45" s="6">
        <v>5</v>
      </c>
      <c r="AP45" s="7">
        <v>45769</v>
      </c>
      <c r="AQ45" s="6"/>
      <c r="AR45" s="6">
        <v>5</v>
      </c>
      <c r="AS45" s="6"/>
      <c r="AT45" s="6"/>
      <c r="AU45" s="6" t="s">
        <v>87</v>
      </c>
      <c r="AV45" s="6" t="s">
        <v>87</v>
      </c>
      <c r="AW45" s="6" t="s">
        <v>87</v>
      </c>
      <c r="AX45" s="13"/>
      <c r="AY45" s="6" t="s">
        <v>87</v>
      </c>
      <c r="AZ45" s="7">
        <v>45748</v>
      </c>
      <c r="BA45" s="7">
        <v>45765</v>
      </c>
      <c r="BB45" s="6" t="s">
        <v>87</v>
      </c>
      <c r="BC45" s="6" t="s">
        <v>87</v>
      </c>
      <c r="BD45" s="6" t="s">
        <v>92</v>
      </c>
      <c r="BE45" s="6" t="s">
        <v>92</v>
      </c>
      <c r="BF45" s="6" t="s">
        <v>87</v>
      </c>
      <c r="BG45" s="6" t="s">
        <v>87</v>
      </c>
      <c r="BH45" s="6" t="s">
        <v>87</v>
      </c>
      <c r="BI45" s="6" t="s">
        <v>92</v>
      </c>
      <c r="BJ45" s="6" t="s">
        <v>87</v>
      </c>
      <c r="BK45" s="6" t="s">
        <v>92</v>
      </c>
      <c r="BL45" s="6" t="s">
        <v>87</v>
      </c>
      <c r="BM45" s="6" t="s">
        <v>87</v>
      </c>
      <c r="BN45" s="14">
        <v>1</v>
      </c>
      <c r="BO45" s="6" t="s">
        <v>92</v>
      </c>
      <c r="BP45" s="6" t="s">
        <v>92</v>
      </c>
      <c r="BQ45" s="6" t="s">
        <v>87</v>
      </c>
      <c r="BR45" s="6" t="s">
        <v>87</v>
      </c>
      <c r="BS45" s="6" t="s">
        <v>87</v>
      </c>
      <c r="BT45" s="6" t="s">
        <v>87</v>
      </c>
      <c r="BU45" s="6" t="s">
        <v>87</v>
      </c>
      <c r="BV45" s="6"/>
      <c r="BW45" s="6" t="s">
        <v>101</v>
      </c>
      <c r="BX45" s="6"/>
      <c r="BY45" s="6"/>
      <c r="BZ45" s="6"/>
    </row>
    <row customHeight="true" ht="18.51851851851852" r="46">
      <c r="A46" s="6" t="s">
        <v>198</v>
      </c>
      <c r="B46" s="6" t="s">
        <v>199</v>
      </c>
      <c r="C46" s="23" t="s">
        <v>200</v>
      </c>
      <c r="D46" s="7">
        <v>45859</v>
      </c>
      <c r="E46" s="6" t="s">
        <v>201</v>
      </c>
      <c r="F46" s="6" t="s">
        <v>82</v>
      </c>
      <c r="G46" s="6" t="s">
        <v>83</v>
      </c>
      <c r="H46" s="6" t="s">
        <v>202</v>
      </c>
      <c r="I46" s="21" t="s">
        <v>124</v>
      </c>
      <c r="J46" s="6" t="s">
        <v>86</v>
      </c>
      <c r="K46" s="6" t="s">
        <v>87</v>
      </c>
      <c r="L46" s="16" t="s">
        <v>88</v>
      </c>
      <c r="M46" s="6"/>
      <c r="N46" s="6"/>
      <c r="O46" s="17"/>
      <c r="P46" s="6"/>
      <c r="Q46" s="17"/>
      <c r="R46" s="17"/>
      <c r="S46" s="17"/>
      <c r="T46" s="6"/>
      <c r="U46" s="13"/>
      <c r="V46" s="22" t="s">
        <v>172</v>
      </c>
      <c r="W46" s="6" t="s">
        <v>200</v>
      </c>
      <c r="X46" s="6" t="s">
        <v>199</v>
      </c>
      <c r="Y46" s="6"/>
      <c r="Z46" s="7">
        <v>45761</v>
      </c>
      <c r="AA46" s="7">
        <v>45808</v>
      </c>
      <c r="AB46" s="7">
        <v>45808</v>
      </c>
      <c r="AC46" s="6" t="s">
        <v>87</v>
      </c>
      <c r="AD46" s="6" t="s">
        <v>87</v>
      </c>
      <c r="AE46" s="6" t="s">
        <v>87</v>
      </c>
      <c r="AF46" s="6" t="s">
        <v>87</v>
      </c>
      <c r="AG46" s="20">
        <v>45761</v>
      </c>
      <c r="AH46" s="20">
        <v>45769</v>
      </c>
      <c r="AI46" s="6" t="s">
        <v>89</v>
      </c>
      <c r="AJ46" s="20">
        <v>45776</v>
      </c>
      <c r="AK46" s="6"/>
      <c r="AL46" s="6" t="s">
        <v>89</v>
      </c>
      <c r="AM46" s="8"/>
      <c r="AN46" s="8"/>
      <c r="AO46" s="6">
        <v>5</v>
      </c>
      <c r="AP46" s="7">
        <v>45769</v>
      </c>
      <c r="AQ46" s="6"/>
      <c r="AR46" s="6">
        <v>5</v>
      </c>
      <c r="AS46" s="6"/>
      <c r="AT46" s="6"/>
      <c r="AU46" s="6" t="s">
        <v>87</v>
      </c>
      <c r="AV46" s="6" t="s">
        <v>87</v>
      </c>
      <c r="AW46" s="6" t="s">
        <v>87</v>
      </c>
      <c r="AX46" s="13"/>
      <c r="AY46" s="6" t="s">
        <v>87</v>
      </c>
      <c r="AZ46" s="7">
        <v>45748</v>
      </c>
      <c r="BA46" s="7">
        <v>45765</v>
      </c>
      <c r="BB46" s="6" t="s">
        <v>87</v>
      </c>
      <c r="BC46" s="6" t="s">
        <v>87</v>
      </c>
      <c r="BD46" s="6" t="s">
        <v>92</v>
      </c>
      <c r="BE46" s="6" t="s">
        <v>92</v>
      </c>
      <c r="BF46" s="6" t="s">
        <v>87</v>
      </c>
      <c r="BG46" s="6" t="s">
        <v>87</v>
      </c>
      <c r="BH46" s="6" t="s">
        <v>87</v>
      </c>
      <c r="BI46" s="6" t="s">
        <v>92</v>
      </c>
      <c r="BJ46" s="6" t="s">
        <v>87</v>
      </c>
      <c r="BK46" s="6" t="s">
        <v>92</v>
      </c>
      <c r="BL46" s="6" t="s">
        <v>87</v>
      </c>
      <c r="BM46" s="6" t="s">
        <v>87</v>
      </c>
      <c r="BN46" s="14">
        <v>1</v>
      </c>
      <c r="BO46" s="6" t="s">
        <v>92</v>
      </c>
      <c r="BP46" s="6" t="s">
        <v>92</v>
      </c>
      <c r="BQ46" s="6" t="s">
        <v>87</v>
      </c>
      <c r="BR46" s="6" t="s">
        <v>87</v>
      </c>
      <c r="BS46" s="6" t="s">
        <v>87</v>
      </c>
      <c r="BT46" s="6" t="s">
        <v>87</v>
      </c>
      <c r="BU46" s="6" t="s">
        <v>87</v>
      </c>
      <c r="BV46" s="6"/>
      <c r="BW46" s="6" t="s">
        <v>101</v>
      </c>
      <c r="BX46" s="6"/>
      <c r="BY46" s="6"/>
      <c r="BZ46" s="6"/>
    </row>
    <row customHeight="true" ht="18.51851851851852" r="47">
      <c r="A47" s="6" t="s">
        <v>203</v>
      </c>
      <c r="B47" s="6" t="s">
        <v>199</v>
      </c>
      <c r="C47" s="23" t="s">
        <v>204</v>
      </c>
      <c r="D47" s="7">
        <v>45859</v>
      </c>
      <c r="E47" s="6" t="s">
        <v>201</v>
      </c>
      <c r="F47" s="6" t="s">
        <v>82</v>
      </c>
      <c r="G47" s="6" t="s">
        <v>83</v>
      </c>
      <c r="H47" s="6" t="s">
        <v>202</v>
      </c>
      <c r="I47" s="21" t="s">
        <v>124</v>
      </c>
      <c r="J47" s="6" t="s">
        <v>86</v>
      </c>
      <c r="K47" s="6" t="s">
        <v>87</v>
      </c>
      <c r="L47" s="16" t="s">
        <v>88</v>
      </c>
      <c r="M47" s="6"/>
      <c r="N47" s="6"/>
      <c r="O47" s="17"/>
      <c r="P47" s="6"/>
      <c r="Q47" s="17"/>
      <c r="R47" s="17"/>
      <c r="S47" s="17"/>
      <c r="T47" s="6"/>
      <c r="U47" s="13"/>
      <c r="V47" s="22" t="s">
        <v>172</v>
      </c>
      <c r="W47" s="6" t="s">
        <v>204</v>
      </c>
      <c r="X47" s="6" t="s">
        <v>199</v>
      </c>
      <c r="Y47" s="6"/>
      <c r="Z47" s="7">
        <v>45761</v>
      </c>
      <c r="AA47" s="7">
        <v>45808</v>
      </c>
      <c r="AB47" s="7">
        <v>45808</v>
      </c>
      <c r="AC47" s="6" t="s">
        <v>87</v>
      </c>
      <c r="AD47" s="6" t="s">
        <v>87</v>
      </c>
      <c r="AE47" s="6" t="s">
        <v>87</v>
      </c>
      <c r="AF47" s="6" t="s">
        <v>87</v>
      </c>
      <c r="AG47" s="20">
        <v>45761</v>
      </c>
      <c r="AH47" s="20">
        <v>45769</v>
      </c>
      <c r="AI47" s="6" t="s">
        <v>89</v>
      </c>
      <c r="AJ47" s="20">
        <v>45776</v>
      </c>
      <c r="AK47" s="6"/>
      <c r="AL47" s="6" t="s">
        <v>89</v>
      </c>
      <c r="AM47" s="8"/>
      <c r="AN47" s="8"/>
      <c r="AO47" s="6">
        <v>5</v>
      </c>
      <c r="AP47" s="7">
        <v>45769</v>
      </c>
      <c r="AQ47" s="6"/>
      <c r="AR47" s="6">
        <v>5</v>
      </c>
      <c r="AS47" s="6"/>
      <c r="AT47" s="6"/>
      <c r="AU47" s="6" t="s">
        <v>87</v>
      </c>
      <c r="AV47" s="6" t="s">
        <v>87</v>
      </c>
      <c r="AW47" s="6" t="s">
        <v>87</v>
      </c>
      <c r="AX47" s="13"/>
      <c r="AY47" s="6" t="s">
        <v>87</v>
      </c>
      <c r="AZ47" s="7">
        <v>45748</v>
      </c>
      <c r="BA47" s="7">
        <v>45765</v>
      </c>
      <c r="BB47" s="6" t="s">
        <v>87</v>
      </c>
      <c r="BC47" s="6" t="s">
        <v>87</v>
      </c>
      <c r="BD47" s="6" t="s">
        <v>92</v>
      </c>
      <c r="BE47" s="6" t="s">
        <v>92</v>
      </c>
      <c r="BF47" s="6" t="s">
        <v>87</v>
      </c>
      <c r="BG47" s="6" t="s">
        <v>87</v>
      </c>
      <c r="BH47" s="6" t="s">
        <v>87</v>
      </c>
      <c r="BI47" s="6" t="s">
        <v>92</v>
      </c>
      <c r="BJ47" s="6" t="s">
        <v>87</v>
      </c>
      <c r="BK47" s="6" t="s">
        <v>92</v>
      </c>
      <c r="BL47" s="6" t="s">
        <v>87</v>
      </c>
      <c r="BM47" s="6" t="s">
        <v>87</v>
      </c>
      <c r="BN47" s="14">
        <v>1</v>
      </c>
      <c r="BO47" s="6" t="s">
        <v>92</v>
      </c>
      <c r="BP47" s="6" t="s">
        <v>92</v>
      </c>
      <c r="BQ47" s="6" t="s">
        <v>87</v>
      </c>
      <c r="BR47" s="6" t="s">
        <v>87</v>
      </c>
      <c r="BS47" s="6" t="s">
        <v>87</v>
      </c>
      <c r="BT47" s="6" t="s">
        <v>87</v>
      </c>
      <c r="BU47" s="6" t="s">
        <v>87</v>
      </c>
      <c r="BV47" s="6"/>
      <c r="BW47" s="6" t="s">
        <v>101</v>
      </c>
      <c r="BX47" s="6"/>
      <c r="BY47" s="6"/>
      <c r="BZ47" s="6"/>
    </row>
    <row customHeight="true" ht="18.51851851851852" r="48">
      <c r="A48" s="6" t="s">
        <v>205</v>
      </c>
      <c r="B48" s="6" t="s">
        <v>206</v>
      </c>
      <c r="C48" s="23" t="s">
        <v>207</v>
      </c>
      <c r="D48" s="7">
        <v>45859</v>
      </c>
      <c r="E48" s="6" t="s">
        <v>201</v>
      </c>
      <c r="F48" s="6" t="s">
        <v>82</v>
      </c>
      <c r="G48" s="6" t="s">
        <v>83</v>
      </c>
      <c r="H48" s="6" t="s">
        <v>202</v>
      </c>
      <c r="I48" s="21" t="s">
        <v>124</v>
      </c>
      <c r="J48" s="6" t="s">
        <v>86</v>
      </c>
      <c r="K48" s="6" t="s">
        <v>87</v>
      </c>
      <c r="L48" s="16" t="s">
        <v>88</v>
      </c>
      <c r="M48" s="6"/>
      <c r="N48" s="6"/>
      <c r="O48" s="17"/>
      <c r="P48" s="6"/>
      <c r="Q48" s="17"/>
      <c r="R48" s="17"/>
      <c r="S48" s="17"/>
      <c r="T48" s="6"/>
      <c r="U48" s="13"/>
      <c r="V48" s="22" t="s">
        <v>172</v>
      </c>
      <c r="W48" s="6" t="s">
        <v>207</v>
      </c>
      <c r="X48" s="6" t="s">
        <v>206</v>
      </c>
      <c r="Y48" s="6"/>
      <c r="Z48" s="7">
        <v>45761</v>
      </c>
      <c r="AA48" s="7">
        <v>45808</v>
      </c>
      <c r="AB48" s="7">
        <v>45808</v>
      </c>
      <c r="AC48" s="6" t="s">
        <v>87</v>
      </c>
      <c r="AD48" s="6" t="s">
        <v>87</v>
      </c>
      <c r="AE48" s="6" t="s">
        <v>87</v>
      </c>
      <c r="AF48" s="6" t="s">
        <v>87</v>
      </c>
      <c r="AG48" s="20">
        <v>45761</v>
      </c>
      <c r="AH48" s="20">
        <v>45769</v>
      </c>
      <c r="AI48" s="6" t="s">
        <v>89</v>
      </c>
      <c r="AJ48" s="20">
        <v>45776</v>
      </c>
      <c r="AK48" s="6"/>
      <c r="AL48" s="6" t="s">
        <v>89</v>
      </c>
      <c r="AM48" s="8"/>
      <c r="AN48" s="8"/>
      <c r="AO48" s="6">
        <v>5</v>
      </c>
      <c r="AP48" s="7">
        <v>45769</v>
      </c>
      <c r="AQ48" s="6"/>
      <c r="AR48" s="6">
        <v>5</v>
      </c>
      <c r="AS48" s="6"/>
      <c r="AT48" s="6"/>
      <c r="AU48" s="6" t="s">
        <v>87</v>
      </c>
      <c r="AV48" s="6" t="s">
        <v>87</v>
      </c>
      <c r="AW48" s="6" t="s">
        <v>87</v>
      </c>
      <c r="AX48" s="13"/>
      <c r="AY48" s="6" t="s">
        <v>87</v>
      </c>
      <c r="AZ48" s="7">
        <v>45748</v>
      </c>
      <c r="BA48" s="7">
        <v>45765</v>
      </c>
      <c r="BB48" s="6" t="s">
        <v>87</v>
      </c>
      <c r="BC48" s="6" t="s">
        <v>87</v>
      </c>
      <c r="BD48" s="6" t="s">
        <v>92</v>
      </c>
      <c r="BE48" s="6" t="s">
        <v>92</v>
      </c>
      <c r="BF48" s="6" t="s">
        <v>87</v>
      </c>
      <c r="BG48" s="6" t="s">
        <v>87</v>
      </c>
      <c r="BH48" s="6" t="s">
        <v>87</v>
      </c>
      <c r="BI48" s="6" t="s">
        <v>92</v>
      </c>
      <c r="BJ48" s="6" t="s">
        <v>87</v>
      </c>
      <c r="BK48" s="6" t="s">
        <v>92</v>
      </c>
      <c r="BL48" s="6" t="s">
        <v>87</v>
      </c>
      <c r="BM48" s="6" t="s">
        <v>87</v>
      </c>
      <c r="BN48" s="14">
        <v>1</v>
      </c>
      <c r="BO48" s="6" t="s">
        <v>92</v>
      </c>
      <c r="BP48" s="6" t="s">
        <v>92</v>
      </c>
      <c r="BQ48" s="6" t="s">
        <v>87</v>
      </c>
      <c r="BR48" s="6" t="s">
        <v>87</v>
      </c>
      <c r="BS48" s="6" t="s">
        <v>87</v>
      </c>
      <c r="BT48" s="6" t="s">
        <v>87</v>
      </c>
      <c r="BU48" s="6" t="s">
        <v>87</v>
      </c>
      <c r="BV48" s="6"/>
      <c r="BW48" s="6" t="s">
        <v>101</v>
      </c>
      <c r="BX48" s="6"/>
      <c r="BY48" s="6"/>
      <c r="BZ48" s="6"/>
    </row>
    <row customHeight="true" ht="18.51851851851852" r="49">
      <c r="A49" s="6" t="s">
        <v>208</v>
      </c>
      <c r="B49" s="6" t="s">
        <v>209</v>
      </c>
      <c r="C49" s="23" t="s">
        <v>210</v>
      </c>
      <c r="D49" s="7">
        <v>45859</v>
      </c>
      <c r="E49" s="6" t="s">
        <v>201</v>
      </c>
      <c r="F49" s="6" t="s">
        <v>82</v>
      </c>
      <c r="G49" s="6" t="s">
        <v>83</v>
      </c>
      <c r="H49" s="6" t="s">
        <v>202</v>
      </c>
      <c r="I49" s="21" t="s">
        <v>124</v>
      </c>
      <c r="J49" s="6" t="s">
        <v>86</v>
      </c>
      <c r="K49" s="6" t="s">
        <v>87</v>
      </c>
      <c r="L49" s="16" t="s">
        <v>88</v>
      </c>
      <c r="M49" s="6"/>
      <c r="N49" s="6"/>
      <c r="O49" s="17"/>
      <c r="P49" s="6"/>
      <c r="Q49" s="17"/>
      <c r="R49" s="17"/>
      <c r="S49" s="17"/>
      <c r="T49" s="6"/>
      <c r="U49" s="13"/>
      <c r="V49" s="22" t="s">
        <v>172</v>
      </c>
      <c r="W49" s="6" t="s">
        <v>210</v>
      </c>
      <c r="X49" s="6" t="s">
        <v>209</v>
      </c>
      <c r="Y49" s="6"/>
      <c r="Z49" s="7">
        <v>45761</v>
      </c>
      <c r="AA49" s="7">
        <v>45808</v>
      </c>
      <c r="AB49" s="7">
        <v>45808</v>
      </c>
      <c r="AC49" s="6" t="s">
        <v>87</v>
      </c>
      <c r="AD49" s="6" t="s">
        <v>87</v>
      </c>
      <c r="AE49" s="6" t="s">
        <v>87</v>
      </c>
      <c r="AF49" s="6" t="s">
        <v>87</v>
      </c>
      <c r="AG49" s="20">
        <v>45761</v>
      </c>
      <c r="AH49" s="20">
        <v>45769</v>
      </c>
      <c r="AI49" s="6" t="s">
        <v>89</v>
      </c>
      <c r="AJ49" s="20">
        <v>45776</v>
      </c>
      <c r="AK49" s="6"/>
      <c r="AL49" s="6" t="s">
        <v>89</v>
      </c>
      <c r="AM49" s="8"/>
      <c r="AN49" s="8"/>
      <c r="AO49" s="6">
        <v>5</v>
      </c>
      <c r="AP49" s="7">
        <v>45769</v>
      </c>
      <c r="AQ49" s="6"/>
      <c r="AR49" s="6">
        <v>5</v>
      </c>
      <c r="AS49" s="6"/>
      <c r="AT49" s="6"/>
      <c r="AU49" s="6" t="s">
        <v>87</v>
      </c>
      <c r="AV49" s="6" t="s">
        <v>87</v>
      </c>
      <c r="AW49" s="6" t="s">
        <v>87</v>
      </c>
      <c r="AX49" s="13"/>
      <c r="AY49" s="6" t="s">
        <v>87</v>
      </c>
      <c r="AZ49" s="7">
        <v>45748</v>
      </c>
      <c r="BA49" s="7">
        <v>45765</v>
      </c>
      <c r="BB49" s="6" t="s">
        <v>87</v>
      </c>
      <c r="BC49" s="6" t="s">
        <v>87</v>
      </c>
      <c r="BD49" s="6" t="s">
        <v>92</v>
      </c>
      <c r="BE49" s="6" t="s">
        <v>92</v>
      </c>
      <c r="BF49" s="6" t="s">
        <v>87</v>
      </c>
      <c r="BG49" s="6" t="s">
        <v>87</v>
      </c>
      <c r="BH49" s="6" t="s">
        <v>87</v>
      </c>
      <c r="BI49" s="6" t="s">
        <v>92</v>
      </c>
      <c r="BJ49" s="6" t="s">
        <v>87</v>
      </c>
      <c r="BK49" s="6" t="s">
        <v>92</v>
      </c>
      <c r="BL49" s="6" t="s">
        <v>87</v>
      </c>
      <c r="BM49" s="6" t="s">
        <v>87</v>
      </c>
      <c r="BN49" s="14">
        <v>1</v>
      </c>
      <c r="BO49" s="6" t="s">
        <v>92</v>
      </c>
      <c r="BP49" s="6" t="s">
        <v>92</v>
      </c>
      <c r="BQ49" s="6" t="s">
        <v>87</v>
      </c>
      <c r="BR49" s="6" t="s">
        <v>87</v>
      </c>
      <c r="BS49" s="6" t="s">
        <v>87</v>
      </c>
      <c r="BT49" s="6" t="s">
        <v>87</v>
      </c>
      <c r="BU49" s="6" t="s">
        <v>87</v>
      </c>
      <c r="BV49" s="6"/>
      <c r="BW49" s="6" t="s">
        <v>101</v>
      </c>
      <c r="BX49" s="6"/>
      <c r="BY49" s="6"/>
      <c r="BZ49" s="6"/>
    </row>
    <row customHeight="true" ht="18.51851851851852" r="50">
      <c r="A50" s="6" t="s">
        <v>211</v>
      </c>
      <c r="B50" s="6" t="s">
        <v>212</v>
      </c>
      <c r="C50" s="23" t="s">
        <v>213</v>
      </c>
      <c r="D50" s="7">
        <v>45859</v>
      </c>
      <c r="E50" s="6" t="s">
        <v>201</v>
      </c>
      <c r="F50" s="6" t="s">
        <v>82</v>
      </c>
      <c r="G50" s="6" t="s">
        <v>83</v>
      </c>
      <c r="H50" s="6" t="s">
        <v>202</v>
      </c>
      <c r="I50" s="21" t="s">
        <v>124</v>
      </c>
      <c r="J50" s="6" t="s">
        <v>86</v>
      </c>
      <c r="K50" s="6" t="s">
        <v>87</v>
      </c>
      <c r="L50" s="16" t="s">
        <v>88</v>
      </c>
      <c r="M50" s="6"/>
      <c r="N50" s="6"/>
      <c r="O50" s="17"/>
      <c r="P50" s="6"/>
      <c r="Q50" s="17"/>
      <c r="R50" s="17"/>
      <c r="S50" s="17"/>
      <c r="T50" s="6"/>
      <c r="U50" s="13"/>
      <c r="V50" s="22" t="s">
        <v>172</v>
      </c>
      <c r="W50" s="6" t="s">
        <v>213</v>
      </c>
      <c r="X50" s="6" t="s">
        <v>212</v>
      </c>
      <c r="Y50" s="6"/>
      <c r="Z50" s="7">
        <v>45761</v>
      </c>
      <c r="AA50" s="7">
        <v>45808</v>
      </c>
      <c r="AB50" s="7">
        <v>45808</v>
      </c>
      <c r="AC50" s="6" t="s">
        <v>87</v>
      </c>
      <c r="AD50" s="6" t="s">
        <v>87</v>
      </c>
      <c r="AE50" s="6" t="s">
        <v>87</v>
      </c>
      <c r="AF50" s="6" t="s">
        <v>87</v>
      </c>
      <c r="AG50" s="20">
        <v>45761</v>
      </c>
      <c r="AH50" s="20">
        <v>45769</v>
      </c>
      <c r="AI50" s="6" t="s">
        <v>89</v>
      </c>
      <c r="AJ50" s="20">
        <v>45776</v>
      </c>
      <c r="AK50" s="6"/>
      <c r="AL50" s="6" t="s">
        <v>89</v>
      </c>
      <c r="AM50" s="8"/>
      <c r="AN50" s="8"/>
      <c r="AO50" s="6">
        <v>5</v>
      </c>
      <c r="AP50" s="7">
        <v>45769</v>
      </c>
      <c r="AQ50" s="6"/>
      <c r="AR50" s="6">
        <v>5</v>
      </c>
      <c r="AS50" s="6"/>
      <c r="AT50" s="6"/>
      <c r="AU50" s="6" t="s">
        <v>87</v>
      </c>
      <c r="AV50" s="6" t="s">
        <v>87</v>
      </c>
      <c r="AW50" s="6" t="s">
        <v>87</v>
      </c>
      <c r="AX50" s="13"/>
      <c r="AY50" s="6" t="s">
        <v>87</v>
      </c>
      <c r="AZ50" s="7">
        <v>45748</v>
      </c>
      <c r="BA50" s="7">
        <v>45765</v>
      </c>
      <c r="BB50" s="6" t="s">
        <v>87</v>
      </c>
      <c r="BC50" s="6" t="s">
        <v>87</v>
      </c>
      <c r="BD50" s="6" t="s">
        <v>92</v>
      </c>
      <c r="BE50" s="6" t="s">
        <v>92</v>
      </c>
      <c r="BF50" s="6" t="s">
        <v>87</v>
      </c>
      <c r="BG50" s="6" t="s">
        <v>87</v>
      </c>
      <c r="BH50" s="6" t="s">
        <v>87</v>
      </c>
      <c r="BI50" s="6" t="s">
        <v>92</v>
      </c>
      <c r="BJ50" s="6" t="s">
        <v>87</v>
      </c>
      <c r="BK50" s="6" t="s">
        <v>92</v>
      </c>
      <c r="BL50" s="6" t="s">
        <v>87</v>
      </c>
      <c r="BM50" s="6" t="s">
        <v>87</v>
      </c>
      <c r="BN50" s="14">
        <v>1</v>
      </c>
      <c r="BO50" s="6" t="s">
        <v>92</v>
      </c>
      <c r="BP50" s="6" t="s">
        <v>92</v>
      </c>
      <c r="BQ50" s="6" t="s">
        <v>87</v>
      </c>
      <c r="BR50" s="6" t="s">
        <v>87</v>
      </c>
      <c r="BS50" s="6" t="s">
        <v>87</v>
      </c>
      <c r="BT50" s="6" t="s">
        <v>87</v>
      </c>
      <c r="BU50" s="6" t="s">
        <v>87</v>
      </c>
      <c r="BV50" s="6"/>
      <c r="BW50" s="6" t="s">
        <v>101</v>
      </c>
      <c r="BX50" s="6"/>
      <c r="BY50" s="6"/>
      <c r="BZ50" s="6"/>
    </row>
    <row customHeight="true" ht="18.51851851851852" r="51">
      <c r="A51" s="6" t="s">
        <v>214</v>
      </c>
      <c r="B51" s="6" t="s">
        <v>215</v>
      </c>
      <c r="C51" s="23" t="s">
        <v>216</v>
      </c>
      <c r="D51" s="7">
        <v>45859</v>
      </c>
      <c r="E51" s="6" t="s">
        <v>201</v>
      </c>
      <c r="F51" s="6" t="s">
        <v>82</v>
      </c>
      <c r="G51" s="6" t="s">
        <v>83</v>
      </c>
      <c r="H51" s="6" t="s">
        <v>202</v>
      </c>
      <c r="I51" s="21" t="s">
        <v>124</v>
      </c>
      <c r="J51" s="6" t="s">
        <v>86</v>
      </c>
      <c r="K51" s="6" t="s">
        <v>87</v>
      </c>
      <c r="L51" s="16" t="s">
        <v>88</v>
      </c>
      <c r="M51" s="6"/>
      <c r="N51" s="6"/>
      <c r="O51" s="17"/>
      <c r="P51" s="6"/>
      <c r="Q51" s="17"/>
      <c r="R51" s="17"/>
      <c r="S51" s="17"/>
      <c r="T51" s="6"/>
      <c r="U51" s="13"/>
      <c r="V51" s="22" t="s">
        <v>172</v>
      </c>
      <c r="W51" s="6" t="s">
        <v>216</v>
      </c>
      <c r="X51" s="6" t="s">
        <v>215</v>
      </c>
      <c r="Y51" s="6"/>
      <c r="Z51" s="7">
        <v>45761</v>
      </c>
      <c r="AA51" s="7">
        <v>45808</v>
      </c>
      <c r="AB51" s="7">
        <v>45808</v>
      </c>
      <c r="AC51" s="6" t="s">
        <v>87</v>
      </c>
      <c r="AD51" s="6" t="s">
        <v>87</v>
      </c>
      <c r="AE51" s="6" t="s">
        <v>87</v>
      </c>
      <c r="AF51" s="6" t="s">
        <v>87</v>
      </c>
      <c r="AG51" s="20">
        <v>45761</v>
      </c>
      <c r="AH51" s="20">
        <v>45769</v>
      </c>
      <c r="AI51" s="6" t="s">
        <v>89</v>
      </c>
      <c r="AJ51" s="20">
        <v>45776</v>
      </c>
      <c r="AK51" s="6"/>
      <c r="AL51" s="6" t="s">
        <v>89</v>
      </c>
      <c r="AM51" s="8"/>
      <c r="AN51" s="8"/>
      <c r="AO51" s="6">
        <v>5</v>
      </c>
      <c r="AP51" s="7">
        <v>45769</v>
      </c>
      <c r="AQ51" s="6"/>
      <c r="AR51" s="6">
        <v>5</v>
      </c>
      <c r="AS51" s="6"/>
      <c r="AT51" s="6"/>
      <c r="AU51" s="6" t="s">
        <v>87</v>
      </c>
      <c r="AV51" s="6" t="s">
        <v>87</v>
      </c>
      <c r="AW51" s="6" t="s">
        <v>87</v>
      </c>
      <c r="AX51" s="13"/>
      <c r="AY51" s="6" t="s">
        <v>87</v>
      </c>
      <c r="AZ51" s="7">
        <v>45748</v>
      </c>
      <c r="BA51" s="7">
        <v>45765</v>
      </c>
      <c r="BB51" s="6" t="s">
        <v>87</v>
      </c>
      <c r="BC51" s="6" t="s">
        <v>87</v>
      </c>
      <c r="BD51" s="6" t="s">
        <v>92</v>
      </c>
      <c r="BE51" s="6" t="s">
        <v>92</v>
      </c>
      <c r="BF51" s="6" t="s">
        <v>87</v>
      </c>
      <c r="BG51" s="6" t="s">
        <v>87</v>
      </c>
      <c r="BH51" s="6" t="s">
        <v>87</v>
      </c>
      <c r="BI51" s="6" t="s">
        <v>92</v>
      </c>
      <c r="BJ51" s="6" t="s">
        <v>87</v>
      </c>
      <c r="BK51" s="6" t="s">
        <v>92</v>
      </c>
      <c r="BL51" s="6" t="s">
        <v>87</v>
      </c>
      <c r="BM51" s="6" t="s">
        <v>87</v>
      </c>
      <c r="BN51" s="14">
        <v>1</v>
      </c>
      <c r="BO51" s="6" t="s">
        <v>92</v>
      </c>
      <c r="BP51" s="6" t="s">
        <v>92</v>
      </c>
      <c r="BQ51" s="6" t="s">
        <v>87</v>
      </c>
      <c r="BR51" s="6" t="s">
        <v>87</v>
      </c>
      <c r="BS51" s="6" t="s">
        <v>87</v>
      </c>
      <c r="BT51" s="6" t="s">
        <v>87</v>
      </c>
      <c r="BU51" s="6" t="s">
        <v>87</v>
      </c>
      <c r="BV51" s="6"/>
      <c r="BW51" s="6" t="s">
        <v>101</v>
      </c>
      <c r="BX51" s="6"/>
      <c r="BY51" s="6"/>
      <c r="BZ51" s="6"/>
    </row>
    <row customHeight="true" ht="18.51851851851852" r="52">
      <c r="A52" s="6" t="s">
        <v>217</v>
      </c>
      <c r="B52" s="6" t="s">
        <v>218</v>
      </c>
      <c r="C52" s="23" t="s">
        <v>219</v>
      </c>
      <c r="D52" s="7">
        <v>45859</v>
      </c>
      <c r="E52" s="6" t="s">
        <v>201</v>
      </c>
      <c r="F52" s="6" t="s">
        <v>82</v>
      </c>
      <c r="G52" s="6" t="s">
        <v>83</v>
      </c>
      <c r="H52" s="6" t="s">
        <v>202</v>
      </c>
      <c r="I52" s="21" t="s">
        <v>124</v>
      </c>
      <c r="J52" s="6" t="s">
        <v>86</v>
      </c>
      <c r="K52" s="6" t="s">
        <v>87</v>
      </c>
      <c r="L52" s="16" t="s">
        <v>88</v>
      </c>
      <c r="M52" s="6" t="s">
        <v>220</v>
      </c>
      <c r="N52" s="6" t="s">
        <v>221</v>
      </c>
      <c r="O52" s="17" t="s">
        <v>222</v>
      </c>
      <c r="P52" s="6" t="s">
        <v>223</v>
      </c>
      <c r="Q52" s="17"/>
      <c r="R52" s="17"/>
      <c r="S52" s="17"/>
      <c r="T52" s="6"/>
      <c r="U52" s="13"/>
      <c r="V52" s="22" t="s">
        <v>172</v>
      </c>
      <c r="W52" s="6" t="s">
        <v>219</v>
      </c>
      <c r="X52" s="6" t="s">
        <v>218</v>
      </c>
      <c r="Y52" s="6"/>
      <c r="Z52" s="7">
        <v>45761</v>
      </c>
      <c r="AA52" s="7">
        <v>45808</v>
      </c>
      <c r="AB52" s="7">
        <v>45808</v>
      </c>
      <c r="AC52" s="6" t="s">
        <v>87</v>
      </c>
      <c r="AD52" s="6" t="s">
        <v>87</v>
      </c>
      <c r="AE52" s="6" t="s">
        <v>87</v>
      </c>
      <c r="AF52" s="6" t="s">
        <v>87</v>
      </c>
      <c r="AG52" s="20">
        <v>45761</v>
      </c>
      <c r="AH52" s="20">
        <v>45769</v>
      </c>
      <c r="AI52" s="6" t="s">
        <v>89</v>
      </c>
      <c r="AJ52" s="20">
        <v>45776</v>
      </c>
      <c r="AK52" s="6"/>
      <c r="AL52" s="6" t="s">
        <v>89</v>
      </c>
      <c r="AM52" s="8"/>
      <c r="AN52" s="8"/>
      <c r="AO52" s="6">
        <v>5</v>
      </c>
      <c r="AP52" s="7">
        <v>45769</v>
      </c>
      <c r="AQ52" s="6"/>
      <c r="AR52" s="6">
        <v>5</v>
      </c>
      <c r="AS52" s="6"/>
      <c r="AT52" s="6"/>
      <c r="AU52" s="6" t="s">
        <v>87</v>
      </c>
      <c r="AV52" s="6" t="s">
        <v>87</v>
      </c>
      <c r="AW52" s="6" t="s">
        <v>87</v>
      </c>
      <c r="AX52" s="13"/>
      <c r="AY52" s="6" t="s">
        <v>87</v>
      </c>
      <c r="AZ52" s="7">
        <v>45748</v>
      </c>
      <c r="BA52" s="7">
        <v>45765</v>
      </c>
      <c r="BB52" s="6" t="s">
        <v>87</v>
      </c>
      <c r="BC52" s="6" t="s">
        <v>87</v>
      </c>
      <c r="BD52" s="6" t="s">
        <v>92</v>
      </c>
      <c r="BE52" s="6" t="s">
        <v>92</v>
      </c>
      <c r="BF52" s="6" t="s">
        <v>87</v>
      </c>
      <c r="BG52" s="6" t="s">
        <v>87</v>
      </c>
      <c r="BH52" s="6" t="s">
        <v>87</v>
      </c>
      <c r="BI52" s="6" t="s">
        <v>92</v>
      </c>
      <c r="BJ52" s="6" t="s">
        <v>87</v>
      </c>
      <c r="BK52" s="6" t="s">
        <v>92</v>
      </c>
      <c r="BL52" s="6" t="s">
        <v>87</v>
      </c>
      <c r="BM52" s="6" t="s">
        <v>87</v>
      </c>
      <c r="BN52" s="14">
        <v>1</v>
      </c>
      <c r="BO52" s="6" t="s">
        <v>92</v>
      </c>
      <c r="BP52" s="6" t="s">
        <v>92</v>
      </c>
      <c r="BQ52" s="6" t="s">
        <v>87</v>
      </c>
      <c r="BR52" s="6" t="s">
        <v>87</v>
      </c>
      <c r="BS52" s="6" t="s">
        <v>87</v>
      </c>
      <c r="BT52" s="6" t="s">
        <v>87</v>
      </c>
      <c r="BU52" s="6" t="s">
        <v>87</v>
      </c>
      <c r="BV52" s="6"/>
      <c r="BW52" s="6" t="s">
        <v>101</v>
      </c>
      <c r="BX52" s="6"/>
      <c r="BY52" s="6"/>
      <c r="BZ52" s="6"/>
    </row>
    <row customHeight="true" ht="18.51851851851852" r="53">
      <c r="A53" s="6" t="s">
        <v>224</v>
      </c>
      <c r="B53" s="6" t="s">
        <v>224</v>
      </c>
      <c r="C53" s="23" t="s">
        <v>225</v>
      </c>
      <c r="D53" s="7">
        <v>45859</v>
      </c>
      <c r="E53" s="6" t="s">
        <v>201</v>
      </c>
      <c r="F53" s="6" t="s">
        <v>82</v>
      </c>
      <c r="G53" s="6" t="s">
        <v>83</v>
      </c>
      <c r="H53" s="6" t="s">
        <v>202</v>
      </c>
      <c r="I53" s="21" t="s">
        <v>124</v>
      </c>
      <c r="J53" s="6" t="s">
        <v>86</v>
      </c>
      <c r="K53" s="6" t="s">
        <v>87</v>
      </c>
      <c r="L53" s="16" t="s">
        <v>88</v>
      </c>
      <c r="M53" s="6" t="s">
        <v>226</v>
      </c>
      <c r="N53" s="6" t="s">
        <v>227</v>
      </c>
      <c r="O53" s="17" t="s">
        <v>228</v>
      </c>
      <c r="P53" s="6" t="s">
        <v>223</v>
      </c>
      <c r="Q53" s="17"/>
      <c r="R53" s="17"/>
      <c r="S53" s="17"/>
      <c r="T53" s="6"/>
      <c r="U53" s="13"/>
      <c r="V53" s="22" t="s">
        <v>172</v>
      </c>
      <c r="W53" s="6" t="s">
        <v>225</v>
      </c>
      <c r="X53" s="6" t="s">
        <v>224</v>
      </c>
      <c r="Y53" s="6"/>
      <c r="Z53" s="7">
        <v>45761</v>
      </c>
      <c r="AA53" s="7">
        <v>45808</v>
      </c>
      <c r="AB53" s="7">
        <v>45808</v>
      </c>
      <c r="AC53" s="6" t="s">
        <v>87</v>
      </c>
      <c r="AD53" s="6" t="s">
        <v>87</v>
      </c>
      <c r="AE53" s="6" t="s">
        <v>87</v>
      </c>
      <c r="AF53" s="6" t="s">
        <v>87</v>
      </c>
      <c r="AG53" s="20">
        <v>45761</v>
      </c>
      <c r="AH53" s="20">
        <v>45769</v>
      </c>
      <c r="AI53" s="6" t="s">
        <v>89</v>
      </c>
      <c r="AJ53" s="20">
        <v>45776</v>
      </c>
      <c r="AK53" s="6"/>
      <c r="AL53" s="6" t="s">
        <v>89</v>
      </c>
      <c r="AM53" s="8"/>
      <c r="AN53" s="8"/>
      <c r="AO53" s="6">
        <v>5</v>
      </c>
      <c r="AP53" s="7">
        <v>45769</v>
      </c>
      <c r="AQ53" s="6"/>
      <c r="AR53" s="6">
        <v>5</v>
      </c>
      <c r="AS53" s="6"/>
      <c r="AT53" s="6"/>
      <c r="AU53" s="6" t="s">
        <v>87</v>
      </c>
      <c r="AV53" s="6" t="s">
        <v>87</v>
      </c>
      <c r="AW53" s="6" t="s">
        <v>87</v>
      </c>
      <c r="AX53" s="13"/>
      <c r="AY53" s="6" t="s">
        <v>87</v>
      </c>
      <c r="AZ53" s="7">
        <v>45748</v>
      </c>
      <c r="BA53" s="7">
        <v>45765</v>
      </c>
      <c r="BB53" s="6" t="s">
        <v>87</v>
      </c>
      <c r="BC53" s="6" t="s">
        <v>87</v>
      </c>
      <c r="BD53" s="6" t="s">
        <v>92</v>
      </c>
      <c r="BE53" s="6" t="s">
        <v>92</v>
      </c>
      <c r="BF53" s="6" t="s">
        <v>87</v>
      </c>
      <c r="BG53" s="6" t="s">
        <v>87</v>
      </c>
      <c r="BH53" s="6" t="s">
        <v>87</v>
      </c>
      <c r="BI53" s="6" t="s">
        <v>92</v>
      </c>
      <c r="BJ53" s="6" t="s">
        <v>87</v>
      </c>
      <c r="BK53" s="6" t="s">
        <v>92</v>
      </c>
      <c r="BL53" s="6" t="s">
        <v>87</v>
      </c>
      <c r="BM53" s="6" t="s">
        <v>87</v>
      </c>
      <c r="BN53" s="14">
        <v>1</v>
      </c>
      <c r="BO53" s="6" t="s">
        <v>92</v>
      </c>
      <c r="BP53" s="6" t="s">
        <v>92</v>
      </c>
      <c r="BQ53" s="6" t="s">
        <v>87</v>
      </c>
      <c r="BR53" s="6" t="s">
        <v>87</v>
      </c>
      <c r="BS53" s="6" t="s">
        <v>87</v>
      </c>
      <c r="BT53" s="6" t="s">
        <v>87</v>
      </c>
      <c r="BU53" s="6" t="s">
        <v>87</v>
      </c>
      <c r="BV53" s="6"/>
      <c r="BW53" s="6" t="s">
        <v>101</v>
      </c>
      <c r="BX53" s="6"/>
      <c r="BY53" s="6"/>
      <c r="BZ53" s="6"/>
    </row>
    <row customHeight="true" ht="18.51851851851852" r="54">
      <c r="A54" s="6" t="s">
        <v>224</v>
      </c>
      <c r="B54" s="6" t="s">
        <v>224</v>
      </c>
      <c r="C54" s="23" t="s">
        <v>229</v>
      </c>
      <c r="D54" s="7">
        <v>45859</v>
      </c>
      <c r="E54" s="6" t="s">
        <v>201</v>
      </c>
      <c r="F54" s="6" t="s">
        <v>82</v>
      </c>
      <c r="G54" s="6" t="s">
        <v>83</v>
      </c>
      <c r="H54" s="6" t="s">
        <v>202</v>
      </c>
      <c r="I54" s="21" t="s">
        <v>124</v>
      </c>
      <c r="J54" s="6" t="s">
        <v>86</v>
      </c>
      <c r="K54" s="6" t="s">
        <v>87</v>
      </c>
      <c r="L54" s="16" t="s">
        <v>88</v>
      </c>
      <c r="M54" s="6" t="s">
        <v>230</v>
      </c>
      <c r="N54" s="6" t="s">
        <v>231</v>
      </c>
      <c r="O54" s="17" t="s">
        <v>232</v>
      </c>
      <c r="P54" s="6" t="s">
        <v>223</v>
      </c>
      <c r="Q54" s="17"/>
      <c r="R54" s="17"/>
      <c r="S54" s="17"/>
      <c r="T54" s="6"/>
      <c r="U54" s="13"/>
      <c r="V54" s="22" t="s">
        <v>172</v>
      </c>
      <c r="W54" s="6" t="s">
        <v>229</v>
      </c>
      <c r="X54" s="6" t="s">
        <v>224</v>
      </c>
      <c r="Y54" s="6"/>
      <c r="Z54" s="7">
        <v>45761</v>
      </c>
      <c r="AA54" s="7">
        <v>45808</v>
      </c>
      <c r="AB54" s="7">
        <v>45808</v>
      </c>
      <c r="AC54" s="6" t="s">
        <v>87</v>
      </c>
      <c r="AD54" s="6" t="s">
        <v>87</v>
      </c>
      <c r="AE54" s="6" t="s">
        <v>87</v>
      </c>
      <c r="AF54" s="6" t="s">
        <v>87</v>
      </c>
      <c r="AG54" s="20">
        <v>45761</v>
      </c>
      <c r="AH54" s="20">
        <v>45769</v>
      </c>
      <c r="AI54" s="6" t="s">
        <v>89</v>
      </c>
      <c r="AJ54" s="20">
        <v>45776</v>
      </c>
      <c r="AK54" s="6"/>
      <c r="AL54" s="6" t="s">
        <v>89</v>
      </c>
      <c r="AM54" s="8"/>
      <c r="AN54" s="8"/>
      <c r="AO54" s="6">
        <v>5</v>
      </c>
      <c r="AP54" s="7">
        <v>45769</v>
      </c>
      <c r="AQ54" s="6"/>
      <c r="AR54" s="6">
        <v>5</v>
      </c>
      <c r="AS54" s="6"/>
      <c r="AT54" s="6"/>
      <c r="AU54" s="6" t="s">
        <v>87</v>
      </c>
      <c r="AV54" s="6" t="s">
        <v>87</v>
      </c>
      <c r="AW54" s="6" t="s">
        <v>87</v>
      </c>
      <c r="AX54" s="13"/>
      <c r="AY54" s="6" t="s">
        <v>87</v>
      </c>
      <c r="AZ54" s="7">
        <v>45748</v>
      </c>
      <c r="BA54" s="7">
        <v>45765</v>
      </c>
      <c r="BB54" s="6" t="s">
        <v>87</v>
      </c>
      <c r="BC54" s="6" t="s">
        <v>87</v>
      </c>
      <c r="BD54" s="6" t="s">
        <v>92</v>
      </c>
      <c r="BE54" s="6" t="s">
        <v>92</v>
      </c>
      <c r="BF54" s="6" t="s">
        <v>87</v>
      </c>
      <c r="BG54" s="6" t="s">
        <v>87</v>
      </c>
      <c r="BH54" s="6" t="s">
        <v>87</v>
      </c>
      <c r="BI54" s="6" t="s">
        <v>92</v>
      </c>
      <c r="BJ54" s="6" t="s">
        <v>87</v>
      </c>
      <c r="BK54" s="6" t="s">
        <v>92</v>
      </c>
      <c r="BL54" s="6" t="s">
        <v>87</v>
      </c>
      <c r="BM54" s="6" t="s">
        <v>87</v>
      </c>
      <c r="BN54" s="14">
        <v>1</v>
      </c>
      <c r="BO54" s="6" t="s">
        <v>92</v>
      </c>
      <c r="BP54" s="6" t="s">
        <v>92</v>
      </c>
      <c r="BQ54" s="6" t="s">
        <v>87</v>
      </c>
      <c r="BR54" s="6" t="s">
        <v>87</v>
      </c>
      <c r="BS54" s="6" t="s">
        <v>87</v>
      </c>
      <c r="BT54" s="6" t="s">
        <v>87</v>
      </c>
      <c r="BU54" s="6" t="s">
        <v>87</v>
      </c>
      <c r="BV54" s="6"/>
      <c r="BW54" s="6" t="s">
        <v>101</v>
      </c>
      <c r="BX54" s="6"/>
      <c r="BY54" s="6"/>
      <c r="BZ54" s="6"/>
    </row>
    <row customHeight="true" ht="18.51851851851852" r="55">
      <c r="A55" s="6" t="s">
        <v>224</v>
      </c>
      <c r="B55" s="6" t="s">
        <v>224</v>
      </c>
      <c r="C55" s="23" t="s">
        <v>233</v>
      </c>
      <c r="D55" s="7">
        <v>45859</v>
      </c>
      <c r="E55" s="6" t="s">
        <v>201</v>
      </c>
      <c r="F55" s="6" t="s">
        <v>82</v>
      </c>
      <c r="G55" s="6" t="s">
        <v>83</v>
      </c>
      <c r="H55" s="6" t="s">
        <v>202</v>
      </c>
      <c r="I55" s="21" t="s">
        <v>124</v>
      </c>
      <c r="J55" s="6" t="s">
        <v>86</v>
      </c>
      <c r="K55" s="6" t="s">
        <v>87</v>
      </c>
      <c r="L55" s="16" t="s">
        <v>88</v>
      </c>
      <c r="M55" s="6" t="s">
        <v>234</v>
      </c>
      <c r="N55" s="6" t="s">
        <v>235</v>
      </c>
      <c r="O55" s="17" t="s">
        <v>236</v>
      </c>
      <c r="P55" s="6" t="s">
        <v>237</v>
      </c>
      <c r="Q55" s="17"/>
      <c r="R55" s="17"/>
      <c r="S55" s="17"/>
      <c r="T55" s="6"/>
      <c r="U55" s="13"/>
      <c r="V55" s="22" t="s">
        <v>172</v>
      </c>
      <c r="W55" s="6" t="s">
        <v>233</v>
      </c>
      <c r="X55" s="6" t="s">
        <v>224</v>
      </c>
      <c r="Y55" s="6"/>
      <c r="Z55" s="7">
        <v>45761</v>
      </c>
      <c r="AA55" s="7">
        <v>45808</v>
      </c>
      <c r="AB55" s="7">
        <v>45808</v>
      </c>
      <c r="AC55" s="6" t="s">
        <v>87</v>
      </c>
      <c r="AD55" s="6" t="s">
        <v>87</v>
      </c>
      <c r="AE55" s="6" t="s">
        <v>87</v>
      </c>
      <c r="AF55" s="6" t="s">
        <v>87</v>
      </c>
      <c r="AG55" s="20">
        <v>45761</v>
      </c>
      <c r="AH55" s="20">
        <v>45769</v>
      </c>
      <c r="AI55" s="6" t="s">
        <v>89</v>
      </c>
      <c r="AJ55" s="20">
        <v>45776</v>
      </c>
      <c r="AK55" s="6"/>
      <c r="AL55" s="6" t="s">
        <v>89</v>
      </c>
      <c r="AM55" s="8"/>
      <c r="AN55" s="8"/>
      <c r="AO55" s="6">
        <v>5</v>
      </c>
      <c r="AP55" s="7">
        <v>45769</v>
      </c>
      <c r="AQ55" s="6"/>
      <c r="AR55" s="6">
        <v>5</v>
      </c>
      <c r="AS55" s="6"/>
      <c r="AT55" s="6"/>
      <c r="AU55" s="6" t="s">
        <v>87</v>
      </c>
      <c r="AV55" s="6" t="s">
        <v>87</v>
      </c>
      <c r="AW55" s="6" t="s">
        <v>87</v>
      </c>
      <c r="AX55" s="13"/>
      <c r="AY55" s="6" t="s">
        <v>87</v>
      </c>
      <c r="AZ55" s="7">
        <v>45748</v>
      </c>
      <c r="BA55" s="7">
        <v>45765</v>
      </c>
      <c r="BB55" s="6" t="s">
        <v>87</v>
      </c>
      <c r="BC55" s="6" t="s">
        <v>87</v>
      </c>
      <c r="BD55" s="6" t="s">
        <v>92</v>
      </c>
      <c r="BE55" s="6" t="s">
        <v>92</v>
      </c>
      <c r="BF55" s="6" t="s">
        <v>87</v>
      </c>
      <c r="BG55" s="6" t="s">
        <v>87</v>
      </c>
      <c r="BH55" s="6" t="s">
        <v>87</v>
      </c>
      <c r="BI55" s="6" t="s">
        <v>92</v>
      </c>
      <c r="BJ55" s="6" t="s">
        <v>87</v>
      </c>
      <c r="BK55" s="6" t="s">
        <v>92</v>
      </c>
      <c r="BL55" s="6" t="s">
        <v>87</v>
      </c>
      <c r="BM55" s="6" t="s">
        <v>87</v>
      </c>
      <c r="BN55" s="14">
        <v>1</v>
      </c>
      <c r="BO55" s="6" t="s">
        <v>92</v>
      </c>
      <c r="BP55" s="6" t="s">
        <v>92</v>
      </c>
      <c r="BQ55" s="6" t="s">
        <v>87</v>
      </c>
      <c r="BR55" s="6" t="s">
        <v>87</v>
      </c>
      <c r="BS55" s="6" t="s">
        <v>87</v>
      </c>
      <c r="BT55" s="6" t="s">
        <v>87</v>
      </c>
      <c r="BU55" s="6" t="s">
        <v>87</v>
      </c>
      <c r="BV55" s="6"/>
      <c r="BW55" s="6" t="s">
        <v>101</v>
      </c>
      <c r="BX55" s="6"/>
      <c r="BY55" s="6"/>
      <c r="BZ55" s="6"/>
    </row>
    <row customHeight="true" ht="18.51851851851852" r="56">
      <c r="A56" s="6" t="s">
        <v>238</v>
      </c>
      <c r="B56" s="6" t="s">
        <v>239</v>
      </c>
      <c r="C56" s="23" t="s">
        <v>240</v>
      </c>
      <c r="D56" s="7">
        <v>45860</v>
      </c>
      <c r="E56" s="6" t="s">
        <v>201</v>
      </c>
      <c r="F56" s="6" t="s">
        <v>82</v>
      </c>
      <c r="G56" s="6" t="s">
        <v>83</v>
      </c>
      <c r="H56" s="6" t="s">
        <v>107</v>
      </c>
      <c r="I56" s="21" t="s">
        <v>124</v>
      </c>
      <c r="J56" s="6" t="s">
        <v>86</v>
      </c>
      <c r="K56" s="6" t="s">
        <v>87</v>
      </c>
      <c r="L56" s="16" t="s">
        <v>88</v>
      </c>
      <c r="M56" s="6" t="s">
        <v>241</v>
      </c>
      <c r="N56" s="6" t="s">
        <v>242</v>
      </c>
      <c r="O56" s="17" t="s">
        <v>236</v>
      </c>
      <c r="P56" s="6" t="s">
        <v>237</v>
      </c>
      <c r="Q56" s="17"/>
      <c r="R56" s="17"/>
      <c r="S56" s="17"/>
      <c r="T56" s="6"/>
      <c r="U56" s="13"/>
      <c r="V56" s="22" t="s">
        <v>172</v>
      </c>
      <c r="W56" s="6" t="s">
        <v>240</v>
      </c>
      <c r="X56" s="6" t="s">
        <v>239</v>
      </c>
      <c r="Y56" s="6"/>
      <c r="Z56" s="7">
        <v>45761</v>
      </c>
      <c r="AA56" s="7">
        <v>45808</v>
      </c>
      <c r="AB56" s="7">
        <v>45808</v>
      </c>
      <c r="AC56" s="6" t="s">
        <v>87</v>
      </c>
      <c r="AD56" s="6" t="s">
        <v>87</v>
      </c>
      <c r="AE56" s="6" t="s">
        <v>87</v>
      </c>
      <c r="AF56" s="6" t="s">
        <v>87</v>
      </c>
      <c r="AG56" s="20">
        <v>45761</v>
      </c>
      <c r="AH56" s="20">
        <v>45769</v>
      </c>
      <c r="AI56" s="6" t="s">
        <v>89</v>
      </c>
      <c r="AJ56" s="20">
        <v>45776</v>
      </c>
      <c r="AK56" s="6"/>
      <c r="AL56" s="6" t="s">
        <v>89</v>
      </c>
      <c r="AM56" s="8"/>
      <c r="AN56" s="8"/>
      <c r="AO56" s="6">
        <v>5</v>
      </c>
      <c r="AP56" s="7">
        <v>45769</v>
      </c>
      <c r="AQ56" s="6"/>
      <c r="AR56" s="6">
        <v>5</v>
      </c>
      <c r="AS56" s="6"/>
      <c r="AT56" s="6"/>
      <c r="AU56" s="6" t="s">
        <v>87</v>
      </c>
      <c r="AV56" s="6" t="s">
        <v>87</v>
      </c>
      <c r="AW56" s="6" t="s">
        <v>87</v>
      </c>
      <c r="AX56" s="13"/>
      <c r="AY56" s="6" t="s">
        <v>87</v>
      </c>
      <c r="AZ56" s="7">
        <v>45748</v>
      </c>
      <c r="BA56" s="7">
        <v>45765</v>
      </c>
      <c r="BB56" s="6" t="s">
        <v>87</v>
      </c>
      <c r="BC56" s="6" t="s">
        <v>87</v>
      </c>
      <c r="BD56" s="6" t="s">
        <v>92</v>
      </c>
      <c r="BE56" s="6" t="s">
        <v>92</v>
      </c>
      <c r="BF56" s="6" t="s">
        <v>87</v>
      </c>
      <c r="BG56" s="6" t="s">
        <v>87</v>
      </c>
      <c r="BH56" s="6" t="s">
        <v>87</v>
      </c>
      <c r="BI56" s="6" t="s">
        <v>92</v>
      </c>
      <c r="BJ56" s="6" t="s">
        <v>87</v>
      </c>
      <c r="BK56" s="6" t="s">
        <v>92</v>
      </c>
      <c r="BL56" s="6" t="s">
        <v>87</v>
      </c>
      <c r="BM56" s="6" t="s">
        <v>87</v>
      </c>
      <c r="BN56" s="14">
        <v>1</v>
      </c>
      <c r="BO56" s="6" t="s">
        <v>92</v>
      </c>
      <c r="BP56" s="6" t="s">
        <v>92</v>
      </c>
      <c r="BQ56" s="6" t="s">
        <v>87</v>
      </c>
      <c r="BR56" s="6" t="s">
        <v>87</v>
      </c>
      <c r="BS56" s="6" t="s">
        <v>87</v>
      </c>
      <c r="BT56" s="6" t="s">
        <v>87</v>
      </c>
      <c r="BU56" s="6" t="s">
        <v>87</v>
      </c>
      <c r="BV56" s="6"/>
      <c r="BW56" s="6" t="s">
        <v>101</v>
      </c>
      <c r="BX56" s="6"/>
      <c r="BY56" s="6"/>
      <c r="BZ56" s="6"/>
    </row>
    <row customHeight="true" ht="18.51851851851852" r="57">
      <c r="A57" s="6" t="s">
        <v>243</v>
      </c>
      <c r="B57" s="6" t="s">
        <v>239</v>
      </c>
      <c r="C57" s="17" t="s">
        <v>244</v>
      </c>
      <c r="D57" s="7">
        <v>45860</v>
      </c>
      <c r="E57" s="6" t="s">
        <v>201</v>
      </c>
      <c r="F57" s="6" t="s">
        <v>82</v>
      </c>
      <c r="G57" s="6" t="s">
        <v>83</v>
      </c>
      <c r="H57" s="6" t="s">
        <v>202</v>
      </c>
      <c r="I57" s="21" t="s">
        <v>124</v>
      </c>
      <c r="J57" s="6" t="s">
        <v>86</v>
      </c>
      <c r="K57" s="6" t="s">
        <v>87</v>
      </c>
      <c r="L57" s="16" t="s">
        <v>88</v>
      </c>
      <c r="M57" s="6" t="s">
        <v>245</v>
      </c>
      <c r="N57" s="6" t="s">
        <v>246</v>
      </c>
      <c r="O57" s="17" t="s">
        <v>236</v>
      </c>
      <c r="P57" s="6" t="s">
        <v>237</v>
      </c>
      <c r="Q57" s="17"/>
      <c r="R57" s="17"/>
      <c r="S57" s="17"/>
      <c r="T57" s="6"/>
      <c r="U57" s="13"/>
      <c r="V57" s="22" t="s">
        <v>172</v>
      </c>
      <c r="W57" s="6" t="s">
        <v>244</v>
      </c>
      <c r="X57" s="6" t="s">
        <v>239</v>
      </c>
      <c r="Y57" s="6"/>
      <c r="Z57" s="7">
        <v>45761</v>
      </c>
      <c r="AA57" s="7">
        <v>45808</v>
      </c>
      <c r="AB57" s="7">
        <v>45808</v>
      </c>
      <c r="AC57" s="6" t="s">
        <v>87</v>
      </c>
      <c r="AD57" s="6" t="s">
        <v>87</v>
      </c>
      <c r="AE57" s="6" t="s">
        <v>87</v>
      </c>
      <c r="AF57" s="6" t="s">
        <v>87</v>
      </c>
      <c r="AG57" s="20">
        <v>45761</v>
      </c>
      <c r="AH57" s="20">
        <v>45769</v>
      </c>
      <c r="AI57" s="6" t="s">
        <v>89</v>
      </c>
      <c r="AJ57" s="20">
        <v>45776</v>
      </c>
      <c r="AK57" s="6"/>
      <c r="AL57" s="6" t="s">
        <v>89</v>
      </c>
      <c r="AM57" s="8"/>
      <c r="AN57" s="8"/>
      <c r="AO57" s="6">
        <v>5</v>
      </c>
      <c r="AP57" s="7">
        <v>45769</v>
      </c>
      <c r="AQ57" s="6"/>
      <c r="AR57" s="6">
        <v>5</v>
      </c>
      <c r="AS57" s="6"/>
      <c r="AT57" s="6"/>
      <c r="AU57" s="6" t="s">
        <v>87</v>
      </c>
      <c r="AV57" s="6" t="s">
        <v>87</v>
      </c>
      <c r="AW57" s="6" t="s">
        <v>87</v>
      </c>
      <c r="AX57" s="13"/>
      <c r="AY57" s="6" t="s">
        <v>87</v>
      </c>
      <c r="AZ57" s="7">
        <v>45748</v>
      </c>
      <c r="BA57" s="7">
        <v>45765</v>
      </c>
      <c r="BB57" s="6" t="s">
        <v>87</v>
      </c>
      <c r="BC57" s="6" t="s">
        <v>87</v>
      </c>
      <c r="BD57" s="6" t="s">
        <v>92</v>
      </c>
      <c r="BE57" s="6" t="s">
        <v>92</v>
      </c>
      <c r="BF57" s="6" t="s">
        <v>87</v>
      </c>
      <c r="BG57" s="6" t="s">
        <v>87</v>
      </c>
      <c r="BH57" s="6" t="s">
        <v>87</v>
      </c>
      <c r="BI57" s="6" t="s">
        <v>92</v>
      </c>
      <c r="BJ57" s="6" t="s">
        <v>87</v>
      </c>
      <c r="BK57" s="6" t="s">
        <v>92</v>
      </c>
      <c r="BL57" s="6" t="s">
        <v>87</v>
      </c>
      <c r="BM57" s="6" t="s">
        <v>87</v>
      </c>
      <c r="BN57" s="14">
        <v>1</v>
      </c>
      <c r="BO57" s="6" t="s">
        <v>92</v>
      </c>
      <c r="BP57" s="6" t="s">
        <v>92</v>
      </c>
      <c r="BQ57" s="6" t="s">
        <v>87</v>
      </c>
      <c r="BR57" s="6" t="s">
        <v>87</v>
      </c>
      <c r="BS57" s="6" t="s">
        <v>87</v>
      </c>
      <c r="BT57" s="6" t="s">
        <v>87</v>
      </c>
      <c r="BU57" s="6" t="s">
        <v>87</v>
      </c>
      <c r="BV57" s="6"/>
      <c r="BW57" s="6" t="s">
        <v>101</v>
      </c>
      <c r="BX57" s="6"/>
      <c r="BY57" s="6"/>
      <c r="BZ57" s="6"/>
    </row>
    <row customHeight="true" ht="18.51851851851852" r="58">
      <c r="A58" s="6" t="s">
        <v>243</v>
      </c>
      <c r="B58" s="6" t="s">
        <v>239</v>
      </c>
      <c r="C58" s="17" t="s">
        <v>244</v>
      </c>
      <c r="D58" s="7">
        <v>45860</v>
      </c>
      <c r="E58" s="6" t="s">
        <v>201</v>
      </c>
      <c r="F58" s="6" t="s">
        <v>82</v>
      </c>
      <c r="G58" s="6" t="s">
        <v>83</v>
      </c>
      <c r="H58" s="6" t="s">
        <v>202</v>
      </c>
      <c r="I58" s="21" t="s">
        <v>124</v>
      </c>
      <c r="J58" s="6" t="s">
        <v>86</v>
      </c>
      <c r="K58" s="6" t="s">
        <v>87</v>
      </c>
      <c r="L58" s="16" t="s">
        <v>88</v>
      </c>
      <c r="M58" s="6" t="s">
        <v>245</v>
      </c>
      <c r="N58" s="6" t="s">
        <v>246</v>
      </c>
      <c r="O58" s="17" t="s">
        <v>236</v>
      </c>
      <c r="P58" s="6" t="s">
        <v>237</v>
      </c>
      <c r="Q58" s="17"/>
      <c r="R58" s="17"/>
      <c r="S58" s="17"/>
      <c r="T58" s="6"/>
      <c r="U58" s="13"/>
      <c r="V58" s="22" t="s">
        <v>172</v>
      </c>
      <c r="W58" s="6" t="s">
        <v>244</v>
      </c>
      <c r="X58" s="6" t="s">
        <v>239</v>
      </c>
      <c r="Y58" s="6"/>
      <c r="Z58" s="7">
        <v>45761</v>
      </c>
      <c r="AA58" s="7">
        <v>45808</v>
      </c>
      <c r="AB58" s="7">
        <v>45808</v>
      </c>
      <c r="AC58" s="6" t="s">
        <v>87</v>
      </c>
      <c r="AD58" s="6" t="s">
        <v>87</v>
      </c>
      <c r="AE58" s="6" t="s">
        <v>87</v>
      </c>
      <c r="AF58" s="6" t="s">
        <v>87</v>
      </c>
      <c r="AG58" s="20">
        <v>45761</v>
      </c>
      <c r="AH58" s="20">
        <v>45769</v>
      </c>
      <c r="AI58" s="6" t="s">
        <v>89</v>
      </c>
      <c r="AJ58" s="20">
        <v>45776</v>
      </c>
      <c r="AK58" s="6"/>
      <c r="AL58" s="6" t="s">
        <v>89</v>
      </c>
      <c r="AM58" s="8"/>
      <c r="AN58" s="8"/>
      <c r="AO58" s="6">
        <v>5</v>
      </c>
      <c r="AP58" s="7">
        <v>45769</v>
      </c>
      <c r="AQ58" s="6"/>
      <c r="AR58" s="6">
        <v>5</v>
      </c>
      <c r="AS58" s="6"/>
      <c r="AT58" s="6"/>
      <c r="AU58" s="6" t="s">
        <v>87</v>
      </c>
      <c r="AV58" s="6" t="s">
        <v>87</v>
      </c>
      <c r="AW58" s="6" t="s">
        <v>87</v>
      </c>
      <c r="AX58" s="13"/>
      <c r="AY58" s="6" t="s">
        <v>87</v>
      </c>
      <c r="AZ58" s="7">
        <v>45748</v>
      </c>
      <c r="BA58" s="7">
        <v>45765</v>
      </c>
      <c r="BB58" s="6" t="s">
        <v>87</v>
      </c>
      <c r="BC58" s="6" t="s">
        <v>87</v>
      </c>
      <c r="BD58" s="6" t="s">
        <v>92</v>
      </c>
      <c r="BE58" s="6" t="s">
        <v>92</v>
      </c>
      <c r="BF58" s="6" t="s">
        <v>87</v>
      </c>
      <c r="BG58" s="6" t="s">
        <v>87</v>
      </c>
      <c r="BH58" s="6" t="s">
        <v>87</v>
      </c>
      <c r="BI58" s="6" t="s">
        <v>92</v>
      </c>
      <c r="BJ58" s="6" t="s">
        <v>87</v>
      </c>
      <c r="BK58" s="6" t="s">
        <v>92</v>
      </c>
      <c r="BL58" s="6" t="s">
        <v>87</v>
      </c>
      <c r="BM58" s="6" t="s">
        <v>87</v>
      </c>
      <c r="BN58" s="14">
        <v>1</v>
      </c>
      <c r="BO58" s="6" t="s">
        <v>92</v>
      </c>
      <c r="BP58" s="6" t="s">
        <v>92</v>
      </c>
      <c r="BQ58" s="6" t="s">
        <v>87</v>
      </c>
      <c r="BR58" s="6" t="s">
        <v>87</v>
      </c>
      <c r="BS58" s="6" t="s">
        <v>87</v>
      </c>
      <c r="BT58" s="6" t="s">
        <v>87</v>
      </c>
      <c r="BU58" s="6" t="s">
        <v>87</v>
      </c>
      <c r="BV58" s="6"/>
      <c r="BW58" s="6" t="s">
        <v>101</v>
      </c>
      <c r="BX58" s="6"/>
      <c r="BY58" s="6"/>
      <c r="BZ58" s="6"/>
    </row>
    <row customHeight="true" ht="18.51851851851852" r="59">
      <c r="A59" s="6" t="s">
        <v>220</v>
      </c>
      <c r="B59" s="6" t="s">
        <v>221</v>
      </c>
      <c r="C59" s="17" t="s">
        <v>247</v>
      </c>
      <c r="D59" s="7">
        <v>45860</v>
      </c>
      <c r="E59" s="6" t="s">
        <v>201</v>
      </c>
      <c r="F59" s="6" t="s">
        <v>82</v>
      </c>
      <c r="G59" s="6" t="s">
        <v>83</v>
      </c>
      <c r="H59" s="6" t="s">
        <v>248</v>
      </c>
      <c r="I59" s="6" t="s">
        <v>124</v>
      </c>
      <c r="J59" s="6" t="s">
        <v>86</v>
      </c>
      <c r="K59" s="6" t="s">
        <v>87</v>
      </c>
      <c r="L59" s="16" t="s">
        <v>88</v>
      </c>
      <c r="M59" s="6" t="s">
        <v>245</v>
      </c>
      <c r="N59" s="6" t="s">
        <v>246</v>
      </c>
      <c r="O59" s="17" t="s">
        <v>236</v>
      </c>
      <c r="P59" s="6" t="s">
        <v>237</v>
      </c>
      <c r="Q59" s="17"/>
      <c r="R59" s="17"/>
      <c r="S59" s="17"/>
      <c r="T59" s="6"/>
      <c r="U59" s="13"/>
      <c r="V59" s="22" t="s">
        <v>172</v>
      </c>
      <c r="W59" s="6" t="s">
        <v>247</v>
      </c>
      <c r="X59" s="6" t="s">
        <v>221</v>
      </c>
      <c r="Y59" s="6"/>
      <c r="Z59" s="7">
        <v>45761</v>
      </c>
      <c r="AA59" s="7">
        <v>45808</v>
      </c>
      <c r="AB59" s="7">
        <v>45808</v>
      </c>
      <c r="AC59" s="6" t="s">
        <v>87</v>
      </c>
      <c r="AD59" s="6" t="s">
        <v>87</v>
      </c>
      <c r="AE59" s="6" t="s">
        <v>87</v>
      </c>
      <c r="AF59" s="6" t="s">
        <v>87</v>
      </c>
      <c r="AG59" s="20">
        <v>45761</v>
      </c>
      <c r="AH59" s="20">
        <v>45769</v>
      </c>
      <c r="AI59" s="6" t="s">
        <v>89</v>
      </c>
      <c r="AJ59" s="20">
        <v>45776</v>
      </c>
      <c r="AK59" s="6"/>
      <c r="AL59" s="6" t="s">
        <v>89</v>
      </c>
      <c r="AM59" s="8"/>
      <c r="AN59" s="8"/>
      <c r="AO59" s="6">
        <v>5</v>
      </c>
      <c r="AP59" s="7">
        <v>45769</v>
      </c>
      <c r="AQ59" s="6"/>
      <c r="AR59" s="6">
        <v>5</v>
      </c>
      <c r="AS59" s="6"/>
      <c r="AT59" s="6"/>
      <c r="AU59" s="6" t="s">
        <v>87</v>
      </c>
      <c r="AV59" s="6" t="s">
        <v>87</v>
      </c>
      <c r="AW59" s="6" t="s">
        <v>87</v>
      </c>
      <c r="AX59" s="13"/>
      <c r="AY59" s="6" t="s">
        <v>87</v>
      </c>
      <c r="AZ59" s="7">
        <v>45748</v>
      </c>
      <c r="BA59" s="7">
        <v>45765</v>
      </c>
      <c r="BB59" s="6" t="s">
        <v>87</v>
      </c>
      <c r="BC59" s="6" t="s">
        <v>87</v>
      </c>
      <c r="BD59" s="6" t="s">
        <v>92</v>
      </c>
      <c r="BE59" s="6" t="s">
        <v>92</v>
      </c>
      <c r="BF59" s="6" t="s">
        <v>87</v>
      </c>
      <c r="BG59" s="6" t="s">
        <v>87</v>
      </c>
      <c r="BH59" s="6" t="s">
        <v>87</v>
      </c>
      <c r="BI59" s="6" t="s">
        <v>92</v>
      </c>
      <c r="BJ59" s="6" t="s">
        <v>87</v>
      </c>
      <c r="BK59" s="6" t="s">
        <v>92</v>
      </c>
      <c r="BL59" s="6" t="s">
        <v>87</v>
      </c>
      <c r="BM59" s="6" t="s">
        <v>87</v>
      </c>
      <c r="BN59" s="14">
        <v>1</v>
      </c>
      <c r="BO59" s="6" t="s">
        <v>92</v>
      </c>
      <c r="BP59" s="6" t="s">
        <v>92</v>
      </c>
      <c r="BQ59" s="6" t="s">
        <v>87</v>
      </c>
      <c r="BR59" s="6" t="s">
        <v>87</v>
      </c>
      <c r="BS59" s="6" t="s">
        <v>87</v>
      </c>
      <c r="BT59" s="6" t="s">
        <v>87</v>
      </c>
      <c r="BU59" s="6" t="s">
        <v>87</v>
      </c>
      <c r="BV59" s="6"/>
      <c r="BW59" s="6" t="s">
        <v>101</v>
      </c>
      <c r="BX59" s="21" t="s">
        <v>249</v>
      </c>
      <c r="BY59" s="6"/>
      <c r="BZ59" s="6"/>
    </row>
    <row customHeight="true" ht="18.51851851851852" r="60">
      <c r="A60" s="6" t="s">
        <v>226</v>
      </c>
      <c r="B60" s="6" t="s">
        <v>227</v>
      </c>
      <c r="C60" s="17" t="s">
        <v>250</v>
      </c>
      <c r="D60" s="7">
        <v>45860</v>
      </c>
      <c r="E60" s="6" t="s">
        <v>201</v>
      </c>
      <c r="F60" s="6" t="s">
        <v>82</v>
      </c>
      <c r="G60" s="6" t="s">
        <v>83</v>
      </c>
      <c r="H60" s="6" t="s">
        <v>202</v>
      </c>
      <c r="I60" s="6" t="s">
        <v>124</v>
      </c>
      <c r="J60" s="6" t="s">
        <v>86</v>
      </c>
      <c r="K60" s="6" t="s">
        <v>87</v>
      </c>
      <c r="L60" s="16" t="s">
        <v>88</v>
      </c>
      <c r="M60" s="6" t="s">
        <v>245</v>
      </c>
      <c r="N60" s="6" t="s">
        <v>246</v>
      </c>
      <c r="O60" s="17" t="s">
        <v>236</v>
      </c>
      <c r="P60" s="6" t="s">
        <v>237</v>
      </c>
      <c r="Q60" s="17"/>
      <c r="R60" s="17"/>
      <c r="S60" s="17"/>
      <c r="T60" s="6"/>
      <c r="U60" s="13"/>
      <c r="V60" s="22" t="s">
        <v>172</v>
      </c>
      <c r="W60" s="6" t="s">
        <v>250</v>
      </c>
      <c r="X60" s="6" t="s">
        <v>227</v>
      </c>
      <c r="Y60" s="6"/>
      <c r="Z60" s="7">
        <v>45761</v>
      </c>
      <c r="AA60" s="7">
        <v>45808</v>
      </c>
      <c r="AB60" s="7">
        <v>45808</v>
      </c>
      <c r="AC60" s="6" t="s">
        <v>87</v>
      </c>
      <c r="AD60" s="6" t="s">
        <v>87</v>
      </c>
      <c r="AE60" s="6" t="s">
        <v>87</v>
      </c>
      <c r="AF60" s="6" t="s">
        <v>87</v>
      </c>
      <c r="AG60" s="20">
        <v>45761</v>
      </c>
      <c r="AH60" s="20">
        <v>45769</v>
      </c>
      <c r="AI60" s="6" t="s">
        <v>89</v>
      </c>
      <c r="AJ60" s="20">
        <v>45776</v>
      </c>
      <c r="AK60" s="6"/>
      <c r="AL60" s="6" t="s">
        <v>89</v>
      </c>
      <c r="AM60" s="8"/>
      <c r="AN60" s="8"/>
      <c r="AO60" s="6">
        <v>5</v>
      </c>
      <c r="AP60" s="7">
        <v>45769</v>
      </c>
      <c r="AQ60" s="6"/>
      <c r="AR60" s="6">
        <v>5</v>
      </c>
      <c r="AS60" s="6"/>
      <c r="AT60" s="6"/>
      <c r="AU60" s="6" t="s">
        <v>87</v>
      </c>
      <c r="AV60" s="6" t="s">
        <v>87</v>
      </c>
      <c r="AW60" s="6" t="s">
        <v>87</v>
      </c>
      <c r="AX60" s="13"/>
      <c r="AY60" s="6" t="s">
        <v>87</v>
      </c>
      <c r="AZ60" s="7">
        <v>45748</v>
      </c>
      <c r="BA60" s="7">
        <v>45765</v>
      </c>
      <c r="BB60" s="6" t="s">
        <v>87</v>
      </c>
      <c r="BC60" s="6" t="s">
        <v>87</v>
      </c>
      <c r="BD60" s="6" t="s">
        <v>92</v>
      </c>
      <c r="BE60" s="6" t="s">
        <v>92</v>
      </c>
      <c r="BF60" s="6" t="s">
        <v>87</v>
      </c>
      <c r="BG60" s="6" t="s">
        <v>87</v>
      </c>
      <c r="BH60" s="6" t="s">
        <v>87</v>
      </c>
      <c r="BI60" s="6" t="s">
        <v>92</v>
      </c>
      <c r="BJ60" s="6" t="s">
        <v>87</v>
      </c>
      <c r="BK60" s="6" t="s">
        <v>92</v>
      </c>
      <c r="BL60" s="6" t="s">
        <v>87</v>
      </c>
      <c r="BM60" s="6" t="s">
        <v>87</v>
      </c>
      <c r="BN60" s="14">
        <v>1</v>
      </c>
      <c r="BO60" s="6" t="s">
        <v>92</v>
      </c>
      <c r="BP60" s="6" t="s">
        <v>92</v>
      </c>
      <c r="BQ60" s="6" t="s">
        <v>87</v>
      </c>
      <c r="BR60" s="6" t="s">
        <v>87</v>
      </c>
      <c r="BS60" s="6" t="s">
        <v>87</v>
      </c>
      <c r="BT60" s="6" t="s">
        <v>87</v>
      </c>
      <c r="BU60" s="6" t="s">
        <v>87</v>
      </c>
      <c r="BV60" s="6"/>
      <c r="BW60" s="6" t="s">
        <v>101</v>
      </c>
      <c r="BX60" s="21" t="s">
        <v>251</v>
      </c>
      <c r="BY60" s="6"/>
      <c r="BZ60" s="6"/>
    </row>
    <row customHeight="true" ht="18.51851851851852" r="61">
      <c r="A61" s="6" t="s">
        <v>230</v>
      </c>
      <c r="B61" s="6" t="s">
        <v>231</v>
      </c>
      <c r="C61" s="17" t="s">
        <v>252</v>
      </c>
      <c r="D61" s="7">
        <v>45860</v>
      </c>
      <c r="E61" s="6" t="s">
        <v>201</v>
      </c>
      <c r="F61" s="6" t="s">
        <v>82</v>
      </c>
      <c r="G61" s="6" t="s">
        <v>83</v>
      </c>
      <c r="H61" s="6" t="s">
        <v>107</v>
      </c>
      <c r="I61" s="6" t="s">
        <v>124</v>
      </c>
      <c r="J61" s="6" t="s">
        <v>86</v>
      </c>
      <c r="K61" s="6" t="s">
        <v>87</v>
      </c>
      <c r="L61" s="16" t="s">
        <v>88</v>
      </c>
      <c r="M61" s="6" t="s">
        <v>245</v>
      </c>
      <c r="N61" s="6" t="s">
        <v>246</v>
      </c>
      <c r="O61" s="17" t="s">
        <v>236</v>
      </c>
      <c r="P61" s="6" t="s">
        <v>237</v>
      </c>
      <c r="Q61" s="17"/>
      <c r="R61" s="17"/>
      <c r="S61" s="17"/>
      <c r="T61" s="6"/>
      <c r="U61" s="13"/>
      <c r="V61" s="22" t="s">
        <v>172</v>
      </c>
      <c r="W61" s="6" t="s">
        <v>252</v>
      </c>
      <c r="X61" s="6" t="s">
        <v>231</v>
      </c>
      <c r="Y61" s="6"/>
      <c r="Z61" s="7">
        <v>45761</v>
      </c>
      <c r="AA61" s="7">
        <v>45808</v>
      </c>
      <c r="AB61" s="7">
        <v>45808</v>
      </c>
      <c r="AC61" s="6" t="s">
        <v>87</v>
      </c>
      <c r="AD61" s="6" t="s">
        <v>87</v>
      </c>
      <c r="AE61" s="6" t="s">
        <v>87</v>
      </c>
      <c r="AF61" s="6" t="s">
        <v>87</v>
      </c>
      <c r="AG61" s="20">
        <v>45761</v>
      </c>
      <c r="AH61" s="20">
        <v>45769</v>
      </c>
      <c r="AI61" s="6" t="s">
        <v>89</v>
      </c>
      <c r="AJ61" s="20">
        <v>45776</v>
      </c>
      <c r="AK61" s="6"/>
      <c r="AL61" s="6" t="s">
        <v>89</v>
      </c>
      <c r="AM61" s="8"/>
      <c r="AN61" s="8"/>
      <c r="AO61" s="6">
        <v>5</v>
      </c>
      <c r="AP61" s="7">
        <v>45769</v>
      </c>
      <c r="AQ61" s="6"/>
      <c r="AR61" s="6">
        <v>5</v>
      </c>
      <c r="AS61" s="6"/>
      <c r="AT61" s="6"/>
      <c r="AU61" s="6" t="s">
        <v>87</v>
      </c>
      <c r="AV61" s="6" t="s">
        <v>87</v>
      </c>
      <c r="AW61" s="6" t="s">
        <v>87</v>
      </c>
      <c r="AX61" s="13"/>
      <c r="AY61" s="6" t="s">
        <v>87</v>
      </c>
      <c r="AZ61" s="7">
        <v>45748</v>
      </c>
      <c r="BA61" s="7">
        <v>45765</v>
      </c>
      <c r="BB61" s="6" t="s">
        <v>87</v>
      </c>
      <c r="BC61" s="6" t="s">
        <v>87</v>
      </c>
      <c r="BD61" s="6" t="s">
        <v>92</v>
      </c>
      <c r="BE61" s="6" t="s">
        <v>92</v>
      </c>
      <c r="BF61" s="6" t="s">
        <v>87</v>
      </c>
      <c r="BG61" s="6" t="s">
        <v>87</v>
      </c>
      <c r="BH61" s="6" t="s">
        <v>87</v>
      </c>
      <c r="BI61" s="6" t="s">
        <v>92</v>
      </c>
      <c r="BJ61" s="6" t="s">
        <v>87</v>
      </c>
      <c r="BK61" s="6" t="s">
        <v>92</v>
      </c>
      <c r="BL61" s="6" t="s">
        <v>87</v>
      </c>
      <c r="BM61" s="6" t="s">
        <v>87</v>
      </c>
      <c r="BN61" s="14">
        <v>1</v>
      </c>
      <c r="BO61" s="6" t="s">
        <v>92</v>
      </c>
      <c r="BP61" s="6" t="s">
        <v>92</v>
      </c>
      <c r="BQ61" s="6" t="s">
        <v>87</v>
      </c>
      <c r="BR61" s="6" t="s">
        <v>87</v>
      </c>
      <c r="BS61" s="6" t="s">
        <v>87</v>
      </c>
      <c r="BT61" s="6" t="s">
        <v>87</v>
      </c>
      <c r="BU61" s="6" t="s">
        <v>87</v>
      </c>
      <c r="BV61" s="21" t="s">
        <v>253</v>
      </c>
      <c r="BW61" s="6" t="s">
        <v>101</v>
      </c>
      <c r="BX61" s="21" t="s">
        <v>249</v>
      </c>
      <c r="BY61" s="6"/>
      <c r="BZ61" s="6"/>
    </row>
    <row customHeight="true" ht="18.51851851851852" r="62">
      <c r="A62" s="6" t="s">
        <v>234</v>
      </c>
      <c r="B62" s="6" t="s">
        <v>235</v>
      </c>
      <c r="C62" s="17" t="s">
        <v>254</v>
      </c>
      <c r="D62" s="7">
        <v>45860</v>
      </c>
      <c r="E62" s="6" t="s">
        <v>201</v>
      </c>
      <c r="F62" s="6" t="s">
        <v>82</v>
      </c>
      <c r="G62" s="6" t="s">
        <v>83</v>
      </c>
      <c r="H62" s="6" t="s">
        <v>248</v>
      </c>
      <c r="I62" s="6" t="s">
        <v>124</v>
      </c>
      <c r="J62" s="6" t="s">
        <v>86</v>
      </c>
      <c r="K62" s="6" t="s">
        <v>87</v>
      </c>
      <c r="L62" s="16" t="s">
        <v>88</v>
      </c>
      <c r="M62" s="6" t="s">
        <v>245</v>
      </c>
      <c r="N62" s="6" t="s">
        <v>246</v>
      </c>
      <c r="O62" s="17" t="s">
        <v>236</v>
      </c>
      <c r="P62" s="6" t="s">
        <v>237</v>
      </c>
      <c r="Q62" s="17"/>
      <c r="R62" s="17"/>
      <c r="S62" s="17"/>
      <c r="T62" s="6"/>
      <c r="U62" s="13"/>
      <c r="V62" s="22" t="s">
        <v>172</v>
      </c>
      <c r="W62" s="6" t="s">
        <v>254</v>
      </c>
      <c r="X62" s="6" t="s">
        <v>235</v>
      </c>
      <c r="Y62" s="6"/>
      <c r="Z62" s="7">
        <v>45761</v>
      </c>
      <c r="AA62" s="7">
        <v>45808</v>
      </c>
      <c r="AB62" s="7">
        <v>45808</v>
      </c>
      <c r="AC62" s="6" t="s">
        <v>87</v>
      </c>
      <c r="AD62" s="6" t="s">
        <v>87</v>
      </c>
      <c r="AE62" s="6" t="s">
        <v>87</v>
      </c>
      <c r="AF62" s="6" t="s">
        <v>87</v>
      </c>
      <c r="AG62" s="20">
        <v>45761</v>
      </c>
      <c r="AH62" s="20">
        <v>45769</v>
      </c>
      <c r="AI62" s="6" t="s">
        <v>89</v>
      </c>
      <c r="AJ62" s="20">
        <v>45776</v>
      </c>
      <c r="AK62" s="6"/>
      <c r="AL62" s="6" t="s">
        <v>89</v>
      </c>
      <c r="AM62" s="8"/>
      <c r="AN62" s="8"/>
      <c r="AO62" s="6">
        <v>5</v>
      </c>
      <c r="AP62" s="7">
        <v>45769</v>
      </c>
      <c r="AQ62" s="6"/>
      <c r="AR62" s="6">
        <v>5</v>
      </c>
      <c r="AS62" s="6"/>
      <c r="AT62" s="6"/>
      <c r="AU62" s="6" t="s">
        <v>87</v>
      </c>
      <c r="AV62" s="6" t="s">
        <v>87</v>
      </c>
      <c r="AW62" s="6" t="s">
        <v>87</v>
      </c>
      <c r="AX62" s="13"/>
      <c r="AY62" s="6" t="s">
        <v>87</v>
      </c>
      <c r="AZ62" s="7">
        <v>45748</v>
      </c>
      <c r="BA62" s="7">
        <v>45765</v>
      </c>
      <c r="BB62" s="6" t="s">
        <v>87</v>
      </c>
      <c r="BC62" s="6" t="s">
        <v>87</v>
      </c>
      <c r="BD62" s="6" t="s">
        <v>92</v>
      </c>
      <c r="BE62" s="6" t="s">
        <v>92</v>
      </c>
      <c r="BF62" s="6" t="s">
        <v>87</v>
      </c>
      <c r="BG62" s="6" t="s">
        <v>87</v>
      </c>
      <c r="BH62" s="6" t="s">
        <v>87</v>
      </c>
      <c r="BI62" s="6" t="s">
        <v>92</v>
      </c>
      <c r="BJ62" s="6" t="s">
        <v>87</v>
      </c>
      <c r="BK62" s="6" t="s">
        <v>92</v>
      </c>
      <c r="BL62" s="6" t="s">
        <v>87</v>
      </c>
      <c r="BM62" s="6" t="s">
        <v>87</v>
      </c>
      <c r="BN62" s="14">
        <v>1</v>
      </c>
      <c r="BO62" s="6" t="s">
        <v>92</v>
      </c>
      <c r="BP62" s="6" t="s">
        <v>92</v>
      </c>
      <c r="BQ62" s="6" t="s">
        <v>87</v>
      </c>
      <c r="BR62" s="6" t="s">
        <v>87</v>
      </c>
      <c r="BS62" s="6" t="s">
        <v>87</v>
      </c>
      <c r="BT62" s="6" t="s">
        <v>87</v>
      </c>
      <c r="BU62" s="6" t="s">
        <v>87</v>
      </c>
      <c r="BV62" s="6"/>
      <c r="BW62" s="6" t="s">
        <v>101</v>
      </c>
      <c r="BX62" s="21" t="s">
        <v>255</v>
      </c>
      <c r="BY62" s="6"/>
      <c r="BZ62" s="6"/>
    </row>
    <row customHeight="true" ht="18.51851851851852" r="63">
      <c r="A63" s="6" t="s">
        <v>241</v>
      </c>
      <c r="B63" s="6" t="s">
        <v>242</v>
      </c>
      <c r="C63" s="17" t="s">
        <v>256</v>
      </c>
      <c r="D63" s="7">
        <v>45860</v>
      </c>
      <c r="E63" s="6" t="s">
        <v>201</v>
      </c>
      <c r="F63" s="6" t="s">
        <v>82</v>
      </c>
      <c r="G63" s="6" t="s">
        <v>83</v>
      </c>
      <c r="H63" s="6" t="s">
        <v>202</v>
      </c>
      <c r="I63" s="6" t="s">
        <v>124</v>
      </c>
      <c r="J63" s="6" t="s">
        <v>86</v>
      </c>
      <c r="K63" s="6" t="s">
        <v>87</v>
      </c>
      <c r="L63" s="16" t="s">
        <v>88</v>
      </c>
      <c r="M63" s="6" t="s">
        <v>245</v>
      </c>
      <c r="N63" s="6" t="s">
        <v>246</v>
      </c>
      <c r="O63" s="17" t="s">
        <v>236</v>
      </c>
      <c r="P63" s="6" t="s">
        <v>237</v>
      </c>
      <c r="Q63" s="17"/>
      <c r="R63" s="17"/>
      <c r="S63" s="17"/>
      <c r="T63" s="6"/>
      <c r="U63" s="13"/>
      <c r="V63" s="22" t="s">
        <v>172</v>
      </c>
      <c r="W63" s="6" t="s">
        <v>256</v>
      </c>
      <c r="X63" s="6" t="s">
        <v>242</v>
      </c>
      <c r="Y63" s="6"/>
      <c r="Z63" s="7">
        <v>45761</v>
      </c>
      <c r="AA63" s="7">
        <v>45808</v>
      </c>
      <c r="AB63" s="7">
        <v>45808</v>
      </c>
      <c r="AC63" s="6" t="s">
        <v>87</v>
      </c>
      <c r="AD63" s="6" t="s">
        <v>87</v>
      </c>
      <c r="AE63" s="6" t="s">
        <v>87</v>
      </c>
      <c r="AF63" s="6" t="s">
        <v>87</v>
      </c>
      <c r="AG63" s="20">
        <v>45761</v>
      </c>
      <c r="AH63" s="20">
        <v>45769</v>
      </c>
      <c r="AI63" s="6" t="s">
        <v>89</v>
      </c>
      <c r="AJ63" s="20">
        <v>45776</v>
      </c>
      <c r="AK63" s="6"/>
      <c r="AL63" s="6" t="s">
        <v>89</v>
      </c>
      <c r="AM63" s="8"/>
      <c r="AN63" s="8"/>
      <c r="AO63" s="6">
        <v>5</v>
      </c>
      <c r="AP63" s="7">
        <v>45769</v>
      </c>
      <c r="AQ63" s="6"/>
      <c r="AR63" s="6">
        <v>5</v>
      </c>
      <c r="AS63" s="6"/>
      <c r="AT63" s="6"/>
      <c r="AU63" s="6" t="s">
        <v>87</v>
      </c>
      <c r="AV63" s="6" t="s">
        <v>87</v>
      </c>
      <c r="AW63" s="6" t="s">
        <v>87</v>
      </c>
      <c r="AX63" s="13"/>
      <c r="AY63" s="6" t="s">
        <v>87</v>
      </c>
      <c r="AZ63" s="7">
        <v>45748</v>
      </c>
      <c r="BA63" s="7">
        <v>45765</v>
      </c>
      <c r="BB63" s="6" t="s">
        <v>87</v>
      </c>
      <c r="BC63" s="6" t="s">
        <v>87</v>
      </c>
      <c r="BD63" s="6" t="s">
        <v>92</v>
      </c>
      <c r="BE63" s="6" t="s">
        <v>92</v>
      </c>
      <c r="BF63" s="6" t="s">
        <v>87</v>
      </c>
      <c r="BG63" s="6" t="s">
        <v>87</v>
      </c>
      <c r="BH63" s="6" t="s">
        <v>87</v>
      </c>
      <c r="BI63" s="6" t="s">
        <v>92</v>
      </c>
      <c r="BJ63" s="6" t="s">
        <v>87</v>
      </c>
      <c r="BK63" s="6" t="s">
        <v>92</v>
      </c>
      <c r="BL63" s="6" t="s">
        <v>87</v>
      </c>
      <c r="BM63" s="6" t="s">
        <v>87</v>
      </c>
      <c r="BN63" s="14">
        <v>1</v>
      </c>
      <c r="BO63" s="6" t="s">
        <v>92</v>
      </c>
      <c r="BP63" s="6" t="s">
        <v>92</v>
      </c>
      <c r="BQ63" s="6" t="s">
        <v>87</v>
      </c>
      <c r="BR63" s="6" t="s">
        <v>87</v>
      </c>
      <c r="BS63" s="6" t="s">
        <v>87</v>
      </c>
      <c r="BT63" s="6" t="s">
        <v>87</v>
      </c>
      <c r="BU63" s="6" t="s">
        <v>87</v>
      </c>
      <c r="BV63" s="6"/>
      <c r="BW63" s="6" t="s">
        <v>101</v>
      </c>
      <c r="BX63" s="21" t="s">
        <v>253</v>
      </c>
      <c r="BY63" s="6"/>
      <c r="BZ63" s="6"/>
    </row>
    <row customHeight="true" ht="18.51851851851852" r="64">
      <c r="A64" s="6" t="s">
        <v>245</v>
      </c>
      <c r="B64" s="6" t="s">
        <v>246</v>
      </c>
      <c r="C64" s="17" t="s">
        <v>257</v>
      </c>
      <c r="D64" s="7">
        <v>45860</v>
      </c>
      <c r="E64" s="6" t="s">
        <v>201</v>
      </c>
      <c r="F64" s="6" t="s">
        <v>82</v>
      </c>
      <c r="G64" s="6" t="s">
        <v>83</v>
      </c>
      <c r="H64" s="6" t="s">
        <v>107</v>
      </c>
      <c r="I64" s="6" t="s">
        <v>124</v>
      </c>
      <c r="J64" s="6" t="s">
        <v>86</v>
      </c>
      <c r="K64" s="6" t="s">
        <v>87</v>
      </c>
      <c r="L64" s="16" t="s">
        <v>88</v>
      </c>
      <c r="M64" s="6" t="s">
        <v>245</v>
      </c>
      <c r="N64" s="6" t="s">
        <v>246</v>
      </c>
      <c r="O64" s="17" t="s">
        <v>236</v>
      </c>
      <c r="P64" s="6" t="s">
        <v>237</v>
      </c>
      <c r="Q64" s="17"/>
      <c r="R64" s="17"/>
      <c r="S64" s="17"/>
      <c r="T64" s="6"/>
      <c r="U64" s="13"/>
      <c r="V64" s="22" t="s">
        <v>172</v>
      </c>
      <c r="W64" s="6" t="s">
        <v>257</v>
      </c>
      <c r="X64" s="6" t="s">
        <v>246</v>
      </c>
      <c r="Y64" s="6"/>
      <c r="Z64" s="7">
        <v>45761</v>
      </c>
      <c r="AA64" s="7">
        <v>45808</v>
      </c>
      <c r="AB64" s="7">
        <v>45808</v>
      </c>
      <c r="AC64" s="6" t="s">
        <v>87</v>
      </c>
      <c r="AD64" s="6" t="s">
        <v>87</v>
      </c>
      <c r="AE64" s="6" t="s">
        <v>87</v>
      </c>
      <c r="AF64" s="6" t="s">
        <v>87</v>
      </c>
      <c r="AG64" s="20">
        <v>45761</v>
      </c>
      <c r="AH64" s="20">
        <v>45769</v>
      </c>
      <c r="AI64" s="6" t="s">
        <v>89</v>
      </c>
      <c r="AJ64" s="20">
        <v>45776</v>
      </c>
      <c r="AK64" s="6"/>
      <c r="AL64" s="6" t="s">
        <v>89</v>
      </c>
      <c r="AM64" s="8"/>
      <c r="AN64" s="8"/>
      <c r="AO64" s="6">
        <v>5</v>
      </c>
      <c r="AP64" s="7">
        <v>45769</v>
      </c>
      <c r="AQ64" s="6"/>
      <c r="AR64" s="6">
        <v>5</v>
      </c>
      <c r="AS64" s="6"/>
      <c r="AT64" s="6"/>
      <c r="AU64" s="6" t="s">
        <v>87</v>
      </c>
      <c r="AV64" s="6" t="s">
        <v>87</v>
      </c>
      <c r="AW64" s="6" t="s">
        <v>87</v>
      </c>
      <c r="AX64" s="13"/>
      <c r="AY64" s="6" t="s">
        <v>87</v>
      </c>
      <c r="AZ64" s="7">
        <v>45748</v>
      </c>
      <c r="BA64" s="7">
        <v>45765</v>
      </c>
      <c r="BB64" s="6" t="s">
        <v>87</v>
      </c>
      <c r="BC64" s="6" t="s">
        <v>87</v>
      </c>
      <c r="BD64" s="6" t="s">
        <v>92</v>
      </c>
      <c r="BE64" s="6" t="s">
        <v>92</v>
      </c>
      <c r="BF64" s="6" t="s">
        <v>87</v>
      </c>
      <c r="BG64" s="6" t="s">
        <v>87</v>
      </c>
      <c r="BH64" s="6" t="s">
        <v>87</v>
      </c>
      <c r="BI64" s="6" t="s">
        <v>92</v>
      </c>
      <c r="BJ64" s="6" t="s">
        <v>87</v>
      </c>
      <c r="BK64" s="6" t="s">
        <v>92</v>
      </c>
      <c r="BL64" s="6" t="s">
        <v>87</v>
      </c>
      <c r="BM64" s="6" t="s">
        <v>87</v>
      </c>
      <c r="BN64" s="14">
        <v>1</v>
      </c>
      <c r="BO64" s="6" t="s">
        <v>92</v>
      </c>
      <c r="BP64" s="6" t="s">
        <v>92</v>
      </c>
      <c r="BQ64" s="6" t="s">
        <v>87</v>
      </c>
      <c r="BR64" s="6" t="s">
        <v>87</v>
      </c>
      <c r="BS64" s="6" t="s">
        <v>87</v>
      </c>
      <c r="BT64" s="6" t="s">
        <v>87</v>
      </c>
      <c r="BU64" s="6" t="s">
        <v>87</v>
      </c>
      <c r="BV64" s="21" t="s">
        <v>253</v>
      </c>
      <c r="BW64" s="6" t="s">
        <v>101</v>
      </c>
      <c r="BX64" s="21" t="s">
        <v>253</v>
      </c>
      <c r="BY64" s="6"/>
      <c r="BZ64" s="6"/>
    </row>
    <row r="65">
      <c r="A65" s="13"/>
      <c r="B65" s="13"/>
      <c r="C65" s="25"/>
      <c r="D65" s="20"/>
      <c r="E65" s="13"/>
      <c r="F65" s="13"/>
      <c r="G65" s="13"/>
      <c r="H65" s="13"/>
      <c r="I65" s="13"/>
      <c r="J65" s="13"/>
      <c r="K65" s="13"/>
      <c r="L65" s="16"/>
      <c r="M65" s="13"/>
      <c r="N65" s="13"/>
      <c r="O65" s="25"/>
      <c r="P65" s="13"/>
      <c r="Q65" s="25"/>
      <c r="R65" s="25"/>
      <c r="S65" s="25"/>
      <c r="T65" s="13"/>
      <c r="U65" s="13"/>
      <c r="V65" s="25"/>
      <c r="W65" s="13"/>
      <c r="X65" s="13"/>
      <c r="Y65" s="13"/>
      <c r="Z65" s="20"/>
      <c r="AA65" s="20"/>
      <c r="AB65" s="20"/>
      <c r="AC65" s="13"/>
      <c r="AD65" s="13"/>
      <c r="AE65" s="13"/>
      <c r="AF65" s="13"/>
      <c r="AG65" s="20"/>
      <c r="AH65" s="20"/>
      <c r="AI65" s="13"/>
      <c r="AJ65" s="20"/>
      <c r="AK65" s="13"/>
      <c r="AL65" s="13"/>
      <c r="AM65" s="16"/>
      <c r="AN65" s="16"/>
      <c r="AO65" s="13"/>
      <c r="AP65" s="20"/>
      <c r="AQ65" s="13"/>
      <c r="AR65" s="13"/>
      <c r="AS65" s="13"/>
      <c r="AT65" s="13"/>
      <c r="AU65" s="13"/>
      <c r="AV65" s="13"/>
      <c r="AW65" s="13"/>
      <c r="AX65" s="13"/>
      <c r="AY65" s="13"/>
      <c r="AZ65" s="20"/>
      <c r="BA65" s="20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26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</row>
    <row r="66">
      <c r="A66" s="13"/>
      <c r="B66" s="13"/>
      <c r="C66" s="25"/>
      <c r="D66" s="20"/>
      <c r="E66" s="13"/>
      <c r="F66" s="13"/>
      <c r="G66" s="13"/>
      <c r="H66" s="13"/>
      <c r="I66" s="13"/>
      <c r="J66" s="13"/>
      <c r="K66" s="13"/>
      <c r="L66" s="16"/>
      <c r="M66" s="13"/>
      <c r="N66" s="13"/>
      <c r="O66" s="25"/>
      <c r="P66" s="13"/>
      <c r="Q66" s="25"/>
      <c r="R66" s="25"/>
      <c r="S66" s="25"/>
      <c r="T66" s="13"/>
      <c r="U66" s="13"/>
      <c r="V66" s="25"/>
      <c r="W66" s="13"/>
      <c r="X66" s="13"/>
      <c r="Y66" s="13"/>
      <c r="Z66" s="20"/>
      <c r="AA66" s="20"/>
      <c r="AB66" s="20"/>
      <c r="AC66" s="13"/>
      <c r="AD66" s="13"/>
      <c r="AE66" s="13"/>
      <c r="AF66" s="13"/>
      <c r="AG66" s="20"/>
      <c r="AH66" s="20"/>
      <c r="AI66" s="13"/>
      <c r="AJ66" s="20"/>
      <c r="AK66" s="13"/>
      <c r="AL66" s="13"/>
      <c r="AM66" s="16"/>
      <c r="AN66" s="16"/>
      <c r="AO66" s="13"/>
      <c r="AP66" s="20"/>
      <c r="AQ66" s="13"/>
      <c r="AR66" s="13"/>
      <c r="AS66" s="13"/>
      <c r="AT66" s="13"/>
      <c r="AU66" s="13"/>
      <c r="AV66" s="13"/>
      <c r="AW66" s="13"/>
      <c r="AX66" s="13"/>
      <c r="AY66" s="13"/>
      <c r="AZ66" s="20"/>
      <c r="BA66" s="20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26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</row>
    <row r="67">
      <c r="A67" s="13"/>
      <c r="B67" s="13"/>
      <c r="C67" s="25"/>
      <c r="D67" s="20"/>
      <c r="E67" s="13"/>
      <c r="F67" s="13"/>
      <c r="G67" s="13"/>
      <c r="H67" s="13"/>
      <c r="I67" s="13"/>
      <c r="J67" s="13"/>
      <c r="K67" s="13"/>
      <c r="L67" s="16"/>
      <c r="M67" s="13"/>
      <c r="N67" s="13"/>
      <c r="O67" s="25"/>
      <c r="P67" s="13"/>
      <c r="Q67" s="25"/>
      <c r="R67" s="25"/>
      <c r="S67" s="25"/>
      <c r="T67" s="13"/>
      <c r="U67" s="13"/>
      <c r="V67" s="25"/>
      <c r="W67" s="13"/>
      <c r="X67" s="13"/>
      <c r="Y67" s="13"/>
      <c r="Z67" s="20"/>
      <c r="AA67" s="20"/>
      <c r="AB67" s="20"/>
      <c r="AC67" s="13"/>
      <c r="AD67" s="13"/>
      <c r="AE67" s="13"/>
      <c r="AF67" s="13"/>
      <c r="AG67" s="20"/>
      <c r="AH67" s="20"/>
      <c r="AI67" s="13"/>
      <c r="AJ67" s="20"/>
      <c r="AK67" s="13"/>
      <c r="AL67" s="13"/>
      <c r="AM67" s="16"/>
      <c r="AN67" s="16"/>
      <c r="AO67" s="13"/>
      <c r="AP67" s="20"/>
      <c r="AQ67" s="13"/>
      <c r="AR67" s="13"/>
      <c r="AS67" s="13"/>
      <c r="AT67" s="13"/>
      <c r="AU67" s="13"/>
      <c r="AV67" s="13"/>
      <c r="AW67" s="13"/>
      <c r="AX67" s="13"/>
      <c r="AY67" s="13"/>
      <c r="AZ67" s="20"/>
      <c r="BA67" s="20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26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</row>
    <row r="68">
      <c r="A68" s="13"/>
      <c r="B68" s="13"/>
      <c r="C68" s="25"/>
      <c r="D68" s="20"/>
      <c r="E68" s="13"/>
      <c r="F68" s="13"/>
      <c r="G68" s="13"/>
      <c r="H68" s="13"/>
      <c r="I68" s="13"/>
      <c r="J68" s="13"/>
      <c r="K68" s="13"/>
      <c r="L68" s="16"/>
      <c r="M68" s="13"/>
      <c r="N68" s="13"/>
      <c r="O68" s="25"/>
      <c r="P68" s="13"/>
      <c r="Q68" s="25"/>
      <c r="R68" s="25"/>
      <c r="S68" s="25"/>
      <c r="T68" s="13"/>
      <c r="U68" s="13"/>
      <c r="V68" s="25"/>
      <c r="W68" s="13"/>
      <c r="X68" s="13"/>
      <c r="Y68" s="13"/>
      <c r="Z68" s="20"/>
      <c r="AA68" s="20"/>
      <c r="AB68" s="20"/>
      <c r="AC68" s="13"/>
      <c r="AD68" s="13"/>
      <c r="AE68" s="13"/>
      <c r="AF68" s="13"/>
      <c r="AG68" s="20"/>
      <c r="AH68" s="20"/>
      <c r="AI68" s="13"/>
      <c r="AJ68" s="20"/>
      <c r="AK68" s="13"/>
      <c r="AL68" s="13"/>
      <c r="AM68" s="16"/>
      <c r="AN68" s="16"/>
      <c r="AO68" s="13"/>
      <c r="AP68" s="20"/>
      <c r="AQ68" s="13"/>
      <c r="AR68" s="13"/>
      <c r="AS68" s="13"/>
      <c r="AT68" s="13"/>
      <c r="AU68" s="13"/>
      <c r="AV68" s="13"/>
      <c r="AW68" s="13"/>
      <c r="AX68" s="13"/>
      <c r="AY68" s="13"/>
      <c r="AZ68" s="20"/>
      <c r="BA68" s="20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26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</row>
    <row r="69">
      <c r="A69" s="13"/>
      <c r="B69" s="13"/>
      <c r="C69" s="25"/>
      <c r="D69" s="20"/>
      <c r="E69" s="13"/>
      <c r="F69" s="13"/>
      <c r="G69" s="13"/>
      <c r="H69" s="13"/>
      <c r="I69" s="13"/>
      <c r="J69" s="13"/>
      <c r="K69" s="13"/>
      <c r="L69" s="16"/>
      <c r="M69" s="13"/>
      <c r="N69" s="13"/>
      <c r="O69" s="25"/>
      <c r="P69" s="13"/>
      <c r="Q69" s="25"/>
      <c r="R69" s="25"/>
      <c r="S69" s="25"/>
      <c r="T69" s="13"/>
      <c r="U69" s="13"/>
      <c r="V69" s="25"/>
      <c r="W69" s="13"/>
      <c r="X69" s="13"/>
      <c r="Y69" s="13"/>
      <c r="Z69" s="20"/>
      <c r="AA69" s="20"/>
      <c r="AB69" s="20"/>
      <c r="AC69" s="13"/>
      <c r="AD69" s="13"/>
      <c r="AE69" s="13"/>
      <c r="AF69" s="13"/>
      <c r="AG69" s="20"/>
      <c r="AH69" s="20"/>
      <c r="AI69" s="13"/>
      <c r="AJ69" s="20"/>
      <c r="AK69" s="13"/>
      <c r="AL69" s="13"/>
      <c r="AM69" s="16"/>
      <c r="AN69" s="16"/>
      <c r="AO69" s="13"/>
      <c r="AP69" s="20"/>
      <c r="AQ69" s="13"/>
      <c r="AR69" s="13"/>
      <c r="AS69" s="13"/>
      <c r="AT69" s="13"/>
      <c r="AU69" s="13"/>
      <c r="AV69" s="13"/>
      <c r="AW69" s="13"/>
      <c r="AX69" s="13"/>
      <c r="AY69" s="13"/>
      <c r="AZ69" s="20"/>
      <c r="BA69" s="20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26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</row>
    <row r="70">
      <c r="A70" s="13"/>
      <c r="B70" s="13"/>
      <c r="C70" s="25"/>
      <c r="D70" s="20"/>
      <c r="E70" s="13"/>
      <c r="F70" s="13"/>
      <c r="G70" s="13"/>
      <c r="H70" s="13"/>
      <c r="I70" s="13"/>
      <c r="J70" s="13"/>
      <c r="K70" s="13"/>
      <c r="L70" s="16"/>
      <c r="M70" s="13"/>
      <c r="N70" s="13"/>
      <c r="O70" s="25"/>
      <c r="P70" s="13"/>
      <c r="Q70" s="25"/>
      <c r="R70" s="25"/>
      <c r="S70" s="25"/>
      <c r="T70" s="13"/>
      <c r="U70" s="13"/>
      <c r="V70" s="25"/>
      <c r="W70" s="13"/>
      <c r="X70" s="13"/>
      <c r="Y70" s="13"/>
      <c r="Z70" s="20"/>
      <c r="AA70" s="20"/>
      <c r="AB70" s="20"/>
      <c r="AC70" s="13"/>
      <c r="AD70" s="13"/>
      <c r="AE70" s="13"/>
      <c r="AF70" s="13"/>
      <c r="AG70" s="20"/>
      <c r="AH70" s="20"/>
      <c r="AI70" s="13"/>
      <c r="AJ70" s="20"/>
      <c r="AK70" s="13"/>
      <c r="AL70" s="13"/>
      <c r="AM70" s="16"/>
      <c r="AN70" s="16"/>
      <c r="AO70" s="13"/>
      <c r="AP70" s="20"/>
      <c r="AQ70" s="13"/>
      <c r="AR70" s="13"/>
      <c r="AS70" s="13"/>
      <c r="AT70" s="13"/>
      <c r="AU70" s="13"/>
      <c r="AV70" s="13"/>
      <c r="AW70" s="13"/>
      <c r="AX70" s="13"/>
      <c r="AY70" s="13"/>
      <c r="AZ70" s="20"/>
      <c r="BA70" s="20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26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</row>
    <row r="71">
      <c r="A71" s="13"/>
      <c r="B71" s="13"/>
      <c r="C71" s="25"/>
      <c r="D71" s="20"/>
      <c r="E71" s="13"/>
      <c r="F71" s="13"/>
      <c r="G71" s="13"/>
      <c r="H71" s="13"/>
      <c r="I71" s="13"/>
      <c r="J71" s="13"/>
      <c r="K71" s="13"/>
      <c r="L71" s="16"/>
      <c r="M71" s="13"/>
      <c r="N71" s="13"/>
      <c r="O71" s="25"/>
      <c r="P71" s="13"/>
      <c r="Q71" s="25"/>
      <c r="R71" s="25"/>
      <c r="S71" s="25"/>
      <c r="T71" s="13"/>
      <c r="U71" s="13"/>
      <c r="V71" s="25"/>
      <c r="W71" s="13"/>
      <c r="X71" s="13"/>
      <c r="Y71" s="13"/>
      <c r="Z71" s="20"/>
      <c r="AA71" s="20"/>
      <c r="AB71" s="20"/>
      <c r="AC71" s="13"/>
      <c r="AD71" s="13"/>
      <c r="AE71" s="13"/>
      <c r="AF71" s="13"/>
      <c r="AG71" s="20"/>
      <c r="AH71" s="20"/>
      <c r="AI71" s="13"/>
      <c r="AJ71" s="20"/>
      <c r="AK71" s="13"/>
      <c r="AL71" s="13"/>
      <c r="AM71" s="16"/>
      <c r="AN71" s="16"/>
      <c r="AO71" s="13"/>
      <c r="AP71" s="20"/>
      <c r="AQ71" s="13"/>
      <c r="AR71" s="13"/>
      <c r="AS71" s="13"/>
      <c r="AT71" s="13"/>
      <c r="AU71" s="13"/>
      <c r="AV71" s="13"/>
      <c r="AW71" s="13"/>
      <c r="AX71" s="13"/>
      <c r="AY71" s="13"/>
      <c r="AZ71" s="20"/>
      <c r="BA71" s="20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26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</row>
    <row r="72">
      <c r="A72" s="13"/>
      <c r="B72" s="13"/>
      <c r="C72" s="25"/>
      <c r="D72" s="20"/>
      <c r="E72" s="13"/>
      <c r="F72" s="13"/>
      <c r="G72" s="13"/>
      <c r="H72" s="13"/>
      <c r="I72" s="13"/>
      <c r="J72" s="13"/>
      <c r="K72" s="13"/>
      <c r="L72" s="16"/>
      <c r="M72" s="13"/>
      <c r="N72" s="13"/>
      <c r="O72" s="25"/>
      <c r="P72" s="13"/>
      <c r="Q72" s="25"/>
      <c r="R72" s="25"/>
      <c r="S72" s="25"/>
      <c r="T72" s="13"/>
      <c r="U72" s="13"/>
      <c r="V72" s="25"/>
      <c r="W72" s="13"/>
      <c r="X72" s="13"/>
      <c r="Y72" s="13"/>
      <c r="Z72" s="20"/>
      <c r="AA72" s="20"/>
      <c r="AB72" s="20"/>
      <c r="AC72" s="13"/>
      <c r="AD72" s="13"/>
      <c r="AE72" s="13"/>
      <c r="AF72" s="13"/>
      <c r="AG72" s="20"/>
      <c r="AH72" s="20"/>
      <c r="AI72" s="13"/>
      <c r="AJ72" s="20"/>
      <c r="AK72" s="13"/>
      <c r="AL72" s="13"/>
      <c r="AM72" s="16"/>
      <c r="AN72" s="16"/>
      <c r="AO72" s="13"/>
      <c r="AP72" s="20"/>
      <c r="AQ72" s="13"/>
      <c r="AR72" s="13"/>
      <c r="AS72" s="13"/>
      <c r="AT72" s="13"/>
      <c r="AU72" s="13"/>
      <c r="AV72" s="13"/>
      <c r="AW72" s="13"/>
      <c r="AX72" s="13"/>
      <c r="AY72" s="13"/>
      <c r="AZ72" s="20"/>
      <c r="BA72" s="20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26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</row>
    <row r="73">
      <c r="A73" s="13"/>
      <c r="B73" s="13"/>
      <c r="C73" s="25"/>
      <c r="D73" s="20"/>
      <c r="E73" s="13"/>
      <c r="F73" s="13"/>
      <c r="G73" s="13"/>
      <c r="H73" s="13"/>
      <c r="I73" s="13"/>
      <c r="J73" s="13"/>
      <c r="K73" s="13"/>
      <c r="L73" s="16"/>
      <c r="M73" s="13"/>
      <c r="N73" s="13"/>
      <c r="O73" s="25"/>
      <c r="P73" s="13"/>
      <c r="Q73" s="25"/>
      <c r="R73" s="25"/>
      <c r="S73" s="25"/>
      <c r="T73" s="13"/>
      <c r="U73" s="13"/>
      <c r="V73" s="25"/>
      <c r="W73" s="13"/>
      <c r="X73" s="13"/>
      <c r="Y73" s="13"/>
      <c r="Z73" s="20"/>
      <c r="AA73" s="20"/>
      <c r="AB73" s="20"/>
      <c r="AC73" s="13"/>
      <c r="AD73" s="13"/>
      <c r="AE73" s="13"/>
      <c r="AF73" s="13"/>
      <c r="AG73" s="20"/>
      <c r="AH73" s="20"/>
      <c r="AI73" s="13"/>
      <c r="AJ73" s="20"/>
      <c r="AK73" s="13"/>
      <c r="AL73" s="13"/>
      <c r="AM73" s="16"/>
      <c r="AN73" s="16"/>
      <c r="AO73" s="13"/>
      <c r="AP73" s="20"/>
      <c r="AQ73" s="13"/>
      <c r="AR73" s="13"/>
      <c r="AS73" s="13"/>
      <c r="AT73" s="13"/>
      <c r="AU73" s="13"/>
      <c r="AV73" s="13"/>
      <c r="AW73" s="13"/>
      <c r="AX73" s="13"/>
      <c r="AY73" s="13"/>
      <c r="AZ73" s="20"/>
      <c r="BA73" s="20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26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</row>
    <row r="74">
      <c r="A74" s="13"/>
      <c r="B74" s="13"/>
      <c r="C74" s="25"/>
      <c r="D74" s="20"/>
      <c r="E74" s="13"/>
      <c r="F74" s="13"/>
      <c r="G74" s="13"/>
      <c r="H74" s="13"/>
      <c r="I74" s="13"/>
      <c r="J74" s="13"/>
      <c r="K74" s="13"/>
      <c r="L74" s="16"/>
      <c r="M74" s="13"/>
      <c r="N74" s="13"/>
      <c r="O74" s="25"/>
      <c r="P74" s="13"/>
      <c r="Q74" s="25"/>
      <c r="R74" s="25"/>
      <c r="S74" s="25"/>
      <c r="T74" s="13"/>
      <c r="U74" s="13"/>
      <c r="V74" s="25"/>
      <c r="W74" s="13"/>
      <c r="X74" s="13"/>
      <c r="Y74" s="13"/>
      <c r="Z74" s="20"/>
      <c r="AA74" s="20"/>
      <c r="AB74" s="20"/>
      <c r="AC74" s="13"/>
      <c r="AD74" s="13"/>
      <c r="AE74" s="13"/>
      <c r="AF74" s="13"/>
      <c r="AG74" s="20"/>
      <c r="AH74" s="20"/>
      <c r="AI74" s="13"/>
      <c r="AJ74" s="20"/>
      <c r="AK74" s="13"/>
      <c r="AL74" s="13"/>
      <c r="AM74" s="16"/>
      <c r="AN74" s="16"/>
      <c r="AO74" s="13"/>
      <c r="AP74" s="20"/>
      <c r="AQ74" s="13"/>
      <c r="AR74" s="13"/>
      <c r="AS74" s="13"/>
      <c r="AT74" s="13"/>
      <c r="AU74" s="13"/>
      <c r="AV74" s="13"/>
      <c r="AW74" s="13"/>
      <c r="AX74" s="13"/>
      <c r="AY74" s="13"/>
      <c r="AZ74" s="20"/>
      <c r="BA74" s="20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26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</row>
    <row r="75">
      <c r="A75" s="13"/>
      <c r="B75" s="13"/>
      <c r="C75" s="25"/>
      <c r="D75" s="20"/>
      <c r="E75" s="13"/>
      <c r="F75" s="13"/>
      <c r="G75" s="13"/>
      <c r="H75" s="13"/>
      <c r="I75" s="13"/>
      <c r="J75" s="13"/>
      <c r="K75" s="13"/>
      <c r="L75" s="16"/>
      <c r="M75" s="13"/>
      <c r="N75" s="13"/>
      <c r="O75" s="25"/>
      <c r="P75" s="13"/>
      <c r="Q75" s="25"/>
      <c r="R75" s="25"/>
      <c r="S75" s="25"/>
      <c r="T75" s="13"/>
      <c r="U75" s="13"/>
      <c r="V75" s="25"/>
      <c r="W75" s="13"/>
      <c r="X75" s="13"/>
      <c r="Y75" s="13"/>
      <c r="Z75" s="20"/>
      <c r="AA75" s="20"/>
      <c r="AB75" s="20"/>
      <c r="AC75" s="13"/>
      <c r="AD75" s="13"/>
      <c r="AE75" s="13"/>
      <c r="AF75" s="13"/>
      <c r="AG75" s="20"/>
      <c r="AH75" s="20"/>
      <c r="AI75" s="13"/>
      <c r="AJ75" s="20"/>
      <c r="AK75" s="13"/>
      <c r="AL75" s="13"/>
      <c r="AM75" s="16"/>
      <c r="AN75" s="16"/>
      <c r="AO75" s="13"/>
      <c r="AP75" s="20"/>
      <c r="AQ75" s="13"/>
      <c r="AR75" s="13"/>
      <c r="AS75" s="13"/>
      <c r="AT75" s="13"/>
      <c r="AU75" s="13"/>
      <c r="AV75" s="13"/>
      <c r="AW75" s="13"/>
      <c r="AX75" s="13"/>
      <c r="AY75" s="13"/>
      <c r="AZ75" s="20"/>
      <c r="BA75" s="20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26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</row>
    <row r="76">
      <c r="A76" s="13"/>
      <c r="B76" s="13"/>
      <c r="C76" s="25"/>
      <c r="D76" s="20"/>
      <c r="E76" s="13"/>
      <c r="F76" s="13"/>
      <c r="G76" s="13"/>
      <c r="H76" s="13"/>
      <c r="I76" s="13"/>
      <c r="J76" s="13"/>
      <c r="K76" s="13"/>
      <c r="L76" s="16"/>
      <c r="M76" s="13"/>
      <c r="N76" s="13"/>
      <c r="O76" s="25"/>
      <c r="P76" s="13"/>
      <c r="Q76" s="25"/>
      <c r="R76" s="25"/>
      <c r="S76" s="25"/>
      <c r="T76" s="13"/>
      <c r="U76" s="13"/>
      <c r="V76" s="25"/>
      <c r="W76" s="13"/>
      <c r="X76" s="13"/>
      <c r="Y76" s="13"/>
      <c r="Z76" s="20"/>
      <c r="AA76" s="20"/>
      <c r="AB76" s="20"/>
      <c r="AC76" s="13"/>
      <c r="AD76" s="13"/>
      <c r="AE76" s="13"/>
      <c r="AF76" s="13"/>
      <c r="AG76" s="20"/>
      <c r="AH76" s="20"/>
      <c r="AI76" s="13"/>
      <c r="AJ76" s="20"/>
      <c r="AK76" s="13"/>
      <c r="AL76" s="13"/>
      <c r="AM76" s="16"/>
      <c r="AN76" s="16"/>
      <c r="AO76" s="13"/>
      <c r="AP76" s="20"/>
      <c r="AQ76" s="13"/>
      <c r="AR76" s="13"/>
      <c r="AS76" s="13"/>
      <c r="AT76" s="13"/>
      <c r="AU76" s="13"/>
      <c r="AV76" s="13"/>
      <c r="AW76" s="13"/>
      <c r="AX76" s="13"/>
      <c r="AY76" s="13"/>
      <c r="AZ76" s="20"/>
      <c r="BA76" s="20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26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</row>
    <row r="77">
      <c r="A77" s="13"/>
      <c r="B77" s="13"/>
      <c r="C77" s="25"/>
      <c r="D77" s="20"/>
      <c r="E77" s="13"/>
      <c r="F77" s="13"/>
      <c r="G77" s="13"/>
      <c r="H77" s="13"/>
      <c r="I77" s="13"/>
      <c r="J77" s="13"/>
      <c r="K77" s="13"/>
      <c r="L77" s="16"/>
      <c r="M77" s="13"/>
      <c r="N77" s="13"/>
      <c r="O77" s="25"/>
      <c r="P77" s="13"/>
      <c r="Q77" s="25"/>
      <c r="R77" s="25"/>
      <c r="S77" s="25"/>
      <c r="T77" s="13"/>
      <c r="U77" s="13"/>
      <c r="V77" s="25"/>
      <c r="W77" s="13"/>
      <c r="X77" s="13"/>
      <c r="Y77" s="13"/>
      <c r="Z77" s="20"/>
      <c r="AA77" s="20"/>
      <c r="AB77" s="20"/>
      <c r="AC77" s="13"/>
      <c r="AD77" s="13"/>
      <c r="AE77" s="13"/>
      <c r="AF77" s="13"/>
      <c r="AG77" s="20"/>
      <c r="AH77" s="20"/>
      <c r="AI77" s="13"/>
      <c r="AJ77" s="20"/>
      <c r="AK77" s="13"/>
      <c r="AL77" s="13"/>
      <c r="AM77" s="16"/>
      <c r="AN77" s="16"/>
      <c r="AO77" s="13"/>
      <c r="AP77" s="20"/>
      <c r="AQ77" s="13"/>
      <c r="AR77" s="13"/>
      <c r="AS77" s="13"/>
      <c r="AT77" s="13"/>
      <c r="AU77" s="13"/>
      <c r="AV77" s="13"/>
      <c r="AW77" s="13"/>
      <c r="AX77" s="13"/>
      <c r="AY77" s="13"/>
      <c r="AZ77" s="20"/>
      <c r="BA77" s="20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26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</row>
    <row r="78">
      <c r="A78" s="13"/>
      <c r="B78" s="13"/>
      <c r="C78" s="25"/>
      <c r="D78" s="20"/>
      <c r="E78" s="13"/>
      <c r="F78" s="13"/>
      <c r="G78" s="13"/>
      <c r="H78" s="13"/>
      <c r="I78" s="13"/>
      <c r="J78" s="13"/>
      <c r="K78" s="13"/>
      <c r="L78" s="16"/>
      <c r="M78" s="13"/>
      <c r="N78" s="13"/>
      <c r="O78" s="25"/>
      <c r="P78" s="13"/>
      <c r="Q78" s="25"/>
      <c r="R78" s="25"/>
      <c r="S78" s="25"/>
      <c r="T78" s="13"/>
      <c r="U78" s="13"/>
      <c r="V78" s="25"/>
      <c r="W78" s="13"/>
      <c r="X78" s="13"/>
      <c r="Y78" s="13"/>
      <c r="Z78" s="20"/>
      <c r="AA78" s="20"/>
      <c r="AB78" s="20"/>
      <c r="AC78" s="13"/>
      <c r="AD78" s="13"/>
      <c r="AE78" s="13"/>
      <c r="AF78" s="13"/>
      <c r="AG78" s="20"/>
      <c r="AH78" s="20"/>
      <c r="AI78" s="13"/>
      <c r="AJ78" s="20"/>
      <c r="AK78" s="13"/>
      <c r="AL78" s="13"/>
      <c r="AM78" s="16"/>
      <c r="AN78" s="16"/>
      <c r="AO78" s="13"/>
      <c r="AP78" s="20"/>
      <c r="AQ78" s="13"/>
      <c r="AR78" s="13"/>
      <c r="AS78" s="13"/>
      <c r="AT78" s="13"/>
      <c r="AU78" s="13"/>
      <c r="AV78" s="13"/>
      <c r="AW78" s="13"/>
      <c r="AX78" s="13"/>
      <c r="AY78" s="13"/>
      <c r="AZ78" s="20"/>
      <c r="BA78" s="20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26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</row>
    <row r="79">
      <c r="A79" s="13"/>
      <c r="B79" s="13"/>
      <c r="C79" s="25"/>
      <c r="D79" s="20"/>
      <c r="E79" s="13"/>
      <c r="F79" s="13"/>
      <c r="G79" s="13"/>
      <c r="H79" s="13"/>
      <c r="I79" s="13"/>
      <c r="J79" s="13"/>
      <c r="K79" s="13"/>
      <c r="L79" s="16"/>
      <c r="M79" s="13"/>
      <c r="N79" s="13"/>
      <c r="O79" s="25"/>
      <c r="P79" s="13"/>
      <c r="Q79" s="25"/>
      <c r="R79" s="25"/>
      <c r="S79" s="25"/>
      <c r="T79" s="13"/>
      <c r="U79" s="13"/>
      <c r="V79" s="25"/>
      <c r="W79" s="13"/>
      <c r="X79" s="13"/>
      <c r="Y79" s="13"/>
      <c r="Z79" s="20"/>
      <c r="AA79" s="20"/>
      <c r="AB79" s="20"/>
      <c r="AC79" s="13"/>
      <c r="AD79" s="13"/>
      <c r="AE79" s="13"/>
      <c r="AF79" s="13"/>
      <c r="AG79" s="20"/>
      <c r="AH79" s="20"/>
      <c r="AI79" s="13"/>
      <c r="AJ79" s="20"/>
      <c r="AK79" s="13"/>
      <c r="AL79" s="13"/>
      <c r="AM79" s="16"/>
      <c r="AN79" s="16"/>
      <c r="AO79" s="13"/>
      <c r="AP79" s="20"/>
      <c r="AQ79" s="13"/>
      <c r="AR79" s="13"/>
      <c r="AS79" s="13"/>
      <c r="AT79" s="13"/>
      <c r="AU79" s="13"/>
      <c r="AV79" s="13"/>
      <c r="AW79" s="13"/>
      <c r="AX79" s="13"/>
      <c r="AY79" s="13"/>
      <c r="AZ79" s="20"/>
      <c r="BA79" s="20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26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</row>
    <row r="80">
      <c r="A80" s="13"/>
      <c r="B80" s="13"/>
      <c r="C80" s="25"/>
      <c r="D80" s="20"/>
      <c r="E80" s="13"/>
      <c r="F80" s="13"/>
      <c r="G80" s="13"/>
      <c r="H80" s="13"/>
      <c r="I80" s="13"/>
      <c r="J80" s="13"/>
      <c r="K80" s="13"/>
      <c r="L80" s="16"/>
      <c r="M80" s="13"/>
      <c r="N80" s="13"/>
      <c r="O80" s="25"/>
      <c r="P80" s="13"/>
      <c r="Q80" s="25"/>
      <c r="R80" s="25"/>
      <c r="S80" s="25"/>
      <c r="T80" s="13"/>
      <c r="U80" s="13"/>
      <c r="V80" s="25"/>
      <c r="W80" s="13"/>
      <c r="X80" s="13"/>
      <c r="Y80" s="13"/>
      <c r="Z80" s="20"/>
      <c r="AA80" s="20"/>
      <c r="AB80" s="20"/>
      <c r="AC80" s="13"/>
      <c r="AD80" s="13"/>
      <c r="AE80" s="13"/>
      <c r="AF80" s="13"/>
      <c r="AG80" s="20"/>
      <c r="AH80" s="20"/>
      <c r="AI80" s="13"/>
      <c r="AJ80" s="20"/>
      <c r="AK80" s="13"/>
      <c r="AL80" s="13"/>
      <c r="AM80" s="16"/>
      <c r="AN80" s="16"/>
      <c r="AO80" s="13"/>
      <c r="AP80" s="20"/>
      <c r="AQ80" s="13"/>
      <c r="AR80" s="13"/>
      <c r="AS80" s="13"/>
      <c r="AT80" s="13"/>
      <c r="AU80" s="13"/>
      <c r="AV80" s="13"/>
      <c r="AW80" s="13"/>
      <c r="AX80" s="13"/>
      <c r="AY80" s="13"/>
      <c r="AZ80" s="20"/>
      <c r="BA80" s="20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26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</row>
    <row r="81">
      <c r="A81" s="13"/>
      <c r="B81" s="13"/>
      <c r="C81" s="25"/>
      <c r="D81" s="20"/>
      <c r="E81" s="13"/>
      <c r="F81" s="13"/>
      <c r="G81" s="13"/>
      <c r="H81" s="13"/>
      <c r="I81" s="13"/>
      <c r="J81" s="13"/>
      <c r="K81" s="13"/>
      <c r="L81" s="16"/>
      <c r="M81" s="13"/>
      <c r="N81" s="13"/>
      <c r="O81" s="25"/>
      <c r="P81" s="13"/>
      <c r="Q81" s="25"/>
      <c r="R81" s="25"/>
      <c r="S81" s="25"/>
      <c r="T81" s="13"/>
      <c r="U81" s="13"/>
      <c r="V81" s="25"/>
      <c r="W81" s="13"/>
      <c r="X81" s="13"/>
      <c r="Y81" s="13"/>
      <c r="Z81" s="20"/>
      <c r="AA81" s="20"/>
      <c r="AB81" s="20"/>
      <c r="AC81" s="13"/>
      <c r="AD81" s="13"/>
      <c r="AE81" s="13"/>
      <c r="AF81" s="13"/>
      <c r="AG81" s="20"/>
      <c r="AH81" s="20"/>
      <c r="AI81" s="13"/>
      <c r="AJ81" s="20"/>
      <c r="AK81" s="13"/>
      <c r="AL81" s="13"/>
      <c r="AM81" s="16"/>
      <c r="AN81" s="16"/>
      <c r="AO81" s="13"/>
      <c r="AP81" s="20"/>
      <c r="AQ81" s="13"/>
      <c r="AR81" s="13"/>
      <c r="AS81" s="13"/>
      <c r="AT81" s="13"/>
      <c r="AU81" s="13"/>
      <c r="AV81" s="13"/>
      <c r="AW81" s="13"/>
      <c r="AX81" s="13"/>
      <c r="AY81" s="13"/>
      <c r="AZ81" s="20"/>
      <c r="BA81" s="20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26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</row>
    <row r="82">
      <c r="A82" s="13"/>
      <c r="B82" s="13"/>
      <c r="C82" s="25"/>
      <c r="D82" s="20"/>
      <c r="E82" s="13"/>
      <c r="F82" s="13"/>
      <c r="G82" s="13"/>
      <c r="H82" s="13"/>
      <c r="I82" s="13"/>
      <c r="J82" s="13"/>
      <c r="K82" s="13"/>
      <c r="L82" s="16"/>
      <c r="M82" s="13"/>
      <c r="N82" s="13"/>
      <c r="O82" s="25"/>
      <c r="P82" s="13"/>
      <c r="Q82" s="25"/>
      <c r="R82" s="25"/>
      <c r="S82" s="25"/>
      <c r="T82" s="13"/>
      <c r="U82" s="13"/>
      <c r="V82" s="25"/>
      <c r="W82" s="13"/>
      <c r="X82" s="13"/>
      <c r="Y82" s="13"/>
      <c r="Z82" s="20"/>
      <c r="AA82" s="20"/>
      <c r="AB82" s="20"/>
      <c r="AC82" s="13"/>
      <c r="AD82" s="13"/>
      <c r="AE82" s="13"/>
      <c r="AF82" s="13"/>
      <c r="AG82" s="20"/>
      <c r="AH82" s="20"/>
      <c r="AI82" s="13"/>
      <c r="AJ82" s="20"/>
      <c r="AK82" s="13"/>
      <c r="AL82" s="13"/>
      <c r="AM82" s="16"/>
      <c r="AN82" s="16"/>
      <c r="AO82" s="13"/>
      <c r="AP82" s="20"/>
      <c r="AQ82" s="13"/>
      <c r="AR82" s="13"/>
      <c r="AS82" s="13"/>
      <c r="AT82" s="13"/>
      <c r="AU82" s="13"/>
      <c r="AV82" s="13"/>
      <c r="AW82" s="13"/>
      <c r="AX82" s="13"/>
      <c r="AY82" s="13"/>
      <c r="AZ82" s="20"/>
      <c r="BA82" s="20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26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</row>
    <row r="83">
      <c r="A83" s="13"/>
      <c r="B83" s="13"/>
      <c r="C83" s="25"/>
      <c r="D83" s="20"/>
      <c r="E83" s="13"/>
      <c r="F83" s="13"/>
      <c r="G83" s="13"/>
      <c r="H83" s="13"/>
      <c r="I83" s="13"/>
      <c r="J83" s="13"/>
      <c r="K83" s="13"/>
      <c r="L83" s="16"/>
      <c r="M83" s="13"/>
      <c r="N83" s="13"/>
      <c r="O83" s="25"/>
      <c r="P83" s="13"/>
      <c r="Q83" s="25"/>
      <c r="R83" s="25"/>
      <c r="S83" s="25"/>
      <c r="T83" s="13"/>
      <c r="U83" s="13"/>
      <c r="V83" s="25"/>
      <c r="W83" s="13"/>
      <c r="X83" s="13"/>
      <c r="Y83" s="13"/>
      <c r="Z83" s="20"/>
      <c r="AA83" s="20"/>
      <c r="AB83" s="20"/>
      <c r="AC83" s="13"/>
      <c r="AD83" s="13"/>
      <c r="AE83" s="13"/>
      <c r="AF83" s="13"/>
      <c r="AG83" s="20"/>
      <c r="AH83" s="20"/>
      <c r="AI83" s="13"/>
      <c r="AJ83" s="20"/>
      <c r="AK83" s="13"/>
      <c r="AL83" s="13"/>
      <c r="AM83" s="16"/>
      <c r="AN83" s="16"/>
      <c r="AO83" s="13"/>
      <c r="AP83" s="20"/>
      <c r="AQ83" s="13"/>
      <c r="AR83" s="13"/>
      <c r="AS83" s="13"/>
      <c r="AT83" s="13"/>
      <c r="AU83" s="13"/>
      <c r="AV83" s="13"/>
      <c r="AW83" s="13"/>
      <c r="AX83" s="13"/>
      <c r="AY83" s="13"/>
      <c r="AZ83" s="20"/>
      <c r="BA83" s="20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26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</row>
    <row r="84">
      <c r="A84" s="13"/>
      <c r="B84" s="13"/>
      <c r="C84" s="25"/>
      <c r="D84" s="20"/>
      <c r="E84" s="13"/>
      <c r="F84" s="13"/>
      <c r="G84" s="13"/>
      <c r="H84" s="13"/>
      <c r="I84" s="13"/>
      <c r="J84" s="13"/>
      <c r="K84" s="13"/>
      <c r="L84" s="16"/>
      <c r="M84" s="13"/>
      <c r="N84" s="13"/>
      <c r="O84" s="25"/>
      <c r="P84" s="13"/>
      <c r="Q84" s="25"/>
      <c r="R84" s="25"/>
      <c r="S84" s="25"/>
      <c r="T84" s="13"/>
      <c r="U84" s="13"/>
      <c r="V84" s="25"/>
      <c r="W84" s="13"/>
      <c r="X84" s="13"/>
      <c r="Y84" s="13"/>
      <c r="Z84" s="20"/>
      <c r="AA84" s="20"/>
      <c r="AB84" s="20"/>
      <c r="AC84" s="13"/>
      <c r="AD84" s="13"/>
      <c r="AE84" s="13"/>
      <c r="AF84" s="13"/>
      <c r="AG84" s="20"/>
      <c r="AH84" s="20"/>
      <c r="AI84" s="13"/>
      <c r="AJ84" s="20"/>
      <c r="AK84" s="13"/>
      <c r="AL84" s="13"/>
      <c r="AM84" s="16"/>
      <c r="AN84" s="16"/>
      <c r="AO84" s="13"/>
      <c r="AP84" s="20"/>
      <c r="AQ84" s="13"/>
      <c r="AR84" s="13"/>
      <c r="AS84" s="13"/>
      <c r="AT84" s="13"/>
      <c r="AU84" s="13"/>
      <c r="AV84" s="13"/>
      <c r="AW84" s="13"/>
      <c r="AX84" s="13"/>
      <c r="AY84" s="13"/>
      <c r="AZ84" s="20"/>
      <c r="BA84" s="20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26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</row>
  </sheetData>
  <hyperlinks>
    <hyperlink ref="V2" display="电动牙刷VC 选品利润测算表_EU V1.0欧洲五国" r:id="rId3"/>
    <hyperlink ref="V3" display="电动牙刷VC 选品利润测算表_EU V1.0欧洲五国" r:id="rId4"/>
    <hyperlink ref="V4" display="电动牙刷VC 选品利润测算表_EU V1.0欧洲五国" r:id="rId5"/>
    <hyperlink ref="V5" display="电动牙刷VC 选品利润测算表_EU V1.0欧洲五国" r:id="rId6"/>
    <hyperlink ref="V6" display="电动牙刷VC 选品利润测算表_EU V1.0欧洲五国" r:id="rId7"/>
    <hyperlink ref="V7" display="电动牙刷VC 选品利润测算表_EU V1.0欧洲五国" r:id="rId8"/>
    <hyperlink ref="V13" display="电动牙刷VC 选品利润测算表_EU V1.0欧洲五国" r:id="rId9"/>
    <hyperlink ref="V14" display="电动牙刷VC 选品利润测算表_EU V1.0欧洲五国" r:id="rId10"/>
    <hyperlink ref="V15" display="电动牙刷VC 选品利润测算表_EU V1.0欧洲五国" r:id="rId11"/>
    <hyperlink ref="V16" display="电动牙刷VC 选品利润测算表_EU V1.0欧洲五国" r:id="rId12"/>
    <hyperlink ref="V11" display="电动牙刷VC 选品利润测算表_EU V1.0欧洲五国" r:id="rId13"/>
    <hyperlink ref="V12" display="电动牙刷VC 选品利润测算表_EU V1.0欧洲五国" r:id="rId14"/>
    <hyperlink ref="O8" display="德国除螨仪标题和关键词库搭建" r:id="rId15"/>
    <hyperlink ref="R9" display="市调" r:id="rId16"/>
    <hyperlink ref="R10" display="市调" r:id="rId17"/>
    <hyperlink ref="R23" display="杆式吸尘器市调" r:id="rId18"/>
    <hyperlink ref="M43" display="智能电子口喷美国" r:id="rId19"/>
    <hyperlink ref="S2" display="电动牙刷德国ASIN 定投广告" r:id="rId20"/>
    <hyperlink ref="S5" display="电动牙刷德国ASIN 定投广告" r:id="rId21"/>
    <hyperlink ref="M8" display="德国除螨仪竞品分析" r:id="rId22"/>
    <hyperlink ref="M9" display="德国除螨仪竞品分析" r:id="rId23"/>
    <hyperlink ref="M10" display="德国除螨仪竞品分析" r:id="rId24"/>
    <hyperlink ref="M17" display="德国除螨仪竞品分析" r:id="rId25"/>
    <hyperlink ref="M19" display="德国除螨仪竞品分析" r:id="rId26"/>
    <hyperlink ref="M20" display="德国除螨仪竞品分析" r:id="rId27"/>
    <hyperlink ref="Q9" display="英国除螨仪 - 项目跟进表-阳亚运-20250325" r:id="rId28"/>
    <hyperlink ref="Q10" display="英国除螨仪 - 项目跟进表-阳亚运-20250325" r:id="rId29"/>
    <hyperlink ref="BX19" display="https://shimo.im/sheets/aBAYMYKEOah2rJAj/aj3k0" r:id="rId30"/>
    <hyperlink ref="BX20" display="https://shimo.im/sheets/aBAYMYKEOah2rJAj/aj3k0" r:id="rId31"/>
    <hyperlink ref="M23" display="杆式吸尘器竞品分析-84ASIN" r:id="rId32"/>
    <hyperlink ref="M24" display="杆式吸尘器竞品分析-84ASIN" r:id="rId33"/>
    <hyperlink ref="M25" display="杆式吸尘器竞品分析-84ASIN" r:id="rId34"/>
    <hyperlink ref="M36" display="市调" r:id="rId35"/>
    <hyperlink ref="M37" display="市调" r:id="rId36"/>
    <hyperlink ref="M38" display="市调" r:id="rId37"/>
    <hyperlink ref="M39" display="市调" r:id="rId38"/>
    <hyperlink ref="R36" display="市调" r:id="rId39"/>
    <hyperlink ref="R37" display="市调" r:id="rId40"/>
    <hyperlink ref="R38" display="市调" r:id="rId41"/>
    <hyperlink ref="R39" display="市调" r:id="rId42"/>
    <hyperlink ref="BX62" display="https://shimo.im/sheets/KlkKv6JnrEcZL7qd/vnhe5" r:id="rId43"/>
    <hyperlink ref="BX4" display="项目跟进表--20241016" r:id="rId44"/>
    <hyperlink ref="BX3" display="项目跟进表--20241016" r:id="rId45"/>
    <hyperlink ref="BY2" display="项目跟进表模板" r:id="rId46"/>
    <hyperlink ref="R8" display="除螨仪市调" r:id="rId47"/>
    <hyperlink ref="BX17" display="https://shimo.im/sheets/913JMP2Z91cJPrAE/YTZoI" r:id="rId48"/>
    <hyperlink ref="BX18" display="https://shimo.im/sheets/913JMP2Z91cJPrAE/YTZoI" r:id="rId49"/>
    <hyperlink ref="M31" display="空气净化器 竞品分析" r:id="rId50"/>
    <hyperlink ref="M26" display="空气净化器 竞品分析" r:id="rId51"/>
    <hyperlink ref="M27" display="空气净化器 竞品分析" r:id="rId52"/>
    <hyperlink ref="M28" display="空气净化器 竞品分析" r:id="rId53"/>
    <hyperlink ref="M29" display="空气净化器 竞品分析" r:id="rId54"/>
    <hyperlink ref="M30" display="空气净化器 竞品分析" r:id="rId55"/>
    <hyperlink ref="R43" display="US口喷市调 Tik Tok所有数据ALL" r:id="rId56"/>
    <hyperlink ref="BV2" display="3.1关键词库高效搭建策略方法.pdf " r:id="rId57"/>
    <hyperlink ref="BV3" display="3.1关键词库高效搭建策略方法.pdf " r:id="rId58"/>
    <hyperlink ref="BV4" display="3.1关键词库高效搭建策略方法.pdf " r:id="rId59"/>
    <hyperlink ref="Q8" display="德国除螨仪 - 项目跟进表-阳亚运-20250325" r:id="rId60"/>
    <hyperlink ref="BX12" display="https://shimo.im/sheets/16q8xxLaLauGvdq7/AsI8C" r:id="rId61"/>
    <hyperlink ref="BX13" display="https://shimo.im/sheets/16q8xxLaLauGvdq7/AsI8C" r:id="rId62"/>
    <hyperlink ref="V36" display="https://shimo.im/sheets/U9q91J8IqMOucZiP/wVlCH" r:id="rId63"/>
    <hyperlink ref="V39" display="https://shimo.im/sheets/U9q91J8IqMOucZiP/wVlCH" r:id="rId64"/>
    <hyperlink ref="V41" display="https://shimo.im/sheets/U9q91J8IqMOucZiP/wVlCH" r:id="rId65"/>
    <hyperlink ref="V59" display="https://shimo.im/sheets/U9q91J8IqMOucZiP/wVlCH" r:id="rId66"/>
    <hyperlink ref="V24" display="https://shimo.im/sheets/U9q91J8IqMOucZiP/wVlCH" r:id="rId67"/>
    <hyperlink ref="V28" display="https://shimo.im/sheets/U9q91J8IqMOucZiP/wVlCH" r:id="rId68"/>
    <hyperlink ref="V29" display="https://shimo.im/sheets/U9q91J8IqMOucZiP/wVlCH" r:id="rId69"/>
    <hyperlink ref="V32" display="https://shimo.im/sheets/U9q91J8IqMOucZiP/wVlCH" r:id="rId70"/>
    <hyperlink ref="V58" display="https://shimo.im/sheets/U9q91J8IqMOucZiP/wVlCH" r:id="rId71"/>
    <hyperlink ref="V30" display="https://shimo.im/sheets/U9q91J8IqMOucZiP/wVlCH" r:id="rId72"/>
    <hyperlink ref="V44" display="https://shimo.im/sheets/U9q91J8IqMOucZiP/wVlCH" r:id="rId73"/>
    <hyperlink ref="V50" display="https://shimo.im/sheets/U9q91J8IqMOucZiP/wVlCH" r:id="rId74"/>
    <hyperlink ref="V23" display="https://shimo.im/sheets/U9q91J8IqMOucZiP/wVlCH" r:id="rId75"/>
    <hyperlink ref="V25" display="https://shimo.im/sheets/U9q91J8IqMOucZiP/wVlCH" r:id="rId76"/>
    <hyperlink ref="V26" display="https://shimo.im/sheets/U9q91J8IqMOucZiP/wVlCH" r:id="rId77"/>
    <hyperlink ref="V40" display="https://shimo.im/sheets/U9q91J8IqMOucZiP/wVlCH" r:id="rId78"/>
    <hyperlink ref="V47" display="https://shimo.im/sheets/U9q91J8IqMOucZiP/wVlCH" r:id="rId79"/>
    <hyperlink ref="V48" display="https://shimo.im/sheets/U9q91J8IqMOucZiP/wVlCH" r:id="rId80"/>
    <hyperlink ref="V49" display="https://shimo.im/sheets/U9q91J8IqMOucZiP/wVlCH" r:id="rId81"/>
    <hyperlink ref="V63" display="https://shimo.im/sheets/U9q91J8IqMOucZiP/wVlCH" r:id="rId82"/>
    <hyperlink ref="V33" display="https://shimo.im/sheets/U9q91J8IqMOucZiP/wVlCH" r:id="rId83"/>
    <hyperlink ref="V34" display="https://shimo.im/sheets/U9q91J8IqMOucZiP/wVlCH" r:id="rId84"/>
    <hyperlink ref="V37" display="https://shimo.im/sheets/U9q91J8IqMOucZiP/wVlCH" r:id="rId85"/>
    <hyperlink ref="V52" display="https://shimo.im/sheets/U9q91J8IqMOucZiP/wVlCH" r:id="rId86"/>
    <hyperlink ref="V61" display="https://shimo.im/sheets/U9q91J8IqMOucZiP/wVlCH" r:id="rId87"/>
    <hyperlink ref="V31" display="https://shimo.im/sheets/U9q91J8IqMOucZiP/wVlCH" r:id="rId88"/>
    <hyperlink ref="V38" display="https://shimo.im/sheets/U9q91J8IqMOucZiP/wVlCH" r:id="rId89"/>
    <hyperlink ref="V46" display="https://shimo.im/sheets/U9q91J8IqMOucZiP/wVlCH" r:id="rId90"/>
    <hyperlink ref="V45" display="https://shimo.im/sheets/U9q91J8IqMOucZiP/wVlCH" r:id="rId91"/>
    <hyperlink ref="V51" display="https://shimo.im/sheets/U9q91J8IqMOucZiP/wVlCH" r:id="rId92"/>
    <hyperlink ref="V53" display="https://shimo.im/sheets/U9q91J8IqMOucZiP/wVlCH" r:id="rId93"/>
    <hyperlink ref="V56" display="https://shimo.im/sheets/U9q91J8IqMOucZiP/wVlCH" r:id="rId94"/>
    <hyperlink ref="V64" display="https://shimo.im/sheets/U9q91J8IqMOucZiP/wVlCH" r:id="rId95"/>
    <hyperlink ref="V35" display="https://shimo.im/sheets/U9q91J8IqMOucZiP/wVlCH" r:id="rId96"/>
    <hyperlink ref="V42" display="https://shimo.im/sheets/U9q91J8IqMOucZiP/wVlCH" r:id="rId97"/>
    <hyperlink ref="V43" display="https://shimo.im/sheets/U9q91J8IqMOucZiP/wVlCH" r:id="rId98"/>
    <hyperlink ref="V55" display="https://shimo.im/sheets/U9q91J8IqMOucZiP/wVlCH" r:id="rId99"/>
    <hyperlink ref="V57" display="https://shimo.im/sheets/U9q91J8IqMOucZiP/wVlCH" r:id="rId100"/>
    <hyperlink ref="V62" display="https://shimo.im/sheets/U9q91J8IqMOucZiP/wVlCH" r:id="rId101"/>
    <hyperlink ref="V27" display="https://shimo.im/sheets/U9q91J8IqMOucZiP/wVlCH" r:id="rId102"/>
    <hyperlink ref="V54" display="https://shimo.im/sheets/U9q91J8IqMOucZiP/wVlCH" r:id="rId103"/>
    <hyperlink ref="V60" display="https://shimo.im/sheets/U9q91J8IqMOucZiP/wVlCH" r:id="rId104"/>
    <hyperlink ref="Q43" display="US 口喷市调 SIF所有数据oral spray" r:id="rId105"/>
    <hyperlink ref="O2" display="德国 电动牙刷关键词收集数据-德国标题2关键词库搭建" r:id="rId106"/>
    <hyperlink ref="O5" display="德国 电动牙刷关键词收集数据-德国标题2关键词库搭建" r:id="rId107"/>
    <hyperlink ref="O3" display="英国 电动牙刷关键词收集数据-德国标题2关键词库搭建" r:id="rId108"/>
    <hyperlink ref="O4" display="英国 电动牙刷关键词收集数据-德国标题2关键词库搭建" r:id="rId109"/>
    <hyperlink ref="O6" display="英国 电动牙刷关键词收集数据-德国标题2关键词库搭建" r:id="rId110"/>
    <hyperlink ref="O7" display="英国 电动牙刷关键词收集数据-德国标题2关键词库搭建" r:id="rId111"/>
    <hyperlink ref="U8" display="德国除螨仪 -盈利模型分析" r:id="rId112"/>
    <hyperlink ref="U9" display="德国除螨仪 -盈利模型分析" r:id="rId113"/>
    <hyperlink ref="U10" display="德国除螨仪 -盈利模型分析" r:id="rId114"/>
    <hyperlink ref="O21" display="德国牙套超声波清洗机标题和关键词库搭建" r:id="rId115"/>
    <hyperlink ref="O22" display="德国牙套超声波清洗机标题和关键词库搭建" r:id="rId116"/>
    <hyperlink ref="O23" display="德国牙套超声波清洗机标题和关键词库搭建" r:id="rId117"/>
    <hyperlink ref="Q26" display="德国空气净化器 - 项目跟进表-阳亚运-20250611" r:id="rId118"/>
    <hyperlink ref="Q28" display="德国空气净化器 - 项目跟进表-阳亚运-20250611" r:id="rId119"/>
    <hyperlink ref="M45" display="UK(口腔喷雾剂)Sprays" r:id="rId120"/>
    <hyperlink ref="BV1" display="关键词库搭建" r:id="rId121"/>
    <hyperlink ref="BZ2" display="Listing后台全属性填写标准" r:id="rId122"/>
    <hyperlink ref="S8" display="德国除螨仪的推广计划——德国除螨仪 欧洲" r:id="rId123"/>
    <hyperlink ref="M21" display="德国超声波清洗机竞争程度分析" r:id="rId124"/>
    <hyperlink ref="M22" display="德国超声波清洗机竞争程度分析" r:id="rId125"/>
    <hyperlink ref="O26" display="德国空气净化器标题和关键词库搭建" r:id="rId126"/>
    <hyperlink ref="O28" display="德国空气净化器标题和关键词库搭建" r:id="rId127"/>
    <hyperlink ref="M44" display="DE 口腔喷雾剂Mundsprays(卖家精灵)" r:id="rId128"/>
    <hyperlink ref="R2" display="市调" r:id="rId129"/>
    <hyperlink ref="R5" display="市调" r:id="rId130"/>
    <hyperlink ref="B8" display="https://shimo.im/sheets/xaLcxBgvfrrvr6At/x4LSY" r:id="rId131"/>
    <hyperlink ref="O9" display="英国除螨仪标题 关键词库搭建" r:id="rId132"/>
    <hyperlink ref="O10" display="英国除螨仪标题 关键词库搭建" r:id="rId133"/>
    <hyperlink ref="V22" display="https://shimo.im/sheets/xaLcxBgvfrrvr6At/Wckj9" r:id="rId134"/>
    <hyperlink ref="V21" display="https://shimo.im/sheets/xaLcxBgvfrrvr6At/Wckj9" r:id="rId135"/>
    <hyperlink ref="Q27" display="英国空气净化器 - 项目跟进表-阳亚运-20250611" r:id="rId136"/>
    <hyperlink ref="Q29" display="英国空气净化器 - 项目跟进表-阳亚运-20250611" r:id="rId137"/>
    <hyperlink ref="Q30" display="英国空气净化器 - 项目跟进表-阳亚运-20250611" r:id="rId138"/>
    <hyperlink ref="Q31" display="英国空气净化器 - 项目跟进表-阳亚运-20250611" r:id="rId139"/>
    <hyperlink ref="BV61" display="https://shimo.im/sheets/gXqmdXrXJWuZEL3o/le0g0" r:id="rId140"/>
    <hyperlink ref="BV64" display="https://shimo.im/sheets/gXqmdXrXJWuZEL3o/le0g0" r:id="rId141"/>
    <hyperlink ref="BX63" display="https://shimo.im/sheets/gXqmdXrXJWuZEL3o/le0g0" r:id="rId142"/>
    <hyperlink ref="BX64" display="https://shimo.im/sheets/gXqmdXrXJWuZEL3o/le0g0" r:id="rId143"/>
    <hyperlink ref="Q2" display="德国电动牙刷- 项目跟进表-阳亚运-20250325" r:id="rId144"/>
    <hyperlink ref="Q5" display="德国电动牙刷- 项目跟进表-阳亚运-20250325" r:id="rId145"/>
    <hyperlink ref="Q3" display="英国电动牙刷- 项目跟进表-阳亚运-20250325" r:id="rId146"/>
    <hyperlink ref="Q4" display="英国电动牙刷- 项目跟进表-阳亚运-20250325" r:id="rId147"/>
    <hyperlink ref="Q6" display="英国电动牙刷- 项目跟进表-阳亚运-20250325" r:id="rId148"/>
    <hyperlink ref="Q7" display="英国电动牙刷- 项目跟进表-阳亚运-20250325" r:id="rId149"/>
    <hyperlink ref="V8" display="欧洲除螨仪 VC 选品利润测算表_EU V1.0欧洲五国" r:id="rId150"/>
    <hyperlink ref="V9" display="欧洲五国VC选品利润测算表EU V10" r:id="rId151"/>
    <hyperlink ref="V10" display="欧洲五国VC选品利润测算表EU V10" r:id="rId152"/>
    <hyperlink ref="V17" display="欧洲除螨仪 VC 选品利润测算表_EU V1.0欧洲五国" r:id="rId153"/>
    <hyperlink ref="V18" display="欧洲除螨仪 VC 选品利润测算表_EU V1.0欧洲五国" r:id="rId154"/>
    <hyperlink ref="V19" display="欧洲除螨仪 VC 选品利润测算表_EU V1.0欧洲五国" r:id="rId155"/>
    <hyperlink ref="V20" display="欧洲除螨仪 VC 选品利润测算表_EU V1.0欧洲五国" r:id="rId156"/>
    <hyperlink ref="R21" display="超声波清洗机市调" r:id="rId157"/>
    <hyperlink ref="R29" display="空气净化器市调" r:id="rId158"/>
    <hyperlink ref="R30" display="空气净化器市调" r:id="rId159"/>
    <hyperlink ref="R31" display="空气净化器市调" r:id="rId160"/>
    <hyperlink ref="R26" display="空气净化器市调" r:id="rId161"/>
    <hyperlink ref="R27" display="空气净化器市调" r:id="rId162"/>
    <hyperlink ref="R28" display="空气净化器市调" r:id="rId163"/>
    <hyperlink ref="BX59" display="https://shimo.im/sheets/KlkKv6JnrEcZL7qd" r:id="rId164"/>
    <hyperlink ref="BX61" display="https://shimo.im/sheets/KlkKv6JnrEcZL7qd" r:id="rId165"/>
  </hyperlinks>
  <legacy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F2" xSplit="5" ySplit="1"/>
    </sheetView>
  </sheetViews>
  <sheetFormatPr defaultRowHeight="16"/>
  <cols>
    <col collapsed="false" customWidth="true" hidden="false" max="11" min="11" style="0" width="15.4"/>
    <col collapsed="false" customWidth="true" hidden="false" max="15" min="15" style="0" width="14.2"/>
    <col collapsed="false" customWidth="true" hidden="false" max="19" min="19" style="0" width="17.4"/>
    <col collapsed="false" customWidth="true" hidden="false" max="23" min="23" style="0" width="17.4"/>
    <col collapsed="false" customWidth="true" hidden="false" max="3" min="3" style="0" width="25.666666666666668"/>
    <col collapsed="false" customWidth="true" hidden="false" max="7" min="7" style="0" width="15.4"/>
    <col collapsed="false" customWidth="true" hidden="false" max="10" min="10" style="0" width="13.666666666666666"/>
    <col collapsed="false" customWidth="true" hidden="false" max="14" min="14" style="0" width="15.4"/>
    <col collapsed="false" customWidth="true" hidden="false" max="18" min="18" style="0" width="17.4"/>
    <col collapsed="false" customWidth="true" hidden="false" max="26" min="26" style="0" width="17.933333333333334"/>
    <col collapsed="false" customWidth="true" hidden="false" max="2" min="2" style="0" width="17.4"/>
    <col collapsed="false" customWidth="true" hidden="false" max="6" min="6" style="0" width="15.4"/>
    <col collapsed="false" customWidth="true" hidden="false" max="9" min="9" style="0" width="15.4"/>
    <col collapsed="false" customWidth="true" hidden="false" max="13" min="13" style="0" width="15.4"/>
    <col collapsed="false" customWidth="true" hidden="false" max="17" min="17" style="0" width="14.866666666666667"/>
    <col collapsed="false" customWidth="true" hidden="false" max="21" min="21" style="0" width="17.4"/>
    <col collapsed="false" customWidth="true" hidden="false" max="22" min="22" style="0" width="17.4"/>
    <col collapsed="false" customWidth="true" hidden="false" max="25" min="25" style="0" width="17.4"/>
    <col collapsed="false" customWidth="true" hidden="false" max="1" min="1" style="0" width="19.666666666666668"/>
    <col collapsed="false" customWidth="true" hidden="false" max="5" min="5" style="0" width="17.666666666666668"/>
    <col collapsed="false" customWidth="true" hidden="false" max="12" min="12" style="0" width="15.4"/>
    <col collapsed="false" customWidth="true" hidden="false" max="16" min="16" style="0" width="14.333333333333334"/>
    <col collapsed="false" customWidth="true" hidden="false" max="20" min="20" style="0" width="17.4"/>
    <col collapsed="false" customWidth="true" hidden="false" max="24" min="24" style="0" width="17.4"/>
    <col collapsed="false" customWidth="true" hidden="false" max="4" min="4" style="0" width="38.46666666666667"/>
    <col collapsed="false" customWidth="true" hidden="false" max="8" min="8" style="0" width="15.4"/>
  </cols>
  <sheetData>
    <row customHeight="true" ht="23.703703703703702" r="1">
      <c r="A1" s="27" t="s">
        <v>258</v>
      </c>
      <c r="B1" s="27" t="s">
        <v>259</v>
      </c>
      <c r="C1" s="27" t="s">
        <v>260</v>
      </c>
      <c r="D1" s="27" t="s">
        <v>261</v>
      </c>
      <c r="E1" s="27" t="s">
        <v>262</v>
      </c>
      <c r="F1" s="27" t="s">
        <v>263</v>
      </c>
      <c r="G1" s="27" t="s">
        <v>264</v>
      </c>
      <c r="H1" s="27" t="s">
        <v>265</v>
      </c>
      <c r="I1" s="27" t="s">
        <v>266</v>
      </c>
      <c r="J1" s="27" t="s">
        <v>267</v>
      </c>
      <c r="K1" s="27" t="s">
        <v>268</v>
      </c>
      <c r="L1" s="27" t="s">
        <v>269</v>
      </c>
      <c r="M1" s="27" t="s">
        <v>270</v>
      </c>
      <c r="N1" s="27" t="s">
        <v>271</v>
      </c>
      <c r="O1" s="27" t="s">
        <v>272</v>
      </c>
      <c r="P1" s="27" t="s">
        <v>273</v>
      </c>
      <c r="Q1" s="27" t="s">
        <v>274</v>
      </c>
      <c r="R1" s="28" t="s">
        <v>275</v>
      </c>
      <c r="S1" s="28" t="s">
        <v>276</v>
      </c>
      <c r="T1" s="28" t="s">
        <v>277</v>
      </c>
      <c r="U1" s="28" t="s">
        <v>278</v>
      </c>
      <c r="V1" s="28" t="s">
        <v>279</v>
      </c>
      <c r="W1" s="29"/>
      <c r="X1" s="29"/>
      <c r="Y1" s="29"/>
    </row>
    <row customHeight="true" ht="26.666666666666664" r="2">
      <c r="A2" s="30" t="s">
        <v>280</v>
      </c>
      <c r="B2" s="30" t="s">
        <v>281</v>
      </c>
      <c r="C2" s="30" t="s">
        <v>282</v>
      </c>
      <c r="D2" s="31" t="s">
        <v>283</v>
      </c>
      <c r="E2" s="30">
        <v>135.5</v>
      </c>
      <c r="F2" s="30">
        <v>33.5</v>
      </c>
      <c r="G2" s="30">
        <v>26.5</v>
      </c>
      <c r="H2" s="30">
        <v>25</v>
      </c>
      <c r="I2" s="30">
        <v>2.3</v>
      </c>
      <c r="J2" s="30">
        <v>4</v>
      </c>
      <c r="K2" s="30">
        <v>56</v>
      </c>
      <c r="L2" s="30">
        <v>36.5</v>
      </c>
      <c r="M2" s="30">
        <v>53</v>
      </c>
      <c r="N2" s="30">
        <v>10</v>
      </c>
      <c r="O2" s="32">
        <f t="shared" ref="O2:O4" si="21">K2*L2*M2/6000</f>
      </c>
      <c r="P2" s="32">
        <f t="shared" ref="P2:P4" si="27">K2*L2*M2/1000000</f>
      </c>
      <c r="Q2" s="32">
        <f t="shared" ref="Q2:Q4" si="8">N2/365</f>
      </c>
      <c r="R2" s="33">
        <v>1000</v>
      </c>
      <c r="S2" s="33">
        <f>49*O2/J2</f>
      </c>
      <c r="T2" s="33">
        <f>14*O2/J2</f>
      </c>
      <c r="U2" s="33"/>
      <c r="V2" s="33">
        <f>780*P2/J2+18</f>
      </c>
      <c r="W2" s="30"/>
      <c r="X2" s="30">
        <v>8508110000</v>
      </c>
      <c r="Y2" s="30" t="s">
        <v>284</v>
      </c>
    </row>
    <row customHeight="true" ht="26.666666666666664" r="3">
      <c r="A3" s="30" t="s">
        <v>285</v>
      </c>
      <c r="B3" s="30" t="s">
        <v>286</v>
      </c>
      <c r="C3" s="30" t="s">
        <v>287</v>
      </c>
      <c r="D3" s="31" t="s">
        <v>283</v>
      </c>
      <c r="E3" s="30">
        <v>137.5</v>
      </c>
      <c r="F3" s="30">
        <v>33.5</v>
      </c>
      <c r="G3" s="30">
        <v>26.5</v>
      </c>
      <c r="H3" s="30">
        <v>25</v>
      </c>
      <c r="I3" s="30">
        <v>2.3</v>
      </c>
      <c r="J3" s="30">
        <v>4</v>
      </c>
      <c r="K3" s="30">
        <v>56</v>
      </c>
      <c r="L3" s="30">
        <v>36.5</v>
      </c>
      <c r="M3" s="30">
        <v>53</v>
      </c>
      <c r="N3" s="30">
        <v>10</v>
      </c>
      <c r="O3" s="32">
        <f t="shared" si="21"/>
      </c>
      <c r="P3" s="32">
        <f t="shared" si="27"/>
      </c>
      <c r="Q3" s="32">
        <f t="shared" si="8"/>
      </c>
      <c r="R3" s="33">
        <v>1500</v>
      </c>
      <c r="S3" s="33">
        <f t="shared" ref="S3:S4" si="31">O3*35/J3</f>
      </c>
      <c r="T3" s="33">
        <f t="shared" ref="T3:T4" si="35">15*O3/J3</f>
      </c>
      <c r="U3" s="33">
        <f>8.5*O3/J3+80*7.8*0.3*0.027</f>
      </c>
      <c r="V3" s="33">
        <f t="shared" ref="V3:V4" si="24">700*P3/J3+80*7.8*0.3*0.027</f>
      </c>
      <c r="W3" s="30"/>
      <c r="X3" s="30">
        <v>8508110000</v>
      </c>
      <c r="Y3" s="30" t="s">
        <v>284</v>
      </c>
    </row>
    <row customHeight="true" ht="26.666666666666664" r="4">
      <c r="A4" s="30" t="s">
        <v>288</v>
      </c>
      <c r="B4" s="30" t="s">
        <v>289</v>
      </c>
      <c r="C4" s="30" t="s">
        <v>290</v>
      </c>
      <c r="D4" s="31" t="s">
        <v>283</v>
      </c>
      <c r="E4" s="30">
        <v>137.5</v>
      </c>
      <c r="F4" s="30">
        <v>33.5</v>
      </c>
      <c r="G4" s="30">
        <v>26.5</v>
      </c>
      <c r="H4" s="30">
        <v>25</v>
      </c>
      <c r="I4" s="30">
        <v>2.3</v>
      </c>
      <c r="J4" s="30">
        <v>4</v>
      </c>
      <c r="K4" s="30">
        <v>56</v>
      </c>
      <c r="L4" s="30">
        <v>36.5</v>
      </c>
      <c r="M4" s="30">
        <v>53</v>
      </c>
      <c r="N4" s="30">
        <v>10</v>
      </c>
      <c r="O4" s="32">
        <f t="shared" si="21"/>
      </c>
      <c r="P4" s="32">
        <f t="shared" si="27"/>
      </c>
      <c r="Q4" s="32">
        <f t="shared" si="8"/>
      </c>
      <c r="R4" s="33">
        <v>500</v>
      </c>
      <c r="S4" s="33">
        <f t="shared" si="31"/>
      </c>
      <c r="T4" s="33">
        <f t="shared" si="35"/>
      </c>
      <c r="U4" s="33">
        <f>10.5*O4/J4+80*7.8*0.3*0.027</f>
      </c>
      <c r="V4" s="33">
        <f t="shared" si="24"/>
      </c>
      <c r="W4" s="30"/>
      <c r="X4" s="30">
        <v>8508110000</v>
      </c>
      <c r="Y4" s="30" t="s">
        <v>284</v>
      </c>
    </row>
    <row customHeight="true" ht="26.666666666666664" r="5">
      <c r="A5" s="30" t="s">
        <v>291</v>
      </c>
      <c r="B5" s="30"/>
      <c r="C5" s="30"/>
      <c r="D5" s="31" t="s">
        <v>292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2"/>
      <c r="P5" s="32"/>
      <c r="Q5" s="32"/>
      <c r="R5" s="30"/>
      <c r="S5" s="33"/>
      <c r="T5" s="33"/>
      <c r="U5" s="33"/>
      <c r="V5" s="33"/>
      <c r="W5" s="30"/>
      <c r="X5" s="30"/>
      <c r="Y5" s="30"/>
    </row>
    <row customHeight="true" ht="26.666666666666664" r="6">
      <c r="A6" s="30" t="s">
        <v>293</v>
      </c>
      <c r="B6" s="30" t="s">
        <v>294</v>
      </c>
      <c r="C6" s="30" t="s">
        <v>295</v>
      </c>
      <c r="D6" s="31" t="s">
        <v>296</v>
      </c>
      <c r="E6" s="30">
        <v>100.1</v>
      </c>
      <c r="F6" s="30">
        <v>21.5</v>
      </c>
      <c r="G6" s="30">
        <v>20.5</v>
      </c>
      <c r="H6" s="30">
        <v>7.5</v>
      </c>
      <c r="I6" s="30">
        <v>0.7</v>
      </c>
      <c r="J6" s="30">
        <v>20</v>
      </c>
      <c r="K6" s="30">
        <v>45</v>
      </c>
      <c r="L6" s="30">
        <v>42.5</v>
      </c>
      <c r="M6" s="30">
        <v>40</v>
      </c>
      <c r="N6" s="30">
        <v>15</v>
      </c>
      <c r="O6" s="32">
        <f t="shared" ref="O6:O27" si="22">K6*L6*M6/6000</f>
      </c>
      <c r="P6" s="32">
        <f t="shared" ref="P6:P27" si="28">K6*L6*M6/1000000</f>
      </c>
      <c r="Q6" s="32">
        <f t="shared" ref="Q6:Q27" si="9">N6/365</f>
      </c>
      <c r="R6" s="30"/>
      <c r="S6" s="33"/>
      <c r="T6" s="33">
        <f t="shared" ref="T6:T8" si="12">15*MAX(N6:O6)/J6</f>
      </c>
      <c r="U6" s="33"/>
      <c r="V6" s="33">
        <f>1200*P6/J6+40*7.8*0.3*0.027</f>
      </c>
      <c r="W6" s="30"/>
      <c r="X6" s="30"/>
      <c r="Y6" s="30"/>
    </row>
    <row customHeight="true" ht="26.666666666666664" r="7">
      <c r="A7" s="30" t="s">
        <v>297</v>
      </c>
      <c r="B7" s="30" t="s">
        <v>298</v>
      </c>
      <c r="C7" s="30" t="s">
        <v>299</v>
      </c>
      <c r="D7" s="31" t="s">
        <v>300</v>
      </c>
      <c r="E7" s="30">
        <v>208</v>
      </c>
      <c r="F7" s="30">
        <v>14</v>
      </c>
      <c r="G7" s="30">
        <v>10</v>
      </c>
      <c r="H7" s="30">
        <v>19</v>
      </c>
      <c r="I7" s="30">
        <v>1.2</v>
      </c>
      <c r="J7" s="30">
        <v>12</v>
      </c>
      <c r="K7" s="30">
        <v>32</v>
      </c>
      <c r="L7" s="30">
        <v>29</v>
      </c>
      <c r="M7" s="30">
        <v>40</v>
      </c>
      <c r="N7" s="30">
        <v>15</v>
      </c>
      <c r="O7" s="32">
        <f t="shared" si="22"/>
      </c>
      <c r="P7" s="32">
        <f t="shared" si="28"/>
      </c>
      <c r="Q7" s="32">
        <f t="shared" si="9"/>
      </c>
      <c r="R7" s="30"/>
      <c r="S7" s="33"/>
      <c r="T7" s="33">
        <f t="shared" si="12"/>
      </c>
      <c r="U7" s="33"/>
      <c r="V7" s="33">
        <f t="shared" ref="V7:V10" si="2">1200*P7/J7+80*7.8*0.3*0.027</f>
      </c>
      <c r="W7" s="30"/>
      <c r="X7" s="30"/>
      <c r="Y7" s="30"/>
    </row>
    <row customHeight="true" ht="26.666666666666664" r="8">
      <c r="A8" s="30" t="s">
        <v>301</v>
      </c>
      <c r="B8" s="30" t="s">
        <v>298</v>
      </c>
      <c r="C8" s="30" t="s">
        <v>299</v>
      </c>
      <c r="D8" s="31" t="s">
        <v>300</v>
      </c>
      <c r="E8" s="30">
        <v>208</v>
      </c>
      <c r="F8" s="30">
        <v>14</v>
      </c>
      <c r="G8" s="30">
        <v>10</v>
      </c>
      <c r="H8" s="30">
        <v>19</v>
      </c>
      <c r="I8" s="30">
        <v>1.2</v>
      </c>
      <c r="J8" s="30">
        <v>12</v>
      </c>
      <c r="K8" s="30">
        <v>32</v>
      </c>
      <c r="L8" s="30">
        <v>29</v>
      </c>
      <c r="M8" s="30">
        <v>40</v>
      </c>
      <c r="N8" s="30">
        <v>15</v>
      </c>
      <c r="O8" s="32">
        <f t="shared" si="22"/>
      </c>
      <c r="P8" s="32">
        <f t="shared" si="28"/>
      </c>
      <c r="Q8" s="32">
        <f t="shared" si="9"/>
      </c>
      <c r="R8" s="30"/>
      <c r="S8" s="33"/>
      <c r="T8" s="33">
        <f t="shared" si="12"/>
      </c>
      <c r="U8" s="33"/>
      <c r="V8" s="33">
        <f t="shared" si="2"/>
      </c>
      <c r="W8" s="30"/>
      <c r="X8" s="30"/>
      <c r="Y8" s="30"/>
    </row>
    <row customHeight="true" ht="26.666666666666664" r="9">
      <c r="A9" s="30" t="s">
        <v>302</v>
      </c>
      <c r="B9" s="30" t="s">
        <v>303</v>
      </c>
      <c r="C9" s="30" t="s">
        <v>304</v>
      </c>
      <c r="D9" s="31" t="s">
        <v>305</v>
      </c>
      <c r="E9" s="30">
        <v>49</v>
      </c>
      <c r="F9" s="30">
        <v>17.2</v>
      </c>
      <c r="G9" s="30">
        <v>9.8</v>
      </c>
      <c r="H9" s="30">
        <v>4.4</v>
      </c>
      <c r="I9" s="30">
        <v>0.5</v>
      </c>
      <c r="J9" s="30">
        <v>50</v>
      </c>
      <c r="K9" s="30">
        <v>51.5</v>
      </c>
      <c r="L9" s="30">
        <v>42</v>
      </c>
      <c r="M9" s="30">
        <v>20</v>
      </c>
      <c r="N9" s="30">
        <v>19.75</v>
      </c>
      <c r="O9" s="32">
        <f t="shared" si="22"/>
      </c>
      <c r="P9" s="32">
        <f t="shared" si="28"/>
      </c>
      <c r="Q9" s="32">
        <f t="shared" si="9"/>
      </c>
      <c r="R9" s="30"/>
      <c r="S9" s="33"/>
      <c r="T9" s="33"/>
      <c r="U9" s="33"/>
      <c r="V9" s="33">
        <f t="shared" si="2"/>
      </c>
      <c r="W9" s="30"/>
      <c r="X9" s="30"/>
      <c r="Y9" s="30"/>
    </row>
    <row customHeight="true" ht="26.666666666666664" r="10">
      <c r="A10" s="30" t="s">
        <v>306</v>
      </c>
      <c r="B10" s="30" t="s">
        <v>303</v>
      </c>
      <c r="C10" s="30" t="s">
        <v>307</v>
      </c>
      <c r="D10" s="31" t="s">
        <v>305</v>
      </c>
      <c r="E10" s="30">
        <v>49</v>
      </c>
      <c r="F10" s="30">
        <v>17.2</v>
      </c>
      <c r="G10" s="30">
        <v>9.8</v>
      </c>
      <c r="H10" s="30">
        <v>4.4</v>
      </c>
      <c r="I10" s="30">
        <v>0.5</v>
      </c>
      <c r="J10" s="30">
        <v>50</v>
      </c>
      <c r="K10" s="30">
        <v>51.5</v>
      </c>
      <c r="L10" s="30">
        <v>42</v>
      </c>
      <c r="M10" s="30">
        <v>20</v>
      </c>
      <c r="N10" s="30">
        <v>19.75</v>
      </c>
      <c r="O10" s="32">
        <f t="shared" si="22"/>
      </c>
      <c r="P10" s="32">
        <f t="shared" si="28"/>
      </c>
      <c r="Q10" s="32">
        <f t="shared" si="9"/>
      </c>
      <c r="R10" s="30"/>
      <c r="S10" s="33"/>
      <c r="T10" s="33"/>
      <c r="U10" s="33"/>
      <c r="V10" s="33">
        <f t="shared" si="2"/>
      </c>
      <c r="W10" s="30"/>
      <c r="X10" s="30"/>
      <c r="Y10" s="30"/>
    </row>
    <row customHeight="true" ht="26.666666666666664" r="11">
      <c r="A11" s="30" t="s">
        <v>308</v>
      </c>
      <c r="B11" s="30" t="s">
        <v>309</v>
      </c>
      <c r="C11" s="30" t="s">
        <v>310</v>
      </c>
      <c r="D11" s="31" t="s">
        <v>311</v>
      </c>
      <c r="E11" s="30">
        <v>80.4</v>
      </c>
      <c r="F11" s="30">
        <v>26.5</v>
      </c>
      <c r="G11" s="30">
        <v>13.5</v>
      </c>
      <c r="H11" s="30">
        <v>3.5</v>
      </c>
      <c r="I11" s="30">
        <v>1.1</v>
      </c>
      <c r="J11" s="30">
        <v>30</v>
      </c>
      <c r="K11" s="30">
        <v>42.5</v>
      </c>
      <c r="L11" s="30">
        <v>27</v>
      </c>
      <c r="M11" s="30">
        <v>38</v>
      </c>
      <c r="N11" s="30">
        <v>18.05</v>
      </c>
      <c r="O11" s="32">
        <f t="shared" si="22"/>
      </c>
      <c r="P11" s="32">
        <f t="shared" si="28"/>
      </c>
      <c r="Q11" s="32">
        <f t="shared" si="9"/>
      </c>
      <c r="R11" s="30"/>
      <c r="S11" s="33"/>
      <c r="T11" s="33"/>
      <c r="U11" s="33"/>
      <c r="V11" s="33"/>
      <c r="W11" s="30"/>
      <c r="X11" s="30"/>
      <c r="Y11" s="30"/>
    </row>
    <row customHeight="true" ht="26.666666666666664" r="12">
      <c r="A12" s="30" t="s">
        <v>312</v>
      </c>
      <c r="B12" s="30" t="s">
        <v>313</v>
      </c>
      <c r="C12" s="30" t="s">
        <v>314</v>
      </c>
      <c r="D12" s="31" t="s">
        <v>315</v>
      </c>
      <c r="E12" s="30">
        <v>29.38</v>
      </c>
      <c r="F12" s="30">
        <v>16</v>
      </c>
      <c r="G12" s="30">
        <v>2</v>
      </c>
      <c r="H12" s="30">
        <v>2</v>
      </c>
      <c r="I12" s="30">
        <v>0.1</v>
      </c>
      <c r="J12" s="30">
        <v>200</v>
      </c>
      <c r="K12" s="30">
        <v>36</v>
      </c>
      <c r="L12" s="30">
        <v>36</v>
      </c>
      <c r="M12" s="30">
        <v>24</v>
      </c>
      <c r="N12" s="30">
        <v>19.5</v>
      </c>
      <c r="O12" s="32">
        <f t="shared" si="22"/>
      </c>
      <c r="P12" s="32">
        <f t="shared" si="28"/>
      </c>
      <c r="Q12" s="32">
        <f t="shared" si="9"/>
      </c>
      <c r="R12" s="30"/>
      <c r="S12" s="33"/>
      <c r="T12" s="33"/>
      <c r="U12" s="33"/>
      <c r="V12" s="33"/>
      <c r="W12" s="30"/>
      <c r="X12" s="30"/>
      <c r="Y12" s="30"/>
    </row>
    <row customHeight="true" ht="26.666666666666664" r="13">
      <c r="A13" s="30" t="s">
        <v>316</v>
      </c>
      <c r="B13" s="30" t="s">
        <v>317</v>
      </c>
      <c r="C13" s="30" t="s">
        <v>318</v>
      </c>
      <c r="D13" s="31" t="s">
        <v>319</v>
      </c>
      <c r="E13" s="30">
        <v>94.4</v>
      </c>
      <c r="F13" s="30">
        <v>32</v>
      </c>
      <c r="G13" s="30">
        <v>18.5</v>
      </c>
      <c r="H13" s="30">
        <v>18.5</v>
      </c>
      <c r="I13" s="30">
        <v>1.6</v>
      </c>
      <c r="J13" s="30">
        <v>9</v>
      </c>
      <c r="K13" s="30">
        <v>55</v>
      </c>
      <c r="L13" s="30">
        <v>55</v>
      </c>
      <c r="M13" s="30">
        <v>35</v>
      </c>
      <c r="N13" s="30">
        <v>14</v>
      </c>
      <c r="O13" s="32">
        <f t="shared" si="22"/>
      </c>
      <c r="P13" s="32">
        <f t="shared" si="28"/>
      </c>
      <c r="Q13" s="32">
        <f t="shared" si="9"/>
      </c>
      <c r="R13" s="30"/>
      <c r="S13" s="33"/>
      <c r="T13" s="33">
        <f>10*MAX(N13:O13)/J13</f>
      </c>
      <c r="U13" s="33"/>
      <c r="V13" s="33">
        <f>6.5*MAX(N13:O13)/J13</f>
      </c>
      <c r="W13" s="30"/>
      <c r="X13" s="30">
        <v>8421391000</v>
      </c>
      <c r="Y13" s="30" t="s">
        <v>320</v>
      </c>
    </row>
    <row customHeight="true" ht="26.666666666666664" r="14">
      <c r="A14" s="30" t="s">
        <v>321</v>
      </c>
      <c r="B14" s="30" t="s">
        <v>322</v>
      </c>
      <c r="C14" s="30" t="s">
        <v>323</v>
      </c>
      <c r="D14" s="31" t="s">
        <v>319</v>
      </c>
      <c r="E14" s="30">
        <v>94.4</v>
      </c>
      <c r="F14" s="30">
        <v>32</v>
      </c>
      <c r="G14" s="30">
        <v>18.5</v>
      </c>
      <c r="H14" s="30">
        <v>18.5</v>
      </c>
      <c r="I14" s="30">
        <v>1.6</v>
      </c>
      <c r="J14" s="30">
        <v>9</v>
      </c>
      <c r="K14" s="30">
        <v>55</v>
      </c>
      <c r="L14" s="30">
        <v>55</v>
      </c>
      <c r="M14" s="30">
        <v>35</v>
      </c>
      <c r="N14" s="30">
        <v>14</v>
      </c>
      <c r="O14" s="32">
        <f t="shared" si="22"/>
      </c>
      <c r="P14" s="32">
        <f t="shared" si="28"/>
      </c>
      <c r="Q14" s="32">
        <f t="shared" si="9"/>
      </c>
      <c r="R14" s="30"/>
      <c r="S14" s="33"/>
      <c r="T14" s="33">
        <f t="shared" ref="T14:T15" si="13">15*MAX(N14:O14)/J14</f>
      </c>
      <c r="U14" s="33">
        <f t="shared" ref="U14:U15" si="16">11*MAX(N14:O14)/J14</f>
      </c>
      <c r="V14" s="33">
        <f>700*P14/J14+50*7.8*0.3*0.027</f>
      </c>
      <c r="W14" s="30"/>
      <c r="X14" s="30">
        <v>8421391000</v>
      </c>
      <c r="Y14" s="30" t="s">
        <v>320</v>
      </c>
    </row>
    <row customHeight="true" ht="26.666666666666664" r="15">
      <c r="A15" s="30" t="s">
        <v>324</v>
      </c>
      <c r="B15" s="30" t="s">
        <v>325</v>
      </c>
      <c r="C15" s="30" t="s">
        <v>326</v>
      </c>
      <c r="D15" s="31" t="s">
        <v>319</v>
      </c>
      <c r="E15" s="30">
        <v>94.4</v>
      </c>
      <c r="F15" s="30">
        <v>32</v>
      </c>
      <c r="G15" s="30">
        <v>18.5</v>
      </c>
      <c r="H15" s="30">
        <v>18.5</v>
      </c>
      <c r="I15" s="30">
        <v>1.6</v>
      </c>
      <c r="J15" s="30">
        <v>9</v>
      </c>
      <c r="K15" s="30">
        <v>55</v>
      </c>
      <c r="L15" s="30">
        <v>55</v>
      </c>
      <c r="M15" s="30">
        <v>35</v>
      </c>
      <c r="N15" s="30">
        <v>14</v>
      </c>
      <c r="O15" s="32">
        <f t="shared" si="22"/>
      </c>
      <c r="P15" s="32">
        <f t="shared" si="28"/>
      </c>
      <c r="Q15" s="32">
        <f t="shared" si="9"/>
      </c>
      <c r="R15" s="30"/>
      <c r="S15" s="33"/>
      <c r="T15" s="33">
        <f t="shared" si="13"/>
      </c>
      <c r="U15" s="33">
        <f t="shared" si="16"/>
      </c>
      <c r="V15" s="33">
        <f>900*P15/J15+50*7.8*0.3*0.027</f>
      </c>
      <c r="W15" s="30"/>
      <c r="X15" s="30">
        <v>8421391000</v>
      </c>
      <c r="Y15" s="30" t="s">
        <v>320</v>
      </c>
    </row>
    <row customHeight="true" ht="26.666666666666664" r="16">
      <c r="A16" s="30" t="s">
        <v>327</v>
      </c>
      <c r="B16" s="30" t="s">
        <v>328</v>
      </c>
      <c r="C16" s="30" t="s">
        <v>329</v>
      </c>
      <c r="D16" s="31" t="s">
        <v>330</v>
      </c>
      <c r="E16" s="30">
        <v>16.9</v>
      </c>
      <c r="F16" s="30">
        <v>16</v>
      </c>
      <c r="G16" s="30">
        <v>16</v>
      </c>
      <c r="H16" s="30">
        <v>16</v>
      </c>
      <c r="I16" s="30">
        <v>0.3</v>
      </c>
      <c r="J16" s="30">
        <v>27</v>
      </c>
      <c r="K16" s="30">
        <v>50</v>
      </c>
      <c r="L16" s="30">
        <v>50</v>
      </c>
      <c r="M16" s="30">
        <v>50</v>
      </c>
      <c r="N16" s="30">
        <v>7.5</v>
      </c>
      <c r="O16" s="32">
        <f t="shared" si="22"/>
      </c>
      <c r="P16" s="32">
        <f t="shared" si="28"/>
      </c>
      <c r="Q16" s="32">
        <f t="shared" si="9"/>
      </c>
      <c r="R16" s="30"/>
      <c r="S16" s="33"/>
      <c r="T16" s="33">
        <f>10*MAX(N16:O16)/J16</f>
      </c>
      <c r="U16" s="33"/>
      <c r="V16" s="33">
        <f>780*P16/J16+E16*0.1*0.5</f>
      </c>
      <c r="W16" s="30"/>
      <c r="X16" s="30">
        <v>8421991000</v>
      </c>
      <c r="Y16" s="30" t="s">
        <v>331</v>
      </c>
    </row>
    <row customHeight="true" ht="26.666666666666664" r="17">
      <c r="A17" s="30" t="s">
        <v>332</v>
      </c>
      <c r="B17" s="30" t="s">
        <v>333</v>
      </c>
      <c r="C17" s="30" t="s">
        <v>334</v>
      </c>
      <c r="D17" s="31" t="s">
        <v>330</v>
      </c>
      <c r="E17" s="30">
        <v>16.9</v>
      </c>
      <c r="F17" s="30">
        <v>16</v>
      </c>
      <c r="G17" s="30">
        <v>16</v>
      </c>
      <c r="H17" s="30">
        <v>16</v>
      </c>
      <c r="I17" s="30">
        <v>0.3</v>
      </c>
      <c r="J17" s="30">
        <v>27</v>
      </c>
      <c r="K17" s="30">
        <v>50</v>
      </c>
      <c r="L17" s="30">
        <v>50</v>
      </c>
      <c r="M17" s="30">
        <v>50</v>
      </c>
      <c r="N17" s="30">
        <v>7.5</v>
      </c>
      <c r="O17" s="32">
        <f t="shared" si="22"/>
      </c>
      <c r="P17" s="32">
        <f t="shared" si="28"/>
      </c>
      <c r="Q17" s="32">
        <f t="shared" si="9"/>
      </c>
      <c r="R17" s="30"/>
      <c r="S17" s="33"/>
      <c r="T17" s="33">
        <f t="shared" ref="T17:T18" si="14">15*MAX(N17:O17)/J17</f>
      </c>
      <c r="U17" s="33">
        <f t="shared" ref="U17:U18" si="17">11*MAX(N17:O17)/J17</f>
      </c>
      <c r="V17" s="33">
        <f>700*P17/J17+50*7.8*0.3*0.027</f>
      </c>
      <c r="W17" s="30"/>
      <c r="X17" s="30">
        <v>8421991000</v>
      </c>
      <c r="Y17" s="30" t="s">
        <v>331</v>
      </c>
    </row>
    <row customHeight="true" ht="26.666666666666664" r="18">
      <c r="A18" s="30" t="s">
        <v>335</v>
      </c>
      <c r="B18" s="30" t="s">
        <v>336</v>
      </c>
      <c r="C18" s="30" t="s">
        <v>337</v>
      </c>
      <c r="D18" s="31" t="s">
        <v>330</v>
      </c>
      <c r="E18" s="30">
        <v>16.9</v>
      </c>
      <c r="F18" s="30">
        <v>16</v>
      </c>
      <c r="G18" s="30">
        <v>16</v>
      </c>
      <c r="H18" s="30">
        <v>16</v>
      </c>
      <c r="I18" s="30">
        <v>0.3</v>
      </c>
      <c r="J18" s="30">
        <v>27</v>
      </c>
      <c r="K18" s="30">
        <v>50</v>
      </c>
      <c r="L18" s="30">
        <v>50</v>
      </c>
      <c r="M18" s="30">
        <v>50</v>
      </c>
      <c r="N18" s="30">
        <v>7.5</v>
      </c>
      <c r="O18" s="32">
        <f t="shared" si="22"/>
      </c>
      <c r="P18" s="32">
        <f t="shared" si="28"/>
      </c>
      <c r="Q18" s="32">
        <f t="shared" si="9"/>
      </c>
      <c r="R18" s="30"/>
      <c r="S18" s="33"/>
      <c r="T18" s="33">
        <f t="shared" si="14"/>
      </c>
      <c r="U18" s="33">
        <f t="shared" si="17"/>
      </c>
      <c r="V18" s="33">
        <f>600*P18/J18+50*7.8*0.3*0.027</f>
      </c>
      <c r="W18" s="30"/>
      <c r="X18" s="30">
        <v>8421991000</v>
      </c>
      <c r="Y18" s="30" t="s">
        <v>331</v>
      </c>
    </row>
    <row customHeight="true" ht="26.666666666666664" r="19">
      <c r="A19" s="30" t="s">
        <v>338</v>
      </c>
      <c r="B19" s="30" t="s">
        <v>339</v>
      </c>
      <c r="C19" s="30" t="s">
        <v>340</v>
      </c>
      <c r="D19" s="31" t="s">
        <v>341</v>
      </c>
      <c r="E19" s="30">
        <v>155</v>
      </c>
      <c r="F19" s="30">
        <v>33</v>
      </c>
      <c r="G19" s="30">
        <v>22</v>
      </c>
      <c r="H19" s="30">
        <v>18</v>
      </c>
      <c r="I19" s="30">
        <v>1.8</v>
      </c>
      <c r="J19" s="30">
        <v>8</v>
      </c>
      <c r="K19" s="30">
        <v>61</v>
      </c>
      <c r="L19" s="30">
        <v>47</v>
      </c>
      <c r="M19" s="30">
        <v>37</v>
      </c>
      <c r="N19" s="30">
        <v>16</v>
      </c>
      <c r="O19" s="32">
        <f t="shared" si="22"/>
      </c>
      <c r="P19" s="32">
        <f t="shared" si="28"/>
      </c>
      <c r="Q19" s="32">
        <f t="shared" si="9"/>
      </c>
      <c r="R19" s="33"/>
      <c r="S19" s="33"/>
      <c r="T19" s="33">
        <f t="shared" ref="T19:T23" si="36">15*O19/J19</f>
      </c>
      <c r="U19" s="33">
        <f t="shared" ref="U19:U27" si="5">10.5*MAX(N19:O19)/J19</f>
      </c>
      <c r="V19" s="33">
        <f t="shared" ref="V19:V20" si="25">700*P19/J19+80*7.8*0.3*0.027</f>
      </c>
      <c r="W19" s="30"/>
      <c r="X19" s="30">
        <v>8508110000</v>
      </c>
      <c r="Y19" s="30" t="s">
        <v>284</v>
      </c>
    </row>
    <row customHeight="true" ht="26.666666666666664" r="20">
      <c r="A20" s="30" t="s">
        <v>342</v>
      </c>
      <c r="B20" s="30" t="s">
        <v>339</v>
      </c>
      <c r="C20" s="30" t="s">
        <v>343</v>
      </c>
      <c r="D20" s="31" t="s">
        <v>341</v>
      </c>
      <c r="E20" s="30">
        <v>155</v>
      </c>
      <c r="F20" s="30">
        <v>33</v>
      </c>
      <c r="G20" s="30">
        <v>22</v>
      </c>
      <c r="H20" s="30">
        <v>18</v>
      </c>
      <c r="I20" s="30">
        <v>1.8</v>
      </c>
      <c r="J20" s="30">
        <v>8</v>
      </c>
      <c r="K20" s="30">
        <v>61</v>
      </c>
      <c r="L20" s="30">
        <v>47</v>
      </c>
      <c r="M20" s="30">
        <v>37</v>
      </c>
      <c r="N20" s="30">
        <v>16</v>
      </c>
      <c r="O20" s="32">
        <f t="shared" si="22"/>
      </c>
      <c r="P20" s="32">
        <f t="shared" si="28"/>
      </c>
      <c r="Q20" s="32">
        <f t="shared" si="9"/>
      </c>
      <c r="R20" s="33"/>
      <c r="S20" s="33"/>
      <c r="T20" s="33">
        <f t="shared" si="36"/>
      </c>
      <c r="U20" s="33">
        <f t="shared" si="5"/>
      </c>
      <c r="V20" s="33">
        <f t="shared" si="25"/>
      </c>
      <c r="W20" s="30"/>
      <c r="X20" s="30">
        <v>8508110000</v>
      </c>
      <c r="Y20" s="30" t="s">
        <v>284</v>
      </c>
    </row>
    <row customHeight="true" ht="26.666666666666664" r="21">
      <c r="A21" s="30"/>
      <c r="B21" s="30"/>
      <c r="C21" s="30" t="s">
        <v>344</v>
      </c>
      <c r="D21" s="31" t="s">
        <v>345</v>
      </c>
      <c r="E21" s="30">
        <v>260</v>
      </c>
      <c r="F21" s="30">
        <v>43</v>
      </c>
      <c r="G21" s="30">
        <v>33</v>
      </c>
      <c r="H21" s="30">
        <v>19</v>
      </c>
      <c r="I21" s="30">
        <v>3.5</v>
      </c>
      <c r="J21" s="30">
        <v>1</v>
      </c>
      <c r="K21" s="30">
        <v>43</v>
      </c>
      <c r="L21" s="30">
        <v>33</v>
      </c>
      <c r="M21" s="30">
        <v>19</v>
      </c>
      <c r="N21" s="30">
        <v>3.5</v>
      </c>
      <c r="O21" s="32">
        <f t="shared" si="22"/>
      </c>
      <c r="P21" s="32">
        <f t="shared" si="28"/>
      </c>
      <c r="Q21" s="32">
        <f t="shared" si="9"/>
      </c>
      <c r="R21" s="33"/>
      <c r="S21" s="33"/>
      <c r="T21" s="33">
        <f t="shared" si="36"/>
      </c>
      <c r="U21" s="33">
        <f t="shared" si="5"/>
      </c>
      <c r="V21" s="33">
        <f>6.5*MAX(N21:O21)/J21</f>
      </c>
      <c r="W21" s="30"/>
      <c r="X21" s="30"/>
      <c r="Y21" s="30"/>
    </row>
    <row customHeight="true" ht="26.666666666666664" r="22">
      <c r="A22" s="30"/>
      <c r="B22" s="30"/>
      <c r="C22" s="30" t="s">
        <v>346</v>
      </c>
      <c r="D22" s="31" t="s">
        <v>345</v>
      </c>
      <c r="E22" s="30">
        <v>260</v>
      </c>
      <c r="F22" s="30">
        <v>43</v>
      </c>
      <c r="G22" s="30">
        <v>33</v>
      </c>
      <c r="H22" s="30">
        <v>19</v>
      </c>
      <c r="I22" s="30">
        <v>3.5</v>
      </c>
      <c r="J22" s="30">
        <v>1</v>
      </c>
      <c r="K22" s="30">
        <v>43</v>
      </c>
      <c r="L22" s="30">
        <v>33</v>
      </c>
      <c r="M22" s="30">
        <v>19</v>
      </c>
      <c r="N22" s="30">
        <v>3.5</v>
      </c>
      <c r="O22" s="32">
        <f t="shared" si="22"/>
      </c>
      <c r="P22" s="32">
        <f t="shared" si="28"/>
      </c>
      <c r="Q22" s="32">
        <f t="shared" si="9"/>
      </c>
      <c r="R22" s="33"/>
      <c r="S22" s="33"/>
      <c r="T22" s="33">
        <f t="shared" si="36"/>
      </c>
      <c r="U22" s="33">
        <f t="shared" si="5"/>
      </c>
      <c r="V22" s="33">
        <f>700*P22/J22+120*7.8*0.3*0.027</f>
      </c>
      <c r="W22" s="30"/>
      <c r="X22" s="30"/>
      <c r="Y22" s="30"/>
    </row>
    <row customHeight="true" ht="26.666666666666664" r="23">
      <c r="A23" s="30"/>
      <c r="B23" s="30"/>
      <c r="C23" s="30" t="s">
        <v>347</v>
      </c>
      <c r="D23" s="31" t="s">
        <v>345</v>
      </c>
      <c r="E23" s="30">
        <v>260</v>
      </c>
      <c r="F23" s="30">
        <v>43</v>
      </c>
      <c r="G23" s="30">
        <v>33</v>
      </c>
      <c r="H23" s="30">
        <v>19</v>
      </c>
      <c r="I23" s="30">
        <v>3.5</v>
      </c>
      <c r="J23" s="30">
        <v>1</v>
      </c>
      <c r="K23" s="30">
        <v>43</v>
      </c>
      <c r="L23" s="30">
        <v>33</v>
      </c>
      <c r="M23" s="30">
        <v>19</v>
      </c>
      <c r="N23" s="30">
        <v>3.5</v>
      </c>
      <c r="O23" s="32">
        <f t="shared" si="22"/>
      </c>
      <c r="P23" s="32">
        <f t="shared" si="28"/>
      </c>
      <c r="Q23" s="32">
        <f t="shared" si="9"/>
      </c>
      <c r="R23" s="33"/>
      <c r="S23" s="33"/>
      <c r="T23" s="33">
        <f t="shared" si="36"/>
      </c>
      <c r="U23" s="33">
        <f t="shared" si="5"/>
      </c>
      <c r="V23" s="33">
        <f>600*P23/J23+120*7.8*0.3*0.027</f>
      </c>
      <c r="W23" s="30"/>
      <c r="X23" s="30"/>
      <c r="Y23" s="30"/>
    </row>
    <row customHeight="true" ht="26.666666666666664" r="24">
      <c r="A24" s="30" t="s">
        <v>348</v>
      </c>
      <c r="B24" s="34" t="s">
        <v>349</v>
      </c>
      <c r="C24" s="30" t="s">
        <v>350</v>
      </c>
      <c r="D24" s="31" t="s">
        <v>351</v>
      </c>
      <c r="E24" s="30">
        <v>17.8</v>
      </c>
      <c r="F24" s="30">
        <v>13</v>
      </c>
      <c r="G24" s="30">
        <v>5.5</v>
      </c>
      <c r="H24" s="30">
        <v>5.5</v>
      </c>
      <c r="I24" s="30">
        <v>0.23</v>
      </c>
      <c r="J24" s="30">
        <v>48</v>
      </c>
      <c r="K24" s="30">
        <v>36.5</v>
      </c>
      <c r="L24" s="30">
        <v>28.5</v>
      </c>
      <c r="M24" s="30">
        <v>24</v>
      </c>
      <c r="N24" s="30">
        <v>10.6</v>
      </c>
      <c r="O24" s="32">
        <f t="shared" si="22"/>
      </c>
      <c r="P24" s="32">
        <f t="shared" si="28"/>
      </c>
      <c r="Q24" s="32">
        <f t="shared" si="9"/>
      </c>
      <c r="R24" s="30"/>
      <c r="S24" s="33"/>
      <c r="T24" s="33">
        <f t="shared" ref="T24:T32" si="19">15*N24/J24</f>
      </c>
      <c r="U24" s="33">
        <f t="shared" si="5"/>
      </c>
      <c r="V24" s="33">
        <f>600*P24/J24+20*7.8*0.3*0.027</f>
      </c>
      <c r="W24" s="30"/>
      <c r="X24" s="30"/>
      <c r="Y24" s="30"/>
    </row>
    <row customHeight="true" ht="26.666666666666664" r="25">
      <c r="A25" s="30" t="s">
        <v>352</v>
      </c>
      <c r="B25" s="34" t="s">
        <v>349</v>
      </c>
      <c r="C25" s="30" t="s">
        <v>353</v>
      </c>
      <c r="D25" s="31" t="s">
        <v>354</v>
      </c>
      <c r="E25" s="30">
        <v>24.5</v>
      </c>
      <c r="F25" s="30">
        <v>16</v>
      </c>
      <c r="G25" s="30">
        <v>4.5</v>
      </c>
      <c r="H25" s="30">
        <v>4.5</v>
      </c>
      <c r="I25" s="30">
        <v>0.22</v>
      </c>
      <c r="J25" s="30">
        <v>60</v>
      </c>
      <c r="K25" s="30">
        <v>36</v>
      </c>
      <c r="L25" s="30">
        <v>30.5</v>
      </c>
      <c r="M25" s="30">
        <v>26.5</v>
      </c>
      <c r="N25" s="30">
        <v>13</v>
      </c>
      <c r="O25" s="32">
        <f t="shared" si="22"/>
      </c>
      <c r="P25" s="32">
        <f t="shared" si="28"/>
      </c>
      <c r="Q25" s="32">
        <f t="shared" si="9"/>
      </c>
      <c r="R25" s="30"/>
      <c r="S25" s="33"/>
      <c r="T25" s="33">
        <f t="shared" si="19"/>
      </c>
      <c r="U25" s="33">
        <f t="shared" si="5"/>
      </c>
      <c r="V25" s="33">
        <f>600*P25/J25+30*7.8*0.3*0.027</f>
      </c>
      <c r="W25" s="30"/>
      <c r="X25" s="30"/>
      <c r="Y25" s="30"/>
    </row>
    <row customHeight="true" ht="26.666666666666664" r="26">
      <c r="A26" s="30" t="s">
        <v>355</v>
      </c>
      <c r="B26" s="34" t="s">
        <v>339</v>
      </c>
      <c r="C26" s="30" t="s">
        <v>356</v>
      </c>
      <c r="D26" s="31" t="s">
        <v>357</v>
      </c>
      <c r="E26" s="30">
        <v>85</v>
      </c>
      <c r="F26" s="30">
        <v>18.5</v>
      </c>
      <c r="G26" s="30">
        <v>7</v>
      </c>
      <c r="H26" s="30">
        <v>7</v>
      </c>
      <c r="I26" s="30">
        <v>0.55</v>
      </c>
      <c r="J26" s="30">
        <v>20</v>
      </c>
      <c r="K26" s="30">
        <v>36.5</v>
      </c>
      <c r="L26" s="30">
        <v>29</v>
      </c>
      <c r="M26" s="30">
        <v>21</v>
      </c>
      <c r="N26" s="30">
        <v>11</v>
      </c>
      <c r="O26" s="32">
        <f t="shared" si="22"/>
      </c>
      <c r="P26" s="32">
        <f t="shared" si="28"/>
      </c>
      <c r="Q26" s="32">
        <f t="shared" si="9"/>
      </c>
      <c r="R26" s="30"/>
      <c r="S26" s="33"/>
      <c r="T26" s="33">
        <f t="shared" si="19"/>
      </c>
      <c r="U26" s="33">
        <f t="shared" si="5"/>
      </c>
      <c r="V26" s="33">
        <f>600*P26/J26+50*7.8*0.3*0.027</f>
      </c>
      <c r="W26" s="30"/>
      <c r="X26" s="30"/>
      <c r="Y26" s="30"/>
    </row>
    <row customHeight="true" ht="26.666666666666664" r="27">
      <c r="A27" s="30" t="s">
        <v>358</v>
      </c>
      <c r="B27" s="30" t="s">
        <v>339</v>
      </c>
      <c r="C27" s="30" t="s">
        <v>359</v>
      </c>
      <c r="D27" s="31" t="s">
        <v>360</v>
      </c>
      <c r="E27" s="30">
        <v>75</v>
      </c>
      <c r="F27" s="30">
        <v>21.6</v>
      </c>
      <c r="G27" s="30">
        <v>4.5</v>
      </c>
      <c r="H27" s="30">
        <v>4.5</v>
      </c>
      <c r="I27" s="30">
        <v>0.45</v>
      </c>
      <c r="J27" s="30">
        <v>40</v>
      </c>
      <c r="K27" s="30">
        <v>45</v>
      </c>
      <c r="L27" s="30">
        <v>24</v>
      </c>
      <c r="M27" s="30">
        <v>20.5</v>
      </c>
      <c r="N27" s="30">
        <v>18</v>
      </c>
      <c r="O27" s="32">
        <f t="shared" si="22"/>
      </c>
      <c r="P27" s="32">
        <f t="shared" si="28"/>
      </c>
      <c r="Q27" s="32">
        <f t="shared" si="9"/>
      </c>
      <c r="R27" s="30"/>
      <c r="S27" s="33"/>
      <c r="T27" s="33">
        <f t="shared" si="19"/>
      </c>
      <c r="U27" s="33">
        <f t="shared" si="5"/>
      </c>
      <c r="V27" s="33">
        <f>600*P27/J27+40*7.8*0.3*0.027</f>
      </c>
      <c r="W27" s="30"/>
      <c r="X27" s="30"/>
      <c r="Y27" s="30"/>
    </row>
    <row customHeight="true" ht="26.666666666666664" r="28">
      <c r="A28" s="30" t="s">
        <v>361</v>
      </c>
      <c r="B28" s="34" t="s">
        <v>362</v>
      </c>
      <c r="C28" s="30" t="s">
        <v>363</v>
      </c>
      <c r="D28" s="31" t="s">
        <v>364</v>
      </c>
      <c r="E28" s="30">
        <v>75</v>
      </c>
      <c r="F28" s="30"/>
      <c r="G28" s="30"/>
      <c r="H28" s="30"/>
      <c r="I28" s="30"/>
      <c r="J28" s="30"/>
      <c r="K28" s="30"/>
      <c r="L28" s="30"/>
      <c r="M28" s="30"/>
      <c r="N28" s="30"/>
      <c r="O28" s="32"/>
      <c r="P28" s="32"/>
      <c r="Q28" s="32"/>
      <c r="R28" s="30"/>
      <c r="S28" s="33"/>
      <c r="T28" s="33">
        <f t="shared" si="19"/>
      </c>
      <c r="U28" s="33">
        <f t="shared" ref="U28:U32" si="11">10.5*O28/J28+80*7.8*0.3*0.027</f>
      </c>
      <c r="V28" s="33">
        <f>600*P28/J28+80*7.8*0.3*0.027</f>
      </c>
      <c r="W28" s="30"/>
      <c r="X28" s="30"/>
      <c r="Y28" s="30"/>
    </row>
    <row customHeight="true" ht="26.666666666666664" r="29">
      <c r="A29" s="30" t="s">
        <v>365</v>
      </c>
      <c r="B29" s="30" t="s">
        <v>339</v>
      </c>
      <c r="C29" s="30" t="s">
        <v>366</v>
      </c>
      <c r="D29" s="31" t="s">
        <v>367</v>
      </c>
      <c r="E29" s="30"/>
      <c r="F29" s="30"/>
      <c r="G29" s="30"/>
      <c r="H29" s="30"/>
      <c r="I29" s="30">
        <v>0.55</v>
      </c>
      <c r="J29" s="30">
        <v>24</v>
      </c>
      <c r="K29" s="30">
        <v>45.5</v>
      </c>
      <c r="L29" s="30">
        <v>35</v>
      </c>
      <c r="M29" s="30">
        <v>29</v>
      </c>
      <c r="N29" s="30">
        <v>14</v>
      </c>
      <c r="O29" s="32">
        <f>K29*L29*M29/6000</f>
      </c>
      <c r="P29" s="32">
        <f>K29*L29*M29/1000000</f>
      </c>
      <c r="Q29" s="32">
        <f>N29/365</f>
      </c>
      <c r="R29" s="30"/>
      <c r="S29" s="33"/>
      <c r="T29" s="33">
        <f t="shared" si="19"/>
      </c>
      <c r="U29" s="33">
        <f t="shared" si="11"/>
      </c>
      <c r="V29" s="33">
        <f>600*P29/J29+30*7.8*0.3*0.027</f>
      </c>
      <c r="W29" s="30"/>
      <c r="X29" s="30"/>
      <c r="Y29" s="30"/>
    </row>
    <row customHeight="true" ht="26.666666666666664" r="30">
      <c r="A30" s="30" t="s">
        <v>368</v>
      </c>
      <c r="B30" s="34" t="s">
        <v>362</v>
      </c>
      <c r="C30" s="30" t="s">
        <v>349</v>
      </c>
      <c r="D30" s="31" t="s">
        <v>369</v>
      </c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2"/>
      <c r="P30" s="32"/>
      <c r="Q30" s="32"/>
      <c r="R30" s="30"/>
      <c r="S30" s="33"/>
      <c r="T30" s="33">
        <f t="shared" si="19"/>
      </c>
      <c r="U30" s="33">
        <f t="shared" si="11"/>
      </c>
      <c r="V30" s="33">
        <f t="shared" ref="V30:V32" si="0">600*P30/J30+80*7.8*0.3*0.027</f>
      </c>
      <c r="W30" s="30"/>
      <c r="X30" s="30"/>
      <c r="Y30" s="30"/>
    </row>
    <row customHeight="true" ht="26.666666666666664" r="31">
      <c r="A31" s="30" t="s">
        <v>370</v>
      </c>
      <c r="B31" s="30" t="s">
        <v>362</v>
      </c>
      <c r="C31" s="30" t="s">
        <v>349</v>
      </c>
      <c r="D31" s="31" t="s">
        <v>371</v>
      </c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2"/>
      <c r="P31" s="32"/>
      <c r="Q31" s="32"/>
      <c r="R31" s="30"/>
      <c r="S31" s="33"/>
      <c r="T31" s="33">
        <f t="shared" si="19"/>
      </c>
      <c r="U31" s="33">
        <f t="shared" si="11"/>
      </c>
      <c r="V31" s="33">
        <f t="shared" si="0"/>
      </c>
      <c r="W31" s="30"/>
      <c r="X31" s="30"/>
      <c r="Y31" s="30"/>
    </row>
    <row customHeight="true" ht="26.666666666666664" r="32">
      <c r="A32" s="30" t="s">
        <v>372</v>
      </c>
      <c r="B32" s="30" t="s">
        <v>362</v>
      </c>
      <c r="C32" s="30" t="s">
        <v>349</v>
      </c>
      <c r="D32" s="31" t="s">
        <v>373</v>
      </c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2"/>
      <c r="P32" s="32"/>
      <c r="Q32" s="32"/>
      <c r="R32" s="30"/>
      <c r="S32" s="33"/>
      <c r="T32" s="33">
        <f t="shared" si="19"/>
      </c>
      <c r="U32" s="33">
        <f t="shared" si="11"/>
      </c>
      <c r="V32" s="33">
        <f t="shared" si="0"/>
      </c>
      <c r="W32" s="30"/>
      <c r="X32" s="30"/>
      <c r="Y32" s="30"/>
    </row>
    <row customHeight="true" ht="26.666666666666664" r="33">
      <c r="A33" s="30" t="s">
        <v>374</v>
      </c>
      <c r="B33" s="30" t="s">
        <v>375</v>
      </c>
      <c r="C33" s="30" t="s">
        <v>349</v>
      </c>
      <c r="D33" s="31" t="s">
        <v>376</v>
      </c>
      <c r="E33" s="30">
        <v>270</v>
      </c>
      <c r="F33" s="30">
        <v>43.5</v>
      </c>
      <c r="G33" s="30">
        <v>32.3</v>
      </c>
      <c r="H33" s="30">
        <v>19</v>
      </c>
      <c r="I33" s="30">
        <v>3.05</v>
      </c>
      <c r="J33" s="30">
        <v>1</v>
      </c>
      <c r="K33" s="30">
        <v>43.5</v>
      </c>
      <c r="L33" s="30">
        <v>32.5</v>
      </c>
      <c r="M33" s="30">
        <v>19</v>
      </c>
      <c r="N33" s="30">
        <v>3.05</v>
      </c>
      <c r="O33" s="32">
        <f t="shared" ref="O33:O43" si="23">K33*L33*M33/6000</f>
      </c>
      <c r="P33" s="32">
        <f t="shared" ref="P33:P43" si="29">K33*L33*M33/1000000</f>
      </c>
      <c r="Q33" s="32">
        <f t="shared" ref="Q33:Q43" si="10">N33/365</f>
      </c>
      <c r="R33" s="30"/>
      <c r="S33" s="33"/>
      <c r="T33" s="33">
        <f t="shared" ref="T33:T40" si="15">15*MAX(N33:O33)/J33</f>
      </c>
      <c r="U33" s="33">
        <f t="shared" ref="U33:U38" si="18">11*MAX(N33:O33)/J33</f>
      </c>
      <c r="V33" s="33">
        <f>600*P33/J33+110*7.8*0.3*0.027</f>
      </c>
      <c r="W33" s="30"/>
      <c r="X33" s="30"/>
      <c r="Y33" s="30"/>
    </row>
    <row customHeight="true" ht="26.666666666666664" r="34">
      <c r="A34" s="35"/>
      <c r="B34" s="35"/>
      <c r="C34" s="35"/>
      <c r="D34" s="35" t="s">
        <v>377</v>
      </c>
      <c r="E34" s="35">
        <f>67*1.13</f>
      </c>
      <c r="F34" s="35">
        <v>19</v>
      </c>
      <c r="G34" s="35">
        <v>9</v>
      </c>
      <c r="H34" s="35">
        <v>6.5</v>
      </c>
      <c r="I34" s="35">
        <v>0.8</v>
      </c>
      <c r="J34" s="35">
        <v>24</v>
      </c>
      <c r="K34" s="35">
        <v>43</v>
      </c>
      <c r="L34" s="35">
        <v>33</v>
      </c>
      <c r="M34" s="35">
        <v>28</v>
      </c>
      <c r="N34" s="35">
        <v>20</v>
      </c>
      <c r="O34" s="36">
        <f t="shared" si="23"/>
      </c>
      <c r="P34" s="36">
        <f t="shared" si="29"/>
      </c>
      <c r="Q34" s="36">
        <f t="shared" si="10"/>
      </c>
      <c r="R34" s="35"/>
      <c r="S34" s="37"/>
      <c r="T34" s="37">
        <f t="shared" si="15"/>
      </c>
      <c r="U34" s="37">
        <f t="shared" si="18"/>
      </c>
      <c r="V34" s="37">
        <f t="shared" ref="V34:V37" si="32">1000*MAX(P34,Q34)/J34+E34*2.7%</f>
      </c>
      <c r="W34" s="35"/>
      <c r="X34" s="35"/>
      <c r="Y34" s="35"/>
    </row>
    <row customHeight="true" ht="26.666666666666664" r="35">
      <c r="A35" s="30"/>
      <c r="B35" s="30"/>
      <c r="C35" s="30"/>
      <c r="D35" s="30" t="s">
        <v>378</v>
      </c>
      <c r="E35" s="30">
        <f>130*1.13</f>
      </c>
      <c r="F35" s="30">
        <v>19</v>
      </c>
      <c r="G35" s="30">
        <v>9</v>
      </c>
      <c r="H35" s="30">
        <v>6.5</v>
      </c>
      <c r="I35" s="30">
        <v>0.8</v>
      </c>
      <c r="J35" s="30">
        <v>24</v>
      </c>
      <c r="K35" s="30">
        <v>43</v>
      </c>
      <c r="L35" s="30">
        <v>33</v>
      </c>
      <c r="M35" s="30">
        <v>28</v>
      </c>
      <c r="N35" s="30">
        <v>20</v>
      </c>
      <c r="O35" s="32">
        <f t="shared" si="23"/>
      </c>
      <c r="P35" s="32">
        <f t="shared" si="29"/>
      </c>
      <c r="Q35" s="32">
        <f t="shared" si="10"/>
      </c>
      <c r="R35" s="30"/>
      <c r="S35" s="33"/>
      <c r="T35" s="33">
        <f t="shared" si="15"/>
      </c>
      <c r="U35" s="33">
        <f t="shared" si="18"/>
      </c>
      <c r="V35" s="33">
        <f t="shared" si="32"/>
      </c>
      <c r="W35" s="30"/>
      <c r="X35" s="30"/>
      <c r="Y35" s="30"/>
    </row>
    <row customHeight="true" ht="26.666666666666664" r="36">
      <c r="A36" s="30"/>
      <c r="B36" s="30"/>
      <c r="C36" s="30"/>
      <c r="D36" s="30" t="s">
        <v>379</v>
      </c>
      <c r="E36" s="30">
        <v>108</v>
      </c>
      <c r="F36" s="30">
        <v>18</v>
      </c>
      <c r="G36" s="30">
        <v>17</v>
      </c>
      <c r="H36" s="30">
        <v>7</v>
      </c>
      <c r="I36" s="30">
        <v>0.8</v>
      </c>
      <c r="J36" s="30">
        <v>20</v>
      </c>
      <c r="K36" s="30">
        <v>38</v>
      </c>
      <c r="L36" s="30">
        <v>35</v>
      </c>
      <c r="M36" s="30">
        <v>35</v>
      </c>
      <c r="N36" s="30">
        <v>16.5</v>
      </c>
      <c r="O36" s="32">
        <f t="shared" si="23"/>
      </c>
      <c r="P36" s="32">
        <f t="shared" si="29"/>
      </c>
      <c r="Q36" s="32">
        <f t="shared" si="10"/>
      </c>
      <c r="R36" s="30"/>
      <c r="S36" s="33"/>
      <c r="T36" s="33">
        <f t="shared" si="15"/>
      </c>
      <c r="U36" s="33">
        <f t="shared" si="18"/>
      </c>
      <c r="V36" s="33">
        <f t="shared" si="32"/>
      </c>
      <c r="W36" s="30"/>
      <c r="X36" s="30"/>
      <c r="Y36" s="30"/>
    </row>
    <row customHeight="true" ht="26.666666666666664" r="37">
      <c r="A37" s="30"/>
      <c r="B37" s="30"/>
      <c r="C37" s="30"/>
      <c r="D37" s="30" t="s">
        <v>380</v>
      </c>
      <c r="E37" s="30">
        <v>61.6</v>
      </c>
      <c r="F37" s="30">
        <v>18</v>
      </c>
      <c r="G37" s="30">
        <v>13</v>
      </c>
      <c r="H37" s="30">
        <v>5</v>
      </c>
      <c r="I37" s="30">
        <v>0.35</v>
      </c>
      <c r="J37" s="30">
        <v>24</v>
      </c>
      <c r="K37" s="30">
        <v>40</v>
      </c>
      <c r="L37" s="30">
        <v>38</v>
      </c>
      <c r="M37" s="30">
        <v>20</v>
      </c>
      <c r="N37" s="30">
        <v>8.5</v>
      </c>
      <c r="O37" s="32">
        <f t="shared" si="23"/>
      </c>
      <c r="P37" s="32">
        <f t="shared" si="29"/>
      </c>
      <c r="Q37" s="32">
        <f t="shared" si="10"/>
      </c>
      <c r="R37" s="30"/>
      <c r="S37" s="33"/>
      <c r="T37" s="33">
        <f t="shared" si="15"/>
      </c>
      <c r="U37" s="33">
        <f t="shared" si="18"/>
      </c>
      <c r="V37" s="33">
        <f t="shared" si="32"/>
      </c>
      <c r="W37" s="30"/>
      <c r="X37" s="30"/>
      <c r="Y37" s="30"/>
    </row>
    <row customHeight="true" ht="26.666666666666664" r="38">
      <c r="A38" s="30"/>
      <c r="B38" s="30"/>
      <c r="C38" s="30"/>
      <c r="D38" s="30" t="s">
        <v>376</v>
      </c>
      <c r="E38" s="30">
        <v>270</v>
      </c>
      <c r="F38" s="30">
        <v>43.5</v>
      </c>
      <c r="G38" s="30">
        <v>32.3</v>
      </c>
      <c r="H38" s="30">
        <v>19</v>
      </c>
      <c r="I38" s="30">
        <v>3.05</v>
      </c>
      <c r="J38" s="30">
        <v>1</v>
      </c>
      <c r="K38" s="30">
        <v>43.5</v>
      </c>
      <c r="L38" s="30">
        <v>32.5</v>
      </c>
      <c r="M38" s="30">
        <v>19</v>
      </c>
      <c r="N38" s="30">
        <v>3.05</v>
      </c>
      <c r="O38" s="32">
        <f t="shared" si="23"/>
      </c>
      <c r="P38" s="32">
        <f t="shared" si="29"/>
      </c>
      <c r="Q38" s="32">
        <f t="shared" si="10"/>
      </c>
      <c r="R38" s="30"/>
      <c r="S38" s="33"/>
      <c r="T38" s="33">
        <f t="shared" si="15"/>
      </c>
      <c r="U38" s="33">
        <f t="shared" si="18"/>
      </c>
      <c r="V38" s="33">
        <f>780*P38/J38+E38*0.1*0.5</f>
      </c>
      <c r="W38" s="30"/>
      <c r="X38" s="30"/>
      <c r="Y38" s="30"/>
    </row>
    <row customHeight="true" ht="26.666666666666664" r="39">
      <c r="A39" s="30"/>
      <c r="B39" s="30"/>
      <c r="C39" s="30"/>
      <c r="D39" s="30" t="s">
        <v>376</v>
      </c>
      <c r="E39" s="30">
        <v>270</v>
      </c>
      <c r="F39" s="30">
        <v>43.5</v>
      </c>
      <c r="G39" s="30">
        <v>32.3</v>
      </c>
      <c r="H39" s="30">
        <v>19</v>
      </c>
      <c r="I39" s="30">
        <v>3.05</v>
      </c>
      <c r="J39" s="30">
        <v>1</v>
      </c>
      <c r="K39" s="30">
        <v>43.5</v>
      </c>
      <c r="L39" s="30">
        <v>32.5</v>
      </c>
      <c r="M39" s="30">
        <v>19</v>
      </c>
      <c r="N39" s="30">
        <v>3.05</v>
      </c>
      <c r="O39" s="32">
        <f t="shared" si="23"/>
      </c>
      <c r="P39" s="32">
        <f t="shared" si="29"/>
      </c>
      <c r="Q39" s="32">
        <f t="shared" si="10"/>
      </c>
      <c r="R39" s="30"/>
      <c r="S39" s="33"/>
      <c r="T39" s="33">
        <f t="shared" si="15"/>
      </c>
      <c r="U39" s="33">
        <f>8.5*O39/J39+80*7.8*0.3*0.027</f>
      </c>
      <c r="V39" s="33">
        <f t="shared" ref="V39:V40" si="20">700*P39/J39+130*7.8*0.3*0.027</f>
      </c>
      <c r="W39" s="30"/>
      <c r="X39" s="30"/>
      <c r="Y39" s="30"/>
    </row>
    <row customHeight="true" ht="26.666666666666664" r="40">
      <c r="A40" s="30"/>
      <c r="B40" s="30"/>
      <c r="C40" s="30"/>
      <c r="D40" s="30" t="s">
        <v>376</v>
      </c>
      <c r="E40" s="30">
        <v>270</v>
      </c>
      <c r="F40" s="30">
        <v>43.5</v>
      </c>
      <c r="G40" s="30">
        <v>32.3</v>
      </c>
      <c r="H40" s="30">
        <v>19</v>
      </c>
      <c r="I40" s="30">
        <v>3.05</v>
      </c>
      <c r="J40" s="30">
        <v>1</v>
      </c>
      <c r="K40" s="30">
        <v>43.5</v>
      </c>
      <c r="L40" s="30">
        <v>32.5</v>
      </c>
      <c r="M40" s="30">
        <v>19</v>
      </c>
      <c r="N40" s="30">
        <v>3.05</v>
      </c>
      <c r="O40" s="32">
        <f t="shared" si="23"/>
      </c>
      <c r="P40" s="32">
        <f t="shared" si="29"/>
      </c>
      <c r="Q40" s="32">
        <f t="shared" si="10"/>
      </c>
      <c r="R40" s="30"/>
      <c r="S40" s="33"/>
      <c r="T40" s="33">
        <f t="shared" si="15"/>
      </c>
      <c r="U40" s="33">
        <f>10.5*O40/J40+80*7.8*0.3*0.027</f>
      </c>
      <c r="V40" s="33">
        <f t="shared" si="20"/>
      </c>
      <c r="W40" s="30"/>
      <c r="X40" s="30"/>
      <c r="Y40" s="30"/>
    </row>
    <row customHeight="true" ht="26.666666666666664" r="41">
      <c r="A41" s="30"/>
      <c r="B41" s="30"/>
      <c r="C41" s="30"/>
      <c r="D41" s="30" t="s">
        <v>381</v>
      </c>
      <c r="E41" s="30">
        <v>80</v>
      </c>
      <c r="F41" s="30">
        <f t="shared" ref="F41:F43" si="3">12*2.5</f>
      </c>
      <c r="G41" s="30">
        <f t="shared" ref="G41:G43" si="6">7*2.5</f>
      </c>
      <c r="H41" s="30">
        <f t="shared" ref="H41:H43" si="33">5*2.5</f>
      </c>
      <c r="I41" s="30">
        <v>1.2</v>
      </c>
      <c r="J41" s="30">
        <v>1</v>
      </c>
      <c r="K41" s="30">
        <f t="shared" ref="K41:K43" si="4">12*2.5</f>
      </c>
      <c r="L41" s="30">
        <f t="shared" ref="L41:L43" si="7">7*2.5</f>
      </c>
      <c r="M41" s="30">
        <f t="shared" ref="M41:M43" si="34">5*2.5</f>
      </c>
      <c r="N41" s="30">
        <v>1.2</v>
      </c>
      <c r="O41" s="32">
        <f t="shared" si="23"/>
      </c>
      <c r="P41" s="32">
        <f t="shared" si="29"/>
      </c>
      <c r="Q41" s="32">
        <f t="shared" si="10"/>
      </c>
      <c r="R41" s="30"/>
      <c r="S41" s="33"/>
      <c r="T41" s="33">
        <f t="shared" ref="T41:T43" si="1">15*MAX(N41,O41)/J41</f>
      </c>
      <c r="U41" s="33"/>
      <c r="V41" s="33">
        <f>780*P41/J41+E41*0.1*0.5</f>
      </c>
      <c r="W41" s="30"/>
      <c r="X41" s="30"/>
      <c r="Y41" s="30"/>
    </row>
    <row customHeight="true" ht="26.666666666666664" r="42">
      <c r="A42" s="30"/>
      <c r="B42" s="30"/>
      <c r="C42" s="30"/>
      <c r="D42" s="30" t="s">
        <v>381</v>
      </c>
      <c r="E42" s="30">
        <v>80</v>
      </c>
      <c r="F42" s="30">
        <f t="shared" si="3"/>
      </c>
      <c r="G42" s="30">
        <f t="shared" si="6"/>
      </c>
      <c r="H42" s="30">
        <f t="shared" si="33"/>
      </c>
      <c r="I42" s="30">
        <v>1.2</v>
      </c>
      <c r="J42" s="30">
        <v>1</v>
      </c>
      <c r="K42" s="30">
        <f t="shared" si="4"/>
      </c>
      <c r="L42" s="30">
        <f t="shared" si="7"/>
      </c>
      <c r="M42" s="30">
        <f t="shared" si="34"/>
      </c>
      <c r="N42" s="30">
        <v>1.2</v>
      </c>
      <c r="O42" s="32">
        <f t="shared" si="23"/>
      </c>
      <c r="P42" s="32">
        <f t="shared" si="29"/>
      </c>
      <c r="Q42" s="32">
        <f t="shared" si="10"/>
      </c>
      <c r="R42" s="30"/>
      <c r="S42" s="33"/>
      <c r="T42" s="33">
        <f t="shared" si="1"/>
      </c>
      <c r="U42" s="33">
        <f t="shared" ref="U42:U43" si="26">8.5*MAX(O42,N42)/J42+80*7.8*0.3*0.027</f>
      </c>
      <c r="V42" s="33">
        <f t="shared" ref="V42:V43" si="30">700*P42/J42+30*7.8*0.3*0.027</f>
      </c>
      <c r="W42" s="30"/>
      <c r="X42" s="30"/>
      <c r="Y42" s="30"/>
    </row>
    <row customHeight="true" ht="26.666666666666664" r="43">
      <c r="A43" s="30"/>
      <c r="B43" s="30"/>
      <c r="C43" s="30"/>
      <c r="D43" s="30" t="s">
        <v>381</v>
      </c>
      <c r="E43" s="30">
        <v>80</v>
      </c>
      <c r="F43" s="30">
        <f t="shared" si="3"/>
      </c>
      <c r="G43" s="30">
        <f t="shared" si="6"/>
      </c>
      <c r="H43" s="30">
        <f t="shared" si="33"/>
      </c>
      <c r="I43" s="30">
        <v>1.2</v>
      </c>
      <c r="J43" s="30">
        <v>1</v>
      </c>
      <c r="K43" s="30">
        <f t="shared" si="4"/>
      </c>
      <c r="L43" s="30">
        <f t="shared" si="7"/>
      </c>
      <c r="M43" s="30">
        <f t="shared" si="34"/>
      </c>
      <c r="N43" s="30">
        <v>1.2</v>
      </c>
      <c r="O43" s="32">
        <f t="shared" si="23"/>
      </c>
      <c r="P43" s="32">
        <f t="shared" si="29"/>
      </c>
      <c r="Q43" s="32">
        <f t="shared" si="10"/>
      </c>
      <c r="R43" s="30"/>
      <c r="S43" s="33"/>
      <c r="T43" s="33">
        <f t="shared" si="1"/>
      </c>
      <c r="U43" s="33">
        <f t="shared" si="26"/>
      </c>
      <c r="V43" s="33">
        <f t="shared" si="30"/>
      </c>
      <c r="W43" s="30"/>
      <c r="X43" s="30"/>
      <c r="Y43" s="30"/>
    </row>
    <row r="44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9"/>
      <c r="P44" s="39"/>
      <c r="Q44" s="39"/>
      <c r="R44" s="38"/>
      <c r="S44" s="40"/>
      <c r="T44" s="40"/>
      <c r="U44" s="40"/>
      <c r="V44" s="40"/>
      <c r="W44" s="38"/>
      <c r="X44" s="38"/>
      <c r="Y44" s="38"/>
    </row>
    <row r="4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9"/>
      <c r="P45" s="39"/>
      <c r="Q45" s="39"/>
      <c r="R45" s="38"/>
      <c r="S45" s="40"/>
      <c r="T45" s="40"/>
      <c r="U45" s="40"/>
      <c r="V45" s="40"/>
      <c r="W45" s="38"/>
      <c r="X45" s="38"/>
      <c r="Y45" s="38"/>
    </row>
    <row r="46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9"/>
      <c r="P46" s="39"/>
      <c r="Q46" s="39"/>
      <c r="R46" s="38"/>
      <c r="S46" s="40"/>
      <c r="T46" s="40"/>
      <c r="U46" s="40"/>
      <c r="V46" s="40"/>
      <c r="W46" s="38"/>
      <c r="X46" s="38"/>
      <c r="Y46" s="38"/>
    </row>
    <row r="47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9"/>
      <c r="P47" s="39"/>
      <c r="Q47" s="39"/>
      <c r="R47" s="38"/>
      <c r="S47" s="40"/>
      <c r="T47" s="40"/>
      <c r="U47" s="40"/>
      <c r="V47" s="40"/>
      <c r="W47" s="38"/>
      <c r="X47" s="38"/>
      <c r="Y47" s="38"/>
    </row>
    <row r="48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9"/>
      <c r="P48" s="39"/>
      <c r="Q48" s="39"/>
      <c r="R48" s="38"/>
      <c r="S48" s="40"/>
      <c r="T48" s="40"/>
      <c r="U48" s="40"/>
      <c r="V48" s="40"/>
      <c r="W48" s="38"/>
      <c r="X48" s="38"/>
      <c r="Y48" s="38"/>
    </row>
    <row r="49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9"/>
      <c r="P49" s="39"/>
      <c r="Q49" s="39"/>
      <c r="R49" s="38"/>
      <c r="S49" s="40"/>
      <c r="T49" s="40"/>
      <c r="U49" s="40"/>
      <c r="V49" s="40"/>
      <c r="W49" s="38"/>
      <c r="X49" s="38"/>
      <c r="Y49" s="38"/>
    </row>
    <row r="50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9"/>
      <c r="P50" s="39"/>
      <c r="Q50" s="39"/>
      <c r="R50" s="38"/>
      <c r="S50" s="40"/>
      <c r="T50" s="40"/>
      <c r="U50" s="40"/>
      <c r="V50" s="40"/>
      <c r="W50" s="38"/>
      <c r="X50" s="38"/>
      <c r="Y50" s="38"/>
    </row>
    <row r="5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9"/>
      <c r="P51" s="39"/>
      <c r="Q51" s="39"/>
      <c r="R51" s="38"/>
      <c r="S51" s="40"/>
      <c r="T51" s="40"/>
      <c r="U51" s="40"/>
      <c r="V51" s="40"/>
      <c r="W51" s="38"/>
      <c r="X51" s="38"/>
      <c r="Y51" s="38"/>
    </row>
    <row r="5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9"/>
      <c r="P52" s="39"/>
      <c r="Q52" s="39"/>
      <c r="R52" s="38"/>
      <c r="S52" s="40"/>
      <c r="T52" s="40"/>
      <c r="U52" s="40"/>
      <c r="V52" s="40"/>
      <c r="W52" s="38"/>
      <c r="X52" s="38"/>
      <c r="Y52" s="38"/>
    </row>
    <row r="53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9"/>
      <c r="P53" s="39"/>
      <c r="Q53" s="39"/>
      <c r="R53" s="38"/>
      <c r="S53" s="40"/>
      <c r="T53" s="40"/>
      <c r="U53" s="40"/>
      <c r="V53" s="40"/>
      <c r="W53" s="38"/>
      <c r="X53" s="38"/>
      <c r="Y53" s="38"/>
    </row>
    <row r="54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9"/>
      <c r="P54" s="39"/>
      <c r="Q54" s="39"/>
      <c r="R54" s="38"/>
      <c r="S54" s="40"/>
      <c r="T54" s="40"/>
      <c r="U54" s="40"/>
      <c r="V54" s="40"/>
      <c r="W54" s="38"/>
      <c r="X54" s="38"/>
      <c r="Y54" s="38"/>
    </row>
    <row r="5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9"/>
      <c r="P55" s="39"/>
      <c r="Q55" s="39"/>
      <c r="R55" s="38"/>
      <c r="S55" s="40"/>
      <c r="T55" s="40"/>
      <c r="U55" s="40"/>
      <c r="V55" s="40"/>
      <c r="W55" s="38"/>
      <c r="X55" s="38"/>
      <c r="Y55" s="38"/>
    </row>
    <row r="56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9"/>
      <c r="P56" s="39"/>
      <c r="Q56" s="39"/>
      <c r="R56" s="38"/>
      <c r="S56" s="40"/>
      <c r="T56" s="40"/>
      <c r="U56" s="40"/>
      <c r="V56" s="40"/>
      <c r="W56" s="38"/>
      <c r="X56" s="38"/>
      <c r="Y56" s="38"/>
    </row>
    <row r="57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9"/>
      <c r="P57" s="39"/>
      <c r="Q57" s="39"/>
      <c r="R57" s="38"/>
      <c r="S57" s="40"/>
      <c r="T57" s="40"/>
      <c r="U57" s="40"/>
      <c r="V57" s="40"/>
      <c r="W57" s="38"/>
      <c r="X57" s="38"/>
      <c r="Y57" s="38"/>
    </row>
    <row r="58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9"/>
      <c r="P58" s="39"/>
      <c r="Q58" s="39"/>
      <c r="R58" s="38"/>
      <c r="S58" s="40"/>
      <c r="T58" s="40"/>
      <c r="U58" s="40"/>
      <c r="V58" s="40"/>
      <c r="W58" s="38"/>
      <c r="X58" s="38"/>
      <c r="Y58" s="38"/>
    </row>
    <row r="59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9"/>
      <c r="P59" s="39"/>
      <c r="Q59" s="39"/>
      <c r="R59" s="38"/>
      <c r="S59" s="40"/>
      <c r="T59" s="40"/>
      <c r="U59" s="40"/>
      <c r="V59" s="40"/>
      <c r="W59" s="38"/>
      <c r="X59" s="38"/>
      <c r="Y59" s="38"/>
    </row>
    <row r="60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9"/>
      <c r="P60" s="39"/>
      <c r="Q60" s="39"/>
      <c r="R60" s="38"/>
      <c r="S60" s="40"/>
      <c r="T60" s="40"/>
      <c r="U60" s="40"/>
      <c r="V60" s="40"/>
      <c r="W60" s="38"/>
      <c r="X60" s="38"/>
      <c r="Y60" s="38"/>
    </row>
    <row r="6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9"/>
      <c r="P61" s="39"/>
      <c r="Q61" s="39"/>
      <c r="R61" s="38"/>
      <c r="S61" s="40"/>
      <c r="T61" s="40"/>
      <c r="U61" s="40"/>
      <c r="V61" s="40"/>
      <c r="W61" s="38"/>
      <c r="X61" s="38"/>
      <c r="Y61" s="38"/>
    </row>
    <row r="6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9"/>
      <c r="P62" s="39"/>
      <c r="Q62" s="39"/>
      <c r="R62" s="38"/>
      <c r="S62" s="40"/>
      <c r="T62" s="40"/>
      <c r="U62" s="40"/>
      <c r="V62" s="40"/>
      <c r="W62" s="38"/>
      <c r="X62" s="38"/>
      <c r="Y62" s="38"/>
    </row>
    <row r="6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9"/>
      <c r="P63" s="39"/>
      <c r="Q63" s="39"/>
      <c r="R63" s="38"/>
      <c r="S63" s="40"/>
      <c r="T63" s="40"/>
      <c r="U63" s="40"/>
      <c r="V63" s="40"/>
      <c r="W63" s="38"/>
      <c r="X63" s="38"/>
      <c r="Y63" s="38"/>
    </row>
    <row r="64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9"/>
      <c r="P64" s="39"/>
      <c r="Q64" s="39"/>
      <c r="R64" s="38"/>
      <c r="S64" s="40"/>
      <c r="T64" s="40"/>
      <c r="U64" s="40"/>
      <c r="V64" s="40"/>
      <c r="W64" s="38"/>
      <c r="X64" s="38"/>
      <c r="Y64" s="38"/>
    </row>
    <row r="6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9"/>
      <c r="P65" s="39"/>
      <c r="Q65" s="39"/>
      <c r="R65" s="38"/>
      <c r="S65" s="40"/>
      <c r="T65" s="40"/>
      <c r="U65" s="40"/>
      <c r="V65" s="40"/>
      <c r="W65" s="38"/>
      <c r="X65" s="38"/>
      <c r="Y65" s="38"/>
    </row>
    <row r="66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9"/>
      <c r="P66" s="39"/>
      <c r="Q66" s="39"/>
      <c r="R66" s="38"/>
      <c r="S66" s="40"/>
      <c r="T66" s="40"/>
      <c r="U66" s="40"/>
      <c r="V66" s="40"/>
      <c r="W66" s="38"/>
      <c r="X66" s="38"/>
      <c r="Y66" s="38"/>
    </row>
    <row r="67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9"/>
      <c r="P67" s="39"/>
      <c r="Q67" s="39"/>
      <c r="R67" s="38"/>
      <c r="S67" s="40"/>
      <c r="T67" s="40"/>
      <c r="U67" s="40"/>
      <c r="V67" s="40"/>
      <c r="W67" s="38"/>
      <c r="X67" s="38"/>
      <c r="Y67" s="38"/>
    </row>
    <row r="68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9"/>
      <c r="P68" s="39"/>
      <c r="Q68" s="39"/>
      <c r="R68" s="38"/>
      <c r="S68" s="40"/>
      <c r="T68" s="40"/>
      <c r="U68" s="40"/>
      <c r="V68" s="40"/>
      <c r="W68" s="38"/>
      <c r="X68" s="38"/>
      <c r="Y68" s="38"/>
    </row>
    <row r="69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9"/>
      <c r="P69" s="39"/>
      <c r="Q69" s="39"/>
      <c r="R69" s="38"/>
      <c r="S69" s="40"/>
      <c r="T69" s="40"/>
      <c r="U69" s="40"/>
      <c r="V69" s="40"/>
      <c r="W69" s="38"/>
      <c r="X69" s="38"/>
      <c r="Y69" s="38"/>
    </row>
    <row r="70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9"/>
      <c r="P70" s="39"/>
      <c r="Q70" s="39"/>
      <c r="R70" s="38"/>
      <c r="S70" s="40"/>
      <c r="T70" s="40"/>
      <c r="U70" s="40"/>
      <c r="V70" s="40"/>
      <c r="W70" s="38"/>
      <c r="X70" s="38"/>
      <c r="Y70" s="38"/>
    </row>
    <row r="7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9"/>
      <c r="P71" s="39"/>
      <c r="Q71" s="39"/>
      <c r="R71" s="38"/>
      <c r="S71" s="40"/>
      <c r="T71" s="40"/>
      <c r="U71" s="40"/>
      <c r="V71" s="40"/>
      <c r="W71" s="38"/>
      <c r="X71" s="38"/>
      <c r="Y71" s="38"/>
    </row>
    <row r="7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9"/>
      <c r="P72" s="39"/>
      <c r="Q72" s="39"/>
      <c r="R72" s="38"/>
      <c r="S72" s="40"/>
      <c r="T72" s="40"/>
      <c r="U72" s="40"/>
      <c r="V72" s="40"/>
      <c r="W72" s="38"/>
      <c r="X72" s="38"/>
      <c r="Y72" s="38"/>
    </row>
    <row r="7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9"/>
      <c r="P73" s="39"/>
      <c r="Q73" s="39"/>
      <c r="R73" s="38"/>
      <c r="S73" s="40"/>
      <c r="T73" s="40"/>
      <c r="U73" s="40"/>
      <c r="V73" s="40"/>
      <c r="W73" s="38"/>
      <c r="X73" s="38"/>
      <c r="Y73" s="38"/>
    </row>
    <row r="74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9"/>
      <c r="P74" s="39"/>
      <c r="Q74" s="39"/>
      <c r="R74" s="38"/>
      <c r="S74" s="40"/>
      <c r="T74" s="40"/>
      <c r="U74" s="40"/>
      <c r="V74" s="40"/>
      <c r="W74" s="38"/>
      <c r="X74" s="38"/>
      <c r="Y74" s="38"/>
    </row>
    <row r="7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9"/>
      <c r="P75" s="39"/>
      <c r="Q75" s="39"/>
      <c r="R75" s="38"/>
      <c r="S75" s="40"/>
      <c r="T75" s="40"/>
      <c r="U75" s="40"/>
      <c r="V75" s="40"/>
      <c r="W75" s="38"/>
      <c r="X75" s="38"/>
      <c r="Y75" s="38"/>
    </row>
    <row r="76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9"/>
      <c r="P76" s="39"/>
      <c r="Q76" s="39"/>
      <c r="R76" s="38"/>
      <c r="S76" s="40"/>
      <c r="T76" s="40"/>
      <c r="U76" s="40"/>
      <c r="V76" s="40"/>
      <c r="W76" s="38"/>
      <c r="X76" s="38"/>
      <c r="Y76" s="38"/>
    </row>
    <row r="77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9"/>
      <c r="P77" s="39"/>
      <c r="Q77" s="39"/>
      <c r="R77" s="38"/>
      <c r="S77" s="40"/>
      <c r="T77" s="40"/>
      <c r="U77" s="40"/>
      <c r="V77" s="40"/>
      <c r="W77" s="38"/>
      <c r="X77" s="38"/>
      <c r="Y77" s="38"/>
    </row>
    <row r="78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9"/>
      <c r="P78" s="39"/>
      <c r="Q78" s="39"/>
      <c r="R78" s="38"/>
      <c r="S78" s="40"/>
      <c r="T78" s="40"/>
      <c r="U78" s="40"/>
      <c r="V78" s="40"/>
      <c r="W78" s="38"/>
      <c r="X78" s="38"/>
      <c r="Y78" s="38"/>
    </row>
    <row r="79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9"/>
      <c r="P79" s="39"/>
      <c r="Q79" s="39"/>
      <c r="R79" s="38"/>
      <c r="S79" s="40"/>
      <c r="T79" s="40"/>
      <c r="U79" s="40"/>
      <c r="V79" s="40"/>
      <c r="W79" s="38"/>
      <c r="X79" s="38"/>
      <c r="Y79" s="38"/>
    </row>
    <row r="80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9"/>
      <c r="P80" s="39"/>
      <c r="Q80" s="39"/>
      <c r="R80" s="38"/>
      <c r="S80" s="40"/>
      <c r="T80" s="40"/>
      <c r="U80" s="40"/>
      <c r="V80" s="40"/>
      <c r="W80" s="38"/>
      <c r="X80" s="38"/>
      <c r="Y80" s="38"/>
    </row>
    <row r="8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9"/>
      <c r="P81" s="39"/>
      <c r="Q81" s="39"/>
      <c r="R81" s="38"/>
      <c r="S81" s="40"/>
      <c r="T81" s="40"/>
      <c r="U81" s="40"/>
      <c r="V81" s="40"/>
      <c r="W81" s="38"/>
      <c r="X81" s="38"/>
      <c r="Y81" s="38"/>
    </row>
    <row r="8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9"/>
      <c r="P82" s="39"/>
      <c r="Q82" s="39"/>
      <c r="R82" s="38"/>
      <c r="S82" s="40"/>
      <c r="T82" s="40"/>
      <c r="U82" s="40"/>
      <c r="V82" s="40"/>
      <c r="W82" s="38"/>
      <c r="X82" s="38"/>
      <c r="Y82" s="38"/>
    </row>
    <row r="8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9"/>
      <c r="P83" s="39"/>
      <c r="Q83" s="39"/>
      <c r="R83" s="38"/>
      <c r="S83" s="40"/>
      <c r="T83" s="40"/>
      <c r="U83" s="40"/>
      <c r="V83" s="40"/>
      <c r="W83" s="38"/>
      <c r="X83" s="38"/>
      <c r="Y83" s="38"/>
    </row>
    <row r="84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9"/>
      <c r="P84" s="39"/>
      <c r="Q84" s="39"/>
      <c r="R84" s="38"/>
      <c r="S84" s="40"/>
      <c r="T84" s="40"/>
      <c r="U84" s="40"/>
      <c r="V84" s="40"/>
      <c r="W84" s="38"/>
      <c r="X84" s="38"/>
      <c r="Y84" s="38"/>
    </row>
    <row r="8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9"/>
      <c r="P85" s="39"/>
      <c r="Q85" s="39"/>
      <c r="R85" s="38"/>
      <c r="S85" s="40"/>
      <c r="T85" s="40"/>
      <c r="U85" s="40"/>
      <c r="V85" s="40"/>
      <c r="W85" s="38"/>
      <c r="X85" s="38"/>
      <c r="Y85" s="38"/>
    </row>
    <row r="86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9"/>
      <c r="P86" s="39"/>
      <c r="Q86" s="39"/>
      <c r="R86" s="38"/>
      <c r="S86" s="40"/>
      <c r="T86" s="40"/>
      <c r="U86" s="40"/>
      <c r="V86" s="40"/>
      <c r="W86" s="38"/>
      <c r="X86" s="38"/>
      <c r="Y86" s="38"/>
    </row>
    <row r="87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9"/>
      <c r="P87" s="39"/>
      <c r="Q87" s="39"/>
      <c r="R87" s="38"/>
      <c r="S87" s="40"/>
      <c r="T87" s="40"/>
      <c r="U87" s="40"/>
      <c r="V87" s="40"/>
      <c r="W87" s="38"/>
      <c r="X87" s="38"/>
      <c r="Y87" s="38"/>
    </row>
    <row r="88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9"/>
      <c r="P88" s="39"/>
      <c r="Q88" s="39"/>
      <c r="R88" s="38"/>
      <c r="S88" s="40"/>
      <c r="T88" s="40"/>
      <c r="U88" s="40"/>
      <c r="V88" s="40"/>
      <c r="W88" s="38"/>
      <c r="X88" s="38"/>
      <c r="Y88" s="38"/>
    </row>
    <row r="89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9"/>
      <c r="P89" s="39"/>
      <c r="Q89" s="39"/>
      <c r="R89" s="38"/>
      <c r="S89" s="40"/>
      <c r="T89" s="40"/>
      <c r="U89" s="40"/>
      <c r="V89" s="40"/>
      <c r="W89" s="38"/>
      <c r="X89" s="38"/>
      <c r="Y89" s="38"/>
    </row>
    <row r="90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9"/>
      <c r="P90" s="39"/>
      <c r="Q90" s="39"/>
      <c r="R90" s="38"/>
      <c r="S90" s="40"/>
      <c r="T90" s="40"/>
      <c r="U90" s="40"/>
      <c r="V90" s="40"/>
      <c r="W90" s="38"/>
      <c r="X90" s="38"/>
      <c r="Y90" s="38"/>
    </row>
    <row r="9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9"/>
      <c r="P91" s="39"/>
      <c r="Q91" s="39"/>
      <c r="R91" s="38"/>
      <c r="S91" s="40"/>
      <c r="T91" s="40"/>
      <c r="U91" s="40"/>
      <c r="V91" s="40"/>
      <c r="W91" s="38"/>
      <c r="X91" s="38"/>
      <c r="Y91" s="38"/>
    </row>
    <row r="9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9"/>
      <c r="P92" s="39"/>
      <c r="Q92" s="39"/>
      <c r="R92" s="38"/>
      <c r="S92" s="40"/>
      <c r="T92" s="40"/>
      <c r="U92" s="40"/>
      <c r="V92" s="40"/>
      <c r="W92" s="38"/>
      <c r="X92" s="38"/>
      <c r="Y92" s="38"/>
    </row>
    <row r="93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9"/>
      <c r="P93" s="39"/>
      <c r="Q93" s="39"/>
      <c r="R93" s="38"/>
      <c r="S93" s="40"/>
      <c r="T93" s="40"/>
      <c r="U93" s="40"/>
      <c r="V93" s="40"/>
      <c r="W93" s="38"/>
      <c r="X93" s="38"/>
      <c r="Y93" s="38"/>
    </row>
    <row r="94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9"/>
      <c r="P94" s="39"/>
      <c r="Q94" s="39"/>
      <c r="R94" s="38"/>
      <c r="S94" s="40"/>
      <c r="T94" s="40"/>
      <c r="U94" s="40"/>
      <c r="V94" s="40"/>
      <c r="W94" s="38"/>
      <c r="X94" s="38"/>
      <c r="Y94" s="38"/>
    </row>
    <row r="9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9"/>
      <c r="P95" s="39"/>
      <c r="Q95" s="39"/>
      <c r="R95" s="38"/>
      <c r="S95" s="40"/>
      <c r="T95" s="40"/>
      <c r="U95" s="40"/>
      <c r="V95" s="40"/>
      <c r="W95" s="38"/>
      <c r="X95" s="38"/>
      <c r="Y95" s="38"/>
    </row>
    <row r="96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9"/>
      <c r="P96" s="39"/>
      <c r="Q96" s="39"/>
      <c r="R96" s="38"/>
      <c r="S96" s="40"/>
      <c r="T96" s="40"/>
      <c r="U96" s="40"/>
      <c r="V96" s="40"/>
      <c r="W96" s="38"/>
      <c r="X96" s="38"/>
      <c r="Y96" s="38"/>
    </row>
    <row r="97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9"/>
      <c r="P97" s="39"/>
      <c r="Q97" s="39"/>
      <c r="R97" s="38"/>
      <c r="S97" s="40"/>
      <c r="T97" s="40"/>
      <c r="U97" s="40"/>
      <c r="V97" s="40"/>
      <c r="W97" s="38"/>
      <c r="X97" s="38"/>
      <c r="Y97" s="38"/>
    </row>
    <row r="98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9"/>
      <c r="P98" s="39"/>
      <c r="Q98" s="39"/>
      <c r="R98" s="38"/>
      <c r="S98" s="40"/>
      <c r="T98" s="40"/>
      <c r="U98" s="40"/>
      <c r="V98" s="40"/>
      <c r="W98" s="38"/>
      <c r="X98" s="38"/>
      <c r="Y98" s="38"/>
    </row>
    <row r="99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9"/>
      <c r="P99" s="39"/>
      <c r="Q99" s="39"/>
      <c r="R99" s="38"/>
      <c r="S99" s="40"/>
      <c r="T99" s="40"/>
      <c r="U99" s="40"/>
      <c r="V99" s="40"/>
      <c r="W99" s="38"/>
      <c r="X99" s="38"/>
      <c r="Y99" s="38"/>
    </row>
    <row r="100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9"/>
      <c r="P100" s="39"/>
      <c r="Q100" s="39"/>
      <c r="R100" s="38"/>
      <c r="S100" s="40"/>
      <c r="T100" s="40"/>
      <c r="U100" s="40"/>
      <c r="V100" s="40"/>
      <c r="W100" s="38"/>
      <c r="X100" s="38"/>
      <c r="Y100" s="38"/>
    </row>
    <row r="10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9"/>
      <c r="P101" s="39"/>
      <c r="Q101" s="39"/>
      <c r="R101" s="38"/>
      <c r="S101" s="40"/>
      <c r="T101" s="40"/>
      <c r="U101" s="40"/>
      <c r="V101" s="40"/>
      <c r="W101" s="38"/>
      <c r="X101" s="38"/>
      <c r="Y101" s="38"/>
    </row>
    <row r="10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9"/>
      <c r="P102" s="39"/>
      <c r="Q102" s="39"/>
      <c r="R102" s="38"/>
      <c r="S102" s="40"/>
      <c r="T102" s="40"/>
      <c r="U102" s="40"/>
      <c r="V102" s="40"/>
      <c r="W102" s="38"/>
      <c r="X102" s="38"/>
      <c r="Y102" s="38"/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9"/>
      <c r="P103" s="39"/>
      <c r="Q103" s="39"/>
      <c r="R103" s="38"/>
      <c r="S103" s="40"/>
      <c r="T103" s="40"/>
      <c r="U103" s="40"/>
      <c r="V103" s="40"/>
      <c r="W103" s="38"/>
      <c r="X103" s="38"/>
      <c r="Y103" s="38"/>
    </row>
    <row r="104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9"/>
      <c r="P104" s="39"/>
      <c r="Q104" s="39"/>
      <c r="R104" s="38"/>
      <c r="S104" s="40"/>
      <c r="T104" s="40"/>
      <c r="U104" s="40"/>
      <c r="V104" s="40"/>
      <c r="W104" s="38"/>
      <c r="X104" s="38"/>
      <c r="Y104" s="38"/>
    </row>
    <row r="10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9"/>
      <c r="P105" s="39"/>
      <c r="Q105" s="39"/>
      <c r="R105" s="38"/>
      <c r="S105" s="40"/>
      <c r="T105" s="40"/>
      <c r="U105" s="40"/>
      <c r="V105" s="40"/>
      <c r="W105" s="38"/>
      <c r="X105" s="38"/>
      <c r="Y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9"/>
      <c r="P106" s="39"/>
      <c r="Q106" s="39"/>
      <c r="R106" s="38"/>
      <c r="S106" s="40"/>
      <c r="T106" s="40"/>
      <c r="U106" s="40"/>
      <c r="V106" s="40"/>
      <c r="W106" s="38"/>
      <c r="X106" s="38"/>
      <c r="Y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9"/>
      <c r="P107" s="39"/>
      <c r="Q107" s="39"/>
      <c r="R107" s="38"/>
      <c r="S107" s="40"/>
      <c r="T107" s="40"/>
      <c r="U107" s="40"/>
      <c r="V107" s="40"/>
      <c r="W107" s="38"/>
      <c r="X107" s="38"/>
      <c r="Y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9"/>
      <c r="P108" s="39"/>
      <c r="Q108" s="39"/>
      <c r="R108" s="38"/>
      <c r="S108" s="40"/>
      <c r="T108" s="40"/>
      <c r="U108" s="40"/>
      <c r="V108" s="40"/>
      <c r="W108" s="38"/>
      <c r="X108" s="38"/>
      <c r="Y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9"/>
      <c r="P109" s="39"/>
      <c r="Q109" s="39"/>
      <c r="R109" s="38"/>
      <c r="S109" s="40"/>
      <c r="T109" s="40"/>
      <c r="U109" s="40"/>
      <c r="V109" s="40"/>
      <c r="W109" s="38"/>
      <c r="X109" s="38"/>
      <c r="Y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9"/>
      <c r="P110" s="39"/>
      <c r="Q110" s="39"/>
      <c r="R110" s="38"/>
      <c r="S110" s="40"/>
      <c r="T110" s="40"/>
      <c r="U110" s="40"/>
      <c r="V110" s="40"/>
      <c r="W110" s="38"/>
      <c r="X110" s="38"/>
      <c r="Y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9"/>
      <c r="P111" s="39"/>
      <c r="Q111" s="39"/>
      <c r="R111" s="38"/>
      <c r="S111" s="40"/>
      <c r="T111" s="40"/>
      <c r="U111" s="40"/>
      <c r="V111" s="40"/>
      <c r="W111" s="38"/>
      <c r="X111" s="38"/>
      <c r="Y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9"/>
      <c r="P112" s="39"/>
      <c r="Q112" s="39"/>
      <c r="R112" s="38"/>
      <c r="S112" s="40"/>
      <c r="T112" s="40"/>
      <c r="U112" s="40"/>
      <c r="V112" s="40"/>
      <c r="W112" s="38"/>
      <c r="X112" s="38"/>
      <c r="Y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9"/>
      <c r="P113" s="39"/>
      <c r="Q113" s="39"/>
      <c r="R113" s="38"/>
      <c r="S113" s="40"/>
      <c r="T113" s="40"/>
      <c r="U113" s="40"/>
      <c r="V113" s="40"/>
      <c r="W113" s="38"/>
      <c r="X113" s="38"/>
      <c r="Y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9"/>
      <c r="P114" s="39"/>
      <c r="Q114" s="39"/>
      <c r="R114" s="38"/>
      <c r="S114" s="40"/>
      <c r="T114" s="40"/>
      <c r="U114" s="40"/>
      <c r="V114" s="40"/>
      <c r="W114" s="38"/>
      <c r="X114" s="38"/>
      <c r="Y114" s="38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9"/>
      <c r="P115" s="39"/>
      <c r="Q115" s="39"/>
      <c r="R115" s="38"/>
      <c r="S115" s="40"/>
      <c r="T115" s="40"/>
      <c r="U115" s="40"/>
      <c r="V115" s="40"/>
      <c r="W115" s="38"/>
      <c r="X115" s="38"/>
      <c r="Y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9"/>
      <c r="P116" s="39"/>
      <c r="Q116" s="39"/>
      <c r="R116" s="38"/>
      <c r="S116" s="40"/>
      <c r="T116" s="40"/>
      <c r="U116" s="40"/>
      <c r="V116" s="40"/>
      <c r="W116" s="38"/>
      <c r="X116" s="38"/>
      <c r="Y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9"/>
      <c r="P117" s="39"/>
      <c r="Q117" s="39"/>
      <c r="R117" s="38"/>
      <c r="S117" s="40"/>
      <c r="T117" s="40"/>
      <c r="U117" s="40"/>
      <c r="V117" s="40"/>
      <c r="W117" s="38"/>
      <c r="X117" s="38"/>
      <c r="Y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9"/>
      <c r="P118" s="39"/>
      <c r="Q118" s="39"/>
      <c r="R118" s="38"/>
      <c r="S118" s="40"/>
      <c r="T118" s="40"/>
      <c r="U118" s="40"/>
      <c r="V118" s="40"/>
      <c r="W118" s="38"/>
      <c r="X118" s="38"/>
      <c r="Y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9"/>
      <c r="P119" s="39"/>
      <c r="Q119" s="39"/>
      <c r="R119" s="38"/>
      <c r="S119" s="40"/>
      <c r="T119" s="40"/>
      <c r="U119" s="40"/>
      <c r="V119" s="40"/>
      <c r="W119" s="38"/>
      <c r="X119" s="38"/>
      <c r="Y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9"/>
      <c r="P120" s="39"/>
      <c r="Q120" s="39"/>
      <c r="R120" s="38"/>
      <c r="S120" s="40"/>
      <c r="T120" s="40"/>
      <c r="U120" s="40"/>
      <c r="V120" s="40"/>
      <c r="W120" s="38"/>
      <c r="X120" s="38"/>
      <c r="Y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9"/>
      <c r="P121" s="39"/>
      <c r="Q121" s="39"/>
      <c r="R121" s="38"/>
      <c r="S121" s="40"/>
      <c r="T121" s="40"/>
      <c r="U121" s="40"/>
      <c r="V121" s="40"/>
      <c r="W121" s="38"/>
      <c r="X121" s="38"/>
      <c r="Y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9"/>
      <c r="P122" s="39"/>
      <c r="Q122" s="39"/>
      <c r="R122" s="38"/>
      <c r="S122" s="40"/>
      <c r="T122" s="40"/>
      <c r="U122" s="40"/>
      <c r="V122" s="40"/>
      <c r="W122" s="38"/>
      <c r="X122" s="38"/>
      <c r="Y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9"/>
      <c r="P123" s="39"/>
      <c r="Q123" s="39"/>
      <c r="R123" s="38"/>
      <c r="S123" s="40"/>
      <c r="T123" s="40"/>
      <c r="U123" s="40"/>
      <c r="V123" s="40"/>
      <c r="W123" s="38"/>
      <c r="X123" s="38"/>
      <c r="Y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9"/>
      <c r="P124" s="39"/>
      <c r="Q124" s="39"/>
      <c r="R124" s="38"/>
      <c r="S124" s="40"/>
      <c r="T124" s="40"/>
      <c r="U124" s="40"/>
      <c r="V124" s="40"/>
      <c r="W124" s="38"/>
      <c r="X124" s="38"/>
      <c r="Y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9"/>
      <c r="P125" s="39"/>
      <c r="Q125" s="39"/>
      <c r="R125" s="38"/>
      <c r="S125" s="40"/>
      <c r="T125" s="40"/>
      <c r="U125" s="40"/>
      <c r="V125" s="40"/>
      <c r="W125" s="38"/>
      <c r="X125" s="38"/>
      <c r="Y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9"/>
      <c r="P126" s="39"/>
      <c r="Q126" s="39"/>
      <c r="R126" s="38"/>
      <c r="S126" s="40"/>
      <c r="T126" s="40"/>
      <c r="U126" s="40"/>
      <c r="V126" s="40"/>
      <c r="W126" s="38"/>
      <c r="X126" s="38"/>
      <c r="Y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9"/>
      <c r="P127" s="39"/>
      <c r="Q127" s="39"/>
      <c r="R127" s="38"/>
      <c r="S127" s="40"/>
      <c r="T127" s="40"/>
      <c r="U127" s="40"/>
      <c r="V127" s="40"/>
      <c r="W127" s="38"/>
      <c r="X127" s="38"/>
      <c r="Y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9"/>
      <c r="P128" s="39"/>
      <c r="Q128" s="39"/>
      <c r="R128" s="38"/>
      <c r="S128" s="40"/>
      <c r="T128" s="40"/>
      <c r="U128" s="40"/>
      <c r="V128" s="40"/>
      <c r="W128" s="38"/>
      <c r="X128" s="38"/>
      <c r="Y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9"/>
      <c r="P129" s="39"/>
      <c r="Q129" s="39"/>
      <c r="R129" s="38"/>
      <c r="S129" s="40"/>
      <c r="T129" s="40"/>
      <c r="U129" s="40"/>
      <c r="V129" s="40"/>
      <c r="W129" s="38"/>
      <c r="X129" s="38"/>
      <c r="Y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9"/>
      <c r="P130" s="39"/>
      <c r="Q130" s="39"/>
      <c r="R130" s="38"/>
      <c r="S130" s="40"/>
      <c r="T130" s="40"/>
      <c r="U130" s="40"/>
      <c r="V130" s="40"/>
      <c r="W130" s="38"/>
      <c r="X130" s="38"/>
      <c r="Y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9"/>
      <c r="P131" s="39"/>
      <c r="Q131" s="39"/>
      <c r="R131" s="38"/>
      <c r="S131" s="40"/>
      <c r="T131" s="40"/>
      <c r="U131" s="40"/>
      <c r="V131" s="40"/>
      <c r="W131" s="38"/>
      <c r="X131" s="38"/>
      <c r="Y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9"/>
      <c r="P132" s="39"/>
      <c r="Q132" s="39"/>
      <c r="R132" s="38"/>
      <c r="S132" s="40"/>
      <c r="T132" s="40"/>
      <c r="U132" s="40"/>
      <c r="V132" s="40"/>
      <c r="W132" s="38"/>
      <c r="X132" s="38"/>
      <c r="Y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9"/>
      <c r="P133" s="39"/>
      <c r="Q133" s="39"/>
      <c r="R133" s="38"/>
      <c r="S133" s="40"/>
      <c r="T133" s="40"/>
      <c r="U133" s="40"/>
      <c r="V133" s="40"/>
      <c r="W133" s="38"/>
      <c r="X133" s="38"/>
      <c r="Y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9"/>
      <c r="P134" s="39"/>
      <c r="Q134" s="39"/>
      <c r="R134" s="38"/>
      <c r="S134" s="40"/>
      <c r="T134" s="40"/>
      <c r="U134" s="40"/>
      <c r="V134" s="40"/>
      <c r="W134" s="38"/>
      <c r="X134" s="38"/>
      <c r="Y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9"/>
      <c r="P135" s="39"/>
      <c r="Q135" s="39"/>
      <c r="R135" s="38"/>
      <c r="S135" s="40"/>
      <c r="T135" s="40"/>
      <c r="U135" s="40"/>
      <c r="V135" s="40"/>
      <c r="W135" s="38"/>
      <c r="X135" s="38"/>
      <c r="Y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9"/>
      <c r="P136" s="39"/>
      <c r="Q136" s="39"/>
      <c r="R136" s="38"/>
      <c r="S136" s="40"/>
      <c r="T136" s="40"/>
      <c r="U136" s="40"/>
      <c r="V136" s="40"/>
      <c r="W136" s="38"/>
      <c r="X136" s="38"/>
      <c r="Y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9"/>
      <c r="P137" s="39"/>
      <c r="Q137" s="39"/>
      <c r="R137" s="38"/>
      <c r="S137" s="40"/>
      <c r="T137" s="40"/>
      <c r="U137" s="40"/>
      <c r="V137" s="40"/>
      <c r="W137" s="38"/>
      <c r="X137" s="38"/>
      <c r="Y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9"/>
      <c r="P138" s="39"/>
      <c r="Q138" s="39"/>
      <c r="R138" s="38"/>
      <c r="S138" s="40"/>
      <c r="T138" s="40"/>
      <c r="U138" s="40"/>
      <c r="V138" s="40"/>
      <c r="W138" s="38"/>
      <c r="X138" s="38"/>
      <c r="Y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9"/>
      <c r="P139" s="39"/>
      <c r="Q139" s="39"/>
      <c r="R139" s="38"/>
      <c r="S139" s="40"/>
      <c r="T139" s="40"/>
      <c r="U139" s="40"/>
      <c r="V139" s="40"/>
      <c r="W139" s="38"/>
      <c r="X139" s="38"/>
      <c r="Y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9"/>
      <c r="P140" s="39"/>
      <c r="Q140" s="39"/>
      <c r="R140" s="38"/>
      <c r="S140" s="40"/>
      <c r="T140" s="40"/>
      <c r="U140" s="40"/>
      <c r="V140" s="40"/>
      <c r="W140" s="38"/>
      <c r="X140" s="38"/>
      <c r="Y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9"/>
      <c r="P141" s="39"/>
      <c r="Q141" s="39"/>
      <c r="R141" s="38"/>
      <c r="S141" s="40"/>
      <c r="T141" s="40"/>
      <c r="U141" s="40"/>
      <c r="V141" s="40"/>
      <c r="W141" s="38"/>
      <c r="X141" s="38"/>
      <c r="Y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9"/>
      <c r="P142" s="39"/>
      <c r="Q142" s="39"/>
      <c r="R142" s="38"/>
      <c r="S142" s="40"/>
      <c r="T142" s="40"/>
      <c r="U142" s="40"/>
      <c r="V142" s="40"/>
      <c r="W142" s="38"/>
      <c r="X142" s="38"/>
      <c r="Y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9"/>
      <c r="P143" s="39"/>
      <c r="Q143" s="39"/>
      <c r="R143" s="38"/>
      <c r="S143" s="40"/>
      <c r="T143" s="40"/>
      <c r="U143" s="40"/>
      <c r="V143" s="40"/>
      <c r="W143" s="38"/>
      <c r="X143" s="38"/>
      <c r="Y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9"/>
      <c r="P144" s="39"/>
      <c r="Q144" s="39"/>
      <c r="R144" s="38"/>
      <c r="S144" s="40"/>
      <c r="T144" s="40"/>
      <c r="U144" s="40"/>
      <c r="V144" s="40"/>
      <c r="W144" s="38"/>
      <c r="X144" s="38"/>
      <c r="Y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9"/>
      <c r="P145" s="39"/>
      <c r="Q145" s="39"/>
      <c r="R145" s="38"/>
      <c r="S145" s="40"/>
      <c r="T145" s="40"/>
      <c r="U145" s="40"/>
      <c r="V145" s="40"/>
      <c r="W145" s="38"/>
      <c r="X145" s="38"/>
      <c r="Y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9"/>
      <c r="P146" s="39"/>
      <c r="Q146" s="39"/>
      <c r="R146" s="38"/>
      <c r="S146" s="40"/>
      <c r="T146" s="40"/>
      <c r="U146" s="40"/>
      <c r="V146" s="40"/>
      <c r="W146" s="38"/>
      <c r="X146" s="38"/>
      <c r="Y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9"/>
      <c r="P147" s="39"/>
      <c r="Q147" s="39"/>
      <c r="R147" s="38"/>
      <c r="S147" s="40"/>
      <c r="T147" s="40"/>
      <c r="U147" s="40"/>
      <c r="V147" s="40"/>
      <c r="W147" s="38"/>
      <c r="X147" s="38"/>
      <c r="Y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9"/>
      <c r="P148" s="39"/>
      <c r="Q148" s="39"/>
      <c r="R148" s="38"/>
      <c r="S148" s="40"/>
      <c r="T148" s="40"/>
      <c r="U148" s="40"/>
      <c r="V148" s="40"/>
      <c r="W148" s="38"/>
      <c r="X148" s="38"/>
      <c r="Y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9"/>
      <c r="P149" s="39"/>
      <c r="Q149" s="39"/>
      <c r="R149" s="38"/>
      <c r="S149" s="40"/>
      <c r="T149" s="40"/>
      <c r="U149" s="40"/>
      <c r="V149" s="40"/>
      <c r="W149" s="38"/>
      <c r="X149" s="38"/>
      <c r="Y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9"/>
      <c r="P150" s="39"/>
      <c r="Q150" s="39"/>
      <c r="R150" s="38"/>
      <c r="S150" s="40"/>
      <c r="T150" s="40"/>
      <c r="U150" s="40"/>
      <c r="V150" s="40"/>
      <c r="W150" s="38"/>
      <c r="X150" s="38"/>
      <c r="Y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9"/>
      <c r="P151" s="39"/>
      <c r="Q151" s="39"/>
      <c r="R151" s="38"/>
      <c r="S151" s="40"/>
      <c r="T151" s="40"/>
      <c r="U151" s="40"/>
      <c r="V151" s="40"/>
      <c r="W151" s="38"/>
      <c r="X151" s="38"/>
      <c r="Y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9"/>
      <c r="P152" s="39"/>
      <c r="Q152" s="39"/>
      <c r="R152" s="38"/>
      <c r="S152" s="40"/>
      <c r="T152" s="40"/>
      <c r="U152" s="40"/>
      <c r="V152" s="40"/>
      <c r="W152" s="38"/>
      <c r="X152" s="38"/>
      <c r="Y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9"/>
      <c r="P153" s="39"/>
      <c r="Q153" s="39"/>
      <c r="R153" s="38"/>
      <c r="S153" s="40"/>
      <c r="T153" s="40"/>
      <c r="U153" s="40"/>
      <c r="V153" s="40"/>
      <c r="W153" s="38"/>
      <c r="X153" s="38"/>
      <c r="Y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9"/>
      <c r="P154" s="39"/>
      <c r="Q154" s="39"/>
      <c r="R154" s="38"/>
      <c r="S154" s="40"/>
      <c r="T154" s="40"/>
      <c r="U154" s="40"/>
      <c r="V154" s="40"/>
      <c r="W154" s="38"/>
      <c r="X154" s="38"/>
      <c r="Y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9"/>
      <c r="P155" s="39"/>
      <c r="Q155" s="39"/>
      <c r="R155" s="38"/>
      <c r="S155" s="40"/>
      <c r="T155" s="40"/>
      <c r="U155" s="40"/>
      <c r="V155" s="40"/>
      <c r="W155" s="38"/>
      <c r="X155" s="38"/>
      <c r="Y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9"/>
      <c r="P156" s="39"/>
      <c r="Q156" s="39"/>
      <c r="R156" s="38"/>
      <c r="S156" s="40"/>
      <c r="T156" s="40"/>
      <c r="U156" s="40"/>
      <c r="V156" s="40"/>
      <c r="W156" s="38"/>
      <c r="X156" s="38"/>
      <c r="Y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9"/>
      <c r="P157" s="39"/>
      <c r="Q157" s="39"/>
      <c r="R157" s="38"/>
      <c r="S157" s="40"/>
      <c r="T157" s="40"/>
      <c r="U157" s="40"/>
      <c r="V157" s="40"/>
      <c r="W157" s="38"/>
      <c r="X157" s="38"/>
      <c r="Y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9"/>
      <c r="P158" s="39"/>
      <c r="Q158" s="39"/>
      <c r="R158" s="38"/>
      <c r="S158" s="40"/>
      <c r="T158" s="40"/>
      <c r="U158" s="40"/>
      <c r="V158" s="40"/>
      <c r="W158" s="38"/>
      <c r="X158" s="38"/>
      <c r="Y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9"/>
      <c r="P159" s="39"/>
      <c r="Q159" s="39"/>
      <c r="R159" s="38"/>
      <c r="S159" s="40"/>
      <c r="T159" s="40"/>
      <c r="U159" s="40"/>
      <c r="V159" s="40"/>
      <c r="W159" s="38"/>
      <c r="X159" s="38"/>
      <c r="Y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9"/>
      <c r="P160" s="39"/>
      <c r="Q160" s="39"/>
      <c r="R160" s="38"/>
      <c r="S160" s="40"/>
      <c r="T160" s="40"/>
      <c r="U160" s="40"/>
      <c r="V160" s="40"/>
      <c r="W160" s="38"/>
      <c r="X160" s="38"/>
      <c r="Y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9"/>
      <c r="P161" s="39"/>
      <c r="Q161" s="39"/>
      <c r="R161" s="38"/>
      <c r="S161" s="40"/>
      <c r="T161" s="40"/>
      <c r="U161" s="40"/>
      <c r="V161" s="40"/>
      <c r="W161" s="38"/>
      <c r="X161" s="38"/>
      <c r="Y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9"/>
      <c r="P162" s="39"/>
      <c r="Q162" s="39"/>
      <c r="R162" s="38"/>
      <c r="S162" s="40"/>
      <c r="T162" s="40"/>
      <c r="U162" s="40"/>
      <c r="V162" s="40"/>
      <c r="W162" s="38"/>
      <c r="X162" s="38"/>
      <c r="Y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9"/>
      <c r="P163" s="39"/>
      <c r="Q163" s="39"/>
      <c r="R163" s="38"/>
      <c r="S163" s="40"/>
      <c r="T163" s="40"/>
      <c r="U163" s="40"/>
      <c r="V163" s="40"/>
      <c r="W163" s="38"/>
      <c r="X163" s="38"/>
      <c r="Y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9"/>
      <c r="P164" s="39"/>
      <c r="Q164" s="39"/>
      <c r="R164" s="38"/>
      <c r="S164" s="40"/>
      <c r="T164" s="40"/>
      <c r="U164" s="40"/>
      <c r="V164" s="40"/>
      <c r="W164" s="38"/>
      <c r="X164" s="38"/>
      <c r="Y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9"/>
      <c r="P165" s="39"/>
      <c r="Q165" s="39"/>
      <c r="R165" s="38"/>
      <c r="S165" s="40"/>
      <c r="T165" s="40"/>
      <c r="U165" s="40"/>
      <c r="V165" s="40"/>
      <c r="W165" s="38"/>
      <c r="X165" s="38"/>
      <c r="Y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9"/>
      <c r="P166" s="39"/>
      <c r="Q166" s="39"/>
      <c r="R166" s="38"/>
      <c r="S166" s="40"/>
      <c r="T166" s="40"/>
      <c r="U166" s="40"/>
      <c r="V166" s="40"/>
      <c r="W166" s="38"/>
      <c r="X166" s="38"/>
      <c r="Y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9"/>
      <c r="P167" s="39"/>
      <c r="Q167" s="39"/>
      <c r="R167" s="38"/>
      <c r="S167" s="40"/>
      <c r="T167" s="40"/>
      <c r="U167" s="40"/>
      <c r="V167" s="40"/>
      <c r="W167" s="38"/>
      <c r="X167" s="38"/>
      <c r="Y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9"/>
      <c r="P168" s="39"/>
      <c r="Q168" s="39"/>
      <c r="R168" s="38"/>
      <c r="S168" s="40"/>
      <c r="T168" s="40"/>
      <c r="U168" s="40"/>
      <c r="V168" s="40"/>
      <c r="W168" s="38"/>
      <c r="X168" s="38"/>
      <c r="Y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9"/>
      <c r="P169" s="39"/>
      <c r="Q169" s="39"/>
      <c r="R169" s="38"/>
      <c r="S169" s="40"/>
      <c r="T169" s="40"/>
      <c r="U169" s="40"/>
      <c r="V169" s="40"/>
      <c r="W169" s="38"/>
      <c r="X169" s="38"/>
      <c r="Y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9"/>
      <c r="P170" s="39"/>
      <c r="Q170" s="39"/>
      <c r="R170" s="38"/>
      <c r="S170" s="40"/>
      <c r="T170" s="40"/>
      <c r="U170" s="40"/>
      <c r="V170" s="40"/>
      <c r="W170" s="38"/>
      <c r="X170" s="38"/>
      <c r="Y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9"/>
      <c r="P171" s="39"/>
      <c r="Q171" s="39"/>
      <c r="R171" s="38"/>
      <c r="S171" s="40"/>
      <c r="T171" s="40"/>
      <c r="U171" s="40"/>
      <c r="V171" s="40"/>
      <c r="W171" s="38"/>
      <c r="X171" s="38"/>
      <c r="Y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9"/>
      <c r="P172" s="39"/>
      <c r="Q172" s="39"/>
      <c r="R172" s="38"/>
      <c r="S172" s="40"/>
      <c r="T172" s="40"/>
      <c r="U172" s="40"/>
      <c r="V172" s="40"/>
      <c r="W172" s="38"/>
      <c r="X172" s="38"/>
      <c r="Y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9"/>
      <c r="P173" s="39"/>
      <c r="Q173" s="39"/>
      <c r="R173" s="38"/>
      <c r="S173" s="40"/>
      <c r="T173" s="40"/>
      <c r="U173" s="40"/>
      <c r="V173" s="40"/>
      <c r="W173" s="38"/>
      <c r="X173" s="38"/>
      <c r="Y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9"/>
      <c r="P174" s="39"/>
      <c r="Q174" s="39"/>
      <c r="R174" s="38"/>
      <c r="S174" s="40"/>
      <c r="T174" s="40"/>
      <c r="U174" s="40"/>
      <c r="V174" s="40"/>
      <c r="W174" s="38"/>
      <c r="X174" s="38"/>
      <c r="Y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9"/>
      <c r="P175" s="39"/>
      <c r="Q175" s="39"/>
      <c r="R175" s="38"/>
      <c r="S175" s="40"/>
      <c r="T175" s="40"/>
      <c r="U175" s="40"/>
      <c r="V175" s="40"/>
      <c r="W175" s="38"/>
      <c r="X175" s="38"/>
      <c r="Y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9"/>
      <c r="P176" s="39"/>
      <c r="Q176" s="39"/>
      <c r="R176" s="38"/>
      <c r="S176" s="40"/>
      <c r="T176" s="40"/>
      <c r="U176" s="40"/>
      <c r="V176" s="40"/>
      <c r="W176" s="38"/>
      <c r="X176" s="38"/>
      <c r="Y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9"/>
      <c r="P177" s="39"/>
      <c r="Q177" s="39"/>
      <c r="R177" s="38"/>
      <c r="S177" s="40"/>
      <c r="T177" s="40"/>
      <c r="U177" s="40"/>
      <c r="V177" s="40"/>
      <c r="W177" s="38"/>
      <c r="X177" s="38"/>
      <c r="Y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9"/>
      <c r="P178" s="39"/>
      <c r="Q178" s="39"/>
      <c r="R178" s="38"/>
      <c r="S178" s="40"/>
      <c r="T178" s="40"/>
      <c r="U178" s="40"/>
      <c r="V178" s="40"/>
      <c r="W178" s="38"/>
      <c r="X178" s="38"/>
      <c r="Y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9"/>
      <c r="P179" s="39"/>
      <c r="Q179" s="39"/>
      <c r="R179" s="38"/>
      <c r="S179" s="40"/>
      <c r="T179" s="40"/>
      <c r="U179" s="40"/>
      <c r="V179" s="40"/>
      <c r="W179" s="38"/>
      <c r="X179" s="38"/>
      <c r="Y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9"/>
      <c r="P180" s="39"/>
      <c r="Q180" s="39"/>
      <c r="R180" s="38"/>
      <c r="S180" s="40"/>
      <c r="T180" s="40"/>
      <c r="U180" s="40"/>
      <c r="V180" s="40"/>
      <c r="W180" s="38"/>
      <c r="X180" s="38"/>
      <c r="Y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9"/>
      <c r="P181" s="39"/>
      <c r="Q181" s="39"/>
      <c r="R181" s="38"/>
      <c r="S181" s="40"/>
      <c r="T181" s="40"/>
      <c r="U181" s="40"/>
      <c r="V181" s="40"/>
      <c r="W181" s="38"/>
      <c r="X181" s="38"/>
      <c r="Y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9"/>
      <c r="P182" s="39"/>
      <c r="Q182" s="39"/>
      <c r="R182" s="38"/>
      <c r="S182" s="40"/>
      <c r="T182" s="40"/>
      <c r="U182" s="40"/>
      <c r="V182" s="40"/>
      <c r="W182" s="38"/>
      <c r="X182" s="38"/>
      <c r="Y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9"/>
      <c r="P183" s="39"/>
      <c r="Q183" s="39"/>
      <c r="R183" s="38"/>
      <c r="S183" s="40"/>
      <c r="T183" s="40"/>
      <c r="U183" s="40"/>
      <c r="V183" s="40"/>
      <c r="W183" s="38"/>
      <c r="X183" s="38"/>
      <c r="Y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9"/>
      <c r="P184" s="39"/>
      <c r="Q184" s="39"/>
      <c r="R184" s="38"/>
      <c r="S184" s="40"/>
      <c r="T184" s="40"/>
      <c r="U184" s="40"/>
      <c r="V184" s="40"/>
      <c r="W184" s="38"/>
      <c r="X184" s="38"/>
      <c r="Y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9"/>
      <c r="P185" s="39"/>
      <c r="Q185" s="39"/>
      <c r="R185" s="38"/>
      <c r="S185" s="40"/>
      <c r="T185" s="40"/>
      <c r="U185" s="40"/>
      <c r="V185" s="40"/>
      <c r="W185" s="38"/>
      <c r="X185" s="38"/>
      <c r="Y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9"/>
      <c r="P186" s="39"/>
      <c r="Q186" s="39"/>
      <c r="R186" s="38"/>
      <c r="S186" s="40"/>
      <c r="T186" s="40"/>
      <c r="U186" s="40"/>
      <c r="V186" s="40"/>
      <c r="W186" s="38"/>
      <c r="X186" s="38"/>
      <c r="Y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9"/>
      <c r="P187" s="39"/>
      <c r="Q187" s="39"/>
      <c r="R187" s="38"/>
      <c r="S187" s="40"/>
      <c r="T187" s="40"/>
      <c r="U187" s="40"/>
      <c r="V187" s="40"/>
      <c r="W187" s="38"/>
      <c r="X187" s="38"/>
      <c r="Y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9"/>
      <c r="P188" s="39"/>
      <c r="Q188" s="39"/>
      <c r="R188" s="38"/>
      <c r="S188" s="40"/>
      <c r="T188" s="40"/>
      <c r="U188" s="40"/>
      <c r="V188" s="40"/>
      <c r="W188" s="38"/>
      <c r="X188" s="38"/>
      <c r="Y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9"/>
      <c r="P189" s="39"/>
      <c r="Q189" s="39"/>
      <c r="R189" s="38"/>
      <c r="S189" s="40"/>
      <c r="T189" s="40"/>
      <c r="U189" s="40"/>
      <c r="V189" s="40"/>
      <c r="W189" s="38"/>
      <c r="X189" s="38"/>
      <c r="Y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9"/>
      <c r="P190" s="39"/>
      <c r="Q190" s="39"/>
      <c r="R190" s="38"/>
      <c r="S190" s="40"/>
      <c r="T190" s="40"/>
      <c r="U190" s="40"/>
      <c r="V190" s="40"/>
      <c r="W190" s="38"/>
      <c r="X190" s="38"/>
      <c r="Y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9"/>
      <c r="P191" s="39"/>
      <c r="Q191" s="39"/>
      <c r="R191" s="38"/>
      <c r="S191" s="40"/>
      <c r="T191" s="40"/>
      <c r="U191" s="40"/>
      <c r="V191" s="40"/>
      <c r="W191" s="38"/>
      <c r="X191" s="38"/>
      <c r="Y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9"/>
      <c r="P192" s="39"/>
      <c r="Q192" s="39"/>
      <c r="R192" s="38"/>
      <c r="S192" s="40"/>
      <c r="T192" s="40"/>
      <c r="U192" s="40"/>
      <c r="V192" s="40"/>
      <c r="W192" s="38"/>
      <c r="X192" s="38"/>
      <c r="Y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9"/>
      <c r="P193" s="39"/>
      <c r="Q193" s="39"/>
      <c r="R193" s="38"/>
      <c r="S193" s="40"/>
      <c r="T193" s="40"/>
      <c r="U193" s="40"/>
      <c r="V193" s="40"/>
      <c r="W193" s="38"/>
      <c r="X193" s="38"/>
      <c r="Y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9"/>
      <c r="P194" s="39"/>
      <c r="Q194" s="39"/>
      <c r="R194" s="38"/>
      <c r="S194" s="40"/>
      <c r="T194" s="40"/>
      <c r="U194" s="40"/>
      <c r="V194" s="40"/>
      <c r="W194" s="38"/>
      <c r="X194" s="38"/>
      <c r="Y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9"/>
      <c r="P195" s="39"/>
      <c r="Q195" s="39"/>
      <c r="R195" s="38"/>
      <c r="S195" s="40"/>
      <c r="T195" s="40"/>
      <c r="U195" s="40"/>
      <c r="V195" s="40"/>
      <c r="W195" s="38"/>
      <c r="X195" s="38"/>
      <c r="Y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9"/>
      <c r="P196" s="39"/>
      <c r="Q196" s="39"/>
      <c r="R196" s="38"/>
      <c r="S196" s="40"/>
      <c r="T196" s="40"/>
      <c r="U196" s="40"/>
      <c r="V196" s="40"/>
      <c r="W196" s="38"/>
      <c r="X196" s="38"/>
      <c r="Y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9"/>
      <c r="P197" s="39"/>
      <c r="Q197" s="39"/>
      <c r="R197" s="38"/>
      <c r="S197" s="40"/>
      <c r="T197" s="40"/>
      <c r="U197" s="40"/>
      <c r="V197" s="40"/>
      <c r="W197" s="38"/>
      <c r="X197" s="38"/>
      <c r="Y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9"/>
      <c r="P198" s="39"/>
      <c r="Q198" s="39"/>
      <c r="R198" s="38"/>
      <c r="S198" s="40"/>
      <c r="T198" s="40"/>
      <c r="U198" s="40"/>
      <c r="V198" s="40"/>
      <c r="W198" s="38"/>
      <c r="X198" s="38"/>
      <c r="Y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9"/>
      <c r="P199" s="39"/>
      <c r="Q199" s="39"/>
      <c r="R199" s="38"/>
      <c r="S199" s="40"/>
      <c r="T199" s="40"/>
      <c r="U199" s="40"/>
      <c r="V199" s="40"/>
      <c r="W199" s="38"/>
      <c r="X199" s="38"/>
      <c r="Y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9"/>
      <c r="P200" s="39"/>
      <c r="Q200" s="39"/>
      <c r="R200" s="38"/>
      <c r="S200" s="40"/>
      <c r="T200" s="40"/>
      <c r="U200" s="40"/>
      <c r="V200" s="40"/>
      <c r="W200" s="38"/>
      <c r="X200" s="38"/>
      <c r="Y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9"/>
      <c r="P201" s="39"/>
      <c r="Q201" s="39"/>
      <c r="R201" s="38"/>
      <c r="S201" s="40"/>
      <c r="T201" s="40"/>
      <c r="U201" s="40"/>
      <c r="V201" s="40"/>
      <c r="W201" s="38"/>
      <c r="X201" s="38"/>
      <c r="Y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9"/>
      <c r="P202" s="39"/>
      <c r="Q202" s="39"/>
      <c r="R202" s="38"/>
      <c r="S202" s="40"/>
      <c r="T202" s="40"/>
      <c r="U202" s="40"/>
      <c r="V202" s="40"/>
      <c r="W202" s="38"/>
      <c r="X202" s="38"/>
      <c r="Y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9"/>
      <c r="P203" s="39"/>
      <c r="Q203" s="39"/>
      <c r="R203" s="38"/>
      <c r="S203" s="40"/>
      <c r="T203" s="40"/>
      <c r="U203" s="40"/>
      <c r="V203" s="40"/>
      <c r="W203" s="38"/>
      <c r="X203" s="38"/>
      <c r="Y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9"/>
      <c r="P204" s="39"/>
      <c r="Q204" s="39"/>
      <c r="R204" s="38"/>
      <c r="S204" s="40"/>
      <c r="T204" s="40"/>
      <c r="U204" s="40"/>
      <c r="V204" s="40"/>
      <c r="W204" s="38"/>
      <c r="X204" s="38"/>
      <c r="Y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9"/>
      <c r="P205" s="39"/>
      <c r="Q205" s="39"/>
      <c r="R205" s="38"/>
      <c r="S205" s="40"/>
      <c r="T205" s="40"/>
      <c r="U205" s="40"/>
      <c r="V205" s="40"/>
      <c r="W205" s="38"/>
      <c r="X205" s="38"/>
      <c r="Y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9"/>
      <c r="P206" s="39"/>
      <c r="Q206" s="39"/>
      <c r="R206" s="38"/>
      <c r="S206" s="40"/>
      <c r="T206" s="40"/>
      <c r="U206" s="40"/>
      <c r="V206" s="40"/>
      <c r="W206" s="38"/>
      <c r="X206" s="38"/>
      <c r="Y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9"/>
      <c r="P207" s="39"/>
      <c r="Q207" s="39"/>
      <c r="R207" s="38"/>
      <c r="S207" s="40"/>
      <c r="T207" s="40"/>
      <c r="U207" s="40"/>
      <c r="V207" s="40"/>
      <c r="W207" s="38"/>
      <c r="X207" s="38"/>
      <c r="Y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9"/>
      <c r="P208" s="39"/>
      <c r="Q208" s="39"/>
      <c r="R208" s="38"/>
      <c r="S208" s="40"/>
      <c r="T208" s="40"/>
      <c r="U208" s="40"/>
      <c r="V208" s="40"/>
      <c r="W208" s="38"/>
      <c r="X208" s="38"/>
      <c r="Y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9"/>
      <c r="P209" s="39"/>
      <c r="Q209" s="39"/>
      <c r="R209" s="38"/>
      <c r="S209" s="40"/>
      <c r="T209" s="40"/>
      <c r="U209" s="40"/>
      <c r="V209" s="40"/>
      <c r="W209" s="38"/>
      <c r="X209" s="38"/>
      <c r="Y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9"/>
      <c r="P210" s="39"/>
      <c r="Q210" s="39"/>
      <c r="R210" s="38"/>
      <c r="S210" s="40"/>
      <c r="T210" s="40"/>
      <c r="U210" s="40"/>
      <c r="V210" s="40"/>
      <c r="W210" s="38"/>
      <c r="X210" s="38"/>
      <c r="Y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9"/>
      <c r="P211" s="39"/>
      <c r="Q211" s="39"/>
      <c r="R211" s="38"/>
      <c r="S211" s="40"/>
      <c r="T211" s="40"/>
      <c r="U211" s="40"/>
      <c r="V211" s="40"/>
      <c r="W211" s="38"/>
      <c r="X211" s="38"/>
      <c r="Y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9"/>
      <c r="P212" s="39"/>
      <c r="Q212" s="39"/>
      <c r="R212" s="38"/>
      <c r="S212" s="40"/>
      <c r="T212" s="40"/>
      <c r="U212" s="40"/>
      <c r="V212" s="40"/>
      <c r="W212" s="38"/>
      <c r="X212" s="38"/>
      <c r="Y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9"/>
      <c r="P213" s="39"/>
      <c r="Q213" s="39"/>
      <c r="R213" s="38"/>
      <c r="S213" s="40"/>
      <c r="T213" s="40"/>
      <c r="U213" s="40"/>
      <c r="V213" s="40"/>
      <c r="W213" s="38"/>
      <c r="X213" s="38"/>
      <c r="Y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9"/>
      <c r="P214" s="39"/>
      <c r="Q214" s="39"/>
      <c r="R214" s="38"/>
      <c r="S214" s="40"/>
      <c r="T214" s="40"/>
      <c r="U214" s="40"/>
      <c r="V214" s="40"/>
      <c r="W214" s="38"/>
      <c r="X214" s="38"/>
      <c r="Y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9"/>
      <c r="P215" s="39"/>
      <c r="Q215" s="39"/>
      <c r="R215" s="38"/>
      <c r="S215" s="40"/>
      <c r="T215" s="40"/>
      <c r="U215" s="40"/>
      <c r="V215" s="40"/>
      <c r="W215" s="38"/>
      <c r="X215" s="38"/>
      <c r="Y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9"/>
      <c r="P216" s="39"/>
      <c r="Q216" s="39"/>
      <c r="R216" s="38"/>
      <c r="S216" s="40"/>
      <c r="T216" s="40"/>
      <c r="U216" s="40"/>
      <c r="V216" s="40"/>
      <c r="W216" s="38"/>
      <c r="X216" s="38"/>
      <c r="Y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9"/>
      <c r="P217" s="39"/>
      <c r="Q217" s="39"/>
      <c r="R217" s="38"/>
      <c r="S217" s="40"/>
      <c r="T217" s="40"/>
      <c r="U217" s="40"/>
      <c r="V217" s="40"/>
      <c r="W217" s="38"/>
      <c r="X217" s="38"/>
      <c r="Y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9"/>
      <c r="P218" s="39"/>
      <c r="Q218" s="39"/>
      <c r="R218" s="38"/>
      <c r="S218" s="40"/>
      <c r="T218" s="40"/>
      <c r="U218" s="40"/>
      <c r="V218" s="40"/>
      <c r="W218" s="38"/>
      <c r="X218" s="38"/>
      <c r="Y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9"/>
      <c r="P219" s="39"/>
      <c r="Q219" s="39"/>
      <c r="R219" s="38"/>
      <c r="S219" s="40"/>
      <c r="T219" s="40"/>
      <c r="U219" s="40"/>
      <c r="V219" s="40"/>
      <c r="W219" s="38"/>
      <c r="X219" s="38"/>
      <c r="Y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9"/>
      <c r="P220" s="39"/>
      <c r="Q220" s="39"/>
      <c r="R220" s="38"/>
      <c r="S220" s="40"/>
      <c r="T220" s="40"/>
      <c r="U220" s="40"/>
      <c r="V220" s="40"/>
      <c r="W220" s="38"/>
      <c r="X220" s="38"/>
      <c r="Y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9"/>
      <c r="P221" s="39"/>
      <c r="Q221" s="39"/>
      <c r="R221" s="38"/>
      <c r="S221" s="40"/>
      <c r="T221" s="40"/>
      <c r="U221" s="40"/>
      <c r="V221" s="40"/>
      <c r="W221" s="38"/>
      <c r="X221" s="38"/>
      <c r="Y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9"/>
      <c r="P222" s="39"/>
      <c r="Q222" s="39"/>
      <c r="R222" s="38"/>
      <c r="S222" s="40"/>
      <c r="T222" s="40"/>
      <c r="U222" s="40"/>
      <c r="V222" s="40"/>
      <c r="W222" s="38"/>
      <c r="X222" s="38"/>
      <c r="Y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9"/>
      <c r="P223" s="39"/>
      <c r="Q223" s="39"/>
      <c r="R223" s="38"/>
      <c r="S223" s="40"/>
      <c r="T223" s="40"/>
      <c r="U223" s="40"/>
      <c r="V223" s="40"/>
      <c r="W223" s="38"/>
      <c r="X223" s="38"/>
      <c r="Y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9"/>
      <c r="P224" s="39"/>
      <c r="Q224" s="39"/>
      <c r="R224" s="38"/>
      <c r="S224" s="40"/>
      <c r="T224" s="40"/>
      <c r="U224" s="40"/>
      <c r="V224" s="40"/>
      <c r="W224" s="38"/>
      <c r="X224" s="38"/>
      <c r="Y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9"/>
      <c r="P225" s="39"/>
      <c r="Q225" s="39"/>
      <c r="R225" s="38"/>
      <c r="S225" s="40"/>
      <c r="T225" s="40"/>
      <c r="U225" s="40"/>
      <c r="V225" s="40"/>
      <c r="W225" s="38"/>
      <c r="X225" s="38"/>
      <c r="Y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9"/>
      <c r="P226" s="39"/>
      <c r="Q226" s="39"/>
      <c r="R226" s="38"/>
      <c r="S226" s="40"/>
      <c r="T226" s="40"/>
      <c r="U226" s="40"/>
      <c r="V226" s="40"/>
      <c r="W226" s="38"/>
      <c r="X226" s="38"/>
      <c r="Y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9"/>
      <c r="P227" s="39"/>
      <c r="Q227" s="39"/>
      <c r="R227" s="38"/>
      <c r="S227" s="40"/>
      <c r="T227" s="40"/>
      <c r="U227" s="40"/>
      <c r="V227" s="40"/>
      <c r="W227" s="38"/>
      <c r="X227" s="38"/>
      <c r="Y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9"/>
      <c r="P228" s="39"/>
      <c r="Q228" s="39"/>
      <c r="R228" s="38"/>
      <c r="S228" s="40"/>
      <c r="T228" s="40"/>
      <c r="U228" s="40"/>
      <c r="V228" s="40"/>
      <c r="W228" s="38"/>
      <c r="X228" s="38"/>
      <c r="Y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9"/>
      <c r="P229" s="39"/>
      <c r="Q229" s="39"/>
      <c r="R229" s="38"/>
      <c r="S229" s="40"/>
      <c r="T229" s="40"/>
      <c r="U229" s="40"/>
      <c r="V229" s="40"/>
      <c r="W229" s="38"/>
      <c r="X229" s="38"/>
      <c r="Y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9"/>
      <c r="P230" s="39"/>
      <c r="Q230" s="39"/>
      <c r="R230" s="38"/>
      <c r="S230" s="40"/>
      <c r="T230" s="40"/>
      <c r="U230" s="40"/>
      <c r="V230" s="40"/>
      <c r="W230" s="38"/>
      <c r="X230" s="38"/>
      <c r="Y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9"/>
      <c r="P231" s="39"/>
      <c r="Q231" s="39"/>
      <c r="R231" s="38"/>
      <c r="S231" s="40"/>
      <c r="T231" s="40"/>
      <c r="U231" s="40"/>
      <c r="V231" s="40"/>
      <c r="W231" s="38"/>
      <c r="X231" s="38"/>
      <c r="Y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9"/>
      <c r="P232" s="39"/>
      <c r="Q232" s="39"/>
      <c r="R232" s="38"/>
      <c r="S232" s="40"/>
      <c r="T232" s="40"/>
      <c r="U232" s="40"/>
      <c r="V232" s="40"/>
      <c r="W232" s="38"/>
      <c r="X232" s="38"/>
      <c r="Y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9"/>
      <c r="P233" s="39"/>
      <c r="Q233" s="39"/>
      <c r="R233" s="38"/>
      <c r="S233" s="40"/>
      <c r="T233" s="40"/>
      <c r="U233" s="40"/>
      <c r="V233" s="40"/>
      <c r="W233" s="38"/>
      <c r="X233" s="38"/>
      <c r="Y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9"/>
      <c r="P234" s="39"/>
      <c r="Q234" s="39"/>
      <c r="R234" s="38"/>
      <c r="S234" s="40"/>
      <c r="T234" s="40"/>
      <c r="U234" s="40"/>
      <c r="V234" s="40"/>
      <c r="W234" s="38"/>
      <c r="X234" s="38"/>
      <c r="Y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9"/>
      <c r="P235" s="39"/>
      <c r="Q235" s="39"/>
      <c r="R235" s="38"/>
      <c r="S235" s="40"/>
      <c r="T235" s="40"/>
      <c r="U235" s="40"/>
      <c r="V235" s="40"/>
      <c r="W235" s="38"/>
      <c r="X235" s="38"/>
      <c r="Y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9"/>
      <c r="P236" s="39"/>
      <c r="Q236" s="39"/>
      <c r="R236" s="38"/>
      <c r="S236" s="40"/>
      <c r="T236" s="40"/>
      <c r="U236" s="40"/>
      <c r="V236" s="40"/>
      <c r="W236" s="38"/>
      <c r="X236" s="38"/>
      <c r="Y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9"/>
      <c r="P237" s="39"/>
      <c r="Q237" s="39"/>
      <c r="R237" s="38"/>
      <c r="S237" s="40"/>
      <c r="T237" s="40"/>
      <c r="U237" s="40"/>
      <c r="V237" s="40"/>
      <c r="W237" s="38"/>
      <c r="X237" s="38"/>
      <c r="Y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9"/>
      <c r="P238" s="39"/>
      <c r="Q238" s="39"/>
      <c r="R238" s="38"/>
      <c r="S238" s="40"/>
      <c r="T238" s="40"/>
      <c r="U238" s="40"/>
      <c r="V238" s="40"/>
      <c r="W238" s="38"/>
      <c r="X238" s="38"/>
      <c r="Y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9"/>
      <c r="P239" s="39"/>
      <c r="Q239" s="39"/>
      <c r="R239" s="38"/>
      <c r="S239" s="40"/>
      <c r="T239" s="40"/>
      <c r="U239" s="40"/>
      <c r="V239" s="40"/>
      <c r="W239" s="38"/>
      <c r="X239" s="38"/>
      <c r="Y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9"/>
      <c r="P240" s="39"/>
      <c r="Q240" s="39"/>
      <c r="R240" s="38"/>
      <c r="S240" s="40"/>
      <c r="T240" s="40"/>
      <c r="U240" s="40"/>
      <c r="V240" s="40"/>
      <c r="W240" s="38"/>
      <c r="X240" s="38"/>
      <c r="Y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9"/>
      <c r="P241" s="39"/>
      <c r="Q241" s="39"/>
      <c r="R241" s="38"/>
      <c r="S241" s="40"/>
      <c r="T241" s="40"/>
      <c r="U241" s="40"/>
      <c r="V241" s="40"/>
      <c r="W241" s="38"/>
      <c r="X241" s="38"/>
      <c r="Y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9"/>
      <c r="P242" s="39"/>
      <c r="Q242" s="39"/>
      <c r="R242" s="38"/>
      <c r="S242" s="40"/>
      <c r="T242" s="40"/>
      <c r="U242" s="40"/>
      <c r="V242" s="40"/>
      <c r="W242" s="38"/>
      <c r="X242" s="38"/>
      <c r="Y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9"/>
      <c r="P243" s="39"/>
      <c r="Q243" s="39"/>
      <c r="R243" s="38"/>
      <c r="S243" s="40"/>
      <c r="T243" s="40"/>
      <c r="U243" s="40"/>
      <c r="V243" s="40"/>
      <c r="W243" s="38"/>
      <c r="X243" s="38"/>
      <c r="Y243" s="38"/>
    </row>
  </sheetData>
  <autoFilter ref="A1:Y43"/>
  <drawing r:id="rId3"/>
  <legacyDrawing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1" min="11" style="0" width="17.4"/>
    <col collapsed="false" customWidth="true" hidden="false" max="15" min="15" style="0" width="17.4"/>
    <col collapsed="false" customWidth="true" hidden="false" max="18" min="18" style="0" width="12.733333333333333"/>
    <col collapsed="false" customWidth="true" hidden="false" max="22" min="22" style="0" width="11.933333333333334"/>
    <col collapsed="false" customWidth="true" hidden="false" max="26" min="26" style="0" width="12.733333333333333"/>
    <col collapsed="false" customWidth="true" hidden="false" max="2" min="2" style="0" width="17.8"/>
    <col collapsed="false" customWidth="true" hidden="false" max="6" min="6" style="0" width="17.4"/>
    <col collapsed="false" customWidth="true" hidden="false" max="12" min="12" style="0" width="17.4"/>
    <col collapsed="false" customWidth="true" hidden="false" max="16" min="16" style="0" width="17.4"/>
    <col collapsed="false" customWidth="true" hidden="false" max="19" min="19" style="0" width="12.2"/>
    <col collapsed="false" customWidth="true" hidden="false" max="23" min="23" style="0" width="12.733333333333333"/>
    <col collapsed="false" customWidth="true" hidden="false" max="27" min="27" style="0" width="17.4"/>
    <col collapsed="false" customWidth="true" hidden="false" max="3" min="3" style="0" width="12.866666666666667"/>
    <col collapsed="false" customWidth="true" hidden="false" max="7" min="7" style="0" width="17.4"/>
    <col collapsed="false" customWidth="true" hidden="false" max="9" min="9" style="0" width="13.266666666666667"/>
    <col collapsed="false" customWidth="true" hidden="false" max="13" min="13" style="0" width="17.4"/>
    <col collapsed="false" customWidth="true" hidden="false" max="20" min="20" style="0" width="12.2"/>
    <col collapsed="false" customWidth="true" hidden="false" max="24" min="24" style="0" width="12.733333333333333"/>
    <col collapsed="false" customWidth="true" hidden="false" max="28" min="28" style="0" width="17.4"/>
    <col collapsed="false" customWidth="true" hidden="false" max="4" min="4" style="0" width="13"/>
    <col collapsed="false" customWidth="true" hidden="false" max="8" min="8" style="0" width="17.4"/>
    <col collapsed="false" customWidth="true" hidden="false" max="10" min="10" style="0" width="17.4"/>
    <col collapsed="false" customWidth="true" hidden="false" max="14" min="14" style="0" width="17.4"/>
    <col collapsed="false" customWidth="true" hidden="false" max="17" min="17" style="0" width="17.4"/>
    <col collapsed="false" customWidth="true" hidden="false" max="21" min="21" style="0" width="12.2"/>
    <col collapsed="false" customWidth="true" hidden="false" max="25" min="25" style="0" width="12.733333333333333"/>
    <col collapsed="false" customWidth="true" hidden="false" max="1" min="1" style="0" width="10.866666666666667"/>
    <col collapsed="false" customWidth="true" hidden="false" max="5" min="5" style="0" width="17.4"/>
  </cols>
  <sheetData>
    <row customHeight="true" ht="18.51851851851852" r="1">
      <c r="A1" s="41" t="s">
        <v>382</v>
      </c>
      <c r="B1" s="41" t="s">
        <v>383</v>
      </c>
      <c r="C1" s="41" t="s">
        <v>384</v>
      </c>
      <c r="D1" s="41" t="s">
        <v>385</v>
      </c>
      <c r="E1" s="41" t="s">
        <v>386</v>
      </c>
      <c r="F1" s="41" t="s">
        <v>387</v>
      </c>
      <c r="G1" s="41" t="s">
        <v>388</v>
      </c>
      <c r="H1" s="41" t="s">
        <v>389</v>
      </c>
      <c r="I1" s="42" t="s">
        <v>390</v>
      </c>
      <c r="J1" s="43" t="s">
        <v>391</v>
      </c>
      <c r="K1" s="42" t="s">
        <v>392</v>
      </c>
      <c r="L1" s="44" t="s">
        <v>393</v>
      </c>
      <c r="M1" s="45" t="s">
        <v>394</v>
      </c>
      <c r="N1" s="46" t="s">
        <v>395</v>
      </c>
      <c r="O1" s="47" t="s">
        <v>396</v>
      </c>
      <c r="P1" s="48" t="s">
        <v>397</v>
      </c>
      <c r="Q1" s="49" t="s">
        <v>398</v>
      </c>
      <c r="R1" s="50" t="s">
        <v>399</v>
      </c>
      <c r="S1" s="50" t="s">
        <v>400</v>
      </c>
      <c r="T1" s="50" t="s">
        <v>401</v>
      </c>
      <c r="U1" s="51" t="s">
        <v>402</v>
      </c>
      <c r="V1" s="51" t="s">
        <v>403</v>
      </c>
      <c r="W1" s="52" t="s">
        <v>404</v>
      </c>
      <c r="X1" s="52" t="s">
        <v>405</v>
      </c>
      <c r="Y1" s="52" t="s">
        <v>406</v>
      </c>
      <c r="Z1" s="52" t="s">
        <v>407</v>
      </c>
      <c r="AA1" s="53" t="s">
        <v>408</v>
      </c>
      <c r="AB1" s="53" t="s">
        <v>409</v>
      </c>
    </row>
    <row customHeight="true" ht="18.51851851851852" r="2">
      <c r="A2" s="54" t="s">
        <v>410</v>
      </c>
      <c r="B2" s="55" t="s">
        <v>411</v>
      </c>
      <c r="C2" s="54">
        <v>180</v>
      </c>
      <c r="D2" s="54">
        <v>7.94</v>
      </c>
      <c r="E2" s="55" t="s">
        <v>412</v>
      </c>
      <c r="F2" s="55" t="s">
        <v>413</v>
      </c>
      <c r="G2" s="55" t="s">
        <v>414</v>
      </c>
      <c r="H2" s="55" t="s">
        <v>415</v>
      </c>
      <c r="I2" s="54" t="s">
        <v>416</v>
      </c>
      <c r="J2" s="54">
        <v>290</v>
      </c>
      <c r="K2" s="54">
        <v>399</v>
      </c>
      <c r="L2" s="54">
        <f t="shared" ref="L2:L9" si="12">J2-Q2-W2-X2-Y2-Z2</f>
      </c>
      <c r="M2" s="56">
        <f t="shared" ref="M2:M9" si="30">L2/J2</f>
      </c>
      <c r="N2" s="56">
        <f t="shared" ref="N2:N9" si="0">(K2-J2)/K2</f>
      </c>
      <c r="O2" s="56">
        <f t="shared" ref="O2:O9" si="15">(K2-J2+Z2)/K2</f>
      </c>
      <c r="P2" s="57">
        <f t="shared" ref="P2:P9" si="3">K2-J2</f>
      </c>
      <c r="Q2" s="57">
        <f t="shared" ref="Q2:Q9" si="18">C2+D2</f>
      </c>
      <c r="R2" s="58">
        <v>0.1</v>
      </c>
      <c r="S2" s="58">
        <v>0.1</v>
      </c>
      <c r="T2" s="58">
        <v>0.01</v>
      </c>
      <c r="U2" s="58">
        <f t="shared" ref="U2:U9" si="6">Q2/J2</f>
      </c>
      <c r="V2" s="58">
        <v>0.14</v>
      </c>
      <c r="W2" s="59">
        <f t="shared" ref="W2:W9" si="21">J2*R2</f>
      </c>
      <c r="X2" s="59">
        <f t="shared" ref="X2:X9" si="24">K2*S2</f>
      </c>
      <c r="Y2" s="59">
        <f t="shared" ref="Y2:Y9" si="9">J2*T2</f>
      </c>
      <c r="Z2" s="59">
        <f t="shared" ref="Z2:Z9" si="27">J2*V2</f>
      </c>
    </row>
    <row customHeight="true" ht="18.51851851851852" r="3">
      <c r="A3" s="54" t="s">
        <v>410</v>
      </c>
      <c r="B3" s="55" t="s">
        <v>417</v>
      </c>
      <c r="C3" s="54">
        <v>100</v>
      </c>
      <c r="D3" s="54">
        <v>4.19</v>
      </c>
      <c r="E3" s="55" t="s">
        <v>412</v>
      </c>
      <c r="F3" s="55" t="s">
        <v>418</v>
      </c>
      <c r="G3" s="55" t="s">
        <v>419</v>
      </c>
      <c r="H3" s="55" t="s">
        <v>415</v>
      </c>
      <c r="I3" s="54" t="s">
        <v>416</v>
      </c>
      <c r="J3" s="54">
        <v>170</v>
      </c>
      <c r="K3" s="54">
        <v>239</v>
      </c>
      <c r="L3" s="54">
        <f t="shared" si="12"/>
      </c>
      <c r="M3" s="56">
        <f t="shared" si="30"/>
      </c>
      <c r="N3" s="56">
        <f t="shared" si="0"/>
      </c>
      <c r="O3" s="56">
        <f t="shared" si="15"/>
      </c>
      <c r="P3" s="57">
        <f t="shared" si="3"/>
      </c>
      <c r="Q3" s="57">
        <f t="shared" si="18"/>
      </c>
      <c r="R3" s="58">
        <v>0.1</v>
      </c>
      <c r="S3" s="58">
        <v>0.1</v>
      </c>
      <c r="T3" s="58">
        <v>0.01</v>
      </c>
      <c r="U3" s="58">
        <f t="shared" si="6"/>
      </c>
      <c r="V3" s="58">
        <v>0.14</v>
      </c>
      <c r="W3" s="59">
        <f t="shared" si="21"/>
      </c>
      <c r="X3" s="59">
        <f t="shared" si="24"/>
      </c>
      <c r="Y3" s="59">
        <f t="shared" si="9"/>
      </c>
      <c r="Z3" s="59">
        <f t="shared" si="27"/>
      </c>
    </row>
    <row customHeight="true" ht="18.51851851851852" r="4">
      <c r="A4" s="54" t="s">
        <v>410</v>
      </c>
      <c r="B4" s="55" t="s">
        <v>420</v>
      </c>
      <c r="C4" s="54">
        <v>251.12</v>
      </c>
      <c r="D4" s="54">
        <v>7.57</v>
      </c>
      <c r="E4" s="55" t="s">
        <v>412</v>
      </c>
      <c r="F4" s="55" t="s">
        <v>421</v>
      </c>
      <c r="G4" s="55" t="s">
        <v>422</v>
      </c>
      <c r="H4" s="55" t="s">
        <v>415</v>
      </c>
      <c r="I4" s="54" t="s">
        <v>416</v>
      </c>
      <c r="J4" s="54">
        <v>420</v>
      </c>
      <c r="K4" s="54">
        <v>579.99</v>
      </c>
      <c r="L4" s="54">
        <f t="shared" si="12"/>
      </c>
      <c r="M4" s="56">
        <f t="shared" si="30"/>
      </c>
      <c r="N4" s="56">
        <f t="shared" si="0"/>
      </c>
      <c r="O4" s="56">
        <f t="shared" si="15"/>
      </c>
      <c r="P4" s="57">
        <f t="shared" si="3"/>
      </c>
      <c r="Q4" s="57">
        <f t="shared" si="18"/>
      </c>
      <c r="R4" s="58">
        <v>0.1</v>
      </c>
      <c r="S4" s="58">
        <v>0.1</v>
      </c>
      <c r="T4" s="58">
        <v>0.01</v>
      </c>
      <c r="U4" s="58">
        <f t="shared" si="6"/>
      </c>
      <c r="V4" s="58">
        <v>0.14</v>
      </c>
      <c r="W4" s="59">
        <f t="shared" si="21"/>
      </c>
      <c r="X4" s="59">
        <f t="shared" si="24"/>
      </c>
      <c r="Y4" s="59">
        <f t="shared" si="9"/>
      </c>
      <c r="Z4" s="59">
        <f t="shared" si="27"/>
      </c>
    </row>
    <row customHeight="true" ht="18.51851851851852" r="5">
      <c r="A5" s="54" t="s">
        <v>410</v>
      </c>
      <c r="B5" s="55"/>
      <c r="C5" s="54">
        <v>153.04</v>
      </c>
      <c r="D5" s="54">
        <v>5.69</v>
      </c>
      <c r="I5" s="54" t="s">
        <v>416</v>
      </c>
      <c r="J5" s="54">
        <v>245</v>
      </c>
      <c r="K5" s="54">
        <v>339</v>
      </c>
      <c r="L5" s="54">
        <f t="shared" si="12"/>
      </c>
      <c r="M5" s="56">
        <f t="shared" si="30"/>
      </c>
      <c r="N5" s="56">
        <f t="shared" si="0"/>
      </c>
      <c r="O5" s="56">
        <f t="shared" si="15"/>
      </c>
      <c r="P5" s="57">
        <f t="shared" si="3"/>
      </c>
      <c r="Q5" s="57">
        <f t="shared" si="18"/>
      </c>
      <c r="R5" s="58">
        <v>0.1</v>
      </c>
      <c r="S5" s="58">
        <v>0.1</v>
      </c>
      <c r="T5" s="58">
        <v>0.01</v>
      </c>
      <c r="U5" s="58">
        <f t="shared" si="6"/>
      </c>
      <c r="V5" s="58">
        <v>0.14</v>
      </c>
      <c r="W5" s="59">
        <f t="shared" si="21"/>
      </c>
      <c r="X5" s="59">
        <f t="shared" si="24"/>
      </c>
      <c r="Y5" s="59">
        <f t="shared" si="9"/>
      </c>
      <c r="Z5" s="59">
        <f t="shared" si="27"/>
      </c>
    </row>
    <row customHeight="true" ht="18.51851851851852" r="6">
      <c r="A6" s="54" t="s">
        <v>410</v>
      </c>
      <c r="B6" s="55" t="s">
        <v>423</v>
      </c>
      <c r="C6" s="54">
        <v>52.38</v>
      </c>
      <c r="D6" s="54">
        <v>2.48</v>
      </c>
      <c r="E6" s="55" t="s">
        <v>424</v>
      </c>
      <c r="F6" s="55" t="s">
        <v>425</v>
      </c>
      <c r="G6" s="55" t="s">
        <v>426</v>
      </c>
      <c r="H6" s="55"/>
      <c r="I6" s="54" t="s">
        <v>416</v>
      </c>
      <c r="J6" s="54">
        <v>93.5</v>
      </c>
      <c r="K6" s="54">
        <v>129.99</v>
      </c>
      <c r="L6" s="54">
        <f t="shared" si="12"/>
      </c>
      <c r="M6" s="56">
        <f t="shared" si="30"/>
      </c>
      <c r="N6" s="56">
        <f t="shared" si="0"/>
      </c>
      <c r="O6" s="56">
        <f t="shared" si="15"/>
      </c>
      <c r="P6" s="57">
        <f t="shared" si="3"/>
      </c>
      <c r="Q6" s="57">
        <f t="shared" si="18"/>
      </c>
      <c r="R6" s="58">
        <v>0.1</v>
      </c>
      <c r="S6" s="58">
        <v>0.1</v>
      </c>
      <c r="T6" s="58">
        <v>0.01</v>
      </c>
      <c r="U6" s="58">
        <f t="shared" si="6"/>
      </c>
      <c r="V6" s="58">
        <v>0.14</v>
      </c>
      <c r="W6" s="59">
        <f t="shared" si="21"/>
      </c>
      <c r="X6" s="59">
        <f t="shared" si="24"/>
      </c>
      <c r="Y6" s="59">
        <f t="shared" si="9"/>
      </c>
      <c r="Z6" s="59">
        <f t="shared" si="27"/>
      </c>
      <c r="AA6" s="55"/>
      <c r="AB6" s="55"/>
    </row>
    <row customHeight="true" ht="18.51851851851852" r="7">
      <c r="A7" s="54" t="s">
        <v>410</v>
      </c>
      <c r="B7" s="55" t="s">
        <v>427</v>
      </c>
      <c r="C7" s="54">
        <v>52.38</v>
      </c>
      <c r="D7" s="54">
        <v>2.18</v>
      </c>
      <c r="E7" s="55" t="s">
        <v>424</v>
      </c>
      <c r="F7" s="55" t="s">
        <v>428</v>
      </c>
      <c r="G7" s="55" t="s">
        <v>429</v>
      </c>
      <c r="H7" s="55"/>
      <c r="I7" s="54" t="s">
        <v>416</v>
      </c>
      <c r="J7" s="54">
        <v>93.5</v>
      </c>
      <c r="K7" s="54">
        <v>129.99</v>
      </c>
      <c r="L7" s="54">
        <f t="shared" si="12"/>
      </c>
      <c r="M7" s="56">
        <f t="shared" si="30"/>
      </c>
      <c r="N7" s="56">
        <f t="shared" si="0"/>
      </c>
      <c r="O7" s="56">
        <f t="shared" si="15"/>
      </c>
      <c r="P7" s="57">
        <f t="shared" si="3"/>
      </c>
      <c r="Q7" s="57">
        <f t="shared" si="18"/>
      </c>
      <c r="R7" s="58">
        <v>0.1</v>
      </c>
      <c r="S7" s="58">
        <v>0.1</v>
      </c>
      <c r="T7" s="58">
        <v>0.01</v>
      </c>
      <c r="U7" s="58">
        <f t="shared" si="6"/>
      </c>
      <c r="V7" s="58">
        <v>0.14</v>
      </c>
      <c r="W7" s="59">
        <f t="shared" si="21"/>
      </c>
      <c r="X7" s="59">
        <f t="shared" si="24"/>
      </c>
      <c r="Y7" s="59">
        <f t="shared" si="9"/>
      </c>
      <c r="Z7" s="59">
        <f t="shared" si="27"/>
      </c>
      <c r="AA7" s="55"/>
      <c r="AB7" s="55"/>
    </row>
    <row customHeight="true" ht="18.51851851851852" r="8">
      <c r="A8" s="54" t="s">
        <v>410</v>
      </c>
      <c r="B8" s="55" t="s">
        <v>430</v>
      </c>
      <c r="C8" s="54">
        <v>43.65</v>
      </c>
      <c r="D8" s="54">
        <v>1.8</v>
      </c>
      <c r="E8" s="55" t="s">
        <v>424</v>
      </c>
      <c r="F8" s="55" t="s">
        <v>431</v>
      </c>
      <c r="G8" s="55" t="s">
        <v>432</v>
      </c>
      <c r="I8" s="54" t="s">
        <v>416</v>
      </c>
      <c r="J8" s="54">
        <v>86.5</v>
      </c>
      <c r="K8" s="54">
        <v>119.99</v>
      </c>
      <c r="L8" s="54">
        <f t="shared" si="12"/>
      </c>
      <c r="M8" s="56">
        <f t="shared" si="30"/>
      </c>
      <c r="N8" s="56">
        <f t="shared" si="0"/>
      </c>
      <c r="O8" s="56">
        <f t="shared" si="15"/>
      </c>
      <c r="P8" s="57">
        <f t="shared" si="3"/>
      </c>
      <c r="Q8" s="57">
        <f t="shared" si="18"/>
      </c>
      <c r="R8" s="58">
        <v>0.1</v>
      </c>
      <c r="S8" s="58">
        <v>0.1</v>
      </c>
      <c r="T8" s="58">
        <v>0.01</v>
      </c>
      <c r="U8" s="58">
        <f t="shared" si="6"/>
      </c>
      <c r="V8" s="58">
        <v>0.14</v>
      </c>
      <c r="W8" s="59">
        <f t="shared" si="21"/>
      </c>
      <c r="X8" s="59">
        <f t="shared" si="24"/>
      </c>
      <c r="Y8" s="59">
        <f t="shared" si="9"/>
      </c>
      <c r="Z8" s="59">
        <f t="shared" si="27"/>
      </c>
    </row>
    <row customHeight="true" ht="18.51851851851852" r="9">
      <c r="A9" s="54" t="s">
        <v>410</v>
      </c>
      <c r="B9" s="55" t="s">
        <v>433</v>
      </c>
      <c r="C9" s="54">
        <v>43.65</v>
      </c>
      <c r="D9" s="54">
        <v>1.95</v>
      </c>
      <c r="E9" s="55" t="s">
        <v>424</v>
      </c>
      <c r="F9" s="55" t="s">
        <v>434</v>
      </c>
      <c r="G9" s="55" t="s">
        <v>435</v>
      </c>
      <c r="I9" s="54" t="s">
        <v>416</v>
      </c>
      <c r="J9" s="54">
        <v>86.5</v>
      </c>
      <c r="K9" s="54">
        <v>119.99</v>
      </c>
      <c r="L9" s="54">
        <f t="shared" si="12"/>
      </c>
      <c r="M9" s="56">
        <f t="shared" si="30"/>
      </c>
      <c r="N9" s="56">
        <f t="shared" si="0"/>
      </c>
      <c r="O9" s="56">
        <f t="shared" si="15"/>
      </c>
      <c r="P9" s="57">
        <f t="shared" si="3"/>
      </c>
      <c r="Q9" s="57">
        <f t="shared" si="18"/>
      </c>
      <c r="R9" s="58">
        <v>0.1</v>
      </c>
      <c r="S9" s="58">
        <v>0.1</v>
      </c>
      <c r="T9" s="58">
        <v>0.01</v>
      </c>
      <c r="U9" s="58">
        <f t="shared" si="6"/>
      </c>
      <c r="V9" s="58">
        <v>0.14</v>
      </c>
      <c r="W9" s="59">
        <f t="shared" si="21"/>
      </c>
      <c r="X9" s="59">
        <f t="shared" si="24"/>
      </c>
      <c r="Y9" s="59">
        <f t="shared" si="9"/>
      </c>
      <c r="Z9" s="59">
        <f t="shared" si="27"/>
      </c>
    </row>
    <row customHeight="true" ht="18.51851851851852" r="10">
      <c r="A10" s="54"/>
      <c r="C10" s="54"/>
      <c r="D10" s="54"/>
      <c r="E10" s="55"/>
      <c r="F10" s="55"/>
      <c r="G10" s="55"/>
      <c r="H10" s="55"/>
      <c r="I10" s="54"/>
      <c r="J10" s="54"/>
      <c r="K10" s="54"/>
      <c r="L10" s="54"/>
      <c r="M10" s="56"/>
      <c r="N10" s="56"/>
      <c r="O10" s="56"/>
      <c r="P10" s="57"/>
      <c r="Q10" s="57"/>
      <c r="R10" s="58"/>
      <c r="S10" s="58"/>
      <c r="T10" s="58"/>
      <c r="U10" s="58"/>
      <c r="V10" s="58"/>
      <c r="W10" s="59"/>
      <c r="X10" s="59"/>
      <c r="Y10" s="59"/>
      <c r="Z10" s="59"/>
      <c r="AA10" s="55"/>
      <c r="AB10" s="55"/>
    </row>
    <row customHeight="true" ht="18.51851851851852" r="11">
      <c r="A11" s="54"/>
      <c r="B11" s="60" t="s">
        <v>436</v>
      </c>
      <c r="C11" s="54">
        <v>78</v>
      </c>
      <c r="D11" s="54">
        <v>2.25</v>
      </c>
      <c r="F11" s="55" t="s">
        <v>437</v>
      </c>
      <c r="I11" s="54" t="s">
        <v>416</v>
      </c>
      <c r="J11" s="54">
        <v>137</v>
      </c>
      <c r="K11" s="54">
        <v>189.99</v>
      </c>
      <c r="L11" s="54">
        <f t="shared" ref="L11:L16" si="13">J11-Q11-W11-X11-Y11-Z11</f>
      </c>
      <c r="M11" s="56">
        <f t="shared" ref="M11:M16" si="31">L11/J11</f>
      </c>
      <c r="N11" s="56">
        <f t="shared" ref="N11:N16" si="1">(K11-J11)/K11</f>
      </c>
      <c r="O11" s="56">
        <f t="shared" ref="O11:O16" si="16">(K11-J11+Z11)/K11</f>
      </c>
      <c r="P11" s="57">
        <f t="shared" ref="P11:P16" si="4">K11-J11</f>
      </c>
      <c r="Q11" s="57">
        <f t="shared" ref="Q11:Q16" si="19">C11+D11</f>
      </c>
      <c r="R11" s="58">
        <v>0.1</v>
      </c>
      <c r="S11" s="58">
        <v>0.1</v>
      </c>
      <c r="T11" s="58">
        <v>0.01</v>
      </c>
      <c r="U11" s="58">
        <f t="shared" ref="U11:U16" si="7">Q11/J11</f>
      </c>
      <c r="V11" s="58">
        <v>0.14</v>
      </c>
      <c r="W11" s="59">
        <f t="shared" ref="W11:W16" si="22">J11*R11</f>
      </c>
      <c r="X11" s="59">
        <f t="shared" ref="X11:X16" si="25">K11*S11</f>
      </c>
      <c r="Y11" s="59">
        <f t="shared" ref="Y11:Y16" si="10">J11*T11</f>
      </c>
      <c r="Z11" s="59">
        <f t="shared" ref="Z11:Z16" si="28">J11*V11</f>
      </c>
    </row>
    <row customHeight="true" ht="18.51851851851852" r="12">
      <c r="A12" s="54"/>
      <c r="B12" s="60" t="s">
        <v>438</v>
      </c>
      <c r="C12" s="54">
        <v>95</v>
      </c>
      <c r="D12" s="54">
        <v>4.64</v>
      </c>
      <c r="F12" s="55" t="s">
        <v>439</v>
      </c>
      <c r="I12" s="54" t="s">
        <v>416</v>
      </c>
      <c r="J12" s="54">
        <v>159</v>
      </c>
      <c r="K12" s="54">
        <v>219.99</v>
      </c>
      <c r="L12" s="54">
        <f t="shared" si="13"/>
      </c>
      <c r="M12" s="56">
        <f t="shared" si="31"/>
      </c>
      <c r="N12" s="56">
        <f t="shared" si="1"/>
      </c>
      <c r="O12" s="56">
        <f t="shared" si="16"/>
      </c>
      <c r="P12" s="57">
        <f t="shared" si="4"/>
      </c>
      <c r="Q12" s="57">
        <f t="shared" si="19"/>
      </c>
      <c r="R12" s="58">
        <v>0.1</v>
      </c>
      <c r="S12" s="58">
        <v>0.1</v>
      </c>
      <c r="T12" s="58">
        <v>0.01</v>
      </c>
      <c r="U12" s="58">
        <f t="shared" si="7"/>
      </c>
      <c r="V12" s="58">
        <v>0.14</v>
      </c>
      <c r="W12" s="59">
        <f t="shared" si="22"/>
      </c>
      <c r="X12" s="59">
        <f t="shared" si="25"/>
      </c>
      <c r="Y12" s="59">
        <f t="shared" si="10"/>
      </c>
      <c r="Z12" s="59">
        <f t="shared" si="28"/>
      </c>
    </row>
    <row customHeight="true" ht="18.51851851851852" r="13">
      <c r="A13" s="54"/>
      <c r="B13" s="60" t="s">
        <v>440</v>
      </c>
      <c r="C13" s="54">
        <v>145</v>
      </c>
      <c r="D13" s="54">
        <v>4.94</v>
      </c>
      <c r="F13" s="55" t="s">
        <v>441</v>
      </c>
      <c r="I13" s="54" t="s">
        <v>416</v>
      </c>
      <c r="J13" s="54">
        <v>245</v>
      </c>
      <c r="K13" s="54">
        <v>339</v>
      </c>
      <c r="L13" s="54">
        <f t="shared" si="13"/>
      </c>
      <c r="M13" s="56">
        <f t="shared" si="31"/>
      </c>
      <c r="N13" s="56">
        <f t="shared" si="1"/>
      </c>
      <c r="O13" s="56">
        <f t="shared" si="16"/>
      </c>
      <c r="P13" s="57">
        <f t="shared" si="4"/>
      </c>
      <c r="Q13" s="57">
        <f t="shared" si="19"/>
      </c>
      <c r="R13" s="58">
        <v>0.1</v>
      </c>
      <c r="S13" s="58">
        <v>0.1</v>
      </c>
      <c r="T13" s="58">
        <v>0.01</v>
      </c>
      <c r="U13" s="58">
        <f t="shared" si="7"/>
      </c>
      <c r="V13" s="58">
        <v>0.14</v>
      </c>
      <c r="W13" s="59">
        <f t="shared" si="22"/>
      </c>
      <c r="X13" s="59">
        <f t="shared" si="25"/>
      </c>
      <c r="Y13" s="59">
        <f t="shared" si="10"/>
      </c>
      <c r="Z13" s="59">
        <f t="shared" si="28"/>
      </c>
    </row>
    <row customHeight="true" ht="18.51851851851852" r="14">
      <c r="A14" s="54"/>
      <c r="B14" s="61" t="s">
        <v>442</v>
      </c>
      <c r="C14" s="54">
        <v>43</v>
      </c>
      <c r="D14" s="54">
        <v>2.1</v>
      </c>
      <c r="E14" s="55" t="s">
        <v>424</v>
      </c>
      <c r="F14" s="55" t="s">
        <v>443</v>
      </c>
      <c r="I14" s="54" t="s">
        <v>416</v>
      </c>
      <c r="J14" s="54">
        <v>79</v>
      </c>
      <c r="K14" s="54">
        <v>109</v>
      </c>
      <c r="L14" s="54">
        <f t="shared" si="13"/>
      </c>
      <c r="M14" s="56">
        <f t="shared" si="31"/>
      </c>
      <c r="N14" s="56">
        <f t="shared" si="1"/>
      </c>
      <c r="O14" s="56">
        <f t="shared" si="16"/>
      </c>
      <c r="P14" s="57">
        <f t="shared" si="4"/>
      </c>
      <c r="Q14" s="57">
        <f t="shared" si="19"/>
      </c>
      <c r="R14" s="58">
        <v>0.1</v>
      </c>
      <c r="S14" s="58">
        <v>0.1</v>
      </c>
      <c r="T14" s="58">
        <v>0.01</v>
      </c>
      <c r="U14" s="58">
        <f t="shared" si="7"/>
      </c>
      <c r="V14" s="58">
        <v>0.14</v>
      </c>
      <c r="W14" s="59">
        <f t="shared" si="22"/>
      </c>
      <c r="X14" s="59">
        <f t="shared" si="25"/>
      </c>
      <c r="Y14" s="59">
        <f t="shared" si="10"/>
      </c>
      <c r="Z14" s="59">
        <f t="shared" si="28"/>
      </c>
    </row>
    <row customHeight="true" ht="18.51851851851852" r="15">
      <c r="A15" s="54"/>
      <c r="B15" s="60" t="s">
        <v>444</v>
      </c>
      <c r="C15" s="54">
        <v>66</v>
      </c>
      <c r="D15" s="54">
        <v>2.7</v>
      </c>
      <c r="F15" s="55" t="s">
        <v>445</v>
      </c>
      <c r="I15" s="54" t="s">
        <v>416</v>
      </c>
      <c r="J15" s="54">
        <v>110</v>
      </c>
      <c r="K15" s="54">
        <v>149.99</v>
      </c>
      <c r="L15" s="54">
        <f t="shared" si="13"/>
      </c>
      <c r="M15" s="56">
        <f t="shared" si="31"/>
      </c>
      <c r="N15" s="56">
        <f t="shared" si="1"/>
      </c>
      <c r="O15" s="56">
        <f t="shared" si="16"/>
      </c>
      <c r="P15" s="57">
        <f t="shared" si="4"/>
      </c>
      <c r="Q15" s="57">
        <f t="shared" si="19"/>
      </c>
      <c r="R15" s="58">
        <v>0.1</v>
      </c>
      <c r="S15" s="58">
        <v>0.1</v>
      </c>
      <c r="T15" s="58">
        <v>0.01</v>
      </c>
      <c r="U15" s="58">
        <f t="shared" si="7"/>
      </c>
      <c r="V15" s="58">
        <v>0.14</v>
      </c>
      <c r="W15" s="59">
        <f t="shared" si="22"/>
      </c>
      <c r="X15" s="59">
        <f t="shared" si="25"/>
      </c>
      <c r="Y15" s="59">
        <f t="shared" si="10"/>
      </c>
      <c r="Z15" s="59">
        <f t="shared" si="28"/>
      </c>
    </row>
    <row customHeight="true" ht="18.51851851851852" r="16">
      <c r="A16" s="54"/>
      <c r="B16" s="60" t="s">
        <v>446</v>
      </c>
      <c r="C16" s="54">
        <v>65</v>
      </c>
      <c r="D16" s="54">
        <v>6.07</v>
      </c>
      <c r="F16" s="55" t="s">
        <v>447</v>
      </c>
      <c r="I16" s="54" t="s">
        <v>416</v>
      </c>
      <c r="J16" s="54">
        <v>110</v>
      </c>
      <c r="K16" s="54">
        <v>149.99</v>
      </c>
      <c r="L16" s="54">
        <f t="shared" si="13"/>
      </c>
      <c r="M16" s="56">
        <f t="shared" si="31"/>
      </c>
      <c r="N16" s="56">
        <f t="shared" si="1"/>
      </c>
      <c r="O16" s="56">
        <f t="shared" si="16"/>
      </c>
      <c r="P16" s="57">
        <f t="shared" si="4"/>
      </c>
      <c r="Q16" s="57">
        <f t="shared" si="19"/>
      </c>
      <c r="R16" s="58">
        <v>0.1</v>
      </c>
      <c r="S16" s="58">
        <v>0.1</v>
      </c>
      <c r="T16" s="58">
        <v>0.01</v>
      </c>
      <c r="U16" s="58">
        <f t="shared" si="7"/>
      </c>
      <c r="V16" s="58">
        <v>0.14</v>
      </c>
      <c r="W16" s="59">
        <f t="shared" si="22"/>
      </c>
      <c r="X16" s="59">
        <f t="shared" si="25"/>
      </c>
      <c r="Y16" s="59">
        <f t="shared" si="10"/>
      </c>
      <c r="Z16" s="59">
        <f t="shared" si="28"/>
      </c>
    </row>
    <row customHeight="true" ht="18.51851851851852" r="17">
      <c r="A17" s="54"/>
      <c r="B17" s="55"/>
      <c r="C17" s="54"/>
      <c r="D17" s="54"/>
      <c r="F17" s="55"/>
      <c r="G17" s="55"/>
      <c r="I17" s="54"/>
      <c r="J17" s="54"/>
      <c r="K17" s="54"/>
      <c r="L17" s="54"/>
      <c r="M17" s="56"/>
      <c r="N17" s="56"/>
      <c r="O17" s="56"/>
      <c r="P17" s="57"/>
      <c r="Q17" s="57"/>
      <c r="R17" s="58"/>
      <c r="S17" s="58"/>
      <c r="T17" s="58"/>
      <c r="U17" s="58"/>
      <c r="V17" s="58"/>
      <c r="W17" s="59"/>
      <c r="X17" s="59"/>
      <c r="Y17" s="59"/>
      <c r="Z17" s="59"/>
      <c r="AA17" s="55"/>
      <c r="AB17" s="55"/>
    </row>
    <row customHeight="true" ht="18.51851851851852" r="18">
      <c r="A18" s="54"/>
      <c r="B18" s="55" t="s">
        <v>448</v>
      </c>
      <c r="C18" s="54">
        <v>92</v>
      </c>
      <c r="D18" s="54">
        <v>4.64</v>
      </c>
      <c r="F18" s="55" t="s">
        <v>449</v>
      </c>
      <c r="G18" s="55" t="s">
        <v>450</v>
      </c>
      <c r="I18" s="54" t="s">
        <v>416</v>
      </c>
      <c r="J18" s="54">
        <v>164.3</v>
      </c>
      <c r="K18" s="54">
        <v>229</v>
      </c>
      <c r="L18" s="54">
        <f t="shared" ref="L18:L24" si="14">J18-Q18-W18-X18-Y18-Z18</f>
      </c>
      <c r="M18" s="56">
        <f t="shared" ref="M18:M24" si="32">L18/J18</f>
      </c>
      <c r="N18" s="56">
        <f t="shared" ref="N18:N24" si="2">(K18-J18)/K18</f>
      </c>
      <c r="O18" s="56">
        <f t="shared" ref="O18:O24" si="17">(K18-J18+Z18)/K18</f>
      </c>
      <c r="P18" s="57">
        <f t="shared" ref="P18:P24" si="5">K18-J18</f>
      </c>
      <c r="Q18" s="57">
        <f t="shared" ref="Q18:Q24" si="20">C18+D18</f>
      </c>
      <c r="R18" s="58">
        <v>0.1</v>
      </c>
      <c r="S18" s="58">
        <v>0.1</v>
      </c>
      <c r="T18" s="58">
        <v>0.01</v>
      </c>
      <c r="U18" s="58">
        <f t="shared" ref="U18:U24" si="8">Q18/J18</f>
      </c>
      <c r="V18" s="58">
        <v>0.14</v>
      </c>
      <c r="W18" s="59">
        <f t="shared" ref="W18:W24" si="23">J18*R18</f>
      </c>
      <c r="X18" s="59">
        <f t="shared" ref="X18:X24" si="26">K18*S18</f>
      </c>
      <c r="Y18" s="59">
        <f t="shared" ref="Y18:Y24" si="11">J18*T18</f>
      </c>
      <c r="Z18" s="59">
        <f t="shared" ref="Z18:Z24" si="29">J18*V18</f>
      </c>
      <c r="AA18" s="55"/>
      <c r="AB18" s="55"/>
    </row>
    <row customHeight="true" ht="18.51851851851852" r="19">
      <c r="A19" s="54"/>
      <c r="B19" s="55" t="s">
        <v>451</v>
      </c>
      <c r="C19" s="54">
        <v>106</v>
      </c>
      <c r="D19" s="54">
        <v>4.64</v>
      </c>
      <c r="F19" s="55" t="s">
        <v>452</v>
      </c>
      <c r="G19" s="55" t="s">
        <v>453</v>
      </c>
      <c r="I19" s="54" t="s">
        <v>416</v>
      </c>
      <c r="J19" s="54">
        <v>164.3</v>
      </c>
      <c r="K19" s="54">
        <v>229</v>
      </c>
      <c r="L19" s="54">
        <f t="shared" si="14"/>
      </c>
      <c r="M19" s="56">
        <f t="shared" si="32"/>
      </c>
      <c r="N19" s="56">
        <f t="shared" si="2"/>
      </c>
      <c r="O19" s="56">
        <f t="shared" si="17"/>
      </c>
      <c r="P19" s="57">
        <f t="shared" si="5"/>
      </c>
      <c r="Q19" s="57">
        <f t="shared" si="20"/>
      </c>
      <c r="R19" s="58">
        <v>0.1</v>
      </c>
      <c r="S19" s="58">
        <v>0.1</v>
      </c>
      <c r="T19" s="58">
        <v>0.01</v>
      </c>
      <c r="U19" s="58">
        <f t="shared" si="8"/>
      </c>
      <c r="V19" s="58">
        <v>0.14</v>
      </c>
      <c r="W19" s="59">
        <f t="shared" si="23"/>
      </c>
      <c r="X19" s="59">
        <f t="shared" si="26"/>
      </c>
      <c r="Y19" s="59">
        <f t="shared" si="11"/>
      </c>
      <c r="Z19" s="59">
        <f t="shared" si="29"/>
      </c>
      <c r="AA19" s="55"/>
      <c r="AB19" s="55"/>
    </row>
    <row customHeight="true" ht="18.51851851851852" r="20">
      <c r="A20" s="54"/>
      <c r="B20" s="55" t="s">
        <v>454</v>
      </c>
      <c r="C20" s="54">
        <v>84</v>
      </c>
      <c r="D20" s="54">
        <v>4</v>
      </c>
      <c r="F20" s="55" t="s">
        <v>455</v>
      </c>
      <c r="G20" s="55" t="s">
        <v>456</v>
      </c>
      <c r="I20" s="54" t="s">
        <v>416</v>
      </c>
      <c r="J20" s="54">
        <v>142.8</v>
      </c>
      <c r="K20" s="54">
        <v>199</v>
      </c>
      <c r="L20" s="54">
        <f t="shared" si="14"/>
      </c>
      <c r="M20" s="56">
        <f t="shared" si="32"/>
      </c>
      <c r="N20" s="56">
        <f t="shared" si="2"/>
      </c>
      <c r="O20" s="56">
        <f t="shared" si="17"/>
      </c>
      <c r="P20" s="57">
        <f t="shared" si="5"/>
      </c>
      <c r="Q20" s="57">
        <f t="shared" si="20"/>
      </c>
      <c r="R20" s="58">
        <v>0.1</v>
      </c>
      <c r="S20" s="58">
        <v>0.1</v>
      </c>
      <c r="T20" s="58">
        <v>0.01</v>
      </c>
      <c r="U20" s="58">
        <f t="shared" si="8"/>
      </c>
      <c r="V20" s="58">
        <v>0.14</v>
      </c>
      <c r="W20" s="59">
        <f t="shared" si="23"/>
      </c>
      <c r="X20" s="59">
        <f t="shared" si="26"/>
      </c>
      <c r="Y20" s="59">
        <f t="shared" si="11"/>
      </c>
      <c r="Z20" s="59">
        <f t="shared" si="29"/>
      </c>
      <c r="AA20" s="55"/>
      <c r="AB20" s="55"/>
    </row>
    <row customHeight="true" ht="18.51851851851852" r="21">
      <c r="A21" s="54"/>
      <c r="B21" s="55" t="s">
        <v>457</v>
      </c>
      <c r="C21" s="54">
        <v>18</v>
      </c>
      <c r="D21" s="54">
        <v>3.53</v>
      </c>
      <c r="F21" s="55" t="s">
        <v>458</v>
      </c>
      <c r="G21" s="55" t="s">
        <v>459</v>
      </c>
      <c r="I21" s="54" t="s">
        <v>416</v>
      </c>
      <c r="J21" s="54">
        <v>28.44</v>
      </c>
      <c r="K21" s="54">
        <v>39.51</v>
      </c>
      <c r="L21" s="54">
        <f t="shared" si="14"/>
      </c>
      <c r="M21" s="56">
        <f t="shared" si="32"/>
      </c>
      <c r="N21" s="56">
        <f t="shared" si="2"/>
      </c>
      <c r="O21" s="56">
        <f t="shared" si="17"/>
      </c>
      <c r="P21" s="57">
        <f t="shared" si="5"/>
      </c>
      <c r="Q21" s="57">
        <f t="shared" si="20"/>
      </c>
      <c r="R21" s="58">
        <v>0.1</v>
      </c>
      <c r="S21" s="58">
        <v>0.1</v>
      </c>
      <c r="T21" s="58">
        <v>0.01</v>
      </c>
      <c r="U21" s="58">
        <f t="shared" si="8"/>
      </c>
      <c r="V21" s="58">
        <v>0.14</v>
      </c>
      <c r="W21" s="59">
        <f t="shared" si="23"/>
      </c>
      <c r="X21" s="59">
        <f t="shared" si="26"/>
      </c>
      <c r="Y21" s="59">
        <f t="shared" si="11"/>
      </c>
      <c r="Z21" s="59">
        <f t="shared" si="29"/>
      </c>
    </row>
    <row customHeight="true" ht="18.51851851851852" r="22">
      <c r="A22" s="54"/>
      <c r="B22" s="55" t="s">
        <v>460</v>
      </c>
      <c r="C22" s="54">
        <v>18</v>
      </c>
      <c r="D22" s="54">
        <v>3.53</v>
      </c>
      <c r="F22" s="55" t="s">
        <v>461</v>
      </c>
      <c r="G22" s="55" t="s">
        <v>459</v>
      </c>
      <c r="I22" s="54" t="s">
        <v>416</v>
      </c>
      <c r="J22" s="54">
        <v>28.44</v>
      </c>
      <c r="K22" s="54">
        <v>39.51</v>
      </c>
      <c r="L22" s="54">
        <f t="shared" si="14"/>
      </c>
      <c r="M22" s="56">
        <f t="shared" si="32"/>
      </c>
      <c r="N22" s="56">
        <f t="shared" si="2"/>
      </c>
      <c r="O22" s="56">
        <f t="shared" si="17"/>
      </c>
      <c r="P22" s="57">
        <f t="shared" si="5"/>
      </c>
      <c r="Q22" s="57">
        <f t="shared" si="20"/>
      </c>
      <c r="R22" s="58">
        <v>0.1</v>
      </c>
      <c r="S22" s="58">
        <v>0.1</v>
      </c>
      <c r="T22" s="58">
        <v>0.01</v>
      </c>
      <c r="U22" s="58">
        <f t="shared" si="8"/>
      </c>
      <c r="V22" s="58">
        <v>0.14</v>
      </c>
      <c r="W22" s="59">
        <f t="shared" si="23"/>
      </c>
      <c r="X22" s="59">
        <f t="shared" si="26"/>
      </c>
      <c r="Y22" s="59">
        <f t="shared" si="11"/>
      </c>
      <c r="Z22" s="59">
        <f t="shared" si="29"/>
      </c>
    </row>
    <row customHeight="true" ht="18.51851851851852" r="23">
      <c r="A23" s="54"/>
      <c r="B23" s="55" t="s">
        <v>462</v>
      </c>
      <c r="C23" s="54">
        <v>28</v>
      </c>
      <c r="D23" s="54">
        <v>3.57</v>
      </c>
      <c r="F23" s="55" t="s">
        <v>463</v>
      </c>
      <c r="G23" s="55" t="s">
        <v>464</v>
      </c>
      <c r="I23" s="54" t="s">
        <v>416</v>
      </c>
      <c r="J23" s="54">
        <v>51.8</v>
      </c>
      <c r="K23" s="54">
        <v>72.99</v>
      </c>
      <c r="L23" s="54">
        <f t="shared" si="14"/>
      </c>
      <c r="M23" s="56">
        <f t="shared" si="32"/>
      </c>
      <c r="N23" s="56">
        <f t="shared" si="2"/>
      </c>
      <c r="O23" s="56">
        <f t="shared" si="17"/>
      </c>
      <c r="P23" s="57">
        <f t="shared" si="5"/>
      </c>
      <c r="Q23" s="57">
        <f t="shared" si="20"/>
      </c>
      <c r="R23" s="58">
        <v>0.1</v>
      </c>
      <c r="S23" s="58">
        <v>0.1</v>
      </c>
      <c r="T23" s="58">
        <v>0.01</v>
      </c>
      <c r="U23" s="58">
        <f t="shared" si="8"/>
      </c>
      <c r="V23" s="58">
        <v>0.14</v>
      </c>
      <c r="W23" s="59">
        <f t="shared" si="23"/>
      </c>
      <c r="X23" s="59">
        <f t="shared" si="26"/>
      </c>
      <c r="Y23" s="59">
        <f t="shared" si="11"/>
      </c>
      <c r="Z23" s="59">
        <f t="shared" si="29"/>
      </c>
    </row>
    <row customHeight="true" ht="18.51851851851852" r="24">
      <c r="A24" s="54"/>
      <c r="B24" s="55" t="s">
        <v>465</v>
      </c>
      <c r="C24" s="54">
        <v>28</v>
      </c>
      <c r="D24" s="54">
        <v>3.57</v>
      </c>
      <c r="F24" s="55" t="s">
        <v>466</v>
      </c>
      <c r="G24" s="55" t="s">
        <v>464</v>
      </c>
      <c r="I24" s="54" t="s">
        <v>416</v>
      </c>
      <c r="J24" s="54">
        <v>51.8</v>
      </c>
      <c r="K24" s="54">
        <v>72.99</v>
      </c>
      <c r="L24" s="54">
        <f t="shared" si="14"/>
      </c>
      <c r="M24" s="56">
        <f t="shared" si="32"/>
      </c>
      <c r="N24" s="56">
        <f t="shared" si="2"/>
      </c>
      <c r="O24" s="56">
        <f t="shared" si="17"/>
      </c>
      <c r="P24" s="57">
        <f t="shared" si="5"/>
      </c>
      <c r="Q24" s="57">
        <f t="shared" si="20"/>
      </c>
      <c r="R24" s="58">
        <v>0.1</v>
      </c>
      <c r="S24" s="58">
        <v>0.1</v>
      </c>
      <c r="T24" s="58">
        <v>0.01</v>
      </c>
      <c r="U24" s="58">
        <f t="shared" si="8"/>
      </c>
      <c r="V24" s="58">
        <v>0.14</v>
      </c>
      <c r="W24" s="59">
        <f t="shared" si="23"/>
      </c>
      <c r="X24" s="59">
        <f t="shared" si="26"/>
      </c>
      <c r="Y24" s="59">
        <f t="shared" si="11"/>
      </c>
      <c r="Z24" s="59">
        <f t="shared" si="29"/>
      </c>
    </row>
    <row customHeight="true" ht="18.51851851851852" r="25">
      <c r="A25" s="54"/>
      <c r="B25" s="55"/>
      <c r="C25" s="54"/>
      <c r="D25" s="54"/>
      <c r="I25" s="54"/>
      <c r="P25" s="62"/>
      <c r="Q25" s="63"/>
      <c r="R25" s="54"/>
      <c r="U25" s="58"/>
      <c r="V25" s="54"/>
    </row>
    <row customHeight="true" ht="18.51851851851852" r="26">
      <c r="A26" s="54"/>
      <c r="B26" s="55"/>
      <c r="C26" s="54"/>
      <c r="D26" s="54"/>
      <c r="E26" s="55" t="s">
        <v>467</v>
      </c>
      <c r="F26" s="55" t="s">
        <v>468</v>
      </c>
      <c r="G26" s="55" t="s">
        <v>469</v>
      </c>
      <c r="I26" s="54" t="s">
        <v>416</v>
      </c>
      <c r="J26" s="64">
        <v>109.79</v>
      </c>
      <c r="P26" s="62"/>
      <c r="Q26" s="63"/>
      <c r="R26" s="54"/>
      <c r="U26" s="58"/>
      <c r="V26" s="54"/>
    </row>
    <row customHeight="true" ht="18.51851851851852" r="27">
      <c r="A27" s="54"/>
      <c r="B27" s="55"/>
      <c r="C27" s="54"/>
      <c r="D27" s="54"/>
      <c r="E27" s="55" t="s">
        <v>470</v>
      </c>
      <c r="F27" s="55" t="s">
        <v>471</v>
      </c>
      <c r="G27" s="55" t="s">
        <v>472</v>
      </c>
      <c r="I27" s="54" t="s">
        <v>416</v>
      </c>
      <c r="J27" s="64">
        <v>100.64</v>
      </c>
      <c r="P27" s="62"/>
      <c r="Q27" s="63"/>
      <c r="R27" s="54"/>
      <c r="U27" s="58"/>
      <c r="V27" s="54"/>
    </row>
    <row customHeight="true" ht="18.51851851851852" r="28">
      <c r="A28" s="54"/>
      <c r="B28" s="55"/>
      <c r="C28" s="54"/>
      <c r="D28" s="54"/>
      <c r="E28" s="55" t="s">
        <v>473</v>
      </c>
      <c r="F28" s="55" t="s">
        <v>474</v>
      </c>
      <c r="G28" s="55" t="s">
        <v>475</v>
      </c>
      <c r="I28" s="54" t="s">
        <v>416</v>
      </c>
      <c r="J28" s="64">
        <v>88.8</v>
      </c>
      <c r="P28" s="62"/>
      <c r="Q28" s="63"/>
      <c r="R28" s="54"/>
      <c r="U28" s="58"/>
      <c r="V28" s="54"/>
    </row>
    <row customHeight="true" ht="18.51851851851852" r="29">
      <c r="A29" s="54"/>
      <c r="B29" s="55"/>
      <c r="C29" s="54"/>
      <c r="D29" s="54"/>
      <c r="E29" s="55" t="s">
        <v>476</v>
      </c>
      <c r="F29" s="55" t="s">
        <v>477</v>
      </c>
      <c r="G29" s="55" t="s">
        <v>478</v>
      </c>
      <c r="I29" s="54" t="s">
        <v>416</v>
      </c>
      <c r="J29" s="64">
        <v>63.84</v>
      </c>
      <c r="P29" s="62"/>
      <c r="Q29" s="63"/>
      <c r="R29" s="54"/>
      <c r="U29" s="58"/>
      <c r="V29" s="54"/>
    </row>
    <row customHeight="true" ht="18.51851851851852" r="30">
      <c r="A30" s="54"/>
      <c r="B30" s="55"/>
      <c r="C30" s="54"/>
      <c r="D30" s="54"/>
      <c r="E30" s="55" t="s">
        <v>479</v>
      </c>
      <c r="F30" s="55" t="s">
        <v>480</v>
      </c>
      <c r="G30" s="55" t="s">
        <v>481</v>
      </c>
      <c r="I30" s="54" t="s">
        <v>416</v>
      </c>
      <c r="J30" s="64">
        <v>71.04</v>
      </c>
      <c r="P30" s="62"/>
      <c r="Q30" s="63"/>
      <c r="R30" s="54"/>
      <c r="U30" s="58"/>
      <c r="V30" s="54"/>
    </row>
  </sheetData>
  <conditionalFormatting sqref="F1:F1">
    <cfRule dxfId="0" priority="1" stopIfTrue="true" type="duplicateValues"/>
  </conditionalFormatting>
  <conditionalFormatting sqref="M1:M1">
    <cfRule dxfId="1" operator="lessThan" priority="2" stopIfTrue="true" type="cellIs">
      <formula>0</formula>
    </cfRule>
  </conditionalFormatting>
  <legacyDrawing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2" xSplit="3" ySplit="1"/>
    </sheetView>
  </sheetViews>
  <sheetFormatPr defaultRowHeight="16"/>
  <cols>
    <col collapsed="false" customWidth="true" hidden="false" max="7" min="7" style="0" width="13.933333333333334"/>
    <col collapsed="false" customWidth="true" hidden="false" max="11" min="11" style="0" width="13.266666666666667"/>
    <col collapsed="false" customWidth="true" hidden="false" max="15" min="15" style="0" width="17.4"/>
    <col collapsed="false" customWidth="true" hidden="false" max="19" min="19" style="0" width="13"/>
    <col collapsed="false" customWidth="true" hidden="false" max="23" min="23" style="0" width="17.4"/>
    <col collapsed="false" customWidth="true" hidden="false" max="3" min="3" style="0" width="14.2"/>
    <col collapsed="false" customWidth="true" hidden="false" max="6" min="6" style="0" width="13.933333333333334"/>
    <col collapsed="false" customWidth="true" hidden="false" max="10" min="10" style="0" width="13.666666666666666"/>
    <col collapsed="false" customWidth="true" hidden="false" max="14" min="14" style="0" width="17.4"/>
    <col collapsed="false" customWidth="true" hidden="false" max="18" min="18" style="0" width="7.933333333333334"/>
    <col collapsed="false" customWidth="true" hidden="false" max="22" min="22" style="0" width="17.4"/>
    <col collapsed="false" customWidth="true" hidden="false" max="2" min="2" style="0" width="42.333333333333336"/>
    <col collapsed="false" customWidth="true" hidden="false" max="5" min="5" style="0" width="24.733333333333334"/>
    <col collapsed="false" customWidth="true" hidden="false" max="9" min="9" style="0" width="13.666666666666666"/>
    <col collapsed="false" customWidth="true" hidden="false" max="13" min="13" style="0" width="17.4"/>
    <col collapsed="false" customWidth="true" hidden="false" max="17" min="17" style="0" width="7.933333333333334"/>
    <col collapsed="false" customWidth="true" hidden="false" max="21" min="21" style="0" width="60.46666666666667"/>
    <col collapsed="false" customWidth="true" hidden="false" max="1" min="1" style="0" width="11.266666666666667"/>
    <col collapsed="false" customWidth="true" hidden="false" max="8" min="8" style="0" width="13.933333333333334"/>
    <col collapsed="false" customWidth="true" hidden="false" max="12" min="12" style="0" width="15.8"/>
    <col collapsed="false" customWidth="true" hidden="false" max="16" min="16" style="0" width="7.933333333333334"/>
    <col collapsed="false" customWidth="true" hidden="false" max="20" min="20" style="0" width="23.133333333333333"/>
    <col collapsed="false" customWidth="true" hidden="false" max="24" min="24" style="0" width="17.4"/>
    <col collapsed="false" customWidth="true" hidden="false" max="4" min="4" style="0" width="10.733333333333333"/>
  </cols>
  <sheetData>
    <row customHeight="true" ht="16.296296296296294" r="1">
      <c r="A1" s="65"/>
      <c r="B1" s="65" t="s">
        <v>482</v>
      </c>
      <c r="C1" s="65" t="s">
        <v>483</v>
      </c>
      <c r="D1" s="66" t="s">
        <v>484</v>
      </c>
      <c r="E1" s="66" t="s">
        <v>485</v>
      </c>
      <c r="F1" s="65" t="s">
        <v>486</v>
      </c>
      <c r="G1" s="66" t="s">
        <v>487</v>
      </c>
      <c r="H1" s="65" t="s">
        <v>488</v>
      </c>
      <c r="I1" s="65" t="s">
        <v>489</v>
      </c>
      <c r="J1" s="66" t="s">
        <v>490</v>
      </c>
      <c r="K1" s="65" t="s">
        <v>491</v>
      </c>
      <c r="L1" s="65" t="s">
        <v>492</v>
      </c>
      <c r="M1" s="67" t="s">
        <v>493</v>
      </c>
      <c r="N1" s="67" t="s">
        <v>494</v>
      </c>
      <c r="O1" s="65" t="s">
        <v>495</v>
      </c>
      <c r="P1" s="65" t="s">
        <v>496</v>
      </c>
      <c r="Q1" s="65" t="s">
        <v>497</v>
      </c>
      <c r="R1" s="65" t="s">
        <v>498</v>
      </c>
      <c r="S1" s="65" t="s">
        <v>493</v>
      </c>
      <c r="T1" s="65" t="s">
        <v>494</v>
      </c>
      <c r="U1" s="65" t="s">
        <v>499</v>
      </c>
      <c r="V1" s="68" t="s">
        <v>500</v>
      </c>
      <c r="W1" s="69" t="s">
        <v>501</v>
      </c>
      <c r="X1" s="69" t="s">
        <v>502</v>
      </c>
    </row>
    <row customHeight="true" ht="22.22222222222222" r="2">
      <c r="A2" s="70" t="s">
        <v>503</v>
      </c>
      <c r="B2" s="67" t="s">
        <v>504</v>
      </c>
      <c r="C2" s="71">
        <v>99.99</v>
      </c>
      <c r="D2" s="72">
        <v>7.1</v>
      </c>
      <c r="E2" s="72">
        <v>120.8</v>
      </c>
      <c r="F2" s="73">
        <f t="shared" ref="F2:F19" si="7">E2/D2</f>
      </c>
      <c r="G2" s="74">
        <v>55</v>
      </c>
      <c r="H2" s="73">
        <f t="shared" ref="H2:H19" si="4">G2/D2</f>
      </c>
      <c r="I2" s="73">
        <f t="shared" ref="I2:I19" si="13">F2+H2</f>
      </c>
      <c r="J2" s="72">
        <v>0.15</v>
      </c>
      <c r="K2" s="73">
        <f t="shared" ref="K2:K19" si="10">C2*J2</f>
      </c>
      <c r="L2" s="75">
        <v>13.41</v>
      </c>
      <c r="M2" s="73">
        <f t="shared" ref="M2:M19" si="5">C2-I2-K2-L2</f>
      </c>
      <c r="N2" s="73">
        <f t="shared" ref="N2:N19" si="0">M2/C2</f>
      </c>
      <c r="O2" s="73"/>
      <c r="P2" s="76">
        <v>0.07</v>
      </c>
      <c r="Q2" s="75"/>
      <c r="R2" s="75"/>
      <c r="S2" s="73">
        <f t="shared" ref="S2:S5" si="11">C2-I2-K2-L2-Q2-R2</f>
      </c>
      <c r="T2" s="73">
        <f t="shared" ref="T2:T5" si="8">S2/C2</f>
      </c>
      <c r="U2" s="77" t="s">
        <v>505</v>
      </c>
      <c r="V2" s="78">
        <f t="shared" ref="V2:V17" si="6">E2/D2/C2</f>
      </c>
      <c r="W2" s="78">
        <f t="shared" ref="W2:W17" si="1">H2/C2</f>
      </c>
      <c r="X2" s="78">
        <f t="shared" ref="X2:X17" si="12">L2/C2</f>
      </c>
    </row>
    <row customHeight="true" ht="22.22222222222222" r="3">
      <c r="A3" s="70" t="s">
        <v>503</v>
      </c>
      <c r="B3" s="67" t="s">
        <v>506</v>
      </c>
      <c r="C3" s="71">
        <v>64.99</v>
      </c>
      <c r="D3" s="72">
        <v>7.1</v>
      </c>
      <c r="E3" s="72">
        <v>120.8</v>
      </c>
      <c r="F3" s="73">
        <f t="shared" si="7"/>
      </c>
      <c r="G3" s="74">
        <v>55</v>
      </c>
      <c r="H3" s="73">
        <f t="shared" si="4"/>
      </c>
      <c r="I3" s="73">
        <f t="shared" si="13"/>
      </c>
      <c r="J3" s="72">
        <v>0.15</v>
      </c>
      <c r="K3" s="73">
        <f t="shared" si="10"/>
      </c>
      <c r="L3" s="75">
        <v>13.41</v>
      </c>
      <c r="M3" s="73">
        <f t="shared" si="5"/>
      </c>
      <c r="N3" s="73">
        <f t="shared" si="0"/>
      </c>
      <c r="O3" s="73"/>
      <c r="P3" s="76">
        <v>0.07</v>
      </c>
      <c r="Q3" s="75"/>
      <c r="R3" s="75"/>
      <c r="S3" s="73">
        <f t="shared" si="11"/>
      </c>
      <c r="T3" s="73">
        <f t="shared" si="8"/>
      </c>
      <c r="U3" s="77" t="s">
        <v>505</v>
      </c>
      <c r="V3" s="78">
        <f t="shared" si="6"/>
      </c>
      <c r="W3" s="78">
        <f t="shared" si="1"/>
      </c>
      <c r="X3" s="78">
        <f t="shared" si="12"/>
      </c>
    </row>
    <row customHeight="true" ht="22.22222222222222" r="4">
      <c r="A4" s="70" t="s">
        <v>503</v>
      </c>
      <c r="B4" s="67" t="s">
        <v>507</v>
      </c>
      <c r="C4" s="71">
        <v>59.99</v>
      </c>
      <c r="D4" s="72">
        <v>7.1</v>
      </c>
      <c r="E4" s="72">
        <v>120.8</v>
      </c>
      <c r="F4" s="73">
        <f t="shared" si="7"/>
      </c>
      <c r="G4" s="74">
        <v>55</v>
      </c>
      <c r="H4" s="73">
        <f t="shared" si="4"/>
      </c>
      <c r="I4" s="73">
        <f t="shared" si="13"/>
      </c>
      <c r="J4" s="72">
        <v>0.15</v>
      </c>
      <c r="K4" s="73">
        <f t="shared" si="10"/>
      </c>
      <c r="L4" s="75">
        <v>13.41</v>
      </c>
      <c r="M4" s="73">
        <f t="shared" si="5"/>
      </c>
      <c r="N4" s="73">
        <f t="shared" si="0"/>
      </c>
      <c r="O4" s="73"/>
      <c r="P4" s="76">
        <v>0.07</v>
      </c>
      <c r="Q4" s="75"/>
      <c r="R4" s="75"/>
      <c r="S4" s="73">
        <f t="shared" si="11"/>
      </c>
      <c r="T4" s="73">
        <f t="shared" si="8"/>
      </c>
      <c r="U4" s="77" t="s">
        <v>505</v>
      </c>
      <c r="V4" s="78">
        <f t="shared" si="6"/>
      </c>
      <c r="W4" s="78">
        <f t="shared" si="1"/>
      </c>
      <c r="X4" s="78">
        <f t="shared" si="12"/>
      </c>
    </row>
    <row customHeight="true" ht="22.22222222222222" r="5">
      <c r="A5" s="70" t="s">
        <v>503</v>
      </c>
      <c r="B5" s="67" t="s">
        <v>508</v>
      </c>
      <c r="C5" s="71">
        <v>45</v>
      </c>
      <c r="D5" s="72">
        <v>7.1</v>
      </c>
      <c r="E5" s="72">
        <v>120.8</v>
      </c>
      <c r="F5" s="73">
        <f t="shared" si="7"/>
      </c>
      <c r="G5" s="74">
        <v>55</v>
      </c>
      <c r="H5" s="73">
        <f t="shared" si="4"/>
      </c>
      <c r="I5" s="73">
        <f t="shared" si="13"/>
      </c>
      <c r="J5" s="72">
        <v>0.15</v>
      </c>
      <c r="K5" s="73">
        <f t="shared" si="10"/>
      </c>
      <c r="L5" s="75">
        <v>13.41</v>
      </c>
      <c r="M5" s="73">
        <f t="shared" si="5"/>
      </c>
      <c r="N5" s="73">
        <f t="shared" si="0"/>
      </c>
      <c r="O5" s="73"/>
      <c r="P5" s="76">
        <v>0.07</v>
      </c>
      <c r="Q5" s="75"/>
      <c r="R5" s="75"/>
      <c r="S5" s="73">
        <f t="shared" si="11"/>
      </c>
      <c r="T5" s="73">
        <f t="shared" si="8"/>
      </c>
      <c r="U5" s="77" t="s">
        <v>505</v>
      </c>
      <c r="V5" s="78">
        <f t="shared" si="6"/>
      </c>
      <c r="W5" s="78">
        <f t="shared" si="1"/>
      </c>
      <c r="X5" s="78">
        <f t="shared" si="12"/>
      </c>
    </row>
    <row customHeight="true" ht="16.296296296296294" r="6">
      <c r="A6" s="79"/>
      <c r="B6" s="77" t="s">
        <v>509</v>
      </c>
      <c r="C6" s="80">
        <v>19.99</v>
      </c>
      <c r="D6" s="72">
        <v>7.1</v>
      </c>
      <c r="E6" s="72">
        <v>40</v>
      </c>
      <c r="F6" s="73">
        <f t="shared" si="7"/>
      </c>
      <c r="G6" s="74"/>
      <c r="H6" s="73">
        <f t="shared" si="4"/>
      </c>
      <c r="I6" s="73">
        <f t="shared" si="13"/>
      </c>
      <c r="J6" s="72">
        <v>0.15</v>
      </c>
      <c r="K6" s="73">
        <f t="shared" si="10"/>
      </c>
      <c r="L6" s="75">
        <v>3.99</v>
      </c>
      <c r="M6" s="73">
        <f t="shared" si="5"/>
      </c>
      <c r="N6" s="73">
        <f t="shared" si="0"/>
      </c>
      <c r="O6" s="73"/>
      <c r="P6" s="75"/>
      <c r="Q6" s="75"/>
      <c r="R6" s="75"/>
      <c r="S6" s="77"/>
      <c r="T6" s="77"/>
      <c r="U6" s="77"/>
      <c r="V6" s="78">
        <f t="shared" si="6"/>
      </c>
      <c r="W6" s="78">
        <f t="shared" si="1"/>
      </c>
      <c r="X6" s="78">
        <f t="shared" si="12"/>
      </c>
    </row>
    <row customHeight="true" ht="16.296296296296294" r="7">
      <c r="A7" s="79"/>
      <c r="B7" s="77" t="s">
        <v>510</v>
      </c>
      <c r="C7" s="80">
        <v>119.99</v>
      </c>
      <c r="D7" s="72">
        <v>7.1</v>
      </c>
      <c r="E7" s="72">
        <f>270/1.13</f>
      </c>
      <c r="F7" s="73">
        <f t="shared" si="7"/>
      </c>
      <c r="G7" s="74">
        <v>40</v>
      </c>
      <c r="H7" s="73">
        <f t="shared" si="4"/>
      </c>
      <c r="I7" s="73">
        <f t="shared" si="13"/>
      </c>
      <c r="J7" s="72">
        <v>0.15</v>
      </c>
      <c r="K7" s="73">
        <f t="shared" si="10"/>
      </c>
      <c r="L7" s="73">
        <v>9.81</v>
      </c>
      <c r="M7" s="73">
        <f t="shared" si="5"/>
      </c>
      <c r="N7" s="73">
        <f t="shared" si="0"/>
      </c>
      <c r="O7" s="73"/>
      <c r="P7" s="75"/>
      <c r="Q7" s="75"/>
      <c r="R7" s="75"/>
      <c r="S7" s="77"/>
      <c r="T7" s="77"/>
      <c r="U7" s="77"/>
      <c r="V7" s="78">
        <f t="shared" si="6"/>
      </c>
      <c r="W7" s="78">
        <f t="shared" si="1"/>
      </c>
      <c r="X7" s="78">
        <f t="shared" si="12"/>
      </c>
    </row>
    <row customHeight="true" ht="16.296296296296294" r="8">
      <c r="A8" s="79"/>
      <c r="B8" s="77" t="s">
        <v>510</v>
      </c>
      <c r="C8" s="80">
        <f>C7*0.7</f>
      </c>
      <c r="D8" s="72">
        <v>7.1</v>
      </c>
      <c r="E8" s="72">
        <f t="shared" ref="E8:E9" si="2">230/1.13</f>
      </c>
      <c r="F8" s="73">
        <f t="shared" si="7"/>
      </c>
      <c r="G8" s="74">
        <v>40</v>
      </c>
      <c r="H8" s="73">
        <f t="shared" si="4"/>
      </c>
      <c r="I8" s="73">
        <f t="shared" si="13"/>
      </c>
      <c r="J8" s="72">
        <v>0.15</v>
      </c>
      <c r="K8" s="73">
        <f t="shared" si="10"/>
      </c>
      <c r="L8" s="73">
        <v>9.81</v>
      </c>
      <c r="M8" s="73">
        <f t="shared" si="5"/>
      </c>
      <c r="N8" s="73">
        <f t="shared" si="0"/>
      </c>
      <c r="O8" s="73"/>
      <c r="P8" s="75"/>
      <c r="Q8" s="75"/>
      <c r="R8" s="75"/>
      <c r="S8" s="77"/>
      <c r="T8" s="77"/>
      <c r="U8" s="77"/>
      <c r="V8" s="78">
        <f t="shared" si="6"/>
      </c>
      <c r="W8" s="78">
        <f t="shared" si="1"/>
      </c>
      <c r="X8" s="78">
        <f t="shared" si="12"/>
      </c>
    </row>
    <row customHeight="true" ht="16.296296296296294" r="9">
      <c r="A9" s="79"/>
      <c r="B9" s="77" t="s">
        <v>510</v>
      </c>
      <c r="C9" s="80">
        <f>C8*0.8</f>
      </c>
      <c r="D9" s="72">
        <v>7.1</v>
      </c>
      <c r="E9" s="72">
        <f t="shared" si="2"/>
      </c>
      <c r="F9" s="73">
        <f t="shared" si="7"/>
      </c>
      <c r="G9" s="74">
        <v>40</v>
      </c>
      <c r="H9" s="73">
        <f t="shared" si="4"/>
      </c>
      <c r="I9" s="73">
        <f t="shared" si="13"/>
      </c>
      <c r="J9" s="72">
        <v>0.15</v>
      </c>
      <c r="K9" s="73">
        <f t="shared" si="10"/>
      </c>
      <c r="L9" s="73">
        <v>9.81</v>
      </c>
      <c r="M9" s="73">
        <f t="shared" si="5"/>
      </c>
      <c r="N9" s="73">
        <f t="shared" si="0"/>
      </c>
      <c r="O9" s="73"/>
      <c r="P9" s="75"/>
      <c r="Q9" s="75"/>
      <c r="R9" s="75"/>
      <c r="S9" s="77"/>
      <c r="T9" s="77"/>
      <c r="U9" s="77"/>
      <c r="V9" s="78">
        <f t="shared" si="6"/>
      </c>
      <c r="W9" s="78">
        <f t="shared" si="1"/>
      </c>
      <c r="X9" s="78">
        <f t="shared" si="12"/>
      </c>
    </row>
    <row customHeight="true" ht="16.296296296296294" r="10">
      <c r="A10" s="79"/>
      <c r="B10" s="77" t="s">
        <v>510</v>
      </c>
      <c r="C10" s="80">
        <v>89.99</v>
      </c>
      <c r="D10" s="72">
        <v>7.1</v>
      </c>
      <c r="E10" s="72">
        <f>270/1.13</f>
      </c>
      <c r="F10" s="73">
        <f t="shared" si="7"/>
      </c>
      <c r="G10" s="74">
        <v>40</v>
      </c>
      <c r="H10" s="73">
        <f t="shared" si="4"/>
      </c>
      <c r="I10" s="73">
        <f t="shared" si="13"/>
      </c>
      <c r="J10" s="72">
        <v>0.15</v>
      </c>
      <c r="K10" s="73">
        <f t="shared" si="10"/>
      </c>
      <c r="L10" s="73">
        <v>9.81</v>
      </c>
      <c r="M10" s="73">
        <f t="shared" si="5"/>
      </c>
      <c r="N10" s="73">
        <f t="shared" si="0"/>
      </c>
      <c r="O10" s="73"/>
      <c r="P10" s="75"/>
      <c r="Q10" s="75"/>
      <c r="R10" s="75"/>
      <c r="S10" s="77"/>
      <c r="T10" s="77"/>
      <c r="U10" s="77"/>
      <c r="V10" s="78">
        <f t="shared" si="6"/>
      </c>
      <c r="W10" s="78">
        <f t="shared" si="1"/>
      </c>
      <c r="X10" s="78">
        <f t="shared" si="12"/>
      </c>
    </row>
    <row customHeight="true" ht="16.296296296296294" r="11">
      <c r="A11" s="70" t="s">
        <v>503</v>
      </c>
      <c r="B11" s="67" t="s">
        <v>511</v>
      </c>
      <c r="C11" s="80">
        <v>44.99</v>
      </c>
      <c r="D11" s="72">
        <v>7.1</v>
      </c>
      <c r="E11" s="72">
        <f t="shared" ref="E11:E13" si="9">94.4/1.13</f>
      </c>
      <c r="F11" s="73">
        <f t="shared" si="7"/>
      </c>
      <c r="G11" s="74">
        <v>20</v>
      </c>
      <c r="H11" s="73">
        <f t="shared" si="4"/>
      </c>
      <c r="I11" s="73">
        <f t="shared" si="13"/>
      </c>
      <c r="J11" s="72">
        <v>0.15</v>
      </c>
      <c r="K11" s="73">
        <f t="shared" si="10"/>
      </c>
      <c r="L11" s="77">
        <v>7.32</v>
      </c>
      <c r="M11" s="73">
        <f t="shared" si="5"/>
      </c>
      <c r="N11" s="73">
        <f t="shared" si="0"/>
      </c>
      <c r="O11" s="77"/>
      <c r="P11" s="75"/>
      <c r="Q11" s="75"/>
      <c r="R11" s="75"/>
      <c r="S11" s="77"/>
      <c r="T11" s="77"/>
      <c r="U11" s="77" t="s">
        <v>512</v>
      </c>
      <c r="V11" s="78">
        <f t="shared" si="6"/>
      </c>
      <c r="W11" s="78">
        <f t="shared" si="1"/>
      </c>
      <c r="X11" s="78">
        <f t="shared" si="12"/>
      </c>
    </row>
    <row customHeight="true" ht="16.296296296296294" r="12">
      <c r="A12" s="70" t="s">
        <v>503</v>
      </c>
      <c r="B12" s="67" t="s">
        <v>513</v>
      </c>
      <c r="C12" s="80">
        <f>C11*0.8</f>
      </c>
      <c r="D12" s="72">
        <v>7.1</v>
      </c>
      <c r="E12" s="72">
        <f t="shared" si="9"/>
      </c>
      <c r="F12" s="73">
        <f t="shared" si="7"/>
      </c>
      <c r="G12" s="74">
        <v>20</v>
      </c>
      <c r="H12" s="73">
        <f t="shared" si="4"/>
      </c>
      <c r="I12" s="73">
        <f t="shared" si="13"/>
      </c>
      <c r="J12" s="72">
        <v>0.15</v>
      </c>
      <c r="K12" s="73">
        <f t="shared" si="10"/>
      </c>
      <c r="L12" s="77">
        <v>7.32</v>
      </c>
      <c r="M12" s="73">
        <f t="shared" si="5"/>
      </c>
      <c r="N12" s="73">
        <f t="shared" si="0"/>
      </c>
      <c r="O12" s="77"/>
      <c r="P12" s="75"/>
      <c r="Q12" s="75"/>
      <c r="R12" s="75"/>
      <c r="S12" s="77"/>
      <c r="T12" s="77"/>
      <c r="U12" s="77" t="s">
        <v>512</v>
      </c>
      <c r="V12" s="78">
        <f t="shared" si="6"/>
      </c>
      <c r="W12" s="78">
        <f t="shared" si="1"/>
      </c>
      <c r="X12" s="78">
        <f t="shared" si="12"/>
      </c>
    </row>
    <row customHeight="true" ht="16.296296296296294" r="13">
      <c r="A13" s="70" t="s">
        <v>503</v>
      </c>
      <c r="B13" s="67" t="s">
        <v>514</v>
      </c>
      <c r="C13" s="80">
        <f>C11*0.7</f>
      </c>
      <c r="D13" s="72">
        <v>7.1</v>
      </c>
      <c r="E13" s="72">
        <f t="shared" si="9"/>
      </c>
      <c r="F13" s="73">
        <f t="shared" si="7"/>
      </c>
      <c r="G13" s="74">
        <v>20</v>
      </c>
      <c r="H13" s="73">
        <f t="shared" si="4"/>
      </c>
      <c r="I13" s="73">
        <f t="shared" si="13"/>
      </c>
      <c r="J13" s="72">
        <v>0.15</v>
      </c>
      <c r="K13" s="73">
        <f t="shared" si="10"/>
      </c>
      <c r="L13" s="77">
        <v>7.32</v>
      </c>
      <c r="M13" s="73">
        <f t="shared" si="5"/>
      </c>
      <c r="N13" s="73">
        <f t="shared" si="0"/>
      </c>
      <c r="O13" s="77"/>
      <c r="P13" s="75"/>
      <c r="Q13" s="75"/>
      <c r="R13" s="75"/>
      <c r="S13" s="77"/>
      <c r="T13" s="77"/>
      <c r="U13" s="77" t="s">
        <v>512</v>
      </c>
      <c r="V13" s="78">
        <f t="shared" si="6"/>
      </c>
      <c r="W13" s="78">
        <f t="shared" si="1"/>
      </c>
      <c r="X13" s="78">
        <f t="shared" si="12"/>
      </c>
    </row>
    <row customHeight="true" ht="16.296296296296294" r="14">
      <c r="A14" s="70" t="s">
        <v>503</v>
      </c>
      <c r="B14" s="67" t="s">
        <v>515</v>
      </c>
      <c r="C14" s="80">
        <v>18.99</v>
      </c>
      <c r="D14" s="72">
        <v>7.1</v>
      </c>
      <c r="E14" s="72">
        <f t="shared" ref="E14:E16" si="3">15.5/1.13</f>
      </c>
      <c r="F14" s="73">
        <f t="shared" si="7"/>
      </c>
      <c r="G14" s="74">
        <v>6</v>
      </c>
      <c r="H14" s="73">
        <f t="shared" si="4"/>
      </c>
      <c r="I14" s="73">
        <f t="shared" si="13"/>
      </c>
      <c r="J14" s="72">
        <v>0.15</v>
      </c>
      <c r="K14" s="73">
        <f t="shared" si="10"/>
      </c>
      <c r="L14" s="77">
        <v>5.37</v>
      </c>
      <c r="M14" s="73">
        <f t="shared" si="5"/>
      </c>
      <c r="N14" s="73">
        <f t="shared" si="0"/>
      </c>
      <c r="O14" s="77"/>
      <c r="P14" s="75"/>
      <c r="Q14" s="75"/>
      <c r="R14" s="75"/>
      <c r="S14" s="77"/>
      <c r="T14" s="77"/>
      <c r="U14" s="77" t="s">
        <v>512</v>
      </c>
      <c r="V14" s="78">
        <f t="shared" si="6"/>
      </c>
      <c r="W14" s="78">
        <f t="shared" si="1"/>
      </c>
      <c r="X14" s="78">
        <f t="shared" si="12"/>
      </c>
    </row>
    <row customHeight="true" ht="16.296296296296294" r="15">
      <c r="A15" s="70" t="s">
        <v>503</v>
      </c>
      <c r="B15" s="67" t="s">
        <v>516</v>
      </c>
      <c r="C15" s="80">
        <f>C14*0.8</f>
      </c>
      <c r="D15" s="72">
        <v>7.1</v>
      </c>
      <c r="E15" s="72">
        <f t="shared" si="3"/>
      </c>
      <c r="F15" s="73">
        <f t="shared" si="7"/>
      </c>
      <c r="G15" s="74">
        <v>6</v>
      </c>
      <c r="H15" s="73">
        <f t="shared" si="4"/>
      </c>
      <c r="I15" s="73">
        <f t="shared" si="13"/>
      </c>
      <c r="J15" s="72">
        <v>0.15</v>
      </c>
      <c r="K15" s="73">
        <f t="shared" si="10"/>
      </c>
      <c r="L15" s="77">
        <v>5.37</v>
      </c>
      <c r="M15" s="73">
        <f t="shared" si="5"/>
      </c>
      <c r="N15" s="73">
        <f t="shared" si="0"/>
      </c>
      <c r="O15" s="77"/>
      <c r="P15" s="75"/>
      <c r="Q15" s="75"/>
      <c r="R15" s="75"/>
      <c r="S15" s="77"/>
      <c r="T15" s="77"/>
      <c r="U15" s="77" t="s">
        <v>512</v>
      </c>
      <c r="V15" s="78">
        <f t="shared" si="6"/>
      </c>
      <c r="W15" s="78">
        <f t="shared" si="1"/>
      </c>
      <c r="X15" s="78">
        <f t="shared" si="12"/>
      </c>
    </row>
    <row customHeight="true" ht="16.296296296296294" r="16">
      <c r="A16" s="70" t="s">
        <v>503</v>
      </c>
      <c r="B16" s="67" t="s">
        <v>517</v>
      </c>
      <c r="C16" s="80">
        <f>C14*0.7</f>
      </c>
      <c r="D16" s="72">
        <v>7.1</v>
      </c>
      <c r="E16" s="72">
        <f t="shared" si="3"/>
      </c>
      <c r="F16" s="73">
        <f t="shared" si="7"/>
      </c>
      <c r="G16" s="74">
        <v>6</v>
      </c>
      <c r="H16" s="73">
        <f t="shared" si="4"/>
      </c>
      <c r="I16" s="73">
        <f t="shared" si="13"/>
      </c>
      <c r="J16" s="72">
        <v>0.15</v>
      </c>
      <c r="K16" s="73">
        <f t="shared" si="10"/>
      </c>
      <c r="L16" s="77">
        <v>5.37</v>
      </c>
      <c r="M16" s="73">
        <f t="shared" si="5"/>
      </c>
      <c r="N16" s="73">
        <f t="shared" si="0"/>
      </c>
      <c r="O16" s="77"/>
      <c r="P16" s="75"/>
      <c r="Q16" s="75"/>
      <c r="R16" s="75"/>
      <c r="S16" s="77"/>
      <c r="T16" s="77"/>
      <c r="U16" s="77" t="s">
        <v>512</v>
      </c>
      <c r="V16" s="78">
        <f t="shared" si="6"/>
      </c>
      <c r="W16" s="78">
        <f t="shared" si="1"/>
      </c>
      <c r="X16" s="78">
        <f t="shared" si="12"/>
      </c>
    </row>
    <row customHeight="true" ht="16.296296296296294" r="17">
      <c r="A17" s="77"/>
      <c r="B17" s="77" t="s">
        <v>518</v>
      </c>
      <c r="C17" s="77">
        <v>49.99</v>
      </c>
      <c r="D17" s="72">
        <v>7.1</v>
      </c>
      <c r="E17" s="72">
        <f>147/1.13</f>
      </c>
      <c r="F17" s="73">
        <f t="shared" si="7"/>
      </c>
      <c r="G17" s="74">
        <v>10</v>
      </c>
      <c r="H17" s="73">
        <f t="shared" si="4"/>
      </c>
      <c r="I17" s="73">
        <f t="shared" si="13"/>
      </c>
      <c r="J17" s="72">
        <v>0.15</v>
      </c>
      <c r="K17" s="73">
        <f t="shared" si="10"/>
      </c>
      <c r="L17" s="77">
        <v>5.29</v>
      </c>
      <c r="M17" s="73">
        <f t="shared" si="5"/>
      </c>
      <c r="N17" s="73">
        <f t="shared" si="0"/>
      </c>
      <c r="O17" s="77"/>
      <c r="P17" s="75"/>
      <c r="Q17" s="75"/>
      <c r="R17" s="75"/>
      <c r="S17" s="77"/>
      <c r="T17" s="77"/>
      <c r="U17" s="77"/>
      <c r="V17" s="78">
        <f t="shared" si="6"/>
      </c>
      <c r="W17" s="78">
        <f t="shared" si="1"/>
      </c>
      <c r="X17" s="78">
        <f t="shared" si="12"/>
      </c>
    </row>
    <row customHeight="true" ht="16.296296296296294" r="18">
      <c r="A18" s="81"/>
      <c r="B18" s="77"/>
      <c r="C18" s="71">
        <v>39.99</v>
      </c>
      <c r="D18" s="72">
        <v>7.1</v>
      </c>
      <c r="E18" s="72">
        <v>71</v>
      </c>
      <c r="F18" s="73">
        <f t="shared" si="7"/>
      </c>
      <c r="G18" s="74">
        <v>18</v>
      </c>
      <c r="H18" s="73">
        <f t="shared" si="4"/>
      </c>
      <c r="I18" s="73">
        <f t="shared" si="13"/>
      </c>
      <c r="J18" s="72">
        <v>0.15</v>
      </c>
      <c r="K18" s="73">
        <f t="shared" si="10"/>
      </c>
      <c r="L18" s="75">
        <v>6</v>
      </c>
      <c r="M18" s="73">
        <f t="shared" si="5"/>
      </c>
      <c r="N18" s="73">
        <f t="shared" si="0"/>
      </c>
      <c r="O18" s="73"/>
      <c r="P18" s="75"/>
      <c r="Q18" s="75"/>
      <c r="R18" s="75"/>
      <c r="S18" s="81"/>
      <c r="T18" s="81"/>
      <c r="U18" s="81"/>
      <c r="V18" s="81"/>
      <c r="W18" s="78"/>
      <c r="X18" s="78"/>
    </row>
    <row customHeight="true" ht="16.296296296296294" r="19">
      <c r="A19" s="81"/>
      <c r="B19" s="81"/>
      <c r="C19" s="71">
        <v>39.99</v>
      </c>
      <c r="D19" s="72">
        <v>7.1</v>
      </c>
      <c r="E19" s="72">
        <v>71</v>
      </c>
      <c r="F19" s="73">
        <f t="shared" si="7"/>
      </c>
      <c r="G19" s="74">
        <v>18</v>
      </c>
      <c r="H19" s="73">
        <f t="shared" si="4"/>
      </c>
      <c r="I19" s="73">
        <f t="shared" si="13"/>
      </c>
      <c r="J19" s="72">
        <v>0.15</v>
      </c>
      <c r="K19" s="73">
        <f t="shared" si="10"/>
      </c>
      <c r="L19" s="75">
        <v>6</v>
      </c>
      <c r="M19" s="73">
        <f t="shared" si="5"/>
      </c>
      <c r="N19" s="73">
        <f t="shared" si="0"/>
      </c>
      <c r="O19" s="81"/>
      <c r="P19" s="81"/>
      <c r="Q19" s="81"/>
      <c r="R19" s="81"/>
      <c r="S19" s="81"/>
      <c r="T19" s="81"/>
      <c r="U19" s="81"/>
      <c r="V19" s="81"/>
      <c r="W19" s="78"/>
      <c r="X19" s="78"/>
    </row>
    <row customHeight="true" ht="15.555555555555555" r="20">
      <c r="A20" s="81"/>
      <c r="B20" s="81"/>
      <c r="C20" s="82"/>
      <c r="D20" s="83"/>
      <c r="E20" s="84"/>
      <c r="F20" s="81"/>
      <c r="G20" s="83"/>
      <c r="H20" s="81"/>
      <c r="I20" s="81"/>
      <c r="J20" s="83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78"/>
      <c r="X20" s="78"/>
    </row>
  </sheetData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7" min="7" style="0" width="13.8"/>
    <col collapsed="false" customWidth="true" hidden="false" max="23" min="23" style="0" width="6.466666666666667"/>
    <col collapsed="false" customWidth="true" hidden="false" max="31" min="31" style="0" width="13.266666666666667"/>
    <col collapsed="false" customWidth="true" hidden="false" max="2" min="2" style="0" width="17.8"/>
    <col collapsed="false" customWidth="true" hidden="false" max="9" min="9" style="0" width="16.866666666666667"/>
    <col collapsed="false" customWidth="true" hidden="false" max="10" min="10" style="0" width="10.733333333333333"/>
    <col collapsed="false" customWidth="true" hidden="false" max="18" min="18" style="0" width="8.733333333333333"/>
    <col collapsed="false" customWidth="true" hidden="false" max="26" min="26" style="0" width="7.8"/>
    <col collapsed="false" customWidth="true" hidden="false" max="33" min="33" style="0" width="13.266666666666667"/>
    <col collapsed="false" customWidth="true" hidden="false" max="1" min="1" style="0" width="8.733333333333333"/>
    <col collapsed="false" customWidth="true" hidden="false" max="12" min="12" style="0" width="17.4"/>
    <col collapsed="false" customWidth="true" hidden="false" max="17" min="17" style="0" width="8.733333333333333"/>
    <col collapsed="false" customWidth="true" hidden="false" max="25" min="25" style="0" width="7.8"/>
    <col collapsed="false" customWidth="true" hidden="false" max="4" min="4" style="0" width="11.8"/>
    <col collapsed="false" customWidth="true" hidden="false" max="11" min="11" style="0" width="10.733333333333333"/>
    <col collapsed="false" customWidth="true" hidden="false" max="20" min="20" style="0" width="6.466666666666667"/>
    <col collapsed="false" customWidth="true" hidden="false" max="28" min="28" style="0" width="7.8"/>
    <col collapsed="false" customWidth="true" hidden="false" max="3" min="3" style="0" width="10.066666666666666"/>
    <col collapsed="false" customWidth="true" hidden="false" max="14" min="14" style="0" width="12.866666666666667"/>
    <col collapsed="false" customWidth="true" hidden="false" max="19" min="19" style="0" width="6.466666666666667"/>
    <col collapsed="false" customWidth="true" hidden="false" max="27" min="27" style="0" width="7.8"/>
    <col collapsed="false" customWidth="true" hidden="false" max="6" min="6" style="0" width="13"/>
    <col collapsed="false" customWidth="true" hidden="false" max="13" min="13" style="0" width="12.2"/>
    <col collapsed="false" customWidth="true" hidden="false" max="22" min="22" style="0" width="6.466666666666667"/>
    <col collapsed="false" customWidth="true" hidden="false" max="30" min="30" style="0" width="13.266666666666667"/>
    <col collapsed="false" customWidth="true" hidden="false" max="5" min="5" style="0" width="27.666666666666668"/>
    <col collapsed="false" customWidth="true" hidden="false" max="16" min="16" style="0" width="12.866666666666667"/>
    <col collapsed="false" customWidth="true" hidden="false" max="21" min="21" style="0" width="6.466666666666667"/>
    <col collapsed="false" customWidth="true" hidden="false" max="29" min="29" style="0" width="13.266666666666667"/>
    <col collapsed="false" customWidth="true" hidden="false" max="8" min="8" style="0" width="15.4"/>
    <col collapsed="false" customWidth="true" hidden="false" max="15" min="15" style="0" width="12.866666666666667"/>
    <col collapsed="false" customWidth="true" hidden="false" max="24" min="24" style="0" width="6.466666666666667"/>
    <col collapsed="false" customWidth="true" hidden="false" max="32" min="32" style="0" width="13.266666666666667"/>
  </cols>
  <sheetData>
    <row customHeight="true" ht="43.7037037037037" r="1">
      <c r="A1" s="85" t="s">
        <v>519</v>
      </c>
      <c r="B1" s="85" t="s">
        <v>520</v>
      </c>
      <c r="C1" s="85" t="s">
        <v>521</v>
      </c>
      <c r="D1" s="85" t="s">
        <v>522</v>
      </c>
      <c r="E1" s="85" t="s">
        <v>523</v>
      </c>
      <c r="F1" s="85" t="s">
        <v>524</v>
      </c>
      <c r="G1" s="86" t="s">
        <v>525</v>
      </c>
      <c r="H1" s="87" t="s">
        <v>526</v>
      </c>
      <c r="I1" s="88" t="s">
        <v>527</v>
      </c>
      <c r="J1" s="89" t="s">
        <v>528</v>
      </c>
      <c r="K1" s="90" t="s">
        <v>529</v>
      </c>
      <c r="L1" s="91" t="s">
        <v>530</v>
      </c>
      <c r="M1" s="92" t="s">
        <v>531</v>
      </c>
      <c r="N1" s="89" t="s">
        <v>532</v>
      </c>
      <c r="O1" s="92" t="s">
        <v>533</v>
      </c>
      <c r="P1" s="92" t="s">
        <v>534</v>
      </c>
      <c r="Q1" s="86" t="s">
        <v>535</v>
      </c>
      <c r="R1" s="93" t="s">
        <v>536</v>
      </c>
      <c r="S1" s="94" t="s">
        <v>537</v>
      </c>
      <c r="T1" s="94" t="s">
        <v>538</v>
      </c>
      <c r="U1" s="94" t="s">
        <v>539</v>
      </c>
      <c r="V1" s="95" t="s">
        <v>540</v>
      </c>
      <c r="W1" s="95" t="s">
        <v>541</v>
      </c>
      <c r="X1" s="95" t="s">
        <v>542</v>
      </c>
      <c r="Y1" s="95" t="s">
        <v>543</v>
      </c>
      <c r="Z1" s="96" t="s">
        <v>544</v>
      </c>
      <c r="AA1" s="95" t="s">
        <v>545</v>
      </c>
      <c r="AB1" s="95" t="s">
        <v>546</v>
      </c>
      <c r="AC1" s="97" t="s">
        <v>547</v>
      </c>
      <c r="AD1" s="98" t="s">
        <v>548</v>
      </c>
      <c r="AE1" s="93" t="s">
        <v>549</v>
      </c>
      <c r="AF1" s="95" t="s">
        <v>550</v>
      </c>
      <c r="AG1" s="95" t="s">
        <v>551</v>
      </c>
    </row>
    <row customHeight="true" ht="14.814814814814813" r="2">
      <c r="A2" s="99" t="s">
        <v>552</v>
      </c>
      <c r="B2" s="99" t="s">
        <v>553</v>
      </c>
      <c r="C2" s="100" t="s">
        <v>554</v>
      </c>
      <c r="D2" s="100" t="s">
        <v>555</v>
      </c>
      <c r="E2" s="101" t="s">
        <v>556</v>
      </c>
      <c r="F2" s="100" t="s">
        <v>557</v>
      </c>
      <c r="G2" s="102" t="s">
        <v>558</v>
      </c>
      <c r="H2" s="103">
        <v>53.99</v>
      </c>
      <c r="I2" s="102">
        <v>64.99</v>
      </c>
      <c r="J2" s="103">
        <f t="shared" ref="J2:J7" si="10">H2-O2/R2-P2-Y2-Z2-AA2-AB2</f>
      </c>
      <c r="K2" s="104">
        <f t="shared" ref="K2:K7" si="13">J2/H2</f>
      </c>
      <c r="L2" s="105">
        <f t="shared" ref="L2:L7" si="1">(I2-H2)/I2</f>
      </c>
      <c r="M2" s="104">
        <f>(I2-H2+AB2)/(I2)</f>
      </c>
      <c r="N2" s="103">
        <f t="shared" ref="N2:N7" si="11">I2-H2</f>
      </c>
      <c r="O2" s="106">
        <f t="shared" ref="O2:O7" si="14">AD2+AE2</f>
      </c>
      <c r="P2" s="102">
        <v>1.5</v>
      </c>
      <c r="Q2" s="100">
        <v>4</v>
      </c>
      <c r="R2" s="100">
        <v>7</v>
      </c>
      <c r="S2" s="107">
        <v>0.1</v>
      </c>
      <c r="T2" s="107">
        <f t="shared" ref="T2:T7" si="2">Z2/H2</f>
      </c>
      <c r="U2" s="107">
        <v>0.01</v>
      </c>
      <c r="V2" s="104">
        <f t="shared" ref="V2:V7" si="6">O2/(H2*R2)</f>
      </c>
      <c r="W2" s="107">
        <f t="shared" ref="W2:W7" si="7">P2/H2</f>
      </c>
      <c r="X2" s="104">
        <f t="shared" ref="X2:X7" si="12">IF(G2="J671X",0,0.21)</f>
      </c>
      <c r="Y2" s="108">
        <f t="shared" ref="Y2:Y7" si="3">H2*S2</f>
      </c>
      <c r="Z2" s="108">
        <v>6.4</v>
      </c>
      <c r="AA2" s="108">
        <f t="shared" ref="AA2:AA7" si="4">H2*U2</f>
      </c>
      <c r="AB2" s="109">
        <f t="shared" ref="AB2:AB7" si="5">H2*X2</f>
      </c>
      <c r="AC2" s="110">
        <v>136.5</v>
      </c>
      <c r="AD2" s="110">
        <f t="shared" ref="AD2:AD7" si="8">AC2/1.13</f>
      </c>
      <c r="AE2" s="106">
        <v>55</v>
      </c>
      <c r="AF2" s="107">
        <f t="shared" ref="AF2:AF7" si="15">AD2/(H2*R2)</f>
      </c>
      <c r="AG2" s="107">
        <f t="shared" ref="AG2:AG7" si="0">AE2/R2/H2</f>
      </c>
    </row>
    <row customHeight="true" ht="14.814814814814813" r="3">
      <c r="A3" s="100" t="s">
        <v>559</v>
      </c>
      <c r="B3" s="100" t="s">
        <v>553</v>
      </c>
      <c r="C3" s="100" t="s">
        <v>554</v>
      </c>
      <c r="D3" s="100" t="s">
        <v>555</v>
      </c>
      <c r="E3" s="101" t="s">
        <v>556</v>
      </c>
      <c r="F3" s="100" t="s">
        <v>557</v>
      </c>
      <c r="G3" s="102" t="s">
        <v>560</v>
      </c>
      <c r="H3" s="103">
        <v>48</v>
      </c>
      <c r="I3" s="102">
        <v>89.99</v>
      </c>
      <c r="J3" s="103">
        <f t="shared" si="10"/>
      </c>
      <c r="K3" s="104">
        <f t="shared" si="13"/>
      </c>
      <c r="L3" s="105">
        <f t="shared" si="1"/>
      </c>
      <c r="M3" s="104">
        <f t="shared" ref="M3:M7" si="9">(I3-H3+AB3-Z3)/(I3-Z3)</f>
      </c>
      <c r="N3" s="103">
        <f t="shared" si="11"/>
      </c>
      <c r="O3" s="106">
        <f t="shared" si="14"/>
      </c>
      <c r="P3" s="102">
        <v>0</v>
      </c>
      <c r="Q3" s="100">
        <v>4</v>
      </c>
      <c r="R3" s="100">
        <v>7</v>
      </c>
      <c r="S3" s="107">
        <v>0.13</v>
      </c>
      <c r="T3" s="107">
        <f t="shared" si="2"/>
      </c>
      <c r="U3" s="107">
        <v>0.01</v>
      </c>
      <c r="V3" s="104">
        <f t="shared" si="6"/>
      </c>
      <c r="W3" s="107">
        <f t="shared" si="7"/>
      </c>
      <c r="X3" s="104">
        <f t="shared" si="12"/>
      </c>
      <c r="Y3" s="108">
        <f t="shared" si="3"/>
      </c>
      <c r="Z3" s="108">
        <v>10</v>
      </c>
      <c r="AA3" s="108">
        <f t="shared" si="4"/>
      </c>
      <c r="AB3" s="109">
        <f t="shared" si="5"/>
      </c>
      <c r="AC3" s="110">
        <v>136.5</v>
      </c>
      <c r="AD3" s="110">
        <f t="shared" si="8"/>
      </c>
      <c r="AE3" s="106">
        <v>0</v>
      </c>
      <c r="AF3" s="107">
        <f t="shared" si="15"/>
      </c>
      <c r="AG3" s="107">
        <f t="shared" si="0"/>
      </c>
    </row>
    <row customHeight="true" ht="14.814814814814813" r="4">
      <c r="A4" s="100" t="s">
        <v>552</v>
      </c>
      <c r="B4" s="100" t="s">
        <v>561</v>
      </c>
      <c r="C4" s="100" t="s">
        <v>554</v>
      </c>
      <c r="D4" s="100" t="s">
        <v>562</v>
      </c>
      <c r="E4" s="101" t="s">
        <v>563</v>
      </c>
      <c r="F4" s="100" t="s">
        <v>557</v>
      </c>
      <c r="G4" s="102" t="s">
        <v>558</v>
      </c>
      <c r="H4" s="103">
        <v>22</v>
      </c>
      <c r="I4" s="102">
        <v>29.99</v>
      </c>
      <c r="J4" s="103">
        <f t="shared" si="10"/>
      </c>
      <c r="K4" s="111">
        <f t="shared" si="13"/>
      </c>
      <c r="L4" s="105">
        <f t="shared" si="1"/>
      </c>
      <c r="M4" s="104">
        <f t="shared" si="9"/>
      </c>
      <c r="N4" s="103">
        <f t="shared" si="11"/>
      </c>
      <c r="O4" s="106">
        <f t="shared" si="14"/>
      </c>
      <c r="P4" s="102">
        <v>1</v>
      </c>
      <c r="Q4" s="100">
        <v>54</v>
      </c>
      <c r="R4" s="100">
        <v>7</v>
      </c>
      <c r="S4" s="107">
        <v>0.15</v>
      </c>
      <c r="T4" s="107">
        <f t="shared" si="2"/>
      </c>
      <c r="U4" s="107">
        <v>0.01</v>
      </c>
      <c r="V4" s="104">
        <f t="shared" si="6"/>
      </c>
      <c r="W4" s="107">
        <f t="shared" si="7"/>
      </c>
      <c r="X4" s="104">
        <f t="shared" si="12"/>
      </c>
      <c r="Y4" s="108">
        <f t="shared" si="3"/>
      </c>
      <c r="Z4" s="112">
        <v>3.63</v>
      </c>
      <c r="AA4" s="108">
        <f t="shared" si="4"/>
      </c>
      <c r="AB4" s="109">
        <f t="shared" si="5"/>
      </c>
      <c r="AC4" s="110">
        <v>46</v>
      </c>
      <c r="AD4" s="110">
        <f t="shared" si="8"/>
      </c>
      <c r="AE4" s="106">
        <v>9</v>
      </c>
      <c r="AF4" s="107">
        <f t="shared" si="15"/>
      </c>
      <c r="AG4" s="107">
        <f t="shared" si="0"/>
      </c>
    </row>
    <row customHeight="true" ht="14.814814814814813" r="5">
      <c r="A5" s="100" t="s">
        <v>552</v>
      </c>
      <c r="B5" s="100" t="s">
        <v>561</v>
      </c>
      <c r="C5" s="100" t="s">
        <v>554</v>
      </c>
      <c r="D5" s="100" t="s">
        <v>562</v>
      </c>
      <c r="E5" s="101" t="s">
        <v>563</v>
      </c>
      <c r="F5" s="100" t="s">
        <v>557</v>
      </c>
      <c r="G5" s="102" t="s">
        <v>558</v>
      </c>
      <c r="H5" s="103">
        <v>21</v>
      </c>
      <c r="I5" s="102">
        <v>27.99</v>
      </c>
      <c r="J5" s="103">
        <f t="shared" si="10"/>
      </c>
      <c r="K5" s="111">
        <f t="shared" si="13"/>
      </c>
      <c r="L5" s="105">
        <f t="shared" si="1"/>
      </c>
      <c r="M5" s="104">
        <f t="shared" si="9"/>
      </c>
      <c r="N5" s="103">
        <f t="shared" si="11"/>
      </c>
      <c r="O5" s="106">
        <f t="shared" si="14"/>
      </c>
      <c r="P5" s="102">
        <v>1</v>
      </c>
      <c r="Q5" s="100">
        <v>54</v>
      </c>
      <c r="R5" s="100">
        <v>7</v>
      </c>
      <c r="S5" s="107">
        <v>0.15</v>
      </c>
      <c r="T5" s="107">
        <f t="shared" si="2"/>
      </c>
      <c r="U5" s="107">
        <v>0.01</v>
      </c>
      <c r="V5" s="104">
        <f t="shared" si="6"/>
      </c>
      <c r="W5" s="107">
        <f t="shared" si="7"/>
      </c>
      <c r="X5" s="104">
        <f t="shared" si="12"/>
      </c>
      <c r="Y5" s="108">
        <f t="shared" si="3"/>
      </c>
      <c r="Z5" s="112">
        <v>2.79</v>
      </c>
      <c r="AA5" s="108">
        <f t="shared" si="4"/>
      </c>
      <c r="AB5" s="109">
        <f t="shared" si="5"/>
      </c>
      <c r="AC5" s="110">
        <v>46</v>
      </c>
      <c r="AD5" s="110">
        <f t="shared" si="8"/>
      </c>
      <c r="AE5" s="106">
        <v>9</v>
      </c>
      <c r="AF5" s="107">
        <f t="shared" si="15"/>
      </c>
      <c r="AG5" s="107">
        <f t="shared" si="0"/>
      </c>
    </row>
    <row customHeight="true" ht="14.814814814814813" r="6">
      <c r="A6" s="100" t="s">
        <v>552</v>
      </c>
      <c r="B6" s="100" t="s">
        <v>561</v>
      </c>
      <c r="C6" s="100" t="s">
        <v>554</v>
      </c>
      <c r="D6" s="100" t="s">
        <v>562</v>
      </c>
      <c r="E6" s="101" t="s">
        <v>563</v>
      </c>
      <c r="F6" s="100" t="s">
        <v>557</v>
      </c>
      <c r="G6" s="102" t="s">
        <v>558</v>
      </c>
      <c r="H6" s="103">
        <v>21</v>
      </c>
      <c r="I6" s="102">
        <v>27.99</v>
      </c>
      <c r="J6" s="103">
        <f t="shared" si="10"/>
      </c>
      <c r="K6" s="111">
        <f t="shared" si="13"/>
      </c>
      <c r="L6" s="105">
        <f t="shared" si="1"/>
      </c>
      <c r="M6" s="104">
        <f t="shared" si="9"/>
      </c>
      <c r="N6" s="103">
        <f t="shared" si="11"/>
      </c>
      <c r="O6" s="106">
        <f t="shared" si="14"/>
      </c>
      <c r="P6" s="102">
        <v>1</v>
      </c>
      <c r="Q6" s="100">
        <v>54</v>
      </c>
      <c r="R6" s="100">
        <v>7</v>
      </c>
      <c r="S6" s="107">
        <v>0.15</v>
      </c>
      <c r="T6" s="107">
        <f t="shared" si="2"/>
      </c>
      <c r="U6" s="107">
        <v>0.01</v>
      </c>
      <c r="V6" s="104">
        <f t="shared" si="6"/>
      </c>
      <c r="W6" s="107">
        <f t="shared" si="7"/>
      </c>
      <c r="X6" s="104">
        <f t="shared" si="12"/>
      </c>
      <c r="Y6" s="108">
        <f t="shared" si="3"/>
      </c>
      <c r="Z6" s="112">
        <v>4.3</v>
      </c>
      <c r="AA6" s="108">
        <f t="shared" si="4"/>
      </c>
      <c r="AB6" s="109">
        <f t="shared" si="5"/>
      </c>
      <c r="AC6" s="110">
        <v>46</v>
      </c>
      <c r="AD6" s="110">
        <f t="shared" si="8"/>
      </c>
      <c r="AE6" s="106">
        <v>9</v>
      </c>
      <c r="AF6" s="107">
        <f t="shared" si="15"/>
      </c>
      <c r="AG6" s="107">
        <f t="shared" si="0"/>
      </c>
    </row>
    <row customHeight="true" ht="14.814814814814813" r="7">
      <c r="A7" s="100" t="s">
        <v>559</v>
      </c>
      <c r="B7" s="100" t="s">
        <v>561</v>
      </c>
      <c r="C7" s="100" t="s">
        <v>554</v>
      </c>
      <c r="D7" s="100" t="s">
        <v>562</v>
      </c>
      <c r="E7" s="101" t="s">
        <v>563</v>
      </c>
      <c r="F7" s="100" t="s">
        <v>557</v>
      </c>
      <c r="G7" s="102" t="s">
        <v>560</v>
      </c>
      <c r="H7" s="103">
        <v>19</v>
      </c>
      <c r="I7" s="102">
        <v>34.99</v>
      </c>
      <c r="J7" s="103">
        <f t="shared" si="10"/>
      </c>
      <c r="K7" s="104">
        <f t="shared" si="13"/>
      </c>
      <c r="L7" s="105">
        <f t="shared" si="1"/>
      </c>
      <c r="M7" s="104">
        <f t="shared" si="9"/>
      </c>
      <c r="N7" s="103">
        <f t="shared" si="11"/>
      </c>
      <c r="O7" s="106">
        <f t="shared" si="14"/>
      </c>
      <c r="P7" s="102">
        <v>0</v>
      </c>
      <c r="Q7" s="100">
        <v>54</v>
      </c>
      <c r="R7" s="100">
        <v>7</v>
      </c>
      <c r="S7" s="107">
        <v>0.13</v>
      </c>
      <c r="T7" s="107">
        <f t="shared" si="2"/>
      </c>
      <c r="U7" s="107">
        <v>0.01</v>
      </c>
      <c r="V7" s="104">
        <f t="shared" si="6"/>
      </c>
      <c r="W7" s="107">
        <f t="shared" si="7"/>
      </c>
      <c r="X7" s="104">
        <f t="shared" si="12"/>
      </c>
      <c r="Y7" s="108">
        <f t="shared" si="3"/>
      </c>
      <c r="Z7" s="108">
        <v>3</v>
      </c>
      <c r="AA7" s="108">
        <f t="shared" si="4"/>
      </c>
      <c r="AB7" s="109">
        <f t="shared" si="5"/>
      </c>
      <c r="AC7" s="110">
        <v>46</v>
      </c>
      <c r="AD7" s="110">
        <f t="shared" si="8"/>
      </c>
      <c r="AE7" s="106">
        <v>0</v>
      </c>
      <c r="AF7" s="107">
        <f t="shared" si="15"/>
      </c>
      <c r="AG7" s="107">
        <f t="shared" si="0"/>
      </c>
    </row>
    <row customHeight="true" ht="13.333333333333332" r="8">
      <c r="A8" s="113"/>
    </row>
    <row customHeight="true" ht="13.333333333333332" r="9">
      <c r="A9" s="113"/>
    </row>
    <row customHeight="true" ht="22.962962962962962" r="10">
      <c r="A10" s="113"/>
      <c r="E10" s="113"/>
    </row>
    <row customHeight="true" ht="13.333333333333332" r="11">
      <c r="A11" s="113"/>
    </row>
    <row customHeight="true" ht="13.333333333333332" r="12">
      <c r="A12" s="113"/>
    </row>
    <row customHeight="true" ht="13.333333333333332" r="13">
      <c r="A13" s="113"/>
    </row>
    <row customHeight="true" ht="13.333333333333332" r="14">
      <c r="A14" s="113"/>
    </row>
    <row customHeight="true" ht="13.333333333333332" r="15">
      <c r="A15" s="113"/>
    </row>
    <row customHeight="true" ht="13.333333333333332" r="16">
      <c r="A16" s="113"/>
    </row>
    <row customHeight="true" ht="13.333333333333332" r="17">
      <c r="A17" s="113"/>
    </row>
    <row customHeight="true" ht="13.333333333333332" r="18">
      <c r="A18" s="113"/>
    </row>
    <row customHeight="true" ht="13.333333333333332" r="19">
      <c r="A19" s="113"/>
    </row>
    <row customHeight="true" ht="13.333333333333332" r="20">
      <c r="A20" s="113"/>
    </row>
  </sheetData>
  <conditionalFormatting sqref="D1:D1">
    <cfRule dxfId="2" priority="1" stopIfTrue="true" type="duplicateValues"/>
  </conditionalFormatting>
  <drawing r:id="rId3"/>
  <legacyDrawing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C2" xSplit="2" ySplit="1"/>
    </sheetView>
  </sheetViews>
  <sheetFormatPr defaultRowHeight="16"/>
  <cols>
    <col collapsed="false" customWidth="true" hidden="false" max="18" min="18" style="0" width="10.866666666666667"/>
    <col collapsed="false" customWidth="true" hidden="true" max="18" min="18" style="0" width="10.866666666666667"/>
    <col collapsed="false" customWidth="true" hidden="false" max="26" min="26" style="0" width="10.333333333333334"/>
    <col collapsed="false" customWidth="true" hidden="false" max="33" min="33" style="0" width="17.4"/>
    <col collapsed="false" customWidth="true" hidden="false" max="1" min="1" style="0" width="37"/>
    <col collapsed="false" customWidth="true" hidden="false" max="10" min="10" style="0" width="11.8"/>
    <col collapsed="false" customWidth="true" hidden="false" max="12" min="12" style="0" width="11.4"/>
    <col collapsed="false" customWidth="true" hidden="false" max="17" min="17" style="0" width="13"/>
    <col collapsed="false" customWidth="true" hidden="false" max="25" min="25" style="0" width="9"/>
    <col collapsed="false" customWidth="true" hidden="true" max="25" min="25" style="0" width="9"/>
    <col collapsed="false" customWidth="true" hidden="false" max="36" min="36" style="0" width="17.4"/>
    <col collapsed="false" customWidth="true" hidden="false" max="4" min="4" style="0" width="6.866666666666666"/>
    <col collapsed="false" customWidth="true" hidden="false" max="9" min="9" style="0" width="12.333333333333334"/>
    <col collapsed="false" customWidth="true" hidden="false" max="20" min="20" style="0" width="10.866666666666667"/>
    <col collapsed="false" customWidth="true" hidden="true" max="20" min="20" style="0" width="10.866666666666667"/>
    <col collapsed="false" customWidth="true" hidden="false" max="28" min="28" style="0" width="11.933333333333334"/>
    <col collapsed="false" customWidth="true" hidden="false" max="35" min="35" style="0" width="17.4"/>
    <col collapsed="false" customWidth="true" hidden="false" max="3" min="3" style="0" width="5"/>
    <col collapsed="false" customWidth="true" hidden="true" max="3" min="3" style="0" width="5"/>
    <col collapsed="false" customWidth="true" hidden="false" max="11" min="11" style="0" width="9.533333333333333"/>
    <col collapsed="false" customWidth="true" hidden="false" max="27" min="27" style="0" width="10.333333333333334"/>
    <col collapsed="false" customWidth="true" hidden="false" max="6" min="6" style="0" width="15.8"/>
    <col collapsed="false" customWidth="true" hidden="false" max="19" min="19" style="0" width="10.866666666666667"/>
    <col collapsed="false" customWidth="true" hidden="true" max="19" min="19" style="0" width="10.866666666666667"/>
    <col collapsed="false" customWidth="true" hidden="false" max="22" min="22" style="0" width="10.866666666666667"/>
    <col collapsed="false" customWidth="true" hidden="true" max="22" min="22" style="0" width="10.866666666666667"/>
    <col collapsed="false" customWidth="true" hidden="false" max="30" min="30" style="0" width="20.6"/>
    <col collapsed="false" customWidth="true" hidden="false" max="5" min="5" style="0" width="8.733333333333333"/>
    <col collapsed="false" customWidth="true" hidden="false" max="14" min="14" style="0" width="13"/>
    <col collapsed="false" customWidth="true" hidden="false" max="21" min="21" style="0" width="10.866666666666667"/>
    <col collapsed="false" customWidth="true" hidden="true" max="21" min="21" style="0" width="10.866666666666667"/>
    <col collapsed="false" customWidth="true" hidden="false" max="29" min="29" style="0" width="17.4"/>
    <col collapsed="false" customWidth="true" hidden="false" max="8" min="8" style="0" width="10.866666666666667"/>
    <col collapsed="false" customWidth="true" hidden="false" max="13" min="13" style="0" width="12.333333333333334"/>
    <col collapsed="false" customWidth="true" hidden="false" max="24" min="24" style="0" width="12.466666666666667"/>
    <col collapsed="false" customWidth="true" hidden="false" max="32" min="32" style="0" width="17.4"/>
    <col collapsed="false" customWidth="true" hidden="false" max="7" min="7" style="0" width="17.4"/>
    <col collapsed="false" customWidth="true" hidden="false" max="16" min="16" style="0" width="12.733333333333333"/>
    <col collapsed="false" customWidth="true" hidden="false" max="23" min="23" style="0" width="10.866666666666667"/>
    <col collapsed="false" customWidth="true" hidden="true" max="23" min="23" style="0" width="10.866666666666667"/>
    <col collapsed="false" customWidth="true" hidden="false" max="31" min="31" style="0" width="12.866666666666667"/>
    <col collapsed="false" customWidth="true" hidden="false" max="34" min="34" style="0" width="17.4"/>
    <col collapsed="false" customWidth="true" hidden="false" max="2" min="2" style="0" width="5.666666666666667"/>
    <col collapsed="false" customWidth="true" hidden="false" max="15" min="15" style="0" width="13.933333333333334"/>
  </cols>
  <sheetData>
    <row customHeight="true" ht="14.814814814814813" r="1">
      <c r="A1" s="114" t="s">
        <v>564</v>
      </c>
      <c r="B1" s="115" t="s">
        <v>565</v>
      </c>
      <c r="C1" s="115" t="s">
        <v>566</v>
      </c>
      <c r="D1" s="115" t="s">
        <v>567</v>
      </c>
      <c r="E1" s="115" t="s">
        <v>568</v>
      </c>
      <c r="F1" s="116" t="s">
        <v>569</v>
      </c>
      <c r="G1" s="116" t="s">
        <v>570</v>
      </c>
      <c r="H1" s="115" t="s">
        <v>571</v>
      </c>
      <c r="I1" s="116" t="s">
        <v>572</v>
      </c>
      <c r="J1" s="115" t="s">
        <v>573</v>
      </c>
      <c r="K1" s="115" t="s">
        <v>574</v>
      </c>
      <c r="L1" s="115" t="s">
        <v>575</v>
      </c>
      <c r="M1" s="115" t="s">
        <v>576</v>
      </c>
      <c r="N1" s="115" t="s">
        <v>577</v>
      </c>
      <c r="O1" s="117" t="s">
        <v>578</v>
      </c>
      <c r="P1" s="115" t="s">
        <v>579</v>
      </c>
      <c r="Q1" s="115" t="s">
        <v>580</v>
      </c>
      <c r="R1" s="115" t="s">
        <v>581</v>
      </c>
      <c r="S1" s="115" t="s">
        <v>582</v>
      </c>
      <c r="T1" s="115" t="s">
        <v>583</v>
      </c>
      <c r="U1" s="115" t="s">
        <v>584</v>
      </c>
      <c r="V1" s="116" t="s">
        <v>585</v>
      </c>
      <c r="W1" s="116" t="s">
        <v>586</v>
      </c>
      <c r="X1" s="115" t="s">
        <v>587</v>
      </c>
      <c r="Y1" s="118" t="s">
        <v>588</v>
      </c>
      <c r="Z1" s="119" t="s">
        <v>589</v>
      </c>
      <c r="AA1" s="116" t="s">
        <v>590</v>
      </c>
      <c r="AB1" s="117" t="s">
        <v>591</v>
      </c>
      <c r="AC1" s="120" t="s">
        <v>592</v>
      </c>
      <c r="AD1" s="121" t="s">
        <v>593</v>
      </c>
      <c r="AE1" s="115" t="s">
        <v>594</v>
      </c>
      <c r="AF1" s="115" t="s">
        <v>595</v>
      </c>
      <c r="AG1" s="115" t="s">
        <v>596</v>
      </c>
      <c r="AH1" s="115" t="s">
        <v>597</v>
      </c>
      <c r="AI1" s="115" t="s">
        <v>598</v>
      </c>
      <c r="AJ1" s="115" t="s">
        <v>576</v>
      </c>
    </row>
    <row customHeight="true" ht="13.333333333333332" r="2">
      <c r="A2" s="122" t="s">
        <v>599</v>
      </c>
      <c r="B2" s="123">
        <v>8</v>
      </c>
      <c r="C2" s="123" t="s">
        <v>600</v>
      </c>
      <c r="D2" s="123" t="s">
        <v>601</v>
      </c>
      <c r="E2" s="123" t="s">
        <v>602</v>
      </c>
      <c r="F2" s="124">
        <f t="shared" ref="F2:F4" si="472">IF(E2="有",(I2/B2+J2+Z2/B2)/(0.99999-K2-L2-M2-N2),(I2/B2+J2+Z2/B2)/(0.99999-K2-M2-N2))</f>
      </c>
      <c r="G2" s="124">
        <f t="shared" ref="G2:G4" si="290">IF(E2="有",(I2/B2+J2+Z2/B2)/(0.8-K2-L2-M2-N2-O2-P2),(I2/B2+J2+Z2/B2)/(0.8-K2-M2-N2-O2-P2))</f>
      </c>
      <c r="H2" s="125">
        <v>84.99</v>
      </c>
      <c r="I2" s="124">
        <f t="shared" ref="I2:I4" si="779">138.5/1.13</f>
      </c>
      <c r="J2" s="123">
        <v>5.69</v>
      </c>
      <c r="K2" s="126">
        <v>0.15</v>
      </c>
      <c r="L2" s="126">
        <v>0.16</v>
      </c>
      <c r="M2" s="126">
        <v>0.05</v>
      </c>
      <c r="N2" s="123">
        <f t="shared" ref="N2:N4" si="640">Q2/H2</f>
      </c>
      <c r="O2" s="127">
        <f t="shared" ref="O2:O4" si="881">0.61/H2</f>
      </c>
      <c r="P2" s="126">
        <v>0.02</v>
      </c>
      <c r="Q2" s="124">
        <v>10</v>
      </c>
      <c r="R2" s="123">
        <v>33.5</v>
      </c>
      <c r="S2" s="123">
        <v>26.5</v>
      </c>
      <c r="T2" s="123">
        <v>25</v>
      </c>
      <c r="U2" s="123">
        <v>2.3</v>
      </c>
      <c r="V2" s="124">
        <f t="shared" ref="V2:V4" si="784">R2*S2*T2/6000</f>
      </c>
      <c r="W2" s="124">
        <f t="shared" ref="W2:W4" si="179">MAX(U2:V2)</f>
      </c>
      <c r="X2" s="123" t="s">
        <v>603</v>
      </c>
      <c r="Y2" s="128">
        <v>5.55136</v>
      </c>
      <c r="Z2" s="129">
        <v>26</v>
      </c>
      <c r="AA2" s="124">
        <f t="shared" ref="AA2:AA4" si="0">H2-SUM(K2:P2)*H2-J2-I2/B2-Z2/B2</f>
      </c>
      <c r="AB2" s="127">
        <f t="shared" ref="AB2:AB4" si="550">AA2/H2</f>
      </c>
      <c r="AC2" s="123"/>
      <c r="AD2" s="130">
        <f t="shared" ref="AD2:AD4" si="368">J2/H2</f>
      </c>
      <c r="AE2" s="123">
        <f>I2/7.4/H2</f>
      </c>
      <c r="AF2" s="123">
        <f>Z2/7.4/H2</f>
      </c>
      <c r="AG2" s="126">
        <v>0.15</v>
      </c>
      <c r="AH2" s="123">
        <f t="shared" ref="AH2:AH4" si="78">N2</f>
      </c>
      <c r="AI2" s="126">
        <v>0.02</v>
      </c>
      <c r="AJ2" s="123">
        <f t="shared" ref="AJ2:AJ4" si="926">M2</f>
      </c>
    </row>
    <row customHeight="true" ht="13.333333333333332" r="3">
      <c r="A3" s="122" t="s">
        <v>604</v>
      </c>
      <c r="B3" s="123">
        <v>8</v>
      </c>
      <c r="C3" s="123" t="s">
        <v>600</v>
      </c>
      <c r="D3" s="123" t="s">
        <v>601</v>
      </c>
      <c r="E3" s="123" t="s">
        <v>602</v>
      </c>
      <c r="F3" s="124">
        <f t="shared" si="472"/>
      </c>
      <c r="G3" s="124">
        <f t="shared" si="290"/>
      </c>
      <c r="H3" s="125">
        <f>H2*0.85</f>
      </c>
      <c r="I3" s="124">
        <f t="shared" si="779"/>
      </c>
      <c r="J3" s="123">
        <v>5.69</v>
      </c>
      <c r="K3" s="126">
        <v>0.15</v>
      </c>
      <c r="L3" s="126">
        <v>0.16</v>
      </c>
      <c r="M3" s="126">
        <v>0.05</v>
      </c>
      <c r="N3" s="123">
        <f t="shared" si="640"/>
      </c>
      <c r="O3" s="127">
        <f t="shared" si="881"/>
      </c>
      <c r="P3" s="126">
        <v>0.02</v>
      </c>
      <c r="Q3" s="124">
        <v>10</v>
      </c>
      <c r="R3" s="123">
        <v>33.5</v>
      </c>
      <c r="S3" s="123">
        <v>26.5</v>
      </c>
      <c r="T3" s="123">
        <v>25</v>
      </c>
      <c r="U3" s="123">
        <v>2.3</v>
      </c>
      <c r="V3" s="124">
        <f t="shared" si="784"/>
      </c>
      <c r="W3" s="124">
        <f t="shared" si="179"/>
      </c>
      <c r="X3" s="123" t="s">
        <v>603</v>
      </c>
      <c r="Y3" s="128">
        <v>5.55136</v>
      </c>
      <c r="Z3" s="129">
        <v>26</v>
      </c>
      <c r="AA3" s="124">
        <f t="shared" si="0"/>
      </c>
      <c r="AB3" s="127">
        <f t="shared" si="550"/>
      </c>
      <c r="AC3" s="123"/>
      <c r="AD3" s="130">
        <f t="shared" si="368"/>
      </c>
      <c r="AE3" s="123">
        <f>I3/B3/H3</f>
      </c>
      <c r="AF3" s="123">
        <f>Z3/B3/H3</f>
      </c>
      <c r="AG3" s="123">
        <f>K3</f>
      </c>
      <c r="AH3" s="123">
        <f t="shared" si="78"/>
      </c>
      <c r="AI3" s="126">
        <v>0.02</v>
      </c>
      <c r="AJ3" s="123">
        <f t="shared" si="926"/>
      </c>
    </row>
    <row customHeight="true" ht="13.333333333333332" r="4">
      <c r="A4" s="122" t="s">
        <v>605</v>
      </c>
      <c r="B4" s="123">
        <v>8</v>
      </c>
      <c r="C4" s="123" t="s">
        <v>600</v>
      </c>
      <c r="D4" s="123" t="s">
        <v>601</v>
      </c>
      <c r="E4" s="123" t="s">
        <v>602</v>
      </c>
      <c r="F4" s="124">
        <f t="shared" si="472"/>
      </c>
      <c r="G4" s="124">
        <f t="shared" si="290"/>
      </c>
      <c r="H4" s="125">
        <f>H2*0.72</f>
      </c>
      <c r="I4" s="124">
        <f t="shared" si="779"/>
      </c>
      <c r="J4" s="123">
        <v>5.69</v>
      </c>
      <c r="K4" s="126">
        <v>0.15</v>
      </c>
      <c r="L4" s="126">
        <v>0.16</v>
      </c>
      <c r="M4" s="126">
        <v>0.05</v>
      </c>
      <c r="N4" s="123">
        <f t="shared" si="640"/>
      </c>
      <c r="O4" s="127">
        <f t="shared" si="881"/>
      </c>
      <c r="P4" s="126">
        <v>0.02</v>
      </c>
      <c r="Q4" s="124">
        <v>10</v>
      </c>
      <c r="R4" s="123">
        <v>33.5</v>
      </c>
      <c r="S4" s="123">
        <v>26.5</v>
      </c>
      <c r="T4" s="123">
        <v>25</v>
      </c>
      <c r="U4" s="123">
        <v>2.3</v>
      </c>
      <c r="V4" s="124">
        <f t="shared" si="784"/>
      </c>
      <c r="W4" s="124">
        <f t="shared" si="179"/>
      </c>
      <c r="X4" s="123" t="s">
        <v>603</v>
      </c>
      <c r="Y4" s="128">
        <v>5.55136</v>
      </c>
      <c r="Z4" s="129">
        <v>26</v>
      </c>
      <c r="AA4" s="124">
        <f t="shared" si="0"/>
      </c>
      <c r="AB4" s="127">
        <f t="shared" si="550"/>
      </c>
      <c r="AC4" s="123"/>
      <c r="AD4" s="130">
        <f t="shared" si="368"/>
      </c>
      <c r="AE4" s="123">
        <f>I4/7.4/H4</f>
      </c>
      <c r="AF4" s="123">
        <f>Z4/7.4/H4</f>
      </c>
      <c r="AG4" s="126">
        <v>0.15</v>
      </c>
      <c r="AH4" s="123">
        <f t="shared" si="78"/>
      </c>
      <c r="AI4" s="126">
        <v>0.02</v>
      </c>
      <c r="AJ4" s="123">
        <f t="shared" si="926"/>
      </c>
    </row>
    <row customHeight="true" ht="13.333333333333332" r="5">
      <c r="B5" s="123"/>
      <c r="C5" s="123"/>
      <c r="D5" s="123"/>
      <c r="E5" s="123"/>
      <c r="F5" s="124"/>
      <c r="G5" s="124"/>
      <c r="H5" s="131"/>
      <c r="I5" s="124"/>
      <c r="J5" s="123"/>
      <c r="K5" s="126"/>
      <c r="L5" s="126"/>
      <c r="M5" s="126"/>
      <c r="N5" s="126"/>
      <c r="O5" s="127"/>
      <c r="P5" s="126"/>
      <c r="Q5" s="124"/>
      <c r="R5" s="123"/>
      <c r="S5" s="123"/>
      <c r="T5" s="123"/>
      <c r="U5" s="123"/>
      <c r="V5" s="124"/>
      <c r="W5" s="124"/>
      <c r="X5" s="123"/>
      <c r="Y5" s="128"/>
      <c r="Z5" s="129"/>
      <c r="AA5" s="124"/>
      <c r="AB5" s="127"/>
      <c r="AC5" s="123"/>
      <c r="AD5" s="130"/>
      <c r="AE5" s="126"/>
      <c r="AF5" s="126"/>
      <c r="AG5" s="126"/>
      <c r="AH5" s="126"/>
      <c r="AI5" s="126"/>
      <c r="AJ5" s="126"/>
    </row>
    <row customHeight="true" ht="13.333333333333332" r="6">
      <c r="A6" s="122" t="s">
        <v>599</v>
      </c>
      <c r="B6" s="123">
        <v>8</v>
      </c>
      <c r="C6" s="123" t="s">
        <v>606</v>
      </c>
      <c r="D6" s="123" t="s">
        <v>607</v>
      </c>
      <c r="E6" s="123" t="s">
        <v>602</v>
      </c>
      <c r="F6" s="124">
        <f t="shared" ref="F6:F8" si="473">IF(E6="有",(I6/B6+J6+Z6/B6)/(0.99999-K6-L6-M6-N6),(I6/B6+J6+Z6/B6)/(0.99999-K6-M6-N6))</f>
      </c>
      <c r="G6" s="124">
        <f t="shared" ref="G6:G8" si="291">IF(E6="有",(I6/B6+J6+Z6/B6)/(0.8-K6-L6-M6-N6-O6-P6),(I6/B6+J6+Z6/B6)/(0.8-K6-M6-N6-O6-P6))</f>
      </c>
      <c r="H6" s="125">
        <v>89.99</v>
      </c>
      <c r="I6" s="124">
        <f t="shared" ref="I6:I8" si="780">138.5/1.13</f>
      </c>
      <c r="J6" s="123">
        <v>9.67</v>
      </c>
      <c r="K6" s="126">
        <v>0.15</v>
      </c>
      <c r="L6" s="126">
        <v>0.16</v>
      </c>
      <c r="M6" s="126">
        <v>0.05</v>
      </c>
      <c r="N6" s="123">
        <f t="shared" ref="N6:N8" si="641">Q6/H6</f>
      </c>
      <c r="O6" s="127">
        <f t="shared" ref="O6:O8" si="882">0.61/H6</f>
      </c>
      <c r="P6" s="126">
        <v>0.02</v>
      </c>
      <c r="Q6" s="124">
        <v>10</v>
      </c>
      <c r="R6" s="123">
        <v>33.5</v>
      </c>
      <c r="S6" s="123">
        <v>26.5</v>
      </c>
      <c r="T6" s="123">
        <v>25</v>
      </c>
      <c r="U6" s="123">
        <v>2.3</v>
      </c>
      <c r="V6" s="124">
        <f t="shared" ref="V6:V8" si="785">R6*S6*T6/6000</f>
      </c>
      <c r="W6" s="124">
        <f t="shared" ref="W6:W8" si="180">MAX(U6:V6)</f>
      </c>
      <c r="X6" s="123" t="s">
        <v>603</v>
      </c>
      <c r="Y6" s="128">
        <v>5.55136</v>
      </c>
      <c r="Z6" s="129">
        <v>26</v>
      </c>
      <c r="AA6" s="124">
        <f t="shared" ref="AA6:AA8" si="1">H6-SUM(K6:P6)*H6-J6-I6/B6-Z6/B6</f>
      </c>
      <c r="AB6" s="127">
        <f t="shared" ref="AB6:AB8" si="551">AA6/H6</f>
      </c>
      <c r="AC6" s="123"/>
      <c r="AD6" s="130">
        <f t="shared" ref="AD6:AD8" si="369">J6/H6</f>
      </c>
      <c r="AE6" s="123">
        <f t="shared" ref="AE6:AE8" si="832">I6/7.4/H6</f>
      </c>
      <c r="AF6" s="123">
        <f t="shared" ref="AF6:AF8" si="715">Z6/7.4/H6</f>
      </c>
      <c r="AG6" s="126">
        <v>0.15</v>
      </c>
      <c r="AH6" s="123">
        <f t="shared" ref="AH6:AH8" si="79">N6</f>
      </c>
      <c r="AI6" s="126">
        <v>0.02</v>
      </c>
      <c r="AJ6" s="123">
        <f t="shared" ref="AJ6:AJ8" si="927">M6</f>
      </c>
    </row>
    <row customHeight="true" ht="13.333333333333332" r="7">
      <c r="A7" s="122" t="s">
        <v>604</v>
      </c>
      <c r="B7" s="123">
        <v>8</v>
      </c>
      <c r="C7" s="123" t="s">
        <v>606</v>
      </c>
      <c r="D7" s="123" t="s">
        <v>607</v>
      </c>
      <c r="E7" s="123" t="s">
        <v>602</v>
      </c>
      <c r="F7" s="124">
        <f t="shared" si="473"/>
      </c>
      <c r="G7" s="124">
        <f t="shared" si="291"/>
      </c>
      <c r="H7" s="125">
        <f>H6*0.85</f>
      </c>
      <c r="I7" s="124">
        <f t="shared" si="780"/>
      </c>
      <c r="J7" s="123">
        <v>9.67</v>
      </c>
      <c r="K7" s="126">
        <v>0.15</v>
      </c>
      <c r="L7" s="126">
        <v>0.16</v>
      </c>
      <c r="M7" s="126">
        <v>0.05</v>
      </c>
      <c r="N7" s="123">
        <f t="shared" si="641"/>
      </c>
      <c r="O7" s="127">
        <f t="shared" si="882"/>
      </c>
      <c r="P7" s="126">
        <v>0.02</v>
      </c>
      <c r="Q7" s="124">
        <v>10</v>
      </c>
      <c r="R7" s="123">
        <v>33.5</v>
      </c>
      <c r="S7" s="123">
        <v>26.5</v>
      </c>
      <c r="T7" s="123">
        <v>25</v>
      </c>
      <c r="U7" s="123">
        <v>2.3</v>
      </c>
      <c r="V7" s="124">
        <f t="shared" si="785"/>
      </c>
      <c r="W7" s="124">
        <f t="shared" si="180"/>
      </c>
      <c r="X7" s="123" t="s">
        <v>603</v>
      </c>
      <c r="Y7" s="128">
        <v>5.55136</v>
      </c>
      <c r="Z7" s="129">
        <v>26</v>
      </c>
      <c r="AA7" s="124">
        <f t="shared" si="1"/>
      </c>
      <c r="AB7" s="127">
        <f t="shared" si="551"/>
      </c>
      <c r="AC7" s="123"/>
      <c r="AD7" s="130">
        <f t="shared" si="369"/>
      </c>
      <c r="AE7" s="123">
        <f t="shared" si="832"/>
      </c>
      <c r="AF7" s="123">
        <f t="shared" si="715"/>
      </c>
      <c r="AG7" s="126">
        <v>0.15</v>
      </c>
      <c r="AH7" s="123">
        <f t="shared" si="79"/>
      </c>
      <c r="AI7" s="126">
        <v>0.02</v>
      </c>
      <c r="AJ7" s="123">
        <f t="shared" si="927"/>
      </c>
    </row>
    <row customHeight="true" ht="13.333333333333332" r="8">
      <c r="A8" s="122" t="s">
        <v>605</v>
      </c>
      <c r="B8" s="123">
        <v>8</v>
      </c>
      <c r="C8" s="123" t="s">
        <v>606</v>
      </c>
      <c r="D8" s="123" t="s">
        <v>607</v>
      </c>
      <c r="E8" s="123" t="s">
        <v>602</v>
      </c>
      <c r="F8" s="124">
        <f t="shared" si="473"/>
      </c>
      <c r="G8" s="124">
        <f t="shared" si="291"/>
      </c>
      <c r="H8" s="125">
        <v>64.59</v>
      </c>
      <c r="I8" s="124">
        <f t="shared" si="780"/>
      </c>
      <c r="J8" s="123">
        <v>9.67</v>
      </c>
      <c r="K8" s="126">
        <v>0.15</v>
      </c>
      <c r="L8" s="126">
        <v>0.16</v>
      </c>
      <c r="M8" s="126">
        <v>0.05</v>
      </c>
      <c r="N8" s="123">
        <f t="shared" si="641"/>
      </c>
      <c r="O8" s="127">
        <f t="shared" si="882"/>
      </c>
      <c r="P8" s="126">
        <v>0.02</v>
      </c>
      <c r="Q8" s="124">
        <v>10</v>
      </c>
      <c r="R8" s="123">
        <v>33.5</v>
      </c>
      <c r="S8" s="123">
        <v>26.5</v>
      </c>
      <c r="T8" s="123">
        <v>25</v>
      </c>
      <c r="U8" s="123">
        <v>2.3</v>
      </c>
      <c r="V8" s="124">
        <f t="shared" si="785"/>
      </c>
      <c r="W8" s="124">
        <f t="shared" si="180"/>
      </c>
      <c r="X8" s="123" t="s">
        <v>603</v>
      </c>
      <c r="Y8" s="128">
        <v>5.55136</v>
      </c>
      <c r="Z8" s="129">
        <v>26</v>
      </c>
      <c r="AA8" s="124">
        <f t="shared" si="1"/>
      </c>
      <c r="AB8" s="127">
        <f t="shared" si="551"/>
      </c>
      <c r="AC8" s="123"/>
      <c r="AD8" s="130">
        <f t="shared" si="369"/>
      </c>
      <c r="AE8" s="123">
        <f t="shared" si="832"/>
      </c>
      <c r="AF8" s="123">
        <f t="shared" si="715"/>
      </c>
      <c r="AG8" s="126">
        <v>0.15</v>
      </c>
      <c r="AH8" s="123">
        <f t="shared" si="79"/>
      </c>
      <c r="AI8" s="126">
        <v>0.02</v>
      </c>
      <c r="AJ8" s="123">
        <f t="shared" si="927"/>
      </c>
    </row>
    <row customHeight="true" ht="13.333333333333332" r="9">
      <c r="B9" s="123"/>
      <c r="C9" s="123"/>
      <c r="D9" s="123"/>
      <c r="E9" s="123"/>
      <c r="F9" s="124"/>
      <c r="G9" s="124"/>
      <c r="H9" s="131"/>
      <c r="I9" s="124"/>
      <c r="J9" s="123"/>
      <c r="K9" s="126"/>
      <c r="L9" s="126"/>
      <c r="M9" s="126"/>
      <c r="N9" s="126"/>
      <c r="O9" s="127"/>
      <c r="P9" s="126"/>
      <c r="Q9" s="126"/>
      <c r="R9" s="123"/>
      <c r="S9" s="123"/>
      <c r="T9" s="123"/>
      <c r="U9" s="123"/>
      <c r="V9" s="124"/>
      <c r="W9" s="124"/>
      <c r="X9" s="123"/>
      <c r="Y9" s="128"/>
      <c r="Z9" s="129"/>
      <c r="AA9" s="124"/>
      <c r="AB9" s="127"/>
      <c r="AC9" s="123"/>
      <c r="AD9" s="130"/>
      <c r="AE9" s="126"/>
      <c r="AF9" s="126"/>
      <c r="AG9" s="126"/>
      <c r="AH9" s="126"/>
      <c r="AI9" s="126"/>
      <c r="AJ9" s="126"/>
    </row>
    <row customHeight="true" ht="13.333333333333332" r="10">
      <c r="A10" s="122" t="s">
        <v>599</v>
      </c>
      <c r="B10" s="123">
        <v>8</v>
      </c>
      <c r="C10" s="123" t="s">
        <v>608</v>
      </c>
      <c r="D10" s="123" t="s">
        <v>609</v>
      </c>
      <c r="E10" s="123" t="s">
        <v>602</v>
      </c>
      <c r="F10" s="124">
        <f t="shared" ref="F10:F13" si="474">IF(E10="有",(I10/B10+J10+Z10/B10)/(0.99999-K10-L10-M10-N10),(I10/B10+J10+Z10/B10)/(0.99999-K10-M10-N10))</f>
      </c>
      <c r="G10" s="124">
        <f t="shared" ref="G10:G13" si="292">IF(E10="有",(I10/B10+J10+Z10/B10)/(0.8-K10-L10-M10-N10-O10-P10),(I10/B10+J10+Z10/B10)/(0.8-K10-M10-N10-O10-P10))</f>
      </c>
      <c r="H10" s="125">
        <v>89.99</v>
      </c>
      <c r="I10" s="124">
        <f t="shared" ref="I10:I13" si="781">138.5/1.13</f>
      </c>
      <c r="J10" s="123">
        <v>7.25</v>
      </c>
      <c r="K10" s="126">
        <v>0.15</v>
      </c>
      <c r="L10" s="126">
        <v>0.16</v>
      </c>
      <c r="M10" s="126">
        <v>0.05</v>
      </c>
      <c r="N10" s="123">
        <f t="shared" ref="N10:N13" si="642">Q10/H10</f>
      </c>
      <c r="O10" s="127">
        <f t="shared" ref="O10:O13" si="883">0.61/H10</f>
      </c>
      <c r="P10" s="126">
        <v>0.02</v>
      </c>
      <c r="Q10" s="124">
        <v>10</v>
      </c>
      <c r="R10" s="123">
        <v>33.5</v>
      </c>
      <c r="S10" s="123">
        <v>26.5</v>
      </c>
      <c r="T10" s="123">
        <v>25</v>
      </c>
      <c r="U10" s="123">
        <v>2.3</v>
      </c>
      <c r="V10" s="124">
        <f t="shared" ref="V10:V13" si="786">R10*S10*T10/6000</f>
      </c>
      <c r="W10" s="124">
        <f t="shared" ref="W10:W13" si="181">MAX(U10:V10)</f>
      </c>
      <c r="X10" s="123" t="s">
        <v>603</v>
      </c>
      <c r="Y10" s="128">
        <v>5.55136</v>
      </c>
      <c r="Z10" s="129">
        <v>26</v>
      </c>
      <c r="AA10" s="124">
        <f t="shared" ref="AA10:AA13" si="2">H10-SUM(K10:P10)*H10-J10-I10/B10-Z10/B10</f>
      </c>
      <c r="AB10" s="127">
        <f t="shared" ref="AB10:AB13" si="552">AA10/H10</f>
      </c>
      <c r="AC10" s="123"/>
      <c r="AD10" s="130">
        <f t="shared" ref="AD10:AD13" si="370">J10/H10</f>
      </c>
      <c r="AE10" s="123">
        <f t="shared" ref="AE10:AE13" si="833">I10/7.4/H10</f>
      </c>
      <c r="AF10" s="123">
        <f t="shared" ref="AF10:AF13" si="716">Z10/7.4/H10</f>
      </c>
      <c r="AG10" s="126">
        <v>0.15</v>
      </c>
      <c r="AH10" s="123">
        <f t="shared" ref="AH10:AH13" si="80">N10</f>
      </c>
      <c r="AI10" s="126">
        <v>0.02</v>
      </c>
      <c r="AJ10" s="123">
        <f t="shared" ref="AJ10:AJ13" si="928">M10</f>
      </c>
    </row>
    <row customHeight="true" ht="13.333333333333332" r="11">
      <c r="A11" s="122" t="s">
        <v>604</v>
      </c>
      <c r="B11" s="123">
        <v>8</v>
      </c>
      <c r="C11" s="123" t="s">
        <v>608</v>
      </c>
      <c r="D11" s="123" t="s">
        <v>609</v>
      </c>
      <c r="E11" s="123" t="s">
        <v>602</v>
      </c>
      <c r="F11" s="124">
        <f t="shared" si="474"/>
      </c>
      <c r="G11" s="124">
        <f t="shared" si="292"/>
      </c>
      <c r="H11" s="125">
        <f>H10*0.85</f>
      </c>
      <c r="I11" s="124">
        <f t="shared" si="781"/>
      </c>
      <c r="J11" s="123">
        <v>7.25</v>
      </c>
      <c r="K11" s="126">
        <v>0.15</v>
      </c>
      <c r="L11" s="126">
        <v>0.16</v>
      </c>
      <c r="M11" s="126">
        <v>0.05</v>
      </c>
      <c r="N11" s="123">
        <f t="shared" si="642"/>
      </c>
      <c r="O11" s="127">
        <f t="shared" si="883"/>
      </c>
      <c r="P11" s="126">
        <v>0.02</v>
      </c>
      <c r="Q11" s="124">
        <v>10</v>
      </c>
      <c r="R11" s="123">
        <v>33.5</v>
      </c>
      <c r="S11" s="123">
        <v>26.5</v>
      </c>
      <c r="T11" s="123">
        <v>25</v>
      </c>
      <c r="U11" s="123">
        <v>2.3</v>
      </c>
      <c r="V11" s="124">
        <f t="shared" si="786"/>
      </c>
      <c r="W11" s="124">
        <f t="shared" si="181"/>
      </c>
      <c r="X11" s="123" t="s">
        <v>603</v>
      </c>
      <c r="Y11" s="128">
        <v>5.55136</v>
      </c>
      <c r="Z11" s="129">
        <v>26</v>
      </c>
      <c r="AA11" s="124">
        <f t="shared" si="2"/>
      </c>
      <c r="AB11" s="127">
        <f t="shared" si="552"/>
      </c>
      <c r="AC11" s="123"/>
      <c r="AD11" s="130">
        <f t="shared" si="370"/>
      </c>
      <c r="AE11" s="123">
        <f t="shared" si="833"/>
      </c>
      <c r="AF11" s="123">
        <f t="shared" si="716"/>
      </c>
      <c r="AG11" s="126">
        <v>0.15</v>
      </c>
      <c r="AH11" s="123">
        <f t="shared" si="80"/>
      </c>
      <c r="AI11" s="126">
        <v>0.02</v>
      </c>
      <c r="AJ11" s="123">
        <f t="shared" si="928"/>
      </c>
    </row>
    <row customHeight="true" ht="13.333333333333332" r="12">
      <c r="A12" s="122" t="s">
        <v>605</v>
      </c>
      <c r="B12" s="123">
        <v>8</v>
      </c>
      <c r="C12" s="123" t="s">
        <v>608</v>
      </c>
      <c r="D12" s="123" t="s">
        <v>609</v>
      </c>
      <c r="E12" s="123" t="s">
        <v>602</v>
      </c>
      <c r="F12" s="124">
        <f t="shared" si="474"/>
      </c>
      <c r="G12" s="124">
        <f t="shared" si="292"/>
      </c>
      <c r="H12" s="125">
        <f>H10*0.8</f>
      </c>
      <c r="I12" s="124">
        <f t="shared" si="781"/>
      </c>
      <c r="J12" s="123">
        <v>7.25</v>
      </c>
      <c r="K12" s="126">
        <v>0.15</v>
      </c>
      <c r="L12" s="126">
        <v>0.16</v>
      </c>
      <c r="M12" s="126">
        <v>0.05</v>
      </c>
      <c r="N12" s="123">
        <f t="shared" si="642"/>
      </c>
      <c r="O12" s="127">
        <f t="shared" si="883"/>
      </c>
      <c r="P12" s="126">
        <v>0.02</v>
      </c>
      <c r="Q12" s="124">
        <v>10</v>
      </c>
      <c r="R12" s="123">
        <v>33.5</v>
      </c>
      <c r="S12" s="123">
        <v>26.5</v>
      </c>
      <c r="T12" s="123">
        <v>25</v>
      </c>
      <c r="U12" s="123">
        <v>2.3</v>
      </c>
      <c r="V12" s="124">
        <f t="shared" si="786"/>
      </c>
      <c r="W12" s="124">
        <f t="shared" si="181"/>
      </c>
      <c r="X12" s="123" t="s">
        <v>603</v>
      </c>
      <c r="Y12" s="128">
        <v>5.55136</v>
      </c>
      <c r="Z12" s="129">
        <v>26</v>
      </c>
      <c r="AA12" s="124">
        <f t="shared" si="2"/>
      </c>
      <c r="AB12" s="127">
        <f t="shared" si="552"/>
      </c>
      <c r="AC12" s="123"/>
      <c r="AD12" s="130">
        <f t="shared" si="370"/>
      </c>
      <c r="AE12" s="123">
        <f t="shared" si="833"/>
      </c>
      <c r="AF12" s="123">
        <f t="shared" si="716"/>
      </c>
      <c r="AG12" s="126">
        <v>0.15</v>
      </c>
      <c r="AH12" s="123">
        <f t="shared" si="80"/>
      </c>
      <c r="AI12" s="126">
        <v>0.02</v>
      </c>
      <c r="AJ12" s="123">
        <f t="shared" si="928"/>
      </c>
    </row>
    <row customHeight="true" ht="13.333333333333332" r="13">
      <c r="A13" s="122" t="s">
        <v>610</v>
      </c>
      <c r="B13" s="123">
        <v>8</v>
      </c>
      <c r="C13" s="123" t="s">
        <v>608</v>
      </c>
      <c r="D13" s="123" t="s">
        <v>609</v>
      </c>
      <c r="E13" s="123" t="s">
        <v>602</v>
      </c>
      <c r="F13" s="124">
        <f t="shared" si="474"/>
      </c>
      <c r="G13" s="124">
        <f t="shared" si="292"/>
      </c>
      <c r="H13" s="125">
        <v>61.39</v>
      </c>
      <c r="I13" s="124">
        <f t="shared" si="781"/>
      </c>
      <c r="J13" s="123">
        <v>7.25</v>
      </c>
      <c r="K13" s="126">
        <v>0.15</v>
      </c>
      <c r="L13" s="126">
        <v>0.16</v>
      </c>
      <c r="M13" s="126">
        <v>0.05</v>
      </c>
      <c r="N13" s="123">
        <f t="shared" si="642"/>
      </c>
      <c r="O13" s="127">
        <f t="shared" si="883"/>
      </c>
      <c r="P13" s="126">
        <v>0.02</v>
      </c>
      <c r="Q13" s="124">
        <v>10</v>
      </c>
      <c r="R13" s="123">
        <v>33.5</v>
      </c>
      <c r="S13" s="123">
        <v>26.5</v>
      </c>
      <c r="T13" s="123">
        <v>25</v>
      </c>
      <c r="U13" s="123">
        <v>2.3</v>
      </c>
      <c r="V13" s="124">
        <f t="shared" si="786"/>
      </c>
      <c r="W13" s="124">
        <f t="shared" si="181"/>
      </c>
      <c r="X13" s="123" t="s">
        <v>603</v>
      </c>
      <c r="Y13" s="128">
        <v>5.55136</v>
      </c>
      <c r="Z13" s="129">
        <v>26</v>
      </c>
      <c r="AA13" s="124">
        <f t="shared" si="2"/>
      </c>
      <c r="AB13" s="127">
        <f t="shared" si="552"/>
      </c>
      <c r="AC13" s="123"/>
      <c r="AD13" s="130">
        <f t="shared" si="370"/>
      </c>
      <c r="AE13" s="123">
        <f t="shared" si="833"/>
      </c>
      <c r="AF13" s="123">
        <f t="shared" si="716"/>
      </c>
      <c r="AG13" s="126">
        <v>0.15</v>
      </c>
      <c r="AH13" s="123">
        <f t="shared" si="80"/>
      </c>
      <c r="AI13" s="126">
        <v>0.02</v>
      </c>
      <c r="AJ13" s="123">
        <f t="shared" si="928"/>
      </c>
    </row>
    <row customHeight="true" ht="13.333333333333332" r="14">
      <c r="B14" s="123"/>
      <c r="C14" s="123"/>
      <c r="D14" s="123"/>
      <c r="E14" s="123"/>
      <c r="F14" s="124"/>
      <c r="G14" s="124"/>
      <c r="H14" s="131"/>
      <c r="I14" s="124"/>
      <c r="J14" s="123"/>
      <c r="K14" s="126"/>
      <c r="L14" s="126"/>
      <c r="M14" s="126"/>
      <c r="N14" s="126"/>
      <c r="O14" s="127"/>
      <c r="P14" s="126"/>
      <c r="Q14" s="126"/>
      <c r="R14" s="123"/>
      <c r="S14" s="123"/>
      <c r="T14" s="123"/>
      <c r="U14" s="123"/>
      <c r="V14" s="124"/>
      <c r="W14" s="124"/>
      <c r="X14" s="123"/>
      <c r="Y14" s="128"/>
      <c r="Z14" s="129"/>
      <c r="AA14" s="124"/>
      <c r="AB14" s="127"/>
      <c r="AC14" s="123"/>
      <c r="AD14" s="130"/>
      <c r="AE14" s="126"/>
      <c r="AF14" s="126"/>
      <c r="AG14" s="126"/>
      <c r="AH14" s="126"/>
      <c r="AI14" s="126"/>
      <c r="AJ14" s="126"/>
    </row>
    <row customHeight="true" ht="13.333333333333332" r="15">
      <c r="A15" s="122" t="s">
        <v>599</v>
      </c>
      <c r="B15" s="123">
        <v>8</v>
      </c>
      <c r="C15" s="123" t="s">
        <v>611</v>
      </c>
      <c r="D15" s="123" t="s">
        <v>612</v>
      </c>
      <c r="E15" s="123" t="s">
        <v>602</v>
      </c>
      <c r="F15" s="124">
        <f t="shared" ref="F15:F17" si="475">IF(E15="有",(I15/B15+J15+Z15/B15)/(0.99999-K15-L15-M15-N15),(I15/B15+J15+Z15/B15)/(0.99999-K15-M15-N15))</f>
      </c>
      <c r="G15" s="124">
        <f t="shared" ref="G15:G17" si="293">IF(E15="有",(I15/B15+J15+Z15/B15)/(0.8-K15-L15-M15-N15-O15-P15),(I15/B15+J15+Z15/B15)/(0.8-K15-M15-N15-O15-P15))</f>
      </c>
      <c r="H15" s="125">
        <v>89.99</v>
      </c>
      <c r="I15" s="124">
        <f t="shared" ref="I15:I17" si="782">138.5/1.13</f>
      </c>
      <c r="J15" s="123">
        <v>7.02</v>
      </c>
      <c r="K15" s="126">
        <v>0.15</v>
      </c>
      <c r="L15" s="126">
        <v>0.16</v>
      </c>
      <c r="M15" s="126">
        <v>0.05</v>
      </c>
      <c r="N15" s="123">
        <f t="shared" ref="N15:N17" si="643">Q15/H15</f>
      </c>
      <c r="O15" s="127">
        <f t="shared" ref="O15:O17" si="884">0.61/H15</f>
      </c>
      <c r="P15" s="126">
        <v>0.02</v>
      </c>
      <c r="Q15" s="124">
        <v>10</v>
      </c>
      <c r="R15" s="123">
        <v>33.5</v>
      </c>
      <c r="S15" s="123">
        <v>26.5</v>
      </c>
      <c r="T15" s="123">
        <v>25</v>
      </c>
      <c r="U15" s="123">
        <v>2.3</v>
      </c>
      <c r="V15" s="124">
        <f t="shared" ref="V15:V17" si="787">R15*S15*T15/6000</f>
      </c>
      <c r="W15" s="124">
        <f t="shared" ref="W15:W17" si="182">MAX(U15:V15)</f>
      </c>
      <c r="X15" s="123" t="s">
        <v>603</v>
      </c>
      <c r="Y15" s="128">
        <v>5.55136</v>
      </c>
      <c r="Z15" s="129">
        <v>26</v>
      </c>
      <c r="AA15" s="124">
        <f t="shared" ref="AA15:AA17" si="3">H15-SUM(K15:P15)*H15-J15-I15/B15-Z15/B15</f>
      </c>
      <c r="AB15" s="127">
        <f t="shared" ref="AB15:AB17" si="553">AA15/H15</f>
      </c>
      <c r="AC15" s="123"/>
      <c r="AD15" s="130">
        <f t="shared" ref="AD15:AD17" si="371">J15/H15</f>
      </c>
      <c r="AE15" s="123">
        <f t="shared" ref="AE15:AE17" si="834">I15/7.4/H15</f>
      </c>
      <c r="AF15" s="123">
        <f t="shared" ref="AF15:AF17" si="717">Z15/7.4/H15</f>
      </c>
      <c r="AG15" s="126">
        <v>0.15</v>
      </c>
      <c r="AH15" s="123">
        <f t="shared" ref="AH15:AH17" si="81">N15</f>
      </c>
      <c r="AI15" s="126">
        <v>0.02</v>
      </c>
      <c r="AJ15" s="123">
        <f t="shared" ref="AJ15:AJ17" si="929">M15</f>
      </c>
    </row>
    <row customHeight="true" ht="13.333333333333332" r="16">
      <c r="A16" s="122" t="s">
        <v>604</v>
      </c>
      <c r="B16" s="123">
        <v>8</v>
      </c>
      <c r="C16" s="123" t="s">
        <v>611</v>
      </c>
      <c r="D16" s="123" t="s">
        <v>612</v>
      </c>
      <c r="E16" s="123" t="s">
        <v>602</v>
      </c>
      <c r="F16" s="124">
        <f t="shared" si="475"/>
      </c>
      <c r="G16" s="124">
        <f t="shared" si="293"/>
      </c>
      <c r="H16" s="125">
        <f>H15*0.85</f>
      </c>
      <c r="I16" s="124">
        <f t="shared" si="782"/>
      </c>
      <c r="J16" s="123">
        <v>7.02</v>
      </c>
      <c r="K16" s="126">
        <v>0.15</v>
      </c>
      <c r="L16" s="126">
        <v>0.16</v>
      </c>
      <c r="M16" s="126">
        <v>0.05</v>
      </c>
      <c r="N16" s="123">
        <f t="shared" si="643"/>
      </c>
      <c r="O16" s="127">
        <f t="shared" si="884"/>
      </c>
      <c r="P16" s="126">
        <v>0.02</v>
      </c>
      <c r="Q16" s="124">
        <v>10</v>
      </c>
      <c r="R16" s="123">
        <v>33.5</v>
      </c>
      <c r="S16" s="123">
        <v>26.5</v>
      </c>
      <c r="T16" s="123">
        <v>25</v>
      </c>
      <c r="U16" s="123">
        <v>2.3</v>
      </c>
      <c r="V16" s="124">
        <f t="shared" si="787"/>
      </c>
      <c r="W16" s="124">
        <f t="shared" si="182"/>
      </c>
      <c r="X16" s="123" t="s">
        <v>603</v>
      </c>
      <c r="Y16" s="128">
        <v>5.55136</v>
      </c>
      <c r="Z16" s="129">
        <v>26</v>
      </c>
      <c r="AA16" s="124">
        <f t="shared" si="3"/>
      </c>
      <c r="AB16" s="127">
        <f t="shared" si="553"/>
      </c>
      <c r="AC16" s="123"/>
      <c r="AD16" s="130">
        <f t="shared" si="371"/>
      </c>
      <c r="AE16" s="123">
        <f t="shared" si="834"/>
      </c>
      <c r="AF16" s="123">
        <f t="shared" si="717"/>
      </c>
      <c r="AG16" s="126">
        <v>0.15</v>
      </c>
      <c r="AH16" s="123">
        <f t="shared" si="81"/>
      </c>
      <c r="AI16" s="126">
        <v>0.02</v>
      </c>
      <c r="AJ16" s="123">
        <f t="shared" si="929"/>
      </c>
    </row>
    <row customHeight="true" ht="13.333333333333332" r="17">
      <c r="A17" s="122" t="s">
        <v>605</v>
      </c>
      <c r="B17" s="123">
        <v>8</v>
      </c>
      <c r="C17" s="123" t="s">
        <v>611</v>
      </c>
      <c r="D17" s="123" t="s">
        <v>612</v>
      </c>
      <c r="E17" s="123" t="s">
        <v>602</v>
      </c>
      <c r="F17" s="124">
        <f t="shared" si="475"/>
      </c>
      <c r="G17" s="124">
        <f t="shared" si="293"/>
      </c>
      <c r="H17" s="125">
        <v>61.39</v>
      </c>
      <c r="I17" s="124">
        <f t="shared" si="782"/>
      </c>
      <c r="J17" s="123">
        <v>7.02</v>
      </c>
      <c r="K17" s="126">
        <v>0.15</v>
      </c>
      <c r="L17" s="126">
        <v>0.16</v>
      </c>
      <c r="M17" s="126">
        <v>0.05</v>
      </c>
      <c r="N17" s="123">
        <f t="shared" si="643"/>
      </c>
      <c r="O17" s="127">
        <f t="shared" si="884"/>
      </c>
      <c r="P17" s="126">
        <v>0.02</v>
      </c>
      <c r="Q17" s="124">
        <v>10</v>
      </c>
      <c r="R17" s="123">
        <v>33.5</v>
      </c>
      <c r="S17" s="123">
        <v>26.5</v>
      </c>
      <c r="T17" s="123">
        <v>25</v>
      </c>
      <c r="U17" s="123">
        <v>2.3</v>
      </c>
      <c r="V17" s="124">
        <f t="shared" si="787"/>
      </c>
      <c r="W17" s="124">
        <f t="shared" si="182"/>
      </c>
      <c r="X17" s="123" t="s">
        <v>603</v>
      </c>
      <c r="Y17" s="128">
        <v>5.55136</v>
      </c>
      <c r="Z17" s="129">
        <v>26</v>
      </c>
      <c r="AA17" s="124">
        <f t="shared" si="3"/>
      </c>
      <c r="AB17" s="127">
        <f t="shared" si="553"/>
      </c>
      <c r="AC17" s="123"/>
      <c r="AD17" s="130">
        <f t="shared" si="371"/>
      </c>
      <c r="AE17" s="123">
        <f t="shared" si="834"/>
      </c>
      <c r="AF17" s="123">
        <f t="shared" si="717"/>
      </c>
      <c r="AG17" s="126">
        <v>0.15</v>
      </c>
      <c r="AH17" s="123">
        <f t="shared" si="81"/>
      </c>
      <c r="AI17" s="126">
        <v>0.02</v>
      </c>
      <c r="AJ17" s="123">
        <f t="shared" si="929"/>
      </c>
    </row>
    <row customHeight="true" ht="13.333333333333332" r="18">
      <c r="A18" s="132"/>
      <c r="B18" s="123"/>
      <c r="C18" s="123"/>
      <c r="D18" s="123"/>
      <c r="E18" s="123"/>
      <c r="F18" s="124"/>
      <c r="G18" s="124"/>
      <c r="H18" s="131"/>
      <c r="I18" s="124"/>
      <c r="J18" s="123"/>
      <c r="K18" s="126"/>
      <c r="L18" s="126"/>
      <c r="M18" s="126"/>
      <c r="N18" s="126"/>
      <c r="O18" s="127"/>
      <c r="P18" s="126"/>
      <c r="Q18" s="126"/>
      <c r="R18" s="123"/>
      <c r="S18" s="123"/>
      <c r="T18" s="123"/>
      <c r="U18" s="123"/>
      <c r="V18" s="124"/>
      <c r="W18" s="124"/>
      <c r="X18" s="123"/>
      <c r="Y18" s="128"/>
      <c r="Z18" s="129"/>
      <c r="AA18" s="124"/>
      <c r="AB18" s="127"/>
      <c r="AC18" s="123"/>
      <c r="AD18" s="130"/>
      <c r="AE18" s="126"/>
      <c r="AF18" s="126"/>
      <c r="AG18" s="126"/>
      <c r="AH18" s="126"/>
      <c r="AI18" s="126"/>
      <c r="AJ18" s="126"/>
    </row>
    <row customHeight="true" ht="13.333333333333332" r="19">
      <c r="A19" s="122" t="s">
        <v>599</v>
      </c>
      <c r="B19" s="123">
        <v>9</v>
      </c>
      <c r="C19" s="123" t="s">
        <v>613</v>
      </c>
      <c r="D19" s="123" t="s">
        <v>614</v>
      </c>
      <c r="E19" s="123" t="s">
        <v>602</v>
      </c>
      <c r="F19" s="124">
        <f t="shared" ref="F19:F21" si="476">IF(E19="有",(I19/B19+J19+Z19/B19)/(0.99999-K19-L19-M19-N19),(I19/B19+J19+Z19/B19)/(0.99999-K19-M19-N19))</f>
      </c>
      <c r="G19" s="124">
        <f t="shared" ref="G19:G21" si="294">IF(E19="有",(I19/B19+J19+Z19/B19)/(0.8-K19-L19-M19-N19-O19-P19),(I19/B19+J19+Z19/B19)/(0.8-K19-M19-N19-O19-P19))</f>
      </c>
      <c r="H19" s="125">
        <v>89.99</v>
      </c>
      <c r="I19" s="124">
        <f t="shared" ref="I19:I21" si="783">138.5/1.13</f>
      </c>
      <c r="J19" s="123">
        <v>5.19</v>
      </c>
      <c r="K19" s="126">
        <v>0.15</v>
      </c>
      <c r="L19" s="126">
        <v>0.16</v>
      </c>
      <c r="M19" s="126">
        <v>0.05</v>
      </c>
      <c r="N19" s="123">
        <f t="shared" ref="N19:N21" si="644">Q19/H19</f>
      </c>
      <c r="O19" s="127">
        <f t="shared" ref="O19:O21" si="885">0.61/H19</f>
      </c>
      <c r="P19" s="126">
        <v>0.02</v>
      </c>
      <c r="Q19" s="124">
        <v>10</v>
      </c>
      <c r="R19" s="123">
        <v>33.5</v>
      </c>
      <c r="S19" s="123">
        <v>26.5</v>
      </c>
      <c r="T19" s="123">
        <v>25</v>
      </c>
      <c r="U19" s="123">
        <v>2.3</v>
      </c>
      <c r="V19" s="124">
        <f t="shared" ref="V19:V21" si="788">R19*S19*T19/6000</f>
      </c>
      <c r="W19" s="124">
        <f t="shared" ref="W19:W21" si="183">MAX(U19:V19)</f>
      </c>
      <c r="X19" s="123" t="s">
        <v>603</v>
      </c>
      <c r="Y19" s="128">
        <v>6.084</v>
      </c>
      <c r="Z19" s="129">
        <v>32.9</v>
      </c>
      <c r="AA19" s="124">
        <f t="shared" ref="AA19:AA21" si="4">H19-SUM(K19:P19)*H19-J19-I19/B19-Z19/B19</f>
      </c>
      <c r="AB19" s="127">
        <f t="shared" ref="AB19:AB21" si="554">AA19/H19</f>
      </c>
      <c r="AC19" s="123"/>
      <c r="AD19" s="130">
        <f t="shared" ref="AD19:AD21" si="372">J19/H19</f>
      </c>
      <c r="AE19" s="123">
        <f t="shared" ref="AE19:AE21" si="835">I19/7.4/H19</f>
      </c>
      <c r="AF19" s="123">
        <f t="shared" ref="AF19:AF21" si="718">Z19/7.4/H19</f>
      </c>
      <c r="AG19" s="126">
        <v>0.15</v>
      </c>
      <c r="AH19" s="123">
        <f t="shared" ref="AH19:AH21" si="82">N19</f>
      </c>
      <c r="AI19" s="126">
        <v>0.02</v>
      </c>
      <c r="AJ19" s="123">
        <f t="shared" ref="AJ19:AJ21" si="930">M19</f>
      </c>
    </row>
    <row customHeight="true" ht="13.333333333333332" r="20">
      <c r="A20" s="122" t="s">
        <v>604</v>
      </c>
      <c r="B20" s="123">
        <v>9</v>
      </c>
      <c r="C20" s="123" t="s">
        <v>613</v>
      </c>
      <c r="D20" s="123" t="s">
        <v>614</v>
      </c>
      <c r="E20" s="123" t="s">
        <v>602</v>
      </c>
      <c r="F20" s="124">
        <f t="shared" si="476"/>
      </c>
      <c r="G20" s="124">
        <f t="shared" si="294"/>
      </c>
      <c r="H20" s="125">
        <f>H19*0.85</f>
      </c>
      <c r="I20" s="124">
        <f t="shared" si="783"/>
      </c>
      <c r="J20" s="123">
        <v>5.19</v>
      </c>
      <c r="K20" s="126">
        <v>0.15</v>
      </c>
      <c r="L20" s="126">
        <v>0.16</v>
      </c>
      <c r="M20" s="126">
        <v>0.05</v>
      </c>
      <c r="N20" s="123">
        <f t="shared" si="644"/>
      </c>
      <c r="O20" s="127">
        <f t="shared" si="885"/>
      </c>
      <c r="P20" s="126">
        <v>0.02</v>
      </c>
      <c r="Q20" s="124">
        <v>10</v>
      </c>
      <c r="R20" s="123">
        <v>33.5</v>
      </c>
      <c r="S20" s="123">
        <v>26.5</v>
      </c>
      <c r="T20" s="123">
        <v>25</v>
      </c>
      <c r="U20" s="123">
        <v>2.3</v>
      </c>
      <c r="V20" s="124">
        <f t="shared" si="788"/>
      </c>
      <c r="W20" s="124">
        <f t="shared" si="183"/>
      </c>
      <c r="X20" s="123" t="s">
        <v>603</v>
      </c>
      <c r="Y20" s="128">
        <v>6.084</v>
      </c>
      <c r="Z20" s="129">
        <v>32.9</v>
      </c>
      <c r="AA20" s="124">
        <f t="shared" si="4"/>
      </c>
      <c r="AB20" s="127">
        <f t="shared" si="554"/>
      </c>
      <c r="AC20" s="123"/>
      <c r="AD20" s="130">
        <f t="shared" si="372"/>
      </c>
      <c r="AE20" s="123">
        <f t="shared" si="835"/>
      </c>
      <c r="AF20" s="123">
        <f t="shared" si="718"/>
      </c>
      <c r="AG20" s="126">
        <v>0.15</v>
      </c>
      <c r="AH20" s="123">
        <f t="shared" si="82"/>
      </c>
      <c r="AI20" s="126">
        <v>0.02</v>
      </c>
      <c r="AJ20" s="123">
        <f t="shared" si="930"/>
      </c>
    </row>
    <row customHeight="true" ht="13.333333333333332" r="21">
      <c r="A21" s="122" t="s">
        <v>605</v>
      </c>
      <c r="B21" s="123">
        <v>9</v>
      </c>
      <c r="C21" s="123" t="s">
        <v>613</v>
      </c>
      <c r="D21" s="123" t="s">
        <v>614</v>
      </c>
      <c r="E21" s="123" t="s">
        <v>602</v>
      </c>
      <c r="F21" s="124">
        <f t="shared" si="476"/>
      </c>
      <c r="G21" s="124">
        <f t="shared" si="294"/>
      </c>
      <c r="H21" s="125">
        <f>H19*0.8</f>
      </c>
      <c r="I21" s="124">
        <f t="shared" si="783"/>
      </c>
      <c r="J21" s="123">
        <v>5.19</v>
      </c>
      <c r="K21" s="126">
        <v>0.15</v>
      </c>
      <c r="L21" s="126">
        <v>0.16</v>
      </c>
      <c r="M21" s="126">
        <v>0.05</v>
      </c>
      <c r="N21" s="123">
        <f t="shared" si="644"/>
      </c>
      <c r="O21" s="127">
        <f t="shared" si="885"/>
      </c>
      <c r="P21" s="126">
        <v>0.02</v>
      </c>
      <c r="Q21" s="124">
        <v>10</v>
      </c>
      <c r="R21" s="123">
        <v>33.5</v>
      </c>
      <c r="S21" s="123">
        <v>26.5</v>
      </c>
      <c r="T21" s="123">
        <v>25</v>
      </c>
      <c r="U21" s="123">
        <v>2.3</v>
      </c>
      <c r="V21" s="124">
        <f t="shared" si="788"/>
      </c>
      <c r="W21" s="124">
        <f t="shared" si="183"/>
      </c>
      <c r="X21" s="123" t="s">
        <v>603</v>
      </c>
      <c r="Y21" s="128">
        <v>6.084</v>
      </c>
      <c r="Z21" s="129">
        <v>32.9</v>
      </c>
      <c r="AA21" s="124">
        <f t="shared" si="4"/>
      </c>
      <c r="AB21" s="127">
        <f t="shared" si="554"/>
      </c>
      <c r="AC21" s="123"/>
      <c r="AD21" s="130">
        <f t="shared" si="372"/>
      </c>
      <c r="AE21" s="123">
        <f t="shared" si="835"/>
      </c>
      <c r="AF21" s="123">
        <f t="shared" si="718"/>
      </c>
      <c r="AG21" s="126">
        <v>0.15</v>
      </c>
      <c r="AH21" s="123">
        <f t="shared" si="82"/>
      </c>
      <c r="AI21" s="126">
        <v>0.02</v>
      </c>
      <c r="AJ21" s="123">
        <f t="shared" si="930"/>
      </c>
    </row>
    <row customHeight="true" ht="13.333333333333332" r="22">
      <c r="B22" s="123"/>
      <c r="C22" s="123"/>
      <c r="D22" s="123"/>
      <c r="E22" s="123"/>
      <c r="F22" s="124"/>
      <c r="G22" s="124"/>
      <c r="H22" s="131"/>
      <c r="I22" s="124"/>
      <c r="J22" s="123"/>
      <c r="K22" s="126"/>
      <c r="L22" s="126"/>
      <c r="M22" s="126"/>
      <c r="N22" s="126"/>
      <c r="O22" s="127"/>
      <c r="P22" s="126"/>
      <c r="Q22" s="126"/>
      <c r="R22" s="123"/>
      <c r="S22" s="123"/>
      <c r="T22" s="123"/>
      <c r="U22" s="123"/>
      <c r="V22" s="124"/>
      <c r="W22" s="124"/>
      <c r="X22" s="123"/>
      <c r="Y22" s="128"/>
      <c r="Z22" s="124"/>
      <c r="AA22" s="124"/>
      <c r="AB22" s="127"/>
      <c r="AC22" s="123"/>
      <c r="AD22" s="130"/>
      <c r="AE22" s="126"/>
      <c r="AF22" s="126"/>
      <c r="AG22" s="126"/>
      <c r="AH22" s="126"/>
      <c r="AI22" s="126"/>
      <c r="AJ22" s="126"/>
    </row>
    <row customHeight="true" ht="13.333333333333332" r="23">
      <c r="A23" s="133" t="s">
        <v>615</v>
      </c>
      <c r="B23" s="123">
        <v>8</v>
      </c>
      <c r="C23" s="123" t="s">
        <v>600</v>
      </c>
      <c r="D23" s="123" t="s">
        <v>601</v>
      </c>
      <c r="E23" s="123" t="s">
        <v>602</v>
      </c>
      <c r="F23" s="124">
        <f t="shared" ref="F23:F26" si="477">IF(E23="有",(I23/B23+J23+Z23/B23)/(0.99999-K23-L23-M23-N23),(I23/B23+J23+Z23/B23)/(0.99999-K23-M23-N23))</f>
      </c>
      <c r="G23" s="124">
        <f t="shared" ref="G23:G26" si="295">IF(E23="有",(I23/B23+J23+Z23/B23)/(0.8-K23-L23-M23-N23-O23-P23),(I23/B23+J23+Z23/B23)/(0.8-K23-M23-N23-O23-P23))</f>
      </c>
      <c r="H23" s="125">
        <v>39.99</v>
      </c>
      <c r="I23" s="124">
        <f t="shared" ref="I23:I26" si="1004">100.1/1.13</f>
      </c>
      <c r="J23" s="123">
        <v>3.41</v>
      </c>
      <c r="K23" s="126">
        <v>0.15</v>
      </c>
      <c r="L23" s="126">
        <v>0.16</v>
      </c>
      <c r="M23" s="126">
        <v>0.05</v>
      </c>
      <c r="N23" s="123">
        <f t="shared" ref="N23:N26" si="645">Q23/H23</f>
      </c>
      <c r="O23" s="127">
        <v>0.01</v>
      </c>
      <c r="P23" s="126">
        <v>0.02</v>
      </c>
      <c r="Q23" s="124">
        <v>3</v>
      </c>
      <c r="R23" s="123"/>
      <c r="S23" s="123"/>
      <c r="T23" s="123"/>
      <c r="U23" s="123"/>
      <c r="V23" s="124"/>
      <c r="W23" s="124"/>
      <c r="X23" s="123" t="s">
        <v>603</v>
      </c>
      <c r="Y23" s="128">
        <v>5.55136</v>
      </c>
      <c r="Z23" s="129">
        <v>8</v>
      </c>
      <c r="AA23" s="124">
        <f t="shared" ref="AA23:AA26" si="5">H23-SUM(K23:P23)*H23-J23-I23/B23-Z23/B23</f>
      </c>
      <c r="AB23" s="127">
        <f t="shared" ref="AB23:AB26" si="555">AA23/H23</f>
      </c>
      <c r="AC23" s="123"/>
      <c r="AD23" s="130">
        <f t="shared" ref="AD23:AD26" si="373">J23/H23</f>
      </c>
      <c r="AE23" s="123">
        <f>I23/7.4/H23</f>
      </c>
      <c r="AF23" s="123">
        <f>Z23/7.4/H23</f>
      </c>
      <c r="AG23" s="126">
        <v>0.15</v>
      </c>
      <c r="AH23" s="123">
        <f t="shared" ref="AH23:AH26" si="83">N23</f>
      </c>
      <c r="AI23" s="126">
        <v>0.02</v>
      </c>
      <c r="AJ23" s="123">
        <f t="shared" ref="AJ23:AJ26" si="931">M23</f>
      </c>
    </row>
    <row customHeight="true" ht="13.333333333333332" r="24">
      <c r="A24" s="133" t="s">
        <v>616</v>
      </c>
      <c r="B24" s="123">
        <v>8</v>
      </c>
      <c r="C24" s="123" t="s">
        <v>600</v>
      </c>
      <c r="D24" s="123" t="s">
        <v>601</v>
      </c>
      <c r="E24" s="123" t="s">
        <v>602</v>
      </c>
      <c r="F24" s="124">
        <f t="shared" si="477"/>
      </c>
      <c r="G24" s="124">
        <f t="shared" si="295"/>
      </c>
      <c r="H24" s="125">
        <f>H23*0.9</f>
      </c>
      <c r="I24" s="124">
        <f t="shared" si="1004"/>
      </c>
      <c r="J24" s="123">
        <v>3.41</v>
      </c>
      <c r="K24" s="126">
        <v>0.15</v>
      </c>
      <c r="L24" s="126">
        <v>0.16</v>
      </c>
      <c r="M24" s="126">
        <v>0.05</v>
      </c>
      <c r="N24" s="123">
        <f t="shared" si="645"/>
      </c>
      <c r="O24" s="127">
        <v>0.01</v>
      </c>
      <c r="P24" s="126">
        <v>0.02</v>
      </c>
      <c r="Q24" s="124">
        <v>3</v>
      </c>
      <c r="R24" s="123"/>
      <c r="S24" s="123"/>
      <c r="T24" s="123"/>
      <c r="U24" s="123"/>
      <c r="V24" s="124"/>
      <c r="W24" s="124"/>
      <c r="X24" s="123" t="s">
        <v>603</v>
      </c>
      <c r="Y24" s="128">
        <v>5.55136</v>
      </c>
      <c r="Z24" s="129">
        <v>8</v>
      </c>
      <c r="AA24" s="124">
        <f t="shared" si="5"/>
      </c>
      <c r="AB24" s="127">
        <f t="shared" si="555"/>
      </c>
      <c r="AC24" s="123"/>
      <c r="AD24" s="130">
        <f t="shared" si="373"/>
      </c>
      <c r="AE24" s="123">
        <f t="shared" ref="AE24:AE25" si="236">I24/B24/H24</f>
      </c>
      <c r="AF24" s="123">
        <f t="shared" ref="AF24:AF25" si="446">Z24/B24/H24</f>
      </c>
      <c r="AG24" s="123">
        <f t="shared" ref="AG24:AG25" si="259">K24</f>
      </c>
      <c r="AH24" s="123">
        <f t="shared" si="83"/>
      </c>
      <c r="AI24" s="126">
        <v>0.02</v>
      </c>
      <c r="AJ24" s="123">
        <f t="shared" si="931"/>
      </c>
    </row>
    <row customHeight="true" ht="13.333333333333332" r="25">
      <c r="A25" s="133" t="s">
        <v>617</v>
      </c>
      <c r="B25" s="123">
        <v>8</v>
      </c>
      <c r="C25" s="123" t="s">
        <v>600</v>
      </c>
      <c r="D25" s="123" t="s">
        <v>601</v>
      </c>
      <c r="E25" s="123" t="s">
        <v>602</v>
      </c>
      <c r="F25" s="124">
        <f t="shared" si="477"/>
      </c>
      <c r="G25" s="124">
        <f t="shared" si="295"/>
      </c>
      <c r="H25" s="134">
        <f>H23*0.85</f>
      </c>
      <c r="I25" s="124">
        <f t="shared" si="1004"/>
      </c>
      <c r="J25" s="123">
        <v>3.41</v>
      </c>
      <c r="K25" s="126">
        <v>0.15</v>
      </c>
      <c r="L25" s="126">
        <v>0.16</v>
      </c>
      <c r="M25" s="126">
        <v>0.05</v>
      </c>
      <c r="N25" s="123">
        <f t="shared" si="645"/>
      </c>
      <c r="O25" s="127">
        <v>0.01</v>
      </c>
      <c r="P25" s="126">
        <v>0.02</v>
      </c>
      <c r="Q25" s="124">
        <v>3</v>
      </c>
      <c r="R25" s="123"/>
      <c r="S25" s="123"/>
      <c r="T25" s="123"/>
      <c r="U25" s="123"/>
      <c r="V25" s="124"/>
      <c r="W25" s="124"/>
      <c r="X25" s="123" t="s">
        <v>603</v>
      </c>
      <c r="Y25" s="128">
        <v>5.55136</v>
      </c>
      <c r="Z25" s="129">
        <v>8</v>
      </c>
      <c r="AA25" s="124">
        <f t="shared" si="5"/>
      </c>
      <c r="AB25" s="127">
        <f t="shared" si="555"/>
      </c>
      <c r="AC25" s="123"/>
      <c r="AD25" s="130">
        <f t="shared" si="373"/>
      </c>
      <c r="AE25" s="123">
        <f t="shared" si="236"/>
      </c>
      <c r="AF25" s="123">
        <f t="shared" si="446"/>
      </c>
      <c r="AG25" s="123">
        <f t="shared" si="259"/>
      </c>
      <c r="AH25" s="123">
        <f t="shared" si="83"/>
      </c>
      <c r="AI25" s="126">
        <v>0.02</v>
      </c>
      <c r="AJ25" s="123">
        <f t="shared" si="931"/>
      </c>
    </row>
    <row customHeight="true" ht="13.333333333333332" r="26">
      <c r="A26" s="133" t="s">
        <v>618</v>
      </c>
      <c r="B26" s="123">
        <v>8</v>
      </c>
      <c r="C26" s="123" t="s">
        <v>600</v>
      </c>
      <c r="D26" s="123" t="s">
        <v>601</v>
      </c>
      <c r="E26" s="123" t="s">
        <v>602</v>
      </c>
      <c r="F26" s="124">
        <f t="shared" si="477"/>
      </c>
      <c r="G26" s="124">
        <f t="shared" si="295"/>
      </c>
      <c r="H26" s="125">
        <f>H23*0.8</f>
      </c>
      <c r="I26" s="124">
        <f t="shared" si="1004"/>
      </c>
      <c r="J26" s="123">
        <v>3.41</v>
      </c>
      <c r="K26" s="126">
        <v>0.15</v>
      </c>
      <c r="L26" s="126">
        <v>0.16</v>
      </c>
      <c r="M26" s="126">
        <v>0.05</v>
      </c>
      <c r="N26" s="123">
        <f t="shared" si="645"/>
      </c>
      <c r="O26" s="127">
        <v>0.01</v>
      </c>
      <c r="P26" s="126">
        <v>0.02</v>
      </c>
      <c r="Q26" s="124">
        <v>3</v>
      </c>
      <c r="R26" s="123"/>
      <c r="S26" s="123"/>
      <c r="T26" s="123"/>
      <c r="U26" s="123"/>
      <c r="V26" s="124"/>
      <c r="W26" s="124"/>
      <c r="X26" s="123" t="s">
        <v>603</v>
      </c>
      <c r="Y26" s="128">
        <v>5.55136</v>
      </c>
      <c r="Z26" s="129">
        <v>8</v>
      </c>
      <c r="AA26" s="124">
        <f t="shared" si="5"/>
      </c>
      <c r="AB26" s="127">
        <f t="shared" si="555"/>
      </c>
      <c r="AC26" s="123"/>
      <c r="AD26" s="130">
        <f t="shared" si="373"/>
      </c>
      <c r="AE26" s="123">
        <f>I26/7.4/H26</f>
      </c>
      <c r="AF26" s="123">
        <f>Z26/7.4/H26</f>
      </c>
      <c r="AG26" s="126">
        <v>0.15</v>
      </c>
      <c r="AH26" s="123">
        <f t="shared" si="83"/>
      </c>
      <c r="AI26" s="126">
        <v>0.02</v>
      </c>
      <c r="AJ26" s="123">
        <f t="shared" si="931"/>
      </c>
    </row>
    <row customHeight="true" ht="23.703703703703702" r="27">
      <c r="E27" s="123"/>
      <c r="F27" s="124"/>
      <c r="G27" s="124"/>
      <c r="H27" s="123"/>
      <c r="I27" s="124"/>
      <c r="J27" s="123"/>
      <c r="K27" s="126"/>
      <c r="L27" s="126"/>
      <c r="M27" s="126"/>
      <c r="N27" s="126"/>
      <c r="O27" s="127"/>
      <c r="P27" s="126"/>
      <c r="Q27" s="126"/>
      <c r="R27" s="123"/>
      <c r="S27" s="123"/>
      <c r="T27" s="123"/>
      <c r="U27" s="123"/>
      <c r="V27" s="124"/>
      <c r="W27" s="124"/>
      <c r="X27" s="123"/>
      <c r="Y27" s="128"/>
      <c r="Z27" s="124"/>
      <c r="AA27" s="124"/>
      <c r="AB27" s="127"/>
      <c r="AC27" s="123"/>
      <c r="AD27" s="130"/>
      <c r="AE27" s="126"/>
      <c r="AF27" s="126"/>
      <c r="AG27" s="126"/>
      <c r="AH27" s="126"/>
      <c r="AI27" s="126"/>
      <c r="AJ27" s="126"/>
    </row>
    <row customHeight="true" ht="13.333333333333332" r="28">
      <c r="A28" s="133" t="s">
        <v>615</v>
      </c>
      <c r="B28" s="123">
        <v>8</v>
      </c>
      <c r="C28" s="123" t="s">
        <v>606</v>
      </c>
      <c r="D28" s="123" t="s">
        <v>607</v>
      </c>
      <c r="E28" s="123" t="s">
        <v>602</v>
      </c>
      <c r="F28" s="124">
        <f t="shared" ref="F28:F31" si="478">IF(E28="有",(I28/B28+J28+Z28/B28)/(0.99999-K28-L28-M28-N28),(I28/B28+J28+Z28/B28)/(0.99999-K28-M28-N28))</f>
      </c>
      <c r="G28" s="124">
        <f t="shared" ref="G28:G31" si="296">IF(E28="有",(I28/B28+J28+Z28/B28)/(0.8-K28-L28-M28-N28-O28-P28),(I28/B28+J28+Z28/B28)/(0.8-K28-M28-N28-O28-P28))</f>
      </c>
      <c r="H28" s="125">
        <v>39.99</v>
      </c>
      <c r="I28" s="124">
        <f t="shared" ref="I28:I31" si="1005">100.1/1.13</f>
      </c>
      <c r="J28" s="123">
        <v>5.79</v>
      </c>
      <c r="K28" s="126">
        <v>0.15</v>
      </c>
      <c r="L28" s="126">
        <v>0.16</v>
      </c>
      <c r="M28" s="126">
        <v>0.05</v>
      </c>
      <c r="N28" s="123">
        <f t="shared" ref="N28:N31" si="646">Q28/H28</f>
      </c>
      <c r="O28" s="127">
        <v>0.01</v>
      </c>
      <c r="P28" s="126">
        <v>0.02</v>
      </c>
      <c r="Q28" s="124">
        <v>3</v>
      </c>
      <c r="R28" s="123"/>
      <c r="S28" s="123"/>
      <c r="T28" s="123"/>
      <c r="U28" s="123"/>
      <c r="V28" s="124"/>
      <c r="W28" s="124"/>
      <c r="X28" s="123" t="s">
        <v>603</v>
      </c>
      <c r="Y28" s="128">
        <v>5.55136</v>
      </c>
      <c r="Z28" s="129">
        <v>8</v>
      </c>
      <c r="AA28" s="124">
        <f t="shared" ref="AA28:AA31" si="6">H28-SUM(K28:P28)*H28-J28-I28/B28-Z28/B28</f>
      </c>
      <c r="AB28" s="127">
        <f t="shared" ref="AB28:AB31" si="556">AA28/H28</f>
      </c>
      <c r="AC28" s="123"/>
      <c r="AD28" s="130">
        <f t="shared" ref="AD28:AD31" si="374">J28/H28</f>
      </c>
      <c r="AE28" s="123">
        <f>I28/7.4/H28</f>
      </c>
      <c r="AF28" s="123">
        <f>Z28/7.4/H28</f>
      </c>
      <c r="AG28" s="126">
        <v>0.15</v>
      </c>
      <c r="AH28" s="123">
        <f t="shared" ref="AH28:AH31" si="84">N28</f>
      </c>
      <c r="AI28" s="126">
        <v>0.02</v>
      </c>
      <c r="AJ28" s="123">
        <f t="shared" ref="AJ28:AJ31" si="932">M28</f>
      </c>
    </row>
    <row customHeight="true" ht="13.333333333333332" r="29">
      <c r="A29" s="133" t="s">
        <v>616</v>
      </c>
      <c r="B29" s="123">
        <v>8</v>
      </c>
      <c r="C29" s="123" t="s">
        <v>606</v>
      </c>
      <c r="D29" s="123" t="s">
        <v>607</v>
      </c>
      <c r="E29" s="123" t="s">
        <v>602</v>
      </c>
      <c r="F29" s="124">
        <f t="shared" si="478"/>
      </c>
      <c r="G29" s="124">
        <f t="shared" si="296"/>
      </c>
      <c r="H29" s="125">
        <f>H28*0.9</f>
      </c>
      <c r="I29" s="124">
        <f t="shared" si="1005"/>
      </c>
      <c r="J29" s="123">
        <v>5.79</v>
      </c>
      <c r="K29" s="126">
        <v>0.15</v>
      </c>
      <c r="L29" s="126">
        <v>0.16</v>
      </c>
      <c r="M29" s="126">
        <v>0.05</v>
      </c>
      <c r="N29" s="123">
        <f t="shared" si="646"/>
      </c>
      <c r="O29" s="127">
        <v>0.01</v>
      </c>
      <c r="P29" s="126">
        <v>0.02</v>
      </c>
      <c r="Q29" s="124">
        <v>3</v>
      </c>
      <c r="R29" s="123"/>
      <c r="S29" s="123"/>
      <c r="T29" s="123"/>
      <c r="U29" s="123"/>
      <c r="V29" s="124"/>
      <c r="W29" s="124"/>
      <c r="X29" s="123" t="s">
        <v>603</v>
      </c>
      <c r="Y29" s="128">
        <v>5.55136</v>
      </c>
      <c r="Z29" s="129">
        <v>8</v>
      </c>
      <c r="AA29" s="124">
        <f t="shared" si="6"/>
      </c>
      <c r="AB29" s="127">
        <f t="shared" si="556"/>
      </c>
      <c r="AC29" s="123"/>
      <c r="AD29" s="130">
        <f t="shared" si="374"/>
      </c>
      <c r="AE29" s="123">
        <f t="shared" ref="AE29:AE30" si="237">I29/B29/H29</f>
      </c>
      <c r="AF29" s="123">
        <f t="shared" ref="AF29:AF30" si="447">Z29/B29/H29</f>
      </c>
      <c r="AG29" s="123">
        <f t="shared" ref="AG29:AG30" si="260">K29</f>
      </c>
      <c r="AH29" s="123">
        <f t="shared" si="84"/>
      </c>
      <c r="AI29" s="126">
        <v>0.02</v>
      </c>
      <c r="AJ29" s="123">
        <f t="shared" si="932"/>
      </c>
    </row>
    <row customHeight="true" ht="13.333333333333332" r="30">
      <c r="A30" s="133" t="s">
        <v>617</v>
      </c>
      <c r="B30" s="123">
        <v>8</v>
      </c>
      <c r="C30" s="123" t="s">
        <v>606</v>
      </c>
      <c r="D30" s="123" t="s">
        <v>607</v>
      </c>
      <c r="E30" s="123" t="s">
        <v>602</v>
      </c>
      <c r="F30" s="124">
        <f t="shared" si="478"/>
      </c>
      <c r="G30" s="124">
        <f t="shared" si="296"/>
      </c>
      <c r="H30" s="134">
        <f>H28*0.85</f>
      </c>
      <c r="I30" s="124">
        <f t="shared" si="1005"/>
      </c>
      <c r="J30" s="123">
        <v>5.79</v>
      </c>
      <c r="K30" s="126">
        <v>0.15</v>
      </c>
      <c r="L30" s="126">
        <v>0.16</v>
      </c>
      <c r="M30" s="126">
        <v>0.05</v>
      </c>
      <c r="N30" s="123">
        <f t="shared" si="646"/>
      </c>
      <c r="O30" s="127">
        <v>0.01</v>
      </c>
      <c r="P30" s="126">
        <v>0.02</v>
      </c>
      <c r="Q30" s="124">
        <v>3</v>
      </c>
      <c r="R30" s="123"/>
      <c r="S30" s="123"/>
      <c r="T30" s="123"/>
      <c r="U30" s="123"/>
      <c r="V30" s="124"/>
      <c r="W30" s="124"/>
      <c r="X30" s="123" t="s">
        <v>603</v>
      </c>
      <c r="Y30" s="128">
        <v>5.55136</v>
      </c>
      <c r="Z30" s="129">
        <v>8</v>
      </c>
      <c r="AA30" s="124">
        <f t="shared" si="6"/>
      </c>
      <c r="AB30" s="127">
        <f t="shared" si="556"/>
      </c>
      <c r="AC30" s="123"/>
      <c r="AD30" s="130">
        <f t="shared" si="374"/>
      </c>
      <c r="AE30" s="123">
        <f t="shared" si="237"/>
      </c>
      <c r="AF30" s="123">
        <f t="shared" si="447"/>
      </c>
      <c r="AG30" s="123">
        <f t="shared" si="260"/>
      </c>
      <c r="AH30" s="123">
        <f t="shared" si="84"/>
      </c>
      <c r="AI30" s="126">
        <v>0.02</v>
      </c>
      <c r="AJ30" s="123">
        <f t="shared" si="932"/>
      </c>
    </row>
    <row customHeight="true" ht="13.333333333333332" r="31">
      <c r="A31" s="133" t="s">
        <v>618</v>
      </c>
      <c r="B31" s="123">
        <v>8</v>
      </c>
      <c r="C31" s="123" t="s">
        <v>606</v>
      </c>
      <c r="D31" s="123" t="s">
        <v>607</v>
      </c>
      <c r="E31" s="123" t="s">
        <v>602</v>
      </c>
      <c r="F31" s="124">
        <f t="shared" si="478"/>
      </c>
      <c r="G31" s="124">
        <f t="shared" si="296"/>
      </c>
      <c r="H31" s="125">
        <f>H28*0.8</f>
      </c>
      <c r="I31" s="124">
        <f t="shared" si="1005"/>
      </c>
      <c r="J31" s="123">
        <v>5.79</v>
      </c>
      <c r="K31" s="126">
        <v>0.15</v>
      </c>
      <c r="L31" s="126">
        <v>0.16</v>
      </c>
      <c r="M31" s="126">
        <v>0.05</v>
      </c>
      <c r="N31" s="123">
        <f t="shared" si="646"/>
      </c>
      <c r="O31" s="127">
        <v>0.01</v>
      </c>
      <c r="P31" s="126">
        <v>0.02</v>
      </c>
      <c r="Q31" s="124">
        <v>3</v>
      </c>
      <c r="R31" s="123"/>
      <c r="S31" s="123"/>
      <c r="T31" s="123"/>
      <c r="U31" s="123"/>
      <c r="V31" s="124"/>
      <c r="W31" s="124"/>
      <c r="X31" s="123" t="s">
        <v>603</v>
      </c>
      <c r="Y31" s="128">
        <v>5.55136</v>
      </c>
      <c r="Z31" s="129">
        <v>8</v>
      </c>
      <c r="AA31" s="124">
        <f t="shared" si="6"/>
      </c>
      <c r="AB31" s="127">
        <f t="shared" si="556"/>
      </c>
      <c r="AC31" s="123"/>
      <c r="AD31" s="130">
        <f t="shared" si="374"/>
      </c>
      <c r="AE31" s="123">
        <f>I31/7.4/H31</f>
      </c>
      <c r="AF31" s="123">
        <f>Z31/7.4/H31</f>
      </c>
      <c r="AG31" s="126">
        <v>0.15</v>
      </c>
      <c r="AH31" s="123">
        <f t="shared" si="84"/>
      </c>
      <c r="AI31" s="126">
        <v>0.02</v>
      </c>
      <c r="AJ31" s="123">
        <f t="shared" si="932"/>
      </c>
    </row>
    <row customHeight="true" ht="23.703703703703702" r="32">
      <c r="E32" s="123"/>
      <c r="F32" s="124"/>
      <c r="G32" s="124"/>
      <c r="H32" s="123"/>
      <c r="I32" s="124"/>
      <c r="J32" s="123"/>
      <c r="K32" s="126"/>
      <c r="L32" s="126"/>
      <c r="M32" s="126"/>
      <c r="N32" s="126"/>
      <c r="O32" s="127"/>
      <c r="P32" s="126"/>
      <c r="Q32" s="126"/>
      <c r="R32" s="123"/>
      <c r="S32" s="123"/>
      <c r="T32" s="123"/>
      <c r="U32" s="123"/>
      <c r="V32" s="124"/>
      <c r="W32" s="124"/>
      <c r="X32" s="123"/>
      <c r="Y32" s="128"/>
      <c r="Z32" s="124"/>
      <c r="AA32" s="124"/>
      <c r="AB32" s="127"/>
      <c r="AC32" s="123"/>
      <c r="AD32" s="130"/>
      <c r="AE32" s="126"/>
      <c r="AF32" s="126"/>
      <c r="AG32" s="126"/>
      <c r="AH32" s="126"/>
      <c r="AI32" s="126"/>
      <c r="AJ32" s="126"/>
    </row>
    <row customHeight="true" ht="13.333333333333332" r="33">
      <c r="A33" s="133" t="s">
        <v>615</v>
      </c>
      <c r="B33" s="123">
        <v>8</v>
      </c>
      <c r="C33" s="123" t="s">
        <v>608</v>
      </c>
      <c r="D33" s="123" t="s">
        <v>609</v>
      </c>
      <c r="E33" s="123" t="s">
        <v>602</v>
      </c>
      <c r="F33" s="124">
        <f t="shared" ref="F33:F36" si="479">IF(E33="有",(I33/B33+J33+Z33/B33)/(0.99999-K33-L33-M33-N33),(I33/B33+J33+Z33/B33)/(0.99999-K33-M33-N33))</f>
      </c>
      <c r="G33" s="124">
        <f t="shared" ref="G33:G36" si="297">IF(E33="有",(I33/B33+J33+Z33/B33)/(0.8-K33-L33-M33-N33-O33-P33),(I33/B33+J33+Z33/B33)/(0.8-K33-M33-N33-O33-P33))</f>
      </c>
      <c r="H33" s="125">
        <v>39.99</v>
      </c>
      <c r="I33" s="124">
        <f t="shared" ref="I33:I36" si="1006">100.1/1.13</f>
      </c>
      <c r="J33" s="123">
        <v>4.95</v>
      </c>
      <c r="K33" s="126">
        <v>0.15</v>
      </c>
      <c r="L33" s="126">
        <v>0.16</v>
      </c>
      <c r="M33" s="126">
        <v>0.05</v>
      </c>
      <c r="N33" s="123">
        <f t="shared" ref="N33:N36" si="647">Q33/H33</f>
      </c>
      <c r="O33" s="127">
        <v>0.01</v>
      </c>
      <c r="P33" s="126">
        <v>0.02</v>
      </c>
      <c r="Q33" s="124">
        <v>3</v>
      </c>
      <c r="R33" s="123"/>
      <c r="S33" s="123"/>
      <c r="T33" s="123"/>
      <c r="U33" s="123"/>
      <c r="V33" s="124"/>
      <c r="W33" s="124"/>
      <c r="X33" s="123" t="s">
        <v>603</v>
      </c>
      <c r="Y33" s="128">
        <v>5.55136</v>
      </c>
      <c r="Z33" s="129">
        <v>8</v>
      </c>
      <c r="AA33" s="124">
        <f t="shared" ref="AA33:AA36" si="7">H33-SUM(K33:P33)*H33-J33-I33/B33-Z33/B33</f>
      </c>
      <c r="AB33" s="127">
        <f t="shared" ref="AB33:AB36" si="557">AA33/H33</f>
      </c>
      <c r="AC33" s="123"/>
      <c r="AD33" s="130">
        <f t="shared" ref="AD33:AD36" si="375">J33/H33</f>
      </c>
      <c r="AE33" s="123">
        <f>I33/7.4/H33</f>
      </c>
      <c r="AF33" s="123">
        <f>Z33/7.4/H33</f>
      </c>
      <c r="AG33" s="126">
        <v>0.15</v>
      </c>
      <c r="AH33" s="123">
        <f t="shared" ref="AH33:AH36" si="85">N33</f>
      </c>
      <c r="AI33" s="126">
        <v>0.02</v>
      </c>
      <c r="AJ33" s="123">
        <f t="shared" ref="AJ33:AJ36" si="933">M33</f>
      </c>
    </row>
    <row customHeight="true" ht="13.333333333333332" r="34">
      <c r="A34" s="133" t="s">
        <v>616</v>
      </c>
      <c r="B34" s="123">
        <v>8</v>
      </c>
      <c r="C34" s="123" t="s">
        <v>608</v>
      </c>
      <c r="D34" s="123" t="s">
        <v>609</v>
      </c>
      <c r="E34" s="123" t="s">
        <v>602</v>
      </c>
      <c r="F34" s="124">
        <f t="shared" si="479"/>
      </c>
      <c r="G34" s="124">
        <f t="shared" si="297"/>
      </c>
      <c r="H34" s="125">
        <f>H33*0.9</f>
      </c>
      <c r="I34" s="124">
        <f t="shared" si="1006"/>
      </c>
      <c r="J34" s="123">
        <v>4.95</v>
      </c>
      <c r="K34" s="126">
        <v>0.15</v>
      </c>
      <c r="L34" s="126">
        <v>0.16</v>
      </c>
      <c r="M34" s="126">
        <v>0.05</v>
      </c>
      <c r="N34" s="123">
        <f t="shared" si="647"/>
      </c>
      <c r="O34" s="127">
        <v>0.01</v>
      </c>
      <c r="P34" s="126">
        <v>0.02</v>
      </c>
      <c r="Q34" s="124">
        <v>3</v>
      </c>
      <c r="R34" s="123"/>
      <c r="S34" s="123"/>
      <c r="T34" s="123"/>
      <c r="U34" s="123"/>
      <c r="V34" s="124"/>
      <c r="W34" s="124"/>
      <c r="X34" s="123" t="s">
        <v>603</v>
      </c>
      <c r="Y34" s="128">
        <v>5.55136</v>
      </c>
      <c r="Z34" s="129">
        <v>8</v>
      </c>
      <c r="AA34" s="124">
        <f t="shared" si="7"/>
      </c>
      <c r="AB34" s="127">
        <f t="shared" si="557"/>
      </c>
      <c r="AC34" s="123"/>
      <c r="AD34" s="130">
        <f t="shared" si="375"/>
      </c>
      <c r="AE34" s="123">
        <f t="shared" ref="AE34:AE35" si="238">I34/B34/H34</f>
      </c>
      <c r="AF34" s="123">
        <f t="shared" ref="AF34:AF35" si="448">Z34/B34/H34</f>
      </c>
      <c r="AG34" s="123">
        <f t="shared" ref="AG34:AG35" si="261">K34</f>
      </c>
      <c r="AH34" s="123">
        <f t="shared" si="85"/>
      </c>
      <c r="AI34" s="126">
        <v>0.02</v>
      </c>
      <c r="AJ34" s="123">
        <f t="shared" si="933"/>
      </c>
    </row>
    <row customHeight="true" ht="13.333333333333332" r="35">
      <c r="A35" s="133" t="s">
        <v>617</v>
      </c>
      <c r="B35" s="123">
        <v>8</v>
      </c>
      <c r="C35" s="123" t="s">
        <v>608</v>
      </c>
      <c r="D35" s="123" t="s">
        <v>609</v>
      </c>
      <c r="E35" s="123" t="s">
        <v>602</v>
      </c>
      <c r="F35" s="124">
        <f t="shared" si="479"/>
      </c>
      <c r="G35" s="124">
        <f t="shared" si="297"/>
      </c>
      <c r="H35" s="134">
        <f>H33*0.85</f>
      </c>
      <c r="I35" s="124">
        <f t="shared" si="1006"/>
      </c>
      <c r="J35" s="123">
        <v>4.95</v>
      </c>
      <c r="K35" s="126">
        <v>0.15</v>
      </c>
      <c r="L35" s="126">
        <v>0.16</v>
      </c>
      <c r="M35" s="126">
        <v>0.05</v>
      </c>
      <c r="N35" s="123">
        <f t="shared" si="647"/>
      </c>
      <c r="O35" s="127">
        <v>0.01</v>
      </c>
      <c r="P35" s="126">
        <v>0.02</v>
      </c>
      <c r="Q35" s="124">
        <v>3</v>
      </c>
      <c r="R35" s="123"/>
      <c r="S35" s="123"/>
      <c r="T35" s="123"/>
      <c r="U35" s="123"/>
      <c r="V35" s="124"/>
      <c r="W35" s="124"/>
      <c r="X35" s="123" t="s">
        <v>603</v>
      </c>
      <c r="Y35" s="128">
        <v>5.55136</v>
      </c>
      <c r="Z35" s="129">
        <v>8</v>
      </c>
      <c r="AA35" s="124">
        <f t="shared" si="7"/>
      </c>
      <c r="AB35" s="127">
        <f t="shared" si="557"/>
      </c>
      <c r="AC35" s="123"/>
      <c r="AD35" s="130">
        <f t="shared" si="375"/>
      </c>
      <c r="AE35" s="123">
        <f t="shared" si="238"/>
      </c>
      <c r="AF35" s="123">
        <f t="shared" si="448"/>
      </c>
      <c r="AG35" s="123">
        <f t="shared" si="261"/>
      </c>
      <c r="AH35" s="123">
        <f t="shared" si="85"/>
      </c>
      <c r="AI35" s="126">
        <v>0.02</v>
      </c>
      <c r="AJ35" s="123">
        <f t="shared" si="933"/>
      </c>
    </row>
    <row customHeight="true" ht="13.333333333333332" r="36">
      <c r="A36" s="133" t="s">
        <v>618</v>
      </c>
      <c r="B36" s="123">
        <v>8</v>
      </c>
      <c r="C36" s="123" t="s">
        <v>608</v>
      </c>
      <c r="D36" s="123" t="s">
        <v>609</v>
      </c>
      <c r="E36" s="123" t="s">
        <v>602</v>
      </c>
      <c r="F36" s="124">
        <f t="shared" si="479"/>
      </c>
      <c r="G36" s="124">
        <f t="shared" si="297"/>
      </c>
      <c r="H36" s="125">
        <f>H33*0.8</f>
      </c>
      <c r="I36" s="124">
        <f t="shared" si="1006"/>
      </c>
      <c r="J36" s="123">
        <v>4.95</v>
      </c>
      <c r="K36" s="126">
        <v>0.15</v>
      </c>
      <c r="L36" s="126">
        <v>0.16</v>
      </c>
      <c r="M36" s="126">
        <v>0.05</v>
      </c>
      <c r="N36" s="123">
        <f t="shared" si="647"/>
      </c>
      <c r="O36" s="127">
        <v>0.01</v>
      </c>
      <c r="P36" s="126">
        <v>0.02</v>
      </c>
      <c r="Q36" s="124">
        <v>3</v>
      </c>
      <c r="R36" s="123"/>
      <c r="S36" s="123"/>
      <c r="T36" s="123"/>
      <c r="U36" s="123"/>
      <c r="V36" s="124"/>
      <c r="W36" s="124"/>
      <c r="X36" s="123" t="s">
        <v>603</v>
      </c>
      <c r="Y36" s="128">
        <v>5.55136</v>
      </c>
      <c r="Z36" s="129">
        <v>8</v>
      </c>
      <c r="AA36" s="124">
        <f t="shared" si="7"/>
      </c>
      <c r="AB36" s="127">
        <f t="shared" si="557"/>
      </c>
      <c r="AC36" s="123"/>
      <c r="AD36" s="130">
        <f t="shared" si="375"/>
      </c>
      <c r="AE36" s="123">
        <f>I36/7.4/H36</f>
      </c>
      <c r="AF36" s="123">
        <f>Z36/7.4/H36</f>
      </c>
      <c r="AG36" s="126">
        <v>0.15</v>
      </c>
      <c r="AH36" s="123">
        <f t="shared" si="85"/>
      </c>
      <c r="AI36" s="126">
        <v>0.02</v>
      </c>
      <c r="AJ36" s="123">
        <f t="shared" si="933"/>
      </c>
    </row>
    <row customHeight="true" ht="23.703703703703702" r="37">
      <c r="E37" s="123"/>
      <c r="F37" s="124"/>
      <c r="G37" s="124"/>
      <c r="H37" s="123"/>
      <c r="I37" s="124"/>
      <c r="J37" s="123"/>
      <c r="K37" s="126"/>
      <c r="L37" s="126"/>
      <c r="M37" s="126"/>
      <c r="N37" s="126"/>
      <c r="O37" s="127"/>
      <c r="P37" s="126"/>
      <c r="Q37" s="126"/>
      <c r="R37" s="123"/>
      <c r="S37" s="123"/>
      <c r="T37" s="123"/>
      <c r="U37" s="123"/>
      <c r="V37" s="124"/>
      <c r="W37" s="124"/>
      <c r="X37" s="123"/>
      <c r="Y37" s="128"/>
      <c r="Z37" s="124"/>
      <c r="AA37" s="124"/>
      <c r="AB37" s="127"/>
      <c r="AC37" s="123"/>
      <c r="AD37" s="130"/>
      <c r="AE37" s="126"/>
      <c r="AF37" s="126"/>
      <c r="AG37" s="126"/>
      <c r="AH37" s="126"/>
      <c r="AI37" s="126"/>
      <c r="AJ37" s="126"/>
    </row>
    <row customHeight="true" ht="13.333333333333332" r="38">
      <c r="A38" s="133" t="s">
        <v>615</v>
      </c>
      <c r="B38" s="123">
        <v>8</v>
      </c>
      <c r="C38" s="123" t="s">
        <v>611</v>
      </c>
      <c r="D38" s="123" t="s">
        <v>612</v>
      </c>
      <c r="E38" s="123" t="s">
        <v>602</v>
      </c>
      <c r="F38" s="124">
        <f t="shared" ref="F38:F41" si="480">IF(E38="有",(I38/B38+J38+Z38/B38)/(0.99999-K38-L38-M38-N38),(I38/B38+J38+Z38/B38)/(0.99999-K38-M38-N38))</f>
      </c>
      <c r="G38" s="124">
        <f t="shared" ref="G38:G41" si="298">IF(E38="有",(I38/B38+J38+Z38/B38)/(0.8-K38-L38-M38-N38-O38-P38),(I38/B38+J38+Z38/B38)/(0.8-K38-M38-N38-O38-P38))</f>
      </c>
      <c r="H38" s="125">
        <v>39.99</v>
      </c>
      <c r="I38" s="124">
        <f t="shared" ref="I38:I41" si="1007">100.1/1.13</f>
      </c>
      <c r="J38" s="123">
        <v>3.95</v>
      </c>
      <c r="K38" s="126">
        <v>0.15</v>
      </c>
      <c r="L38" s="126">
        <v>0.16</v>
      </c>
      <c r="M38" s="126">
        <v>0.05</v>
      </c>
      <c r="N38" s="123">
        <f t="shared" ref="N38:N41" si="648">Q38/H38</f>
      </c>
      <c r="O38" s="127">
        <v>0.01</v>
      </c>
      <c r="P38" s="126">
        <v>0.02</v>
      </c>
      <c r="Q38" s="124">
        <v>3</v>
      </c>
      <c r="R38" s="123"/>
      <c r="S38" s="123"/>
      <c r="T38" s="123"/>
      <c r="U38" s="123"/>
      <c r="V38" s="124"/>
      <c r="W38" s="124"/>
      <c r="X38" s="123" t="s">
        <v>603</v>
      </c>
      <c r="Y38" s="128">
        <v>5.55136</v>
      </c>
      <c r="Z38" s="129">
        <v>8</v>
      </c>
      <c r="AA38" s="124">
        <f t="shared" ref="AA38:AA41" si="8">H38-SUM(K38:P38)*H38-J38-I38/B38-Z38/B38</f>
      </c>
      <c r="AB38" s="127">
        <f t="shared" ref="AB38:AB41" si="558">AA38/H38</f>
      </c>
      <c r="AC38" s="123"/>
      <c r="AD38" s="130">
        <f t="shared" ref="AD38:AD41" si="376">J38/H38</f>
      </c>
      <c r="AE38" s="123">
        <f>I38/7.4/H38</f>
      </c>
      <c r="AF38" s="123">
        <f>Z38/7.4/H38</f>
      </c>
      <c r="AG38" s="126">
        <v>0.15</v>
      </c>
      <c r="AH38" s="123">
        <f t="shared" ref="AH38:AH41" si="86">N38</f>
      </c>
      <c r="AI38" s="126">
        <v>0.02</v>
      </c>
      <c r="AJ38" s="123">
        <f t="shared" ref="AJ38:AJ41" si="934">M38</f>
      </c>
    </row>
    <row customHeight="true" ht="13.333333333333332" r="39">
      <c r="A39" s="133" t="s">
        <v>616</v>
      </c>
      <c r="B39" s="123">
        <v>8</v>
      </c>
      <c r="C39" s="123" t="s">
        <v>611</v>
      </c>
      <c r="D39" s="123" t="s">
        <v>612</v>
      </c>
      <c r="E39" s="123" t="s">
        <v>602</v>
      </c>
      <c r="F39" s="124">
        <f t="shared" si="480"/>
      </c>
      <c r="G39" s="124">
        <f t="shared" si="298"/>
      </c>
      <c r="H39" s="125">
        <f>H38*0.9</f>
      </c>
      <c r="I39" s="124">
        <f t="shared" si="1007"/>
      </c>
      <c r="J39" s="123">
        <v>3.95</v>
      </c>
      <c r="K39" s="126">
        <v>0.15</v>
      </c>
      <c r="L39" s="126">
        <v>0.16</v>
      </c>
      <c r="M39" s="126">
        <v>0.05</v>
      </c>
      <c r="N39" s="123">
        <f t="shared" si="648"/>
      </c>
      <c r="O39" s="127">
        <v>0.01</v>
      </c>
      <c r="P39" s="126">
        <v>0.02</v>
      </c>
      <c r="Q39" s="124">
        <v>3</v>
      </c>
      <c r="R39" s="123"/>
      <c r="S39" s="123"/>
      <c r="T39" s="123"/>
      <c r="U39" s="123"/>
      <c r="V39" s="124"/>
      <c r="W39" s="124"/>
      <c r="X39" s="123" t="s">
        <v>603</v>
      </c>
      <c r="Y39" s="128">
        <v>5.55136</v>
      </c>
      <c r="Z39" s="129">
        <v>8</v>
      </c>
      <c r="AA39" s="124">
        <f t="shared" si="8"/>
      </c>
      <c r="AB39" s="127">
        <f t="shared" si="558"/>
      </c>
      <c r="AC39" s="123"/>
      <c r="AD39" s="130">
        <f t="shared" si="376"/>
      </c>
      <c r="AE39" s="123">
        <f t="shared" ref="AE39:AE40" si="239">I39/B39/H39</f>
      </c>
      <c r="AF39" s="123">
        <f t="shared" ref="AF39:AF40" si="449">Z39/B39/H39</f>
      </c>
      <c r="AG39" s="123">
        <f t="shared" ref="AG39:AG40" si="262">K39</f>
      </c>
      <c r="AH39" s="123">
        <f t="shared" si="86"/>
      </c>
      <c r="AI39" s="126">
        <v>0.02</v>
      </c>
      <c r="AJ39" s="123">
        <f t="shared" si="934"/>
      </c>
    </row>
    <row customHeight="true" ht="13.333333333333332" r="40">
      <c r="A40" s="133" t="s">
        <v>617</v>
      </c>
      <c r="B40" s="123">
        <v>8</v>
      </c>
      <c r="C40" s="123" t="s">
        <v>611</v>
      </c>
      <c r="D40" s="123" t="s">
        <v>612</v>
      </c>
      <c r="E40" s="123" t="s">
        <v>602</v>
      </c>
      <c r="F40" s="124">
        <f t="shared" si="480"/>
      </c>
      <c r="G40" s="124">
        <f t="shared" si="298"/>
      </c>
      <c r="H40" s="134">
        <f>H38*0.85</f>
      </c>
      <c r="I40" s="124">
        <f t="shared" si="1007"/>
      </c>
      <c r="J40" s="123">
        <v>3.95</v>
      </c>
      <c r="K40" s="126">
        <v>0.15</v>
      </c>
      <c r="L40" s="126">
        <v>0.16</v>
      </c>
      <c r="M40" s="126">
        <v>0.05</v>
      </c>
      <c r="N40" s="123">
        <f t="shared" si="648"/>
      </c>
      <c r="O40" s="127">
        <v>0.01</v>
      </c>
      <c r="P40" s="126">
        <v>0.02</v>
      </c>
      <c r="Q40" s="124">
        <v>3</v>
      </c>
      <c r="R40" s="123"/>
      <c r="S40" s="123"/>
      <c r="T40" s="123"/>
      <c r="U40" s="123"/>
      <c r="V40" s="124"/>
      <c r="W40" s="124"/>
      <c r="X40" s="123" t="s">
        <v>603</v>
      </c>
      <c r="Y40" s="128">
        <v>5.55136</v>
      </c>
      <c r="Z40" s="129">
        <v>8</v>
      </c>
      <c r="AA40" s="124">
        <f t="shared" si="8"/>
      </c>
      <c r="AB40" s="127">
        <f t="shared" si="558"/>
      </c>
      <c r="AC40" s="123"/>
      <c r="AD40" s="130">
        <f t="shared" si="376"/>
      </c>
      <c r="AE40" s="123">
        <f t="shared" si="239"/>
      </c>
      <c r="AF40" s="123">
        <f t="shared" si="449"/>
      </c>
      <c r="AG40" s="123">
        <f t="shared" si="262"/>
      </c>
      <c r="AH40" s="123">
        <f t="shared" si="86"/>
      </c>
      <c r="AI40" s="126">
        <v>0.02</v>
      </c>
      <c r="AJ40" s="123">
        <f t="shared" si="934"/>
      </c>
    </row>
    <row customHeight="true" ht="13.333333333333332" r="41">
      <c r="A41" s="133" t="s">
        <v>618</v>
      </c>
      <c r="B41" s="123">
        <v>8</v>
      </c>
      <c r="C41" s="123" t="s">
        <v>611</v>
      </c>
      <c r="D41" s="123" t="s">
        <v>612</v>
      </c>
      <c r="E41" s="123" t="s">
        <v>602</v>
      </c>
      <c r="F41" s="124">
        <f t="shared" si="480"/>
      </c>
      <c r="G41" s="124">
        <f t="shared" si="298"/>
      </c>
      <c r="H41" s="125">
        <f>H38*0.8</f>
      </c>
      <c r="I41" s="124">
        <f t="shared" si="1007"/>
      </c>
      <c r="J41" s="123">
        <v>3.95</v>
      </c>
      <c r="K41" s="126">
        <v>0.15</v>
      </c>
      <c r="L41" s="126">
        <v>0.16</v>
      </c>
      <c r="M41" s="126">
        <v>0.05</v>
      </c>
      <c r="N41" s="123">
        <f t="shared" si="648"/>
      </c>
      <c r="O41" s="127">
        <v>0.01</v>
      </c>
      <c r="P41" s="126">
        <v>0.02</v>
      </c>
      <c r="Q41" s="124">
        <v>3</v>
      </c>
      <c r="R41" s="123"/>
      <c r="S41" s="123"/>
      <c r="T41" s="123"/>
      <c r="U41" s="123"/>
      <c r="V41" s="124"/>
      <c r="W41" s="124"/>
      <c r="X41" s="123" t="s">
        <v>603</v>
      </c>
      <c r="Y41" s="128">
        <v>5.55136</v>
      </c>
      <c r="Z41" s="129">
        <v>8</v>
      </c>
      <c r="AA41" s="124">
        <f t="shared" si="8"/>
      </c>
      <c r="AB41" s="127">
        <f t="shared" si="558"/>
      </c>
      <c r="AC41" s="123"/>
      <c r="AD41" s="130">
        <f t="shared" si="376"/>
      </c>
      <c r="AE41" s="123">
        <f>I41/7.4/H41</f>
      </c>
      <c r="AF41" s="123">
        <f>Z41/7.4/H41</f>
      </c>
      <c r="AG41" s="126">
        <v>0.15</v>
      </c>
      <c r="AH41" s="123">
        <f t="shared" si="86"/>
      </c>
      <c r="AI41" s="126">
        <v>0.02</v>
      </c>
      <c r="AJ41" s="123">
        <f t="shared" si="934"/>
      </c>
    </row>
    <row customHeight="true" ht="23.703703703703702" r="42">
      <c r="E42" s="123"/>
      <c r="F42" s="124"/>
      <c r="G42" s="124"/>
      <c r="H42" s="123"/>
      <c r="I42" s="124"/>
      <c r="J42" s="123"/>
      <c r="K42" s="126"/>
      <c r="L42" s="126"/>
      <c r="M42" s="126"/>
      <c r="N42" s="126"/>
      <c r="O42" s="127"/>
      <c r="P42" s="126"/>
      <c r="Q42" s="126"/>
      <c r="R42" s="123"/>
      <c r="S42" s="123"/>
      <c r="T42" s="123"/>
      <c r="U42" s="123"/>
      <c r="V42" s="124"/>
      <c r="W42" s="124"/>
      <c r="X42" s="123"/>
      <c r="Y42" s="128"/>
      <c r="Z42" s="124"/>
      <c r="AA42" s="124"/>
      <c r="AB42" s="127"/>
      <c r="AC42" s="123"/>
      <c r="AD42" s="130"/>
      <c r="AE42" s="126"/>
      <c r="AF42" s="126"/>
      <c r="AG42" s="126"/>
      <c r="AH42" s="126"/>
      <c r="AI42" s="126"/>
      <c r="AJ42" s="126"/>
    </row>
    <row customHeight="true" ht="13.333333333333332" r="43">
      <c r="A43" s="133" t="s">
        <v>615</v>
      </c>
      <c r="B43" s="123">
        <v>9</v>
      </c>
      <c r="C43" s="123" t="s">
        <v>611</v>
      </c>
      <c r="D43" s="123" t="s">
        <v>614</v>
      </c>
      <c r="E43" s="123" t="s">
        <v>602</v>
      </c>
      <c r="F43" s="124">
        <f t="shared" ref="F43:F45" si="481">IF(E43="有",(I43/B43+J43+Z43/B43)/(0.99999-K43-L43-M43-N43),(I43/B43+J43+Z43/B43)/(0.99999-K43-M43-N43))</f>
      </c>
      <c r="G43" s="124">
        <f t="shared" ref="G43:G45" si="299">IF(E43="有",(I43/B43+J43+Z43/B43)/(0.8-K43-L43-M43-N43-O43-P43),(I43/B43+J43+Z43/B43)/(0.8-K43-M43-N43-O43-P43))</f>
      </c>
      <c r="H43" s="125">
        <v>39.99</v>
      </c>
      <c r="I43" s="124">
        <f t="shared" ref="I43:I45" si="1008">100.1/1.13</f>
      </c>
      <c r="J43" s="123">
        <v>3.04</v>
      </c>
      <c r="K43" s="126">
        <v>0.15</v>
      </c>
      <c r="L43" s="126">
        <v>0.16</v>
      </c>
      <c r="M43" s="126">
        <v>0.05</v>
      </c>
      <c r="N43" s="123">
        <f t="shared" ref="N43:N45" si="649">Q43/H43</f>
      </c>
      <c r="O43" s="127">
        <v>0.01</v>
      </c>
      <c r="P43" s="126">
        <v>0.02</v>
      </c>
      <c r="Q43" s="124">
        <v>3</v>
      </c>
      <c r="R43" s="123"/>
      <c r="S43" s="123"/>
      <c r="T43" s="123"/>
      <c r="U43" s="123"/>
      <c r="V43" s="124"/>
      <c r="W43" s="124"/>
      <c r="X43" s="123" t="s">
        <v>603</v>
      </c>
      <c r="Y43" s="128">
        <v>5.55136</v>
      </c>
      <c r="Z43" s="129">
        <v>12</v>
      </c>
      <c r="AA43" s="124">
        <f t="shared" ref="AA43:AA45" si="9">H43-SUM(K43:P43)*H43-J43-I43/B43-Z43/B43</f>
      </c>
      <c r="AB43" s="127">
        <f t="shared" ref="AB43:AB45" si="559">AA43/H43</f>
      </c>
      <c r="AC43" s="123"/>
      <c r="AD43" s="130">
        <f t="shared" ref="AD43:AD45" si="377">J43/H43</f>
      </c>
      <c r="AE43" s="123">
        <f>I43/7.4/H43</f>
      </c>
      <c r="AF43" s="123">
        <f>Z43/7.4/H43</f>
      </c>
      <c r="AG43" s="126">
        <v>0.15</v>
      </c>
      <c r="AH43" s="123">
        <f t="shared" ref="AH43:AH45" si="87">N43</f>
      </c>
      <c r="AI43" s="126">
        <v>0.02</v>
      </c>
      <c r="AJ43" s="123">
        <f t="shared" ref="AJ43:AJ45" si="935">M43</f>
      </c>
    </row>
    <row customHeight="true" ht="13.333333333333332" r="44">
      <c r="A44" s="133" t="s">
        <v>616</v>
      </c>
      <c r="B44" s="123">
        <v>9</v>
      </c>
      <c r="C44" s="123" t="s">
        <v>611</v>
      </c>
      <c r="D44" s="123" t="s">
        <v>614</v>
      </c>
      <c r="E44" s="123" t="s">
        <v>602</v>
      </c>
      <c r="F44" s="124">
        <f t="shared" si="481"/>
      </c>
      <c r="G44" s="124">
        <f t="shared" si="299"/>
      </c>
      <c r="H44" s="125">
        <f>H43*0.9</f>
      </c>
      <c r="I44" s="124">
        <f t="shared" si="1008"/>
      </c>
      <c r="J44" s="123">
        <v>3.04</v>
      </c>
      <c r="K44" s="126">
        <v>0.15</v>
      </c>
      <c r="L44" s="126">
        <v>0.16</v>
      </c>
      <c r="M44" s="126">
        <v>0.05</v>
      </c>
      <c r="N44" s="123">
        <f t="shared" si="649"/>
      </c>
      <c r="O44" s="127">
        <v>0.01</v>
      </c>
      <c r="P44" s="126">
        <v>0.02</v>
      </c>
      <c r="Q44" s="124">
        <v>3</v>
      </c>
      <c r="R44" s="123"/>
      <c r="S44" s="123"/>
      <c r="T44" s="123"/>
      <c r="U44" s="123"/>
      <c r="V44" s="124"/>
      <c r="W44" s="124"/>
      <c r="X44" s="123" t="s">
        <v>603</v>
      </c>
      <c r="Y44" s="128">
        <v>5.55136</v>
      </c>
      <c r="Z44" s="129">
        <v>12</v>
      </c>
      <c r="AA44" s="124">
        <f t="shared" si="9"/>
      </c>
      <c r="AB44" s="127">
        <f t="shared" si="559"/>
      </c>
      <c r="AC44" s="123"/>
      <c r="AD44" s="130">
        <f t="shared" si="377"/>
      </c>
      <c r="AE44" s="123">
        <f t="shared" ref="AE44:AE45" si="240">I44/B44/H44</f>
      </c>
      <c r="AF44" s="123">
        <f t="shared" ref="AF44:AF45" si="450">Z44/B44/H44</f>
      </c>
      <c r="AG44" s="123">
        <f t="shared" ref="AG44:AG45" si="263">K44</f>
      </c>
      <c r="AH44" s="123">
        <f t="shared" si="87"/>
      </c>
      <c r="AI44" s="126">
        <v>0.02</v>
      </c>
      <c r="AJ44" s="123">
        <f t="shared" si="935"/>
      </c>
    </row>
    <row customHeight="true" ht="13.333333333333332" r="45">
      <c r="A45" s="133" t="s">
        <v>617</v>
      </c>
      <c r="B45" s="123">
        <v>9</v>
      </c>
      <c r="C45" s="123" t="s">
        <v>611</v>
      </c>
      <c r="D45" s="123" t="s">
        <v>614</v>
      </c>
      <c r="E45" s="123" t="s">
        <v>602</v>
      </c>
      <c r="F45" s="124">
        <f t="shared" si="481"/>
      </c>
      <c r="G45" s="124">
        <f t="shared" si="299"/>
      </c>
      <c r="H45" s="134">
        <f>H43*0.85</f>
      </c>
      <c r="I45" s="124">
        <f t="shared" si="1008"/>
      </c>
      <c r="J45" s="123">
        <v>3.04</v>
      </c>
      <c r="K45" s="126">
        <v>0.15</v>
      </c>
      <c r="L45" s="126">
        <v>0.16</v>
      </c>
      <c r="M45" s="126">
        <v>0.05</v>
      </c>
      <c r="N45" s="123">
        <f t="shared" si="649"/>
      </c>
      <c r="O45" s="127">
        <v>0.01</v>
      </c>
      <c r="P45" s="126">
        <v>0.02</v>
      </c>
      <c r="Q45" s="124">
        <v>3</v>
      </c>
      <c r="R45" s="123"/>
      <c r="S45" s="123"/>
      <c r="T45" s="123"/>
      <c r="U45" s="123"/>
      <c r="V45" s="124"/>
      <c r="W45" s="124"/>
      <c r="X45" s="123" t="s">
        <v>603</v>
      </c>
      <c r="Y45" s="128">
        <v>5.55136</v>
      </c>
      <c r="Z45" s="129">
        <v>12</v>
      </c>
      <c r="AA45" s="124">
        <f t="shared" si="9"/>
      </c>
      <c r="AB45" s="127">
        <f t="shared" si="559"/>
      </c>
      <c r="AC45" s="123"/>
      <c r="AD45" s="130">
        <f t="shared" si="377"/>
      </c>
      <c r="AE45" s="123">
        <f t="shared" si="240"/>
      </c>
      <c r="AF45" s="123">
        <f t="shared" si="450"/>
      </c>
      <c r="AG45" s="123">
        <f t="shared" si="263"/>
      </c>
      <c r="AH45" s="123">
        <f t="shared" si="87"/>
      </c>
      <c r="AI45" s="126">
        <v>0.02</v>
      </c>
      <c r="AJ45" s="123">
        <f t="shared" si="935"/>
      </c>
    </row>
    <row customHeight="true" ht="23.703703703703702" r="46">
      <c r="E46" s="123"/>
      <c r="F46" s="124"/>
      <c r="G46" s="124"/>
      <c r="H46" s="123"/>
      <c r="I46" s="124"/>
      <c r="J46" s="123"/>
      <c r="K46" s="126"/>
      <c r="L46" s="126"/>
      <c r="M46" s="126"/>
      <c r="N46" s="126"/>
      <c r="O46" s="127"/>
      <c r="P46" s="126"/>
      <c r="Q46" s="126"/>
      <c r="R46" s="123"/>
      <c r="S46" s="123"/>
      <c r="T46" s="123"/>
      <c r="U46" s="123"/>
      <c r="V46" s="124"/>
      <c r="W46" s="124"/>
      <c r="X46" s="123"/>
      <c r="Y46" s="128"/>
      <c r="Z46" s="124"/>
      <c r="AA46" s="124"/>
      <c r="AB46" s="127"/>
      <c r="AC46" s="123"/>
      <c r="AD46" s="130"/>
      <c r="AE46" s="126"/>
      <c r="AF46" s="126"/>
      <c r="AG46" s="126"/>
      <c r="AH46" s="126"/>
      <c r="AI46" s="126"/>
      <c r="AJ46" s="126"/>
    </row>
    <row customHeight="true" ht="13.333333333333332" r="47">
      <c r="A47" s="122" t="s">
        <v>619</v>
      </c>
      <c r="B47" s="123">
        <v>8</v>
      </c>
      <c r="C47" s="123" t="s">
        <v>600</v>
      </c>
      <c r="D47" s="123" t="s">
        <v>601</v>
      </c>
      <c r="E47" s="123" t="s">
        <v>602</v>
      </c>
      <c r="F47" s="124">
        <f t="shared" ref="F47:F50" si="482">IF(E47="有",(I47/B47+J47+Z47/B47)/(0.99999-K47-L47-M47-N47),(I47/B47+J47+Z47/B47)/(0.99999-K47-M47-N47))</f>
      </c>
      <c r="G47" s="124">
        <f t="shared" ref="G47:G50" si="300">IF(E47="有",(I47/B47+J47+Z47/B47)/(0.8-K47-L47-M47-N47-O47-P47),(I47/B47+J47+Z47/B47)/(0.8-K47-M47-N47-O47-P47))</f>
      </c>
      <c r="H47" s="125">
        <v>14.99</v>
      </c>
      <c r="I47" s="124">
        <f t="shared" ref="I47:I50" si="467">29.4/1.13</f>
      </c>
      <c r="J47" s="123">
        <v>2.07</v>
      </c>
      <c r="K47" s="126">
        <v>0.15</v>
      </c>
      <c r="L47" s="126">
        <v>0.16</v>
      </c>
      <c r="M47" s="126">
        <v>0.05</v>
      </c>
      <c r="N47" s="123">
        <f t="shared" ref="N47:N50" si="650">Q47/H47</f>
      </c>
      <c r="O47" s="127">
        <v>0.01</v>
      </c>
      <c r="P47" s="126">
        <v>0.02</v>
      </c>
      <c r="Q47" s="124">
        <v>2.5</v>
      </c>
      <c r="R47" s="123"/>
      <c r="S47" s="123"/>
      <c r="T47" s="123"/>
      <c r="U47" s="123"/>
      <c r="V47" s="124"/>
      <c r="W47" s="124"/>
      <c r="X47" s="123" t="s">
        <v>603</v>
      </c>
      <c r="Y47" s="128">
        <v>5.55136</v>
      </c>
      <c r="Z47" s="129">
        <v>4</v>
      </c>
      <c r="AA47" s="124">
        <f t="shared" ref="AA47:AA50" si="10">H47-SUM(K47:P47)*H47-J47-I47/B47-Z47/B47</f>
      </c>
      <c r="AB47" s="127">
        <f t="shared" ref="AB47:AB50" si="560">AA47/H47</f>
      </c>
      <c r="AC47" s="123"/>
      <c r="AD47" s="130">
        <f t="shared" ref="AD47:AD50" si="378">J47/H47</f>
      </c>
      <c r="AE47" s="123">
        <f>I47/7.4/H47</f>
      </c>
      <c r="AF47" s="123">
        <f>Z47/7.4/H47</f>
      </c>
      <c r="AG47" s="126">
        <v>0.15</v>
      </c>
      <c r="AH47" s="123">
        <f t="shared" ref="AH47:AH50" si="88">N47</f>
      </c>
      <c r="AI47" s="126">
        <v>0.02</v>
      </c>
      <c r="AJ47" s="123">
        <f t="shared" ref="AJ47:AJ50" si="936">M47</f>
      </c>
    </row>
    <row customHeight="true" ht="13.333333333333332" r="48">
      <c r="A48" s="122" t="s">
        <v>620</v>
      </c>
      <c r="B48" s="123">
        <v>8</v>
      </c>
      <c r="C48" s="123" t="s">
        <v>600</v>
      </c>
      <c r="D48" s="123" t="s">
        <v>601</v>
      </c>
      <c r="E48" s="123" t="s">
        <v>602</v>
      </c>
      <c r="F48" s="124">
        <f t="shared" si="482"/>
      </c>
      <c r="G48" s="124">
        <f t="shared" si="300"/>
      </c>
      <c r="H48" s="125">
        <f>H47*0.9</f>
      </c>
      <c r="I48" s="124">
        <f t="shared" si="467"/>
      </c>
      <c r="J48" s="123">
        <v>2.07</v>
      </c>
      <c r="K48" s="126">
        <v>0.15</v>
      </c>
      <c r="L48" s="126">
        <v>0.16</v>
      </c>
      <c r="M48" s="126">
        <v>0.05</v>
      </c>
      <c r="N48" s="123">
        <f t="shared" si="650"/>
      </c>
      <c r="O48" s="127">
        <v>0.01</v>
      </c>
      <c r="P48" s="126">
        <v>0.02</v>
      </c>
      <c r="Q48" s="124">
        <v>2.5</v>
      </c>
      <c r="R48" s="123"/>
      <c r="S48" s="123"/>
      <c r="T48" s="123"/>
      <c r="U48" s="123"/>
      <c r="V48" s="124"/>
      <c r="W48" s="124"/>
      <c r="X48" s="123" t="s">
        <v>603</v>
      </c>
      <c r="Y48" s="128">
        <v>5.55136</v>
      </c>
      <c r="Z48" s="129">
        <v>4</v>
      </c>
      <c r="AA48" s="124">
        <f t="shared" si="10"/>
      </c>
      <c r="AB48" s="127">
        <f t="shared" si="560"/>
      </c>
      <c r="AC48" s="123"/>
      <c r="AD48" s="130">
        <f t="shared" si="378"/>
      </c>
      <c r="AE48" s="123">
        <f t="shared" ref="AE48:AE49" si="241">I48/B48/H48</f>
      </c>
      <c r="AF48" s="123">
        <f t="shared" ref="AF48:AF49" si="451">Z48/B48/H48</f>
      </c>
      <c r="AG48" s="123">
        <f t="shared" ref="AG48:AG49" si="264">K48</f>
      </c>
      <c r="AH48" s="123">
        <f t="shared" si="88"/>
      </c>
      <c r="AI48" s="126">
        <v>0.02</v>
      </c>
      <c r="AJ48" s="123">
        <f t="shared" si="936"/>
      </c>
    </row>
    <row customHeight="true" ht="13.333333333333332" r="49">
      <c r="A49" s="122" t="s">
        <v>621</v>
      </c>
      <c r="B49" s="123">
        <v>8</v>
      </c>
      <c r="C49" s="123" t="s">
        <v>600</v>
      </c>
      <c r="D49" s="123" t="s">
        <v>601</v>
      </c>
      <c r="E49" s="123" t="s">
        <v>602</v>
      </c>
      <c r="F49" s="124">
        <f t="shared" si="482"/>
      </c>
      <c r="G49" s="124">
        <f t="shared" si="300"/>
      </c>
      <c r="H49" s="134">
        <f>H47*0.85</f>
      </c>
      <c r="I49" s="124">
        <f t="shared" si="467"/>
      </c>
      <c r="J49" s="123">
        <v>2.07</v>
      </c>
      <c r="K49" s="126">
        <v>0.15</v>
      </c>
      <c r="L49" s="126">
        <v>0.16</v>
      </c>
      <c r="M49" s="126">
        <v>0.05</v>
      </c>
      <c r="N49" s="123">
        <f t="shared" si="650"/>
      </c>
      <c r="O49" s="127">
        <v>0.01</v>
      </c>
      <c r="P49" s="126">
        <v>0.02</v>
      </c>
      <c r="Q49" s="124">
        <v>2.5</v>
      </c>
      <c r="R49" s="123"/>
      <c r="S49" s="123"/>
      <c r="T49" s="123"/>
      <c r="U49" s="123"/>
      <c r="V49" s="124"/>
      <c r="W49" s="124"/>
      <c r="X49" s="123" t="s">
        <v>603</v>
      </c>
      <c r="Y49" s="128">
        <v>5.55136</v>
      </c>
      <c r="Z49" s="129">
        <v>4</v>
      </c>
      <c r="AA49" s="124">
        <f t="shared" si="10"/>
      </c>
      <c r="AB49" s="127">
        <f t="shared" si="560"/>
      </c>
      <c r="AC49" s="123"/>
      <c r="AD49" s="130">
        <f t="shared" si="378"/>
      </c>
      <c r="AE49" s="123">
        <f t="shared" si="241"/>
      </c>
      <c r="AF49" s="123">
        <f t="shared" si="451"/>
      </c>
      <c r="AG49" s="123">
        <f t="shared" si="264"/>
      </c>
      <c r="AH49" s="123">
        <f t="shared" si="88"/>
      </c>
      <c r="AI49" s="126">
        <v>0.02</v>
      </c>
      <c r="AJ49" s="123">
        <f t="shared" si="936"/>
      </c>
    </row>
    <row customHeight="true" ht="13.333333333333332" r="50">
      <c r="A50" s="122" t="s">
        <v>622</v>
      </c>
      <c r="B50" s="123">
        <v>8</v>
      </c>
      <c r="C50" s="123" t="s">
        <v>600</v>
      </c>
      <c r="D50" s="123" t="s">
        <v>601</v>
      </c>
      <c r="E50" s="123" t="s">
        <v>602</v>
      </c>
      <c r="F50" s="124">
        <f t="shared" si="482"/>
      </c>
      <c r="G50" s="124">
        <f t="shared" si="300"/>
      </c>
      <c r="H50" s="125">
        <f>H47*0.8</f>
      </c>
      <c r="I50" s="124">
        <f t="shared" si="467"/>
      </c>
      <c r="J50" s="123">
        <v>2.07</v>
      </c>
      <c r="K50" s="126">
        <v>0.15</v>
      </c>
      <c r="L50" s="126">
        <v>0.16</v>
      </c>
      <c r="M50" s="126">
        <v>0.05</v>
      </c>
      <c r="N50" s="123">
        <f t="shared" si="650"/>
      </c>
      <c r="O50" s="127">
        <v>0.01</v>
      </c>
      <c r="P50" s="126">
        <v>0.02</v>
      </c>
      <c r="Q50" s="124">
        <v>2.5</v>
      </c>
      <c r="R50" s="123"/>
      <c r="S50" s="123"/>
      <c r="T50" s="123"/>
      <c r="U50" s="123"/>
      <c r="V50" s="124"/>
      <c r="W50" s="124"/>
      <c r="X50" s="123" t="s">
        <v>603</v>
      </c>
      <c r="Y50" s="128">
        <v>5.55136</v>
      </c>
      <c r="Z50" s="129">
        <v>4</v>
      </c>
      <c r="AA50" s="124">
        <f t="shared" si="10"/>
      </c>
      <c r="AB50" s="127">
        <f t="shared" si="560"/>
      </c>
      <c r="AC50" s="123"/>
      <c r="AD50" s="130">
        <f t="shared" si="378"/>
      </c>
      <c r="AE50" s="123">
        <f>I50/7.4/H50</f>
      </c>
      <c r="AF50" s="123">
        <f>Z50/7.4/H50</f>
      </c>
      <c r="AG50" s="126">
        <v>0.15</v>
      </c>
      <c r="AH50" s="123">
        <f t="shared" si="88"/>
      </c>
      <c r="AI50" s="126">
        <v>0.02</v>
      </c>
      <c r="AJ50" s="123">
        <f t="shared" si="936"/>
      </c>
    </row>
    <row customHeight="true" ht="23.703703703703702" r="51">
      <c r="A51" s="132"/>
      <c r="B51" s="132"/>
      <c r="C51" s="132"/>
      <c r="D51" s="132"/>
      <c r="E51" s="123"/>
      <c r="F51" s="124"/>
      <c r="G51" s="124"/>
      <c r="H51" s="123"/>
      <c r="I51" s="124"/>
      <c r="J51" s="123"/>
      <c r="K51" s="126"/>
      <c r="L51" s="126"/>
      <c r="M51" s="126"/>
      <c r="N51" s="126"/>
      <c r="O51" s="127"/>
      <c r="P51" s="126"/>
      <c r="Q51" s="127"/>
      <c r="R51" s="123"/>
      <c r="S51" s="123"/>
      <c r="T51" s="123"/>
      <c r="U51" s="123"/>
      <c r="V51" s="124"/>
      <c r="W51" s="124"/>
      <c r="X51" s="123"/>
      <c r="Y51" s="128"/>
      <c r="Z51" s="124"/>
      <c r="AA51" s="124"/>
      <c r="AB51" s="127"/>
      <c r="AC51" s="123"/>
      <c r="AD51" s="130"/>
      <c r="AE51" s="126"/>
      <c r="AF51" s="126"/>
      <c r="AG51" s="126"/>
      <c r="AH51" s="126"/>
      <c r="AI51" s="126"/>
      <c r="AJ51" s="126"/>
    </row>
    <row customHeight="true" ht="13.333333333333332" r="52">
      <c r="A52" s="122" t="s">
        <v>619</v>
      </c>
      <c r="B52" s="123">
        <v>8</v>
      </c>
      <c r="C52" s="123" t="s">
        <v>606</v>
      </c>
      <c r="D52" s="123" t="s">
        <v>607</v>
      </c>
      <c r="E52" s="123" t="s">
        <v>602</v>
      </c>
      <c r="F52" s="124">
        <f t="shared" ref="F52:F55" si="483">IF(E52="有",(I52/B52+J52+Z52/B52)/(0.99999-K52-L52-M52-N52),(I52/B52+J52+Z52/B52)/(0.99999-K52-M52-N52))</f>
      </c>
      <c r="G52" s="124">
        <f t="shared" ref="G52:G55" si="301">IF(E52="有",(I52/B52+J52+Z52/B52)/(0.8-K52-L52-M52-N52-O52-P52),(I52/B52+J52+Z52/B52)/(0.8-K52-M52-N52-O52-P52))</f>
      </c>
      <c r="H52" s="125">
        <v>19.99</v>
      </c>
      <c r="I52" s="124">
        <f t="shared" ref="I52:I55" si="468">29.4/1.13</f>
      </c>
      <c r="J52" s="123">
        <v>2.75</v>
      </c>
      <c r="K52" s="126">
        <v>0.15</v>
      </c>
      <c r="L52" s="126">
        <v>0.16</v>
      </c>
      <c r="M52" s="126">
        <v>0.05</v>
      </c>
      <c r="N52" s="123">
        <f t="shared" ref="N52:N55" si="651">Q52/H52</f>
      </c>
      <c r="O52" s="127">
        <v>0.01</v>
      </c>
      <c r="P52" s="126">
        <v>0.02</v>
      </c>
      <c r="Q52" s="124">
        <v>2.5</v>
      </c>
      <c r="R52" s="123"/>
      <c r="S52" s="123"/>
      <c r="T52" s="123"/>
      <c r="U52" s="123"/>
      <c r="V52" s="124"/>
      <c r="W52" s="124"/>
      <c r="X52" s="123" t="s">
        <v>603</v>
      </c>
      <c r="Y52" s="128">
        <v>5.55136</v>
      </c>
      <c r="Z52" s="129">
        <v>4</v>
      </c>
      <c r="AA52" s="124">
        <f t="shared" ref="AA52:AA55" si="11">H52-SUM(K52:P52)*H52-J52-I52/B52-Z52/B52</f>
      </c>
      <c r="AB52" s="127">
        <f t="shared" ref="AB52:AB55" si="561">AA52/H52</f>
      </c>
      <c r="AC52" s="123"/>
      <c r="AD52" s="130">
        <f t="shared" ref="AD52:AD55" si="379">J52/H52</f>
      </c>
      <c r="AE52" s="123">
        <f>I52/7.4/H52</f>
      </c>
      <c r="AF52" s="123">
        <f>Z52/7.4/H52</f>
      </c>
      <c r="AG52" s="126">
        <v>0.15</v>
      </c>
      <c r="AH52" s="123">
        <f t="shared" ref="AH52:AH55" si="89">N52</f>
      </c>
      <c r="AI52" s="126">
        <v>0.02</v>
      </c>
      <c r="AJ52" s="123">
        <f t="shared" ref="AJ52:AJ55" si="937">M52</f>
      </c>
    </row>
    <row customHeight="true" ht="13.333333333333332" r="53">
      <c r="A53" s="122" t="s">
        <v>620</v>
      </c>
      <c r="B53" s="123">
        <v>8</v>
      </c>
      <c r="C53" s="123" t="s">
        <v>606</v>
      </c>
      <c r="D53" s="123" t="s">
        <v>607</v>
      </c>
      <c r="E53" s="123" t="s">
        <v>602</v>
      </c>
      <c r="F53" s="124">
        <f t="shared" si="483"/>
      </c>
      <c r="G53" s="124">
        <f t="shared" si="301"/>
      </c>
      <c r="H53" s="125">
        <f>H52*0.9</f>
      </c>
      <c r="I53" s="124">
        <f t="shared" si="468"/>
      </c>
      <c r="J53" s="123">
        <v>2.75</v>
      </c>
      <c r="K53" s="126">
        <v>0.15</v>
      </c>
      <c r="L53" s="126">
        <v>0.16</v>
      </c>
      <c r="M53" s="126">
        <v>0.05</v>
      </c>
      <c r="N53" s="123">
        <f t="shared" si="651"/>
      </c>
      <c r="O53" s="127">
        <v>0.01</v>
      </c>
      <c r="P53" s="126">
        <v>0.02</v>
      </c>
      <c r="Q53" s="124">
        <v>2.5</v>
      </c>
      <c r="R53" s="123"/>
      <c r="S53" s="123"/>
      <c r="T53" s="123"/>
      <c r="U53" s="123"/>
      <c r="V53" s="124"/>
      <c r="W53" s="124"/>
      <c r="X53" s="123" t="s">
        <v>603</v>
      </c>
      <c r="Y53" s="128">
        <v>5.55136</v>
      </c>
      <c r="Z53" s="129">
        <v>4</v>
      </c>
      <c r="AA53" s="124">
        <f t="shared" si="11"/>
      </c>
      <c r="AB53" s="127">
        <f t="shared" si="561"/>
      </c>
      <c r="AC53" s="123"/>
      <c r="AD53" s="130">
        <f t="shared" si="379"/>
      </c>
      <c r="AE53" s="123">
        <f t="shared" ref="AE53:AE54" si="242">I53/B53/H53</f>
      </c>
      <c r="AF53" s="123">
        <f t="shared" ref="AF53:AF54" si="452">Z53/B53/H53</f>
      </c>
      <c r="AG53" s="123">
        <f t="shared" ref="AG53:AG54" si="265">K53</f>
      </c>
      <c r="AH53" s="123">
        <f t="shared" si="89"/>
      </c>
      <c r="AI53" s="126">
        <v>0.02</v>
      </c>
      <c r="AJ53" s="123">
        <f t="shared" si="937"/>
      </c>
    </row>
    <row customHeight="true" ht="13.333333333333332" r="54">
      <c r="A54" s="122" t="s">
        <v>621</v>
      </c>
      <c r="B54" s="123">
        <v>8</v>
      </c>
      <c r="C54" s="123" t="s">
        <v>606</v>
      </c>
      <c r="D54" s="123" t="s">
        <v>607</v>
      </c>
      <c r="E54" s="123" t="s">
        <v>602</v>
      </c>
      <c r="F54" s="124">
        <f t="shared" si="483"/>
      </c>
      <c r="G54" s="124">
        <f t="shared" si="301"/>
      </c>
      <c r="H54" s="134">
        <f>H52*0.85</f>
      </c>
      <c r="I54" s="124">
        <f t="shared" si="468"/>
      </c>
      <c r="J54" s="123">
        <v>2.75</v>
      </c>
      <c r="K54" s="126">
        <v>0.15</v>
      </c>
      <c r="L54" s="126">
        <v>0.16</v>
      </c>
      <c r="M54" s="126">
        <v>0.05</v>
      </c>
      <c r="N54" s="123">
        <f t="shared" si="651"/>
      </c>
      <c r="O54" s="127">
        <v>0.01</v>
      </c>
      <c r="P54" s="126">
        <v>0.02</v>
      </c>
      <c r="Q54" s="124">
        <v>2.5</v>
      </c>
      <c r="R54" s="123"/>
      <c r="S54" s="123"/>
      <c r="T54" s="123"/>
      <c r="U54" s="123"/>
      <c r="V54" s="124"/>
      <c r="W54" s="124"/>
      <c r="X54" s="123" t="s">
        <v>603</v>
      </c>
      <c r="Y54" s="128">
        <v>5.55136</v>
      </c>
      <c r="Z54" s="129">
        <v>4</v>
      </c>
      <c r="AA54" s="124">
        <f t="shared" si="11"/>
      </c>
      <c r="AB54" s="127">
        <f t="shared" si="561"/>
      </c>
      <c r="AC54" s="123"/>
      <c r="AD54" s="130">
        <f t="shared" si="379"/>
      </c>
      <c r="AE54" s="123">
        <f t="shared" si="242"/>
      </c>
      <c r="AF54" s="123">
        <f t="shared" si="452"/>
      </c>
      <c r="AG54" s="123">
        <f t="shared" si="265"/>
      </c>
      <c r="AH54" s="123">
        <f t="shared" si="89"/>
      </c>
      <c r="AI54" s="126">
        <v>0.02</v>
      </c>
      <c r="AJ54" s="123">
        <f t="shared" si="937"/>
      </c>
    </row>
    <row customHeight="true" ht="13.333333333333332" r="55">
      <c r="A55" s="122" t="s">
        <v>622</v>
      </c>
      <c r="B55" s="123">
        <v>8</v>
      </c>
      <c r="C55" s="123" t="s">
        <v>606</v>
      </c>
      <c r="D55" s="123" t="s">
        <v>607</v>
      </c>
      <c r="E55" s="123" t="s">
        <v>602</v>
      </c>
      <c r="F55" s="124">
        <f t="shared" si="483"/>
      </c>
      <c r="G55" s="124">
        <f t="shared" si="301"/>
      </c>
      <c r="H55" s="125">
        <f>H52*0.8</f>
      </c>
      <c r="I55" s="124">
        <f t="shared" si="468"/>
      </c>
      <c r="J55" s="123">
        <v>2.75</v>
      </c>
      <c r="K55" s="126">
        <v>0.15</v>
      </c>
      <c r="L55" s="126">
        <v>0.16</v>
      </c>
      <c r="M55" s="126">
        <v>0.05</v>
      </c>
      <c r="N55" s="123">
        <f t="shared" si="651"/>
      </c>
      <c r="O55" s="127">
        <v>0.01</v>
      </c>
      <c r="P55" s="126">
        <v>0.02</v>
      </c>
      <c r="Q55" s="124">
        <v>2.5</v>
      </c>
      <c r="R55" s="123"/>
      <c r="S55" s="123"/>
      <c r="T55" s="123"/>
      <c r="U55" s="123"/>
      <c r="V55" s="124"/>
      <c r="W55" s="124"/>
      <c r="X55" s="123" t="s">
        <v>603</v>
      </c>
      <c r="Y55" s="128">
        <v>5.55136</v>
      </c>
      <c r="Z55" s="129">
        <v>4</v>
      </c>
      <c r="AA55" s="124">
        <f t="shared" si="11"/>
      </c>
      <c r="AB55" s="127">
        <f t="shared" si="561"/>
      </c>
      <c r="AC55" s="123"/>
      <c r="AD55" s="130">
        <f t="shared" si="379"/>
      </c>
      <c r="AE55" s="123">
        <f>I55/7.4/H55</f>
      </c>
      <c r="AF55" s="123">
        <f>Z55/7.4/H55</f>
      </c>
      <c r="AG55" s="126">
        <v>0.15</v>
      </c>
      <c r="AH55" s="123">
        <f t="shared" si="89"/>
      </c>
      <c r="AI55" s="126">
        <v>0.02</v>
      </c>
      <c r="AJ55" s="123">
        <f t="shared" si="937"/>
      </c>
    </row>
    <row customHeight="true" ht="23.703703703703702" r="56">
      <c r="A56" s="132"/>
      <c r="B56" s="132"/>
      <c r="C56" s="132"/>
      <c r="D56" s="132"/>
      <c r="E56" s="123"/>
      <c r="F56" s="124"/>
      <c r="G56" s="124"/>
      <c r="H56" s="123"/>
      <c r="I56" s="124"/>
      <c r="J56" s="123"/>
      <c r="K56" s="126"/>
      <c r="L56" s="126"/>
      <c r="M56" s="126"/>
      <c r="N56" s="126"/>
      <c r="O56" s="127"/>
      <c r="P56" s="126"/>
      <c r="Q56" s="127"/>
      <c r="R56" s="123"/>
      <c r="S56" s="123"/>
      <c r="T56" s="123"/>
      <c r="U56" s="123"/>
      <c r="V56" s="124"/>
      <c r="W56" s="124"/>
      <c r="X56" s="123"/>
      <c r="Y56" s="128"/>
      <c r="Z56" s="124"/>
      <c r="AA56" s="124"/>
      <c r="AB56" s="127"/>
      <c r="AC56" s="123"/>
      <c r="AD56" s="130"/>
      <c r="AE56" s="126"/>
      <c r="AF56" s="126"/>
      <c r="AG56" s="126"/>
      <c r="AH56" s="126"/>
      <c r="AI56" s="126"/>
      <c r="AJ56" s="126"/>
    </row>
    <row customHeight="true" ht="13.333333333333332" r="57">
      <c r="A57" s="122" t="s">
        <v>619</v>
      </c>
      <c r="B57" s="123">
        <v>8</v>
      </c>
      <c r="C57" s="123" t="s">
        <v>608</v>
      </c>
      <c r="D57" s="123" t="s">
        <v>609</v>
      </c>
      <c r="E57" s="123" t="s">
        <v>602</v>
      </c>
      <c r="F57" s="124">
        <f t="shared" ref="F57:F60" si="484">IF(E57="有",(I57/B57+J57+Z57/B57)/(0.99999-K57-L57-M57-N57),(I57/B57+J57+Z57/B57)/(0.99999-K57-M57-N57))</f>
      </c>
      <c r="G57" s="124">
        <f t="shared" ref="G57:G60" si="302">IF(E57="有",(I57/B57+J57+Z57/B57)/(0.8-K57-L57-M57-N57-O57-P57),(I57/B57+J57+Z57/B57)/(0.8-K57-M57-N57-O57-P57))</f>
      </c>
      <c r="H57" s="125">
        <v>19.99</v>
      </c>
      <c r="I57" s="124">
        <f t="shared" ref="I57:I60" si="469">29.4/1.13</f>
      </c>
      <c r="J57" s="123">
        <v>3.23</v>
      </c>
      <c r="K57" s="126">
        <v>0.15</v>
      </c>
      <c r="L57" s="126">
        <v>0.16</v>
      </c>
      <c r="M57" s="126">
        <v>0.05</v>
      </c>
      <c r="N57" s="123">
        <f t="shared" ref="N57:N60" si="652">Q57/H57</f>
      </c>
      <c r="O57" s="127">
        <v>0.01</v>
      </c>
      <c r="P57" s="126">
        <v>0.02</v>
      </c>
      <c r="Q57" s="124">
        <v>2.5</v>
      </c>
      <c r="R57" s="123"/>
      <c r="S57" s="123"/>
      <c r="T57" s="123"/>
      <c r="U57" s="123"/>
      <c r="V57" s="124"/>
      <c r="W57" s="124"/>
      <c r="X57" s="123" t="s">
        <v>603</v>
      </c>
      <c r="Y57" s="128">
        <v>5.55136</v>
      </c>
      <c r="Z57" s="129">
        <v>4</v>
      </c>
      <c r="AA57" s="124">
        <f t="shared" ref="AA57:AA60" si="12">H57-SUM(K57:P57)*H57-J57-I57/B57-Z57/B57</f>
      </c>
      <c r="AB57" s="127">
        <f t="shared" ref="AB57:AB60" si="562">AA57/H57</f>
      </c>
      <c r="AC57" s="123"/>
      <c r="AD57" s="130">
        <f t="shared" ref="AD57:AD60" si="380">J57/H57</f>
      </c>
      <c r="AE57" s="123">
        <f>I57/7.4/H57</f>
      </c>
      <c r="AF57" s="123">
        <f>Z57/7.4/H57</f>
      </c>
      <c r="AG57" s="126">
        <v>0.15</v>
      </c>
      <c r="AH57" s="123">
        <f t="shared" ref="AH57:AH60" si="90">N57</f>
      </c>
      <c r="AI57" s="126">
        <v>0.02</v>
      </c>
      <c r="AJ57" s="123">
        <f t="shared" ref="AJ57:AJ60" si="938">M57</f>
      </c>
    </row>
    <row customHeight="true" ht="13.333333333333332" r="58">
      <c r="A58" s="122" t="s">
        <v>620</v>
      </c>
      <c r="B58" s="123">
        <v>8</v>
      </c>
      <c r="C58" s="123" t="s">
        <v>608</v>
      </c>
      <c r="D58" s="123" t="s">
        <v>609</v>
      </c>
      <c r="E58" s="123" t="s">
        <v>602</v>
      </c>
      <c r="F58" s="124">
        <f t="shared" si="484"/>
      </c>
      <c r="G58" s="124">
        <f t="shared" si="302"/>
      </c>
      <c r="H58" s="125">
        <f>H57*0.9</f>
      </c>
      <c r="I58" s="124">
        <f t="shared" si="469"/>
      </c>
      <c r="J58" s="123">
        <v>3.23</v>
      </c>
      <c r="K58" s="126">
        <v>0.15</v>
      </c>
      <c r="L58" s="126">
        <v>0.16</v>
      </c>
      <c r="M58" s="126">
        <v>0.05</v>
      </c>
      <c r="N58" s="123">
        <f t="shared" si="652"/>
      </c>
      <c r="O58" s="127">
        <v>0.01</v>
      </c>
      <c r="P58" s="126">
        <v>0.02</v>
      </c>
      <c r="Q58" s="124">
        <v>2.5</v>
      </c>
      <c r="R58" s="123"/>
      <c r="S58" s="123"/>
      <c r="T58" s="123"/>
      <c r="U58" s="123"/>
      <c r="V58" s="124"/>
      <c r="W58" s="124"/>
      <c r="X58" s="123" t="s">
        <v>603</v>
      </c>
      <c r="Y58" s="128">
        <v>5.55136</v>
      </c>
      <c r="Z58" s="129">
        <v>4</v>
      </c>
      <c r="AA58" s="124">
        <f t="shared" si="12"/>
      </c>
      <c r="AB58" s="127">
        <f t="shared" si="562"/>
      </c>
      <c r="AC58" s="123"/>
      <c r="AD58" s="130">
        <f t="shared" si="380"/>
      </c>
      <c r="AE58" s="123">
        <f t="shared" ref="AE58:AE59" si="243">I58/B58/H58</f>
      </c>
      <c r="AF58" s="123">
        <f t="shared" ref="AF58:AF59" si="453">Z58/B58/H58</f>
      </c>
      <c r="AG58" s="123">
        <f t="shared" ref="AG58:AG59" si="266">K58</f>
      </c>
      <c r="AH58" s="123">
        <f t="shared" si="90"/>
      </c>
      <c r="AI58" s="126">
        <v>0.02</v>
      </c>
      <c r="AJ58" s="123">
        <f t="shared" si="938"/>
      </c>
    </row>
    <row customHeight="true" ht="13.333333333333332" r="59">
      <c r="A59" s="122" t="s">
        <v>621</v>
      </c>
      <c r="B59" s="123">
        <v>8</v>
      </c>
      <c r="C59" s="123" t="s">
        <v>608</v>
      </c>
      <c r="D59" s="123" t="s">
        <v>609</v>
      </c>
      <c r="E59" s="123" t="s">
        <v>602</v>
      </c>
      <c r="F59" s="124">
        <f t="shared" si="484"/>
      </c>
      <c r="G59" s="124">
        <f t="shared" si="302"/>
      </c>
      <c r="H59" s="134">
        <f>H57*0.85</f>
      </c>
      <c r="I59" s="124">
        <f t="shared" si="469"/>
      </c>
      <c r="J59" s="123">
        <v>3.23</v>
      </c>
      <c r="K59" s="126">
        <v>0.15</v>
      </c>
      <c r="L59" s="126">
        <v>0.16</v>
      </c>
      <c r="M59" s="126">
        <v>0.05</v>
      </c>
      <c r="N59" s="123">
        <f t="shared" si="652"/>
      </c>
      <c r="O59" s="127">
        <v>0.01</v>
      </c>
      <c r="P59" s="126">
        <v>0.02</v>
      </c>
      <c r="Q59" s="124">
        <v>2.5</v>
      </c>
      <c r="R59" s="123"/>
      <c r="S59" s="123"/>
      <c r="T59" s="123"/>
      <c r="U59" s="123"/>
      <c r="V59" s="124"/>
      <c r="W59" s="124"/>
      <c r="X59" s="123" t="s">
        <v>603</v>
      </c>
      <c r="Y59" s="128">
        <v>5.55136</v>
      </c>
      <c r="Z59" s="129">
        <v>4</v>
      </c>
      <c r="AA59" s="124">
        <f t="shared" si="12"/>
      </c>
      <c r="AB59" s="127">
        <f t="shared" si="562"/>
      </c>
      <c r="AC59" s="123"/>
      <c r="AD59" s="130">
        <f t="shared" si="380"/>
      </c>
      <c r="AE59" s="123">
        <f t="shared" si="243"/>
      </c>
      <c r="AF59" s="123">
        <f t="shared" si="453"/>
      </c>
      <c r="AG59" s="123">
        <f t="shared" si="266"/>
      </c>
      <c r="AH59" s="123">
        <f t="shared" si="90"/>
      </c>
      <c r="AI59" s="126">
        <v>0.02</v>
      </c>
      <c r="AJ59" s="123">
        <f t="shared" si="938"/>
      </c>
    </row>
    <row customHeight="true" ht="13.333333333333332" r="60">
      <c r="A60" s="122" t="s">
        <v>622</v>
      </c>
      <c r="B60" s="123">
        <v>8</v>
      </c>
      <c r="C60" s="123" t="s">
        <v>608</v>
      </c>
      <c r="D60" s="123" t="s">
        <v>609</v>
      </c>
      <c r="E60" s="123" t="s">
        <v>602</v>
      </c>
      <c r="F60" s="124">
        <f t="shared" si="484"/>
      </c>
      <c r="G60" s="124">
        <f t="shared" si="302"/>
      </c>
      <c r="H60" s="125">
        <f>H57*0.8</f>
      </c>
      <c r="I60" s="124">
        <f t="shared" si="469"/>
      </c>
      <c r="J60" s="123">
        <v>3.23</v>
      </c>
      <c r="K60" s="126">
        <v>0.15</v>
      </c>
      <c r="L60" s="126">
        <v>0.16</v>
      </c>
      <c r="M60" s="126">
        <v>0.05</v>
      </c>
      <c r="N60" s="123">
        <f t="shared" si="652"/>
      </c>
      <c r="O60" s="127">
        <v>0.01</v>
      </c>
      <c r="P60" s="126">
        <v>0.02</v>
      </c>
      <c r="Q60" s="124">
        <v>2.5</v>
      </c>
      <c r="R60" s="123"/>
      <c r="S60" s="123"/>
      <c r="T60" s="123"/>
      <c r="U60" s="123"/>
      <c r="V60" s="124"/>
      <c r="W60" s="124"/>
      <c r="X60" s="123" t="s">
        <v>603</v>
      </c>
      <c r="Y60" s="128">
        <v>5.55136</v>
      </c>
      <c r="Z60" s="129">
        <v>4</v>
      </c>
      <c r="AA60" s="124">
        <f t="shared" si="12"/>
      </c>
      <c r="AB60" s="127">
        <f t="shared" si="562"/>
      </c>
      <c r="AC60" s="123"/>
      <c r="AD60" s="130">
        <f t="shared" si="380"/>
      </c>
      <c r="AE60" s="123">
        <f>I60/7.4/H60</f>
      </c>
      <c r="AF60" s="123">
        <f>Z60/7.4/H60</f>
      </c>
      <c r="AG60" s="126">
        <v>0.15</v>
      </c>
      <c r="AH60" s="123">
        <f t="shared" si="90"/>
      </c>
      <c r="AI60" s="126">
        <v>0.02</v>
      </c>
      <c r="AJ60" s="123">
        <f t="shared" si="938"/>
      </c>
    </row>
    <row customHeight="true" ht="23.703703703703702" r="61">
      <c r="A61" s="132"/>
      <c r="B61" s="132"/>
      <c r="C61" s="132"/>
      <c r="D61" s="132"/>
      <c r="E61" s="123"/>
      <c r="F61" s="124"/>
      <c r="G61" s="124"/>
      <c r="H61" s="123"/>
      <c r="I61" s="124"/>
      <c r="J61" s="123"/>
      <c r="K61" s="126"/>
      <c r="L61" s="126"/>
      <c r="M61" s="126"/>
      <c r="N61" s="126"/>
      <c r="O61" s="127"/>
      <c r="P61" s="126"/>
      <c r="Q61" s="127"/>
      <c r="R61" s="123"/>
      <c r="S61" s="123"/>
      <c r="T61" s="123"/>
      <c r="U61" s="123"/>
      <c r="V61" s="124"/>
      <c r="W61" s="124"/>
      <c r="X61" s="123"/>
      <c r="Y61" s="128"/>
      <c r="Z61" s="124"/>
      <c r="AA61" s="124"/>
      <c r="AB61" s="127"/>
      <c r="AC61" s="123"/>
      <c r="AD61" s="130"/>
      <c r="AE61" s="126"/>
      <c r="AF61" s="126"/>
      <c r="AG61" s="126"/>
      <c r="AH61" s="126"/>
      <c r="AI61" s="126"/>
      <c r="AJ61" s="126"/>
    </row>
    <row customHeight="true" ht="13.333333333333332" r="62">
      <c r="A62" s="122" t="s">
        <v>619</v>
      </c>
      <c r="B62" s="123">
        <v>8</v>
      </c>
      <c r="C62" s="123" t="s">
        <v>611</v>
      </c>
      <c r="D62" s="123" t="s">
        <v>612</v>
      </c>
      <c r="E62" s="123" t="s">
        <v>602</v>
      </c>
      <c r="F62" s="124">
        <f t="shared" ref="F62:F65" si="485">IF(E62="有",(I62/B62+J62+Z62/B62)/(0.99999-K62-L62-M62-N62),(I62/B62+J62+Z62/B62)/(0.99999-K62-M62-N62))</f>
      </c>
      <c r="G62" s="124">
        <f t="shared" ref="G62:G65" si="303">IF(E62="有",(I62/B62+J62+Z62/B62)/(0.8-K62-L62-M62-N62-O62-P62),(I62/B62+J62+Z62/B62)/(0.8-K62-M62-N62-O62-P62))</f>
      </c>
      <c r="H62" s="125">
        <v>19.99</v>
      </c>
      <c r="I62" s="124">
        <f t="shared" ref="I62:I65" si="470">29.4/1.13</f>
      </c>
      <c r="J62" s="123">
        <v>2.77</v>
      </c>
      <c r="K62" s="126">
        <v>0.15</v>
      </c>
      <c r="L62" s="126">
        <v>0.16</v>
      </c>
      <c r="M62" s="126">
        <v>0.05</v>
      </c>
      <c r="N62" s="123">
        <f t="shared" ref="N62:N65" si="653">Q62/H62</f>
      </c>
      <c r="O62" s="127">
        <v>0.01</v>
      </c>
      <c r="P62" s="126">
        <v>0.02</v>
      </c>
      <c r="Q62" s="124">
        <v>2.5</v>
      </c>
      <c r="R62" s="123"/>
      <c r="S62" s="123"/>
      <c r="T62" s="123"/>
      <c r="U62" s="123"/>
      <c r="V62" s="124"/>
      <c r="W62" s="124"/>
      <c r="X62" s="123" t="s">
        <v>603</v>
      </c>
      <c r="Y62" s="128">
        <v>5.55136</v>
      </c>
      <c r="Z62" s="129">
        <v>4</v>
      </c>
      <c r="AA62" s="124">
        <f t="shared" ref="AA62:AA65" si="13">H62-SUM(K62:P62)*H62-J62-I62/B62-Z62/B62</f>
      </c>
      <c r="AB62" s="127">
        <f t="shared" ref="AB62:AB65" si="563">AA62/H62</f>
      </c>
      <c r="AC62" s="123"/>
      <c r="AD62" s="130">
        <f t="shared" ref="AD62:AD65" si="381">J62/H62</f>
      </c>
      <c r="AE62" s="123">
        <f>I62/7.4/H62</f>
      </c>
      <c r="AF62" s="123">
        <f>Z62/7.4/H62</f>
      </c>
      <c r="AG62" s="126">
        <v>0.15</v>
      </c>
      <c r="AH62" s="123">
        <f t="shared" ref="AH62:AH65" si="91">N62</f>
      </c>
      <c r="AI62" s="126">
        <v>0.02</v>
      </c>
      <c r="AJ62" s="123">
        <f t="shared" ref="AJ62:AJ65" si="939">M62</f>
      </c>
    </row>
    <row customHeight="true" ht="13.333333333333332" r="63">
      <c r="A63" s="122" t="s">
        <v>620</v>
      </c>
      <c r="B63" s="123">
        <v>8</v>
      </c>
      <c r="C63" s="123" t="s">
        <v>611</v>
      </c>
      <c r="D63" s="123" t="s">
        <v>612</v>
      </c>
      <c r="E63" s="123" t="s">
        <v>602</v>
      </c>
      <c r="F63" s="124">
        <f t="shared" si="485"/>
      </c>
      <c r="G63" s="124">
        <f t="shared" si="303"/>
      </c>
      <c r="H63" s="125">
        <f>H62*0.9</f>
      </c>
      <c r="I63" s="124">
        <f t="shared" si="470"/>
      </c>
      <c r="J63" s="123">
        <v>2.77</v>
      </c>
      <c r="K63" s="126">
        <v>0.15</v>
      </c>
      <c r="L63" s="126">
        <v>0.16</v>
      </c>
      <c r="M63" s="126">
        <v>0.05</v>
      </c>
      <c r="N63" s="123">
        <f t="shared" si="653"/>
      </c>
      <c r="O63" s="127">
        <v>0.01</v>
      </c>
      <c r="P63" s="126">
        <v>0.02</v>
      </c>
      <c r="Q63" s="124">
        <v>2.5</v>
      </c>
      <c r="R63" s="123"/>
      <c r="S63" s="123"/>
      <c r="T63" s="123"/>
      <c r="U63" s="123"/>
      <c r="V63" s="124"/>
      <c r="W63" s="124"/>
      <c r="X63" s="123" t="s">
        <v>603</v>
      </c>
      <c r="Y63" s="128">
        <v>5.55136</v>
      </c>
      <c r="Z63" s="129">
        <v>4</v>
      </c>
      <c r="AA63" s="124">
        <f t="shared" si="13"/>
      </c>
      <c r="AB63" s="127">
        <f t="shared" si="563"/>
      </c>
      <c r="AC63" s="123"/>
      <c r="AD63" s="130">
        <f t="shared" si="381"/>
      </c>
      <c r="AE63" s="123">
        <f t="shared" ref="AE63:AE64" si="244">I63/B63/H63</f>
      </c>
      <c r="AF63" s="123">
        <f t="shared" ref="AF63:AF64" si="454">Z63/B63/H63</f>
      </c>
      <c r="AG63" s="123">
        <f t="shared" ref="AG63:AG64" si="267">K63</f>
      </c>
      <c r="AH63" s="123">
        <f t="shared" si="91"/>
      </c>
      <c r="AI63" s="126">
        <v>0.02</v>
      </c>
      <c r="AJ63" s="123">
        <f t="shared" si="939"/>
      </c>
    </row>
    <row customHeight="true" ht="13.333333333333332" r="64">
      <c r="A64" s="122" t="s">
        <v>621</v>
      </c>
      <c r="B64" s="123">
        <v>8</v>
      </c>
      <c r="C64" s="123" t="s">
        <v>611</v>
      </c>
      <c r="D64" s="123" t="s">
        <v>612</v>
      </c>
      <c r="E64" s="123" t="s">
        <v>602</v>
      </c>
      <c r="F64" s="124">
        <f t="shared" si="485"/>
      </c>
      <c r="G64" s="124">
        <f t="shared" si="303"/>
      </c>
      <c r="H64" s="134">
        <f>H62*0.85</f>
      </c>
      <c r="I64" s="124">
        <f t="shared" si="470"/>
      </c>
      <c r="J64" s="123">
        <v>2.77</v>
      </c>
      <c r="K64" s="126">
        <v>0.15</v>
      </c>
      <c r="L64" s="126">
        <v>0.16</v>
      </c>
      <c r="M64" s="126">
        <v>0.05</v>
      </c>
      <c r="N64" s="123">
        <f t="shared" si="653"/>
      </c>
      <c r="O64" s="127">
        <v>0.01</v>
      </c>
      <c r="P64" s="126">
        <v>0.02</v>
      </c>
      <c r="Q64" s="124">
        <v>2.5</v>
      </c>
      <c r="R64" s="123"/>
      <c r="S64" s="123"/>
      <c r="T64" s="123"/>
      <c r="U64" s="123"/>
      <c r="V64" s="124"/>
      <c r="W64" s="124"/>
      <c r="X64" s="123" t="s">
        <v>603</v>
      </c>
      <c r="Y64" s="128">
        <v>5.55136</v>
      </c>
      <c r="Z64" s="129">
        <v>4</v>
      </c>
      <c r="AA64" s="124">
        <f t="shared" si="13"/>
      </c>
      <c r="AB64" s="127">
        <f t="shared" si="563"/>
      </c>
      <c r="AC64" s="123"/>
      <c r="AD64" s="130">
        <f t="shared" si="381"/>
      </c>
      <c r="AE64" s="123">
        <f t="shared" si="244"/>
      </c>
      <c r="AF64" s="123">
        <f t="shared" si="454"/>
      </c>
      <c r="AG64" s="123">
        <f t="shared" si="267"/>
      </c>
      <c r="AH64" s="123">
        <f t="shared" si="91"/>
      </c>
      <c r="AI64" s="126">
        <v>0.02</v>
      </c>
      <c r="AJ64" s="123">
        <f t="shared" si="939"/>
      </c>
    </row>
    <row customHeight="true" ht="13.333333333333332" r="65">
      <c r="A65" s="122" t="s">
        <v>622</v>
      </c>
      <c r="B65" s="123">
        <v>8</v>
      </c>
      <c r="C65" s="123" t="s">
        <v>611</v>
      </c>
      <c r="D65" s="123" t="s">
        <v>612</v>
      </c>
      <c r="E65" s="123" t="s">
        <v>602</v>
      </c>
      <c r="F65" s="124">
        <f t="shared" si="485"/>
      </c>
      <c r="G65" s="124">
        <f t="shared" si="303"/>
      </c>
      <c r="H65" s="125">
        <f>H62*0.8</f>
      </c>
      <c r="I65" s="124">
        <f t="shared" si="470"/>
      </c>
      <c r="J65" s="123">
        <v>2.77</v>
      </c>
      <c r="K65" s="126">
        <v>0.15</v>
      </c>
      <c r="L65" s="126">
        <v>0.16</v>
      </c>
      <c r="M65" s="126">
        <v>0.05</v>
      </c>
      <c r="N65" s="123">
        <f t="shared" si="653"/>
      </c>
      <c r="O65" s="127">
        <v>0.01</v>
      </c>
      <c r="P65" s="126">
        <v>0.02</v>
      </c>
      <c r="Q65" s="124">
        <v>2.5</v>
      </c>
      <c r="R65" s="123"/>
      <c r="S65" s="123"/>
      <c r="T65" s="123"/>
      <c r="U65" s="123"/>
      <c r="V65" s="124"/>
      <c r="W65" s="124"/>
      <c r="X65" s="123" t="s">
        <v>603</v>
      </c>
      <c r="Y65" s="128">
        <v>5.55136</v>
      </c>
      <c r="Z65" s="129">
        <v>4</v>
      </c>
      <c r="AA65" s="124">
        <f t="shared" si="13"/>
      </c>
      <c r="AB65" s="127">
        <f t="shared" si="563"/>
      </c>
      <c r="AC65" s="123"/>
      <c r="AD65" s="130">
        <f t="shared" si="381"/>
      </c>
      <c r="AE65" s="123">
        <f>I65/7.4/H65</f>
      </c>
      <c r="AF65" s="123">
        <f>Z65/7.4/H65</f>
      </c>
      <c r="AG65" s="126">
        <v>0.15</v>
      </c>
      <c r="AH65" s="123">
        <f t="shared" si="91"/>
      </c>
      <c r="AI65" s="126">
        <v>0.02</v>
      </c>
      <c r="AJ65" s="123">
        <f t="shared" si="939"/>
      </c>
    </row>
    <row customHeight="true" ht="13.333333333333332" r="66">
      <c r="A66" s="132"/>
      <c r="B66" s="123"/>
      <c r="C66" s="123"/>
      <c r="D66" s="123"/>
      <c r="E66" s="123"/>
      <c r="F66" s="124"/>
      <c r="G66" s="124"/>
      <c r="H66" s="131"/>
      <c r="I66" s="124"/>
      <c r="J66" s="123"/>
      <c r="K66" s="126"/>
      <c r="L66" s="126"/>
      <c r="M66" s="126"/>
      <c r="N66" s="126"/>
      <c r="O66" s="127"/>
      <c r="P66" s="126"/>
      <c r="Q66" s="124"/>
      <c r="R66" s="123"/>
      <c r="S66" s="123"/>
      <c r="T66" s="123"/>
      <c r="U66" s="123"/>
      <c r="V66" s="124"/>
      <c r="W66" s="124"/>
      <c r="X66" s="123"/>
      <c r="Y66" s="128"/>
      <c r="Z66" s="124"/>
      <c r="AA66" s="124"/>
      <c r="AB66" s="127"/>
      <c r="AC66" s="123"/>
      <c r="AD66" s="130"/>
      <c r="AE66" s="126"/>
      <c r="AF66" s="126"/>
      <c r="AG66" s="126"/>
      <c r="AH66" s="126"/>
      <c r="AI66" s="126"/>
      <c r="AJ66" s="126"/>
    </row>
    <row customHeight="true" ht="13.333333333333332" r="67">
      <c r="A67" s="133" t="s">
        <v>623</v>
      </c>
      <c r="B67" s="123">
        <v>8</v>
      </c>
      <c r="C67" s="123" t="s">
        <v>600</v>
      </c>
      <c r="D67" s="123" t="s">
        <v>601</v>
      </c>
      <c r="E67" s="123" t="s">
        <v>602</v>
      </c>
      <c r="F67" s="124">
        <f t="shared" ref="F67:F70" si="486">IF(E67="有",(I67/B67+J67+Z67/B67)/(0.99999-K67-L67-M67-N67),(I67/B67+J67+Z67/B67)/(0.99999-K67-M67-N67))</f>
      </c>
      <c r="G67" s="124">
        <f t="shared" ref="G67:G70" si="304">IF(E67="有",(I67/B67+J67+Z67/B67)/(0.8-K67-L67-M67-N67-O67-P67),(I67/B67+J67+Z67/B67)/(0.8-K67-M67-N67-O67-P67))</f>
      </c>
      <c r="H67" s="125">
        <v>39.99</v>
      </c>
      <c r="I67" s="124">
        <f t="shared" ref="I67:I70" si="280">80.4/1.13</f>
      </c>
      <c r="J67" s="123">
        <v>4.03</v>
      </c>
      <c r="K67" s="126">
        <v>0.15</v>
      </c>
      <c r="L67" s="126">
        <v>0.16</v>
      </c>
      <c r="M67" s="126">
        <v>0.05</v>
      </c>
      <c r="N67" s="123">
        <f t="shared" ref="N67:N70" si="654">Q67/H67</f>
      </c>
      <c r="O67" s="127">
        <v>0.01</v>
      </c>
      <c r="P67" s="126">
        <v>0.02</v>
      </c>
      <c r="Q67" s="124">
        <v>4</v>
      </c>
      <c r="R67" s="123"/>
      <c r="S67" s="123"/>
      <c r="T67" s="123"/>
      <c r="U67" s="123"/>
      <c r="V67" s="124"/>
      <c r="W67" s="124"/>
      <c r="X67" s="123" t="s">
        <v>603</v>
      </c>
      <c r="Y67" s="128">
        <v>5.55136</v>
      </c>
      <c r="Z67" s="129">
        <v>8</v>
      </c>
      <c r="AA67" s="124">
        <f t="shared" ref="AA67:AA70" si="14">H67-SUM(K67:P67)*H67-J67-I67/B67-Z67/B67</f>
      </c>
      <c r="AB67" s="127">
        <f t="shared" ref="AB67:AB70" si="564">AA67/H67</f>
      </c>
      <c r="AC67" s="123"/>
      <c r="AD67" s="130">
        <f t="shared" ref="AD67:AD70" si="382">J67/H67</f>
      </c>
      <c r="AE67" s="123">
        <f>I67/7.4/H67</f>
      </c>
      <c r="AF67" s="123">
        <f>Z67/7.4/H67</f>
      </c>
      <c r="AG67" s="126">
        <v>0.15</v>
      </c>
      <c r="AH67" s="123">
        <f t="shared" ref="AH67:AH70" si="92">N67</f>
      </c>
      <c r="AI67" s="126">
        <v>0.02</v>
      </c>
      <c r="AJ67" s="123">
        <f t="shared" ref="AJ67:AJ70" si="940">M67</f>
      </c>
    </row>
    <row customHeight="true" ht="13.333333333333332" r="68">
      <c r="A68" s="133" t="s">
        <v>624</v>
      </c>
      <c r="B68" s="123">
        <v>8</v>
      </c>
      <c r="C68" s="123" t="s">
        <v>600</v>
      </c>
      <c r="D68" s="123" t="s">
        <v>601</v>
      </c>
      <c r="E68" s="123" t="s">
        <v>602</v>
      </c>
      <c r="F68" s="124">
        <f t="shared" si="486"/>
      </c>
      <c r="G68" s="124">
        <f t="shared" si="304"/>
      </c>
      <c r="H68" s="125">
        <f>H67*0.9</f>
      </c>
      <c r="I68" s="124">
        <f t="shared" si="280"/>
      </c>
      <c r="J68" s="123">
        <v>4.03</v>
      </c>
      <c r="K68" s="126">
        <v>0.15</v>
      </c>
      <c r="L68" s="126">
        <v>0.16</v>
      </c>
      <c r="M68" s="126">
        <v>0.05</v>
      </c>
      <c r="N68" s="123">
        <f t="shared" si="654"/>
      </c>
      <c r="O68" s="127">
        <v>0.01</v>
      </c>
      <c r="P68" s="126">
        <v>0.02</v>
      </c>
      <c r="Q68" s="124">
        <v>4</v>
      </c>
      <c r="R68" s="123"/>
      <c r="S68" s="123"/>
      <c r="T68" s="123"/>
      <c r="U68" s="123"/>
      <c r="V68" s="124"/>
      <c r="W68" s="124"/>
      <c r="X68" s="123" t="s">
        <v>603</v>
      </c>
      <c r="Y68" s="128">
        <v>5.55136</v>
      </c>
      <c r="Z68" s="129">
        <v>8</v>
      </c>
      <c r="AA68" s="124">
        <f t="shared" si="14"/>
      </c>
      <c r="AB68" s="127">
        <f t="shared" si="564"/>
      </c>
      <c r="AC68" s="123"/>
      <c r="AD68" s="130">
        <f t="shared" si="382"/>
      </c>
      <c r="AE68" s="123">
        <f t="shared" ref="AE68:AE69" si="245">I68/B68/H68</f>
      </c>
      <c r="AF68" s="123">
        <f t="shared" ref="AF68:AF69" si="455">Z68/B68/H68</f>
      </c>
      <c r="AG68" s="123">
        <f t="shared" ref="AG68:AG69" si="268">K68</f>
      </c>
      <c r="AH68" s="123">
        <f t="shared" si="92"/>
      </c>
      <c r="AI68" s="126">
        <v>0.02</v>
      </c>
      <c r="AJ68" s="123">
        <f t="shared" si="940"/>
      </c>
    </row>
    <row customHeight="true" ht="13.333333333333332" r="69">
      <c r="A69" s="133" t="s">
        <v>625</v>
      </c>
      <c r="B69" s="123">
        <v>8</v>
      </c>
      <c r="C69" s="123" t="s">
        <v>600</v>
      </c>
      <c r="D69" s="123" t="s">
        <v>601</v>
      </c>
      <c r="E69" s="123" t="s">
        <v>602</v>
      </c>
      <c r="F69" s="124">
        <f t="shared" si="486"/>
      </c>
      <c r="G69" s="124">
        <f t="shared" si="304"/>
      </c>
      <c r="H69" s="134">
        <f>H67*0.85</f>
      </c>
      <c r="I69" s="124">
        <f t="shared" si="280"/>
      </c>
      <c r="J69" s="123">
        <v>4.03</v>
      </c>
      <c r="K69" s="126">
        <v>0.15</v>
      </c>
      <c r="L69" s="126">
        <v>0.16</v>
      </c>
      <c r="M69" s="126">
        <v>0.05</v>
      </c>
      <c r="N69" s="123">
        <f t="shared" si="654"/>
      </c>
      <c r="O69" s="127">
        <v>0.01</v>
      </c>
      <c r="P69" s="126">
        <v>0.02</v>
      </c>
      <c r="Q69" s="124">
        <v>4</v>
      </c>
      <c r="R69" s="123"/>
      <c r="S69" s="123"/>
      <c r="T69" s="123"/>
      <c r="U69" s="123"/>
      <c r="V69" s="124"/>
      <c r="W69" s="124"/>
      <c r="X69" s="123" t="s">
        <v>603</v>
      </c>
      <c r="Y69" s="128">
        <v>5.55136</v>
      </c>
      <c r="Z69" s="129">
        <v>8</v>
      </c>
      <c r="AA69" s="124">
        <f t="shared" si="14"/>
      </c>
      <c r="AB69" s="127">
        <f t="shared" si="564"/>
      </c>
      <c r="AC69" s="123"/>
      <c r="AD69" s="130">
        <f t="shared" si="382"/>
      </c>
      <c r="AE69" s="123">
        <f t="shared" si="245"/>
      </c>
      <c r="AF69" s="123">
        <f t="shared" si="455"/>
      </c>
      <c r="AG69" s="123">
        <f t="shared" si="268"/>
      </c>
      <c r="AH69" s="123">
        <f t="shared" si="92"/>
      </c>
      <c r="AI69" s="126">
        <v>0.02</v>
      </c>
      <c r="AJ69" s="123">
        <f t="shared" si="940"/>
      </c>
    </row>
    <row customHeight="true" ht="13.333333333333332" r="70">
      <c r="A70" s="133" t="s">
        <v>626</v>
      </c>
      <c r="B70" s="123">
        <v>8</v>
      </c>
      <c r="C70" s="123" t="s">
        <v>600</v>
      </c>
      <c r="D70" s="123" t="s">
        <v>601</v>
      </c>
      <c r="E70" s="123" t="s">
        <v>602</v>
      </c>
      <c r="F70" s="124">
        <f t="shared" si="486"/>
      </c>
      <c r="G70" s="124">
        <f t="shared" si="304"/>
      </c>
      <c r="H70" s="125">
        <f>H67*0.8</f>
      </c>
      <c r="I70" s="124">
        <f t="shared" si="280"/>
      </c>
      <c r="J70" s="123">
        <v>4.03</v>
      </c>
      <c r="K70" s="126">
        <v>0.15</v>
      </c>
      <c r="L70" s="126">
        <v>0.16</v>
      </c>
      <c r="M70" s="126">
        <v>0.05</v>
      </c>
      <c r="N70" s="123">
        <f t="shared" si="654"/>
      </c>
      <c r="O70" s="127">
        <v>0.01</v>
      </c>
      <c r="P70" s="126">
        <v>0.02</v>
      </c>
      <c r="Q70" s="124">
        <v>4</v>
      </c>
      <c r="R70" s="123"/>
      <c r="S70" s="123"/>
      <c r="T70" s="123"/>
      <c r="U70" s="123"/>
      <c r="V70" s="124"/>
      <c r="W70" s="124"/>
      <c r="X70" s="123" t="s">
        <v>603</v>
      </c>
      <c r="Y70" s="128">
        <v>5.55136</v>
      </c>
      <c r="Z70" s="129">
        <v>8</v>
      </c>
      <c r="AA70" s="124">
        <f t="shared" si="14"/>
      </c>
      <c r="AB70" s="127">
        <f t="shared" si="564"/>
      </c>
      <c r="AC70" s="123"/>
      <c r="AD70" s="130">
        <f t="shared" si="382"/>
      </c>
      <c r="AE70" s="123">
        <f>I70/7.4/H70</f>
      </c>
      <c r="AF70" s="123">
        <f>Z70/7.4/H70</f>
      </c>
      <c r="AG70" s="126">
        <v>0.15</v>
      </c>
      <c r="AH70" s="123">
        <f t="shared" si="92"/>
      </c>
      <c r="AI70" s="126">
        <v>0.02</v>
      </c>
      <c r="AJ70" s="123">
        <f t="shared" si="940"/>
      </c>
    </row>
    <row customHeight="true" ht="23.703703703703702" r="71">
      <c r="A71" s="132"/>
      <c r="B71" s="132"/>
      <c r="C71" s="132"/>
      <c r="D71" s="132"/>
      <c r="E71" s="123"/>
      <c r="F71" s="124"/>
      <c r="G71" s="124"/>
      <c r="H71" s="123"/>
      <c r="I71" s="124"/>
      <c r="J71" s="123"/>
      <c r="K71" s="126"/>
      <c r="L71" s="126"/>
      <c r="M71" s="126"/>
      <c r="N71" s="126"/>
      <c r="O71" s="127"/>
      <c r="P71" s="126"/>
      <c r="Q71" s="126"/>
      <c r="R71" s="123"/>
      <c r="S71" s="123"/>
      <c r="T71" s="123"/>
      <c r="U71" s="123"/>
      <c r="V71" s="124"/>
      <c r="W71" s="124"/>
      <c r="X71" s="123"/>
      <c r="Y71" s="128"/>
      <c r="Z71" s="124"/>
      <c r="AA71" s="124"/>
      <c r="AB71" s="127"/>
      <c r="AC71" s="123"/>
      <c r="AD71" s="130"/>
      <c r="AE71" s="126"/>
      <c r="AF71" s="126"/>
      <c r="AG71" s="126"/>
      <c r="AH71" s="126"/>
      <c r="AI71" s="126"/>
      <c r="AJ71" s="126"/>
    </row>
    <row customHeight="true" ht="13.333333333333332" r="72">
      <c r="A72" s="133" t="s">
        <v>623</v>
      </c>
      <c r="B72" s="123">
        <v>8</v>
      </c>
      <c r="C72" s="123" t="s">
        <v>606</v>
      </c>
      <c r="D72" s="123" t="s">
        <v>607</v>
      </c>
      <c r="E72" s="123" t="s">
        <v>602</v>
      </c>
      <c r="F72" s="124">
        <f t="shared" ref="F72:F75" si="487">IF(E72="有",(I72/B72+J72+Z72/B72)/(0.99999-K72-L72-M72-N72),(I72/B72+J72+Z72/B72)/(0.99999-K72-M72-N72))</f>
      </c>
      <c r="G72" s="124">
        <f t="shared" ref="G72:G75" si="305">IF(E72="有",(I72/B72+J72+Z72/B72)/(0.8-K72-L72-M72-N72-O72-P72),(I72/B72+J72+Z72/B72)/(0.8-K72-M72-N72-O72-P72))</f>
      </c>
      <c r="H72" s="125">
        <v>39.99</v>
      </c>
      <c r="I72" s="124">
        <f t="shared" ref="I72:I75" si="281">80.4/1.13</f>
      </c>
      <c r="J72" s="123">
        <v>5.87</v>
      </c>
      <c r="K72" s="126">
        <v>0.15</v>
      </c>
      <c r="L72" s="126">
        <v>0.16</v>
      </c>
      <c r="M72" s="126">
        <v>0.05</v>
      </c>
      <c r="N72" s="123">
        <f t="shared" ref="N72:N75" si="655">Q72/H72</f>
      </c>
      <c r="O72" s="127">
        <v>0.01</v>
      </c>
      <c r="P72" s="126">
        <v>0.02</v>
      </c>
      <c r="Q72" s="124">
        <v>4</v>
      </c>
      <c r="R72" s="123"/>
      <c r="S72" s="123"/>
      <c r="T72" s="123"/>
      <c r="U72" s="123"/>
      <c r="V72" s="124"/>
      <c r="W72" s="124"/>
      <c r="X72" s="123" t="s">
        <v>603</v>
      </c>
      <c r="Y72" s="128">
        <v>5.55136</v>
      </c>
      <c r="Z72" s="129">
        <v>8</v>
      </c>
      <c r="AA72" s="124">
        <f t="shared" ref="AA72:AA75" si="15">H72-SUM(K72:P72)*H72-J72-I72/B72-Z72/B72</f>
      </c>
      <c r="AB72" s="127">
        <f t="shared" ref="AB72:AB75" si="565">AA72/H72</f>
      </c>
      <c r="AC72" s="123"/>
      <c r="AD72" s="130">
        <f t="shared" ref="AD72:AD75" si="383">J72/H72</f>
      </c>
      <c r="AE72" s="123">
        <f>I72/7.4/H72</f>
      </c>
      <c r="AF72" s="123">
        <f>Z72/7.4/H72</f>
      </c>
      <c r="AG72" s="126">
        <v>0.15</v>
      </c>
      <c r="AH72" s="123">
        <f t="shared" ref="AH72:AH75" si="93">N72</f>
      </c>
      <c r="AI72" s="126">
        <v>0.02</v>
      </c>
      <c r="AJ72" s="123">
        <f t="shared" ref="AJ72:AJ75" si="941">M72</f>
      </c>
    </row>
    <row customHeight="true" ht="13.333333333333332" r="73">
      <c r="A73" s="133" t="s">
        <v>624</v>
      </c>
      <c r="B73" s="123">
        <v>8</v>
      </c>
      <c r="C73" s="123" t="s">
        <v>606</v>
      </c>
      <c r="D73" s="123" t="s">
        <v>607</v>
      </c>
      <c r="E73" s="123" t="s">
        <v>602</v>
      </c>
      <c r="F73" s="124">
        <f t="shared" si="487"/>
      </c>
      <c r="G73" s="124">
        <f t="shared" si="305"/>
      </c>
      <c r="H73" s="125">
        <f>H72*0.9</f>
      </c>
      <c r="I73" s="124">
        <f t="shared" si="281"/>
      </c>
      <c r="J73" s="123">
        <v>5.87</v>
      </c>
      <c r="K73" s="126">
        <v>0.15</v>
      </c>
      <c r="L73" s="126">
        <v>0.16</v>
      </c>
      <c r="M73" s="126">
        <v>0.05</v>
      </c>
      <c r="N73" s="123">
        <f t="shared" si="655"/>
      </c>
      <c r="O73" s="127">
        <v>0.01</v>
      </c>
      <c r="P73" s="126">
        <v>0.02</v>
      </c>
      <c r="Q73" s="124">
        <v>4</v>
      </c>
      <c r="R73" s="123"/>
      <c r="S73" s="123"/>
      <c r="T73" s="123"/>
      <c r="U73" s="123"/>
      <c r="V73" s="124"/>
      <c r="W73" s="124"/>
      <c r="X73" s="123" t="s">
        <v>603</v>
      </c>
      <c r="Y73" s="128">
        <v>5.55136</v>
      </c>
      <c r="Z73" s="129">
        <v>8</v>
      </c>
      <c r="AA73" s="124">
        <f t="shared" si="15"/>
      </c>
      <c r="AB73" s="127">
        <f t="shared" si="565"/>
      </c>
      <c r="AC73" s="123"/>
      <c r="AD73" s="130">
        <f t="shared" si="383"/>
      </c>
      <c r="AE73" s="123">
        <f t="shared" ref="AE73:AE74" si="246">I73/B73/H73</f>
      </c>
      <c r="AF73" s="123">
        <f t="shared" ref="AF73:AF74" si="456">Z73/B73/H73</f>
      </c>
      <c r="AG73" s="123">
        <f t="shared" ref="AG73:AG74" si="269">K73</f>
      </c>
      <c r="AH73" s="123">
        <f t="shared" si="93"/>
      </c>
      <c r="AI73" s="126">
        <v>0.02</v>
      </c>
      <c r="AJ73" s="123">
        <f t="shared" si="941"/>
      </c>
    </row>
    <row customHeight="true" ht="13.333333333333332" r="74">
      <c r="A74" s="133" t="s">
        <v>625</v>
      </c>
      <c r="B74" s="123">
        <v>8</v>
      </c>
      <c r="C74" s="123" t="s">
        <v>606</v>
      </c>
      <c r="D74" s="123" t="s">
        <v>607</v>
      </c>
      <c r="E74" s="123" t="s">
        <v>602</v>
      </c>
      <c r="F74" s="124">
        <f t="shared" si="487"/>
      </c>
      <c r="G74" s="124">
        <f t="shared" si="305"/>
      </c>
      <c r="H74" s="134">
        <f>H72*0.85</f>
      </c>
      <c r="I74" s="124">
        <f t="shared" si="281"/>
      </c>
      <c r="J74" s="123">
        <v>5.87</v>
      </c>
      <c r="K74" s="126">
        <v>0.15</v>
      </c>
      <c r="L74" s="126">
        <v>0.16</v>
      </c>
      <c r="M74" s="126">
        <v>0.05</v>
      </c>
      <c r="N74" s="123">
        <f t="shared" si="655"/>
      </c>
      <c r="O74" s="127">
        <v>0.01</v>
      </c>
      <c r="P74" s="126">
        <v>0.02</v>
      </c>
      <c r="Q74" s="124">
        <v>4</v>
      </c>
      <c r="R74" s="123"/>
      <c r="S74" s="123"/>
      <c r="T74" s="123"/>
      <c r="U74" s="123"/>
      <c r="V74" s="124"/>
      <c r="W74" s="124"/>
      <c r="X74" s="123" t="s">
        <v>603</v>
      </c>
      <c r="Y74" s="128">
        <v>5.55136</v>
      </c>
      <c r="Z74" s="129">
        <v>8</v>
      </c>
      <c r="AA74" s="124">
        <f t="shared" si="15"/>
      </c>
      <c r="AB74" s="127">
        <f t="shared" si="565"/>
      </c>
      <c r="AC74" s="123"/>
      <c r="AD74" s="130">
        <f t="shared" si="383"/>
      </c>
      <c r="AE74" s="123">
        <f t="shared" si="246"/>
      </c>
      <c r="AF74" s="123">
        <f t="shared" si="456"/>
      </c>
      <c r="AG74" s="123">
        <f t="shared" si="269"/>
      </c>
      <c r="AH74" s="123">
        <f t="shared" si="93"/>
      </c>
      <c r="AI74" s="126">
        <v>0.02</v>
      </c>
      <c r="AJ74" s="123">
        <f t="shared" si="941"/>
      </c>
    </row>
    <row customHeight="true" ht="13.333333333333332" r="75">
      <c r="A75" s="133" t="s">
        <v>626</v>
      </c>
      <c r="B75" s="123">
        <v>8</v>
      </c>
      <c r="C75" s="123" t="s">
        <v>606</v>
      </c>
      <c r="D75" s="123" t="s">
        <v>607</v>
      </c>
      <c r="E75" s="123" t="s">
        <v>602</v>
      </c>
      <c r="F75" s="124">
        <f t="shared" si="487"/>
      </c>
      <c r="G75" s="124">
        <f t="shared" si="305"/>
      </c>
      <c r="H75" s="125">
        <f>H72*0.8</f>
      </c>
      <c r="I75" s="124">
        <f t="shared" si="281"/>
      </c>
      <c r="J75" s="123">
        <v>5.87</v>
      </c>
      <c r="K75" s="126">
        <v>0.15</v>
      </c>
      <c r="L75" s="126">
        <v>0.16</v>
      </c>
      <c r="M75" s="126">
        <v>0.05</v>
      </c>
      <c r="N75" s="123">
        <f t="shared" si="655"/>
      </c>
      <c r="O75" s="127">
        <v>0.01</v>
      </c>
      <c r="P75" s="126">
        <v>0.02</v>
      </c>
      <c r="Q75" s="124">
        <v>4</v>
      </c>
      <c r="R75" s="123"/>
      <c r="S75" s="123"/>
      <c r="T75" s="123"/>
      <c r="U75" s="123"/>
      <c r="V75" s="124"/>
      <c r="W75" s="124"/>
      <c r="X75" s="123" t="s">
        <v>603</v>
      </c>
      <c r="Y75" s="128">
        <v>5.55136</v>
      </c>
      <c r="Z75" s="129">
        <v>8</v>
      </c>
      <c r="AA75" s="124">
        <f t="shared" si="15"/>
      </c>
      <c r="AB75" s="127">
        <f t="shared" si="565"/>
      </c>
      <c r="AC75" s="123"/>
      <c r="AD75" s="130">
        <f t="shared" si="383"/>
      </c>
      <c r="AE75" s="123">
        <f>I75/7.4/H75</f>
      </c>
      <c r="AF75" s="123">
        <f>Z75/7.4/H75</f>
      </c>
      <c r="AG75" s="126">
        <v>0.15</v>
      </c>
      <c r="AH75" s="123">
        <f t="shared" si="93"/>
      </c>
      <c r="AI75" s="126">
        <v>0.02</v>
      </c>
      <c r="AJ75" s="123">
        <f t="shared" si="941"/>
      </c>
    </row>
    <row customHeight="true" ht="23.703703703703702" r="76">
      <c r="A76" s="132"/>
      <c r="B76" s="132"/>
      <c r="C76" s="132"/>
      <c r="D76" s="132"/>
      <c r="E76" s="123"/>
      <c r="F76" s="124"/>
      <c r="G76" s="124"/>
      <c r="H76" s="123"/>
      <c r="I76" s="124"/>
      <c r="J76" s="123"/>
      <c r="K76" s="126"/>
      <c r="L76" s="126"/>
      <c r="M76" s="126"/>
      <c r="N76" s="126"/>
      <c r="O76" s="127"/>
      <c r="P76" s="126"/>
      <c r="Q76" s="126"/>
      <c r="R76" s="123"/>
      <c r="S76" s="123"/>
      <c r="T76" s="123"/>
      <c r="U76" s="123"/>
      <c r="V76" s="124"/>
      <c r="W76" s="124"/>
      <c r="X76" s="123"/>
      <c r="Y76" s="128"/>
      <c r="Z76" s="124"/>
      <c r="AA76" s="124"/>
      <c r="AB76" s="127"/>
      <c r="AC76" s="123"/>
      <c r="AD76" s="130"/>
      <c r="AE76" s="126"/>
      <c r="AF76" s="126"/>
      <c r="AG76" s="126"/>
      <c r="AH76" s="126"/>
      <c r="AI76" s="126"/>
      <c r="AJ76" s="126"/>
    </row>
    <row customHeight="true" ht="13.333333333333332" r="77">
      <c r="A77" s="133" t="s">
        <v>623</v>
      </c>
      <c r="B77" s="123">
        <v>8</v>
      </c>
      <c r="C77" s="123" t="s">
        <v>608</v>
      </c>
      <c r="D77" s="123" t="s">
        <v>609</v>
      </c>
      <c r="E77" s="123" t="s">
        <v>602</v>
      </c>
      <c r="F77" s="124">
        <f t="shared" ref="F77:F80" si="488">IF(E77="有",(I77/B77+J77+Z77/B77)/(0.99999-K77-L77-M77-N77),(I77/B77+J77+Z77/B77)/(0.99999-K77-M77-N77))</f>
      </c>
      <c r="G77" s="124">
        <f t="shared" ref="G77:G80" si="306">IF(E77="有",(I77/B77+J77+Z77/B77)/(0.8-K77-L77-M77-N77-O77-P77),(I77/B77+J77+Z77/B77)/(0.8-K77-M77-N77-O77-P77))</f>
      </c>
      <c r="H77" s="125">
        <v>39.99</v>
      </c>
      <c r="I77" s="124">
        <f t="shared" ref="I77:I80" si="282">80.4/1.13</f>
      </c>
      <c r="J77" s="123">
        <v>5.51</v>
      </c>
      <c r="K77" s="126">
        <v>0.15</v>
      </c>
      <c r="L77" s="126">
        <v>0.16</v>
      </c>
      <c r="M77" s="126">
        <v>0.05</v>
      </c>
      <c r="N77" s="123">
        <f t="shared" ref="N77:N80" si="656">Q77/H77</f>
      </c>
      <c r="O77" s="127">
        <v>0.01</v>
      </c>
      <c r="P77" s="126">
        <v>0.02</v>
      </c>
      <c r="Q77" s="124">
        <v>4</v>
      </c>
      <c r="R77" s="123"/>
      <c r="S77" s="123"/>
      <c r="T77" s="123"/>
      <c r="U77" s="123"/>
      <c r="V77" s="124"/>
      <c r="W77" s="124"/>
      <c r="X77" s="123" t="s">
        <v>603</v>
      </c>
      <c r="Y77" s="128">
        <v>5.55136</v>
      </c>
      <c r="Z77" s="129">
        <v>8</v>
      </c>
      <c r="AA77" s="124">
        <f t="shared" ref="AA77:AA80" si="16">H77-SUM(K77:P77)*H77-J77-I77/B77-Z77/B77</f>
      </c>
      <c r="AB77" s="127">
        <f t="shared" ref="AB77:AB80" si="566">AA77/H77</f>
      </c>
      <c r="AC77" s="123"/>
      <c r="AD77" s="130">
        <f t="shared" ref="AD77:AD80" si="384">J77/H77</f>
      </c>
      <c r="AE77" s="123">
        <f>I77/7.4/H77</f>
      </c>
      <c r="AF77" s="123">
        <f>Z77/7.4/H77</f>
      </c>
      <c r="AG77" s="126">
        <v>0.15</v>
      </c>
      <c r="AH77" s="123">
        <f t="shared" ref="AH77:AH80" si="94">N77</f>
      </c>
      <c r="AI77" s="126">
        <v>0.02</v>
      </c>
      <c r="AJ77" s="123">
        <f t="shared" ref="AJ77:AJ80" si="942">M77</f>
      </c>
    </row>
    <row customHeight="true" ht="13.333333333333332" r="78">
      <c r="A78" s="133" t="s">
        <v>624</v>
      </c>
      <c r="B78" s="123">
        <v>8</v>
      </c>
      <c r="C78" s="123" t="s">
        <v>608</v>
      </c>
      <c r="D78" s="123" t="s">
        <v>609</v>
      </c>
      <c r="E78" s="123" t="s">
        <v>602</v>
      </c>
      <c r="F78" s="124">
        <f t="shared" si="488"/>
      </c>
      <c r="G78" s="124">
        <f t="shared" si="306"/>
      </c>
      <c r="H78" s="125">
        <f>H77*0.9</f>
      </c>
      <c r="I78" s="124">
        <f t="shared" si="282"/>
      </c>
      <c r="J78" s="123">
        <v>5.51</v>
      </c>
      <c r="K78" s="126">
        <v>0.15</v>
      </c>
      <c r="L78" s="126">
        <v>0.16</v>
      </c>
      <c r="M78" s="126">
        <v>0.05</v>
      </c>
      <c r="N78" s="123">
        <f t="shared" si="656"/>
      </c>
      <c r="O78" s="127">
        <v>0.01</v>
      </c>
      <c r="P78" s="126">
        <v>0.02</v>
      </c>
      <c r="Q78" s="124">
        <v>4</v>
      </c>
      <c r="R78" s="123"/>
      <c r="S78" s="123"/>
      <c r="T78" s="123"/>
      <c r="U78" s="123"/>
      <c r="V78" s="124"/>
      <c r="W78" s="124"/>
      <c r="X78" s="123" t="s">
        <v>603</v>
      </c>
      <c r="Y78" s="128">
        <v>5.55136</v>
      </c>
      <c r="Z78" s="129">
        <v>8</v>
      </c>
      <c r="AA78" s="124">
        <f t="shared" si="16"/>
      </c>
      <c r="AB78" s="127">
        <f t="shared" si="566"/>
      </c>
      <c r="AC78" s="123"/>
      <c r="AD78" s="130">
        <f t="shared" si="384"/>
      </c>
      <c r="AE78" s="123">
        <f t="shared" ref="AE78:AE79" si="247">I78/B78/H78</f>
      </c>
      <c r="AF78" s="123">
        <f t="shared" ref="AF78:AF79" si="457">Z78/B78/H78</f>
      </c>
      <c r="AG78" s="123">
        <f t="shared" ref="AG78:AG79" si="270">K78</f>
      </c>
      <c r="AH78" s="123">
        <f t="shared" si="94"/>
      </c>
      <c r="AI78" s="126">
        <v>0.02</v>
      </c>
      <c r="AJ78" s="123">
        <f t="shared" si="942"/>
      </c>
    </row>
    <row customHeight="true" ht="13.333333333333332" r="79">
      <c r="A79" s="133" t="s">
        <v>625</v>
      </c>
      <c r="B79" s="123">
        <v>8</v>
      </c>
      <c r="C79" s="123" t="s">
        <v>608</v>
      </c>
      <c r="D79" s="123" t="s">
        <v>609</v>
      </c>
      <c r="E79" s="123" t="s">
        <v>602</v>
      </c>
      <c r="F79" s="124">
        <f t="shared" si="488"/>
      </c>
      <c r="G79" s="124">
        <f t="shared" si="306"/>
      </c>
      <c r="H79" s="134">
        <f>H77*0.85</f>
      </c>
      <c r="I79" s="124">
        <f t="shared" si="282"/>
      </c>
      <c r="J79" s="123">
        <v>5.51</v>
      </c>
      <c r="K79" s="126">
        <v>0.15</v>
      </c>
      <c r="L79" s="126">
        <v>0.16</v>
      </c>
      <c r="M79" s="126">
        <v>0.05</v>
      </c>
      <c r="N79" s="123">
        <f t="shared" si="656"/>
      </c>
      <c r="O79" s="127">
        <v>0.01</v>
      </c>
      <c r="P79" s="126">
        <v>0.02</v>
      </c>
      <c r="Q79" s="124">
        <v>4</v>
      </c>
      <c r="R79" s="123"/>
      <c r="S79" s="123"/>
      <c r="T79" s="123"/>
      <c r="U79" s="123"/>
      <c r="V79" s="124"/>
      <c r="W79" s="124"/>
      <c r="X79" s="123" t="s">
        <v>603</v>
      </c>
      <c r="Y79" s="128">
        <v>5.55136</v>
      </c>
      <c r="Z79" s="129">
        <v>8</v>
      </c>
      <c r="AA79" s="124">
        <f t="shared" si="16"/>
      </c>
      <c r="AB79" s="127">
        <f t="shared" si="566"/>
      </c>
      <c r="AC79" s="123"/>
      <c r="AD79" s="130">
        <f t="shared" si="384"/>
      </c>
      <c r="AE79" s="123">
        <f t="shared" si="247"/>
      </c>
      <c r="AF79" s="123">
        <f t="shared" si="457"/>
      </c>
      <c r="AG79" s="123">
        <f t="shared" si="270"/>
      </c>
      <c r="AH79" s="123">
        <f t="shared" si="94"/>
      </c>
      <c r="AI79" s="126">
        <v>0.02</v>
      </c>
      <c r="AJ79" s="123">
        <f t="shared" si="942"/>
      </c>
    </row>
    <row customHeight="true" ht="13.333333333333332" r="80">
      <c r="A80" s="133" t="s">
        <v>626</v>
      </c>
      <c r="B80" s="123">
        <v>8</v>
      </c>
      <c r="C80" s="123" t="s">
        <v>608</v>
      </c>
      <c r="D80" s="123" t="s">
        <v>609</v>
      </c>
      <c r="E80" s="123" t="s">
        <v>602</v>
      </c>
      <c r="F80" s="124">
        <f t="shared" si="488"/>
      </c>
      <c r="G80" s="124">
        <f t="shared" si="306"/>
      </c>
      <c r="H80" s="125">
        <f>H77*0.8</f>
      </c>
      <c r="I80" s="124">
        <f t="shared" si="282"/>
      </c>
      <c r="J80" s="123">
        <v>5.51</v>
      </c>
      <c r="K80" s="126">
        <v>0.15</v>
      </c>
      <c r="L80" s="126">
        <v>0.16</v>
      </c>
      <c r="M80" s="126">
        <v>0.05</v>
      </c>
      <c r="N80" s="123">
        <f t="shared" si="656"/>
      </c>
      <c r="O80" s="127">
        <v>0.01</v>
      </c>
      <c r="P80" s="126">
        <v>0.02</v>
      </c>
      <c r="Q80" s="124">
        <v>4</v>
      </c>
      <c r="R80" s="123"/>
      <c r="S80" s="123"/>
      <c r="T80" s="123"/>
      <c r="U80" s="123"/>
      <c r="V80" s="124"/>
      <c r="W80" s="124"/>
      <c r="X80" s="123" t="s">
        <v>603</v>
      </c>
      <c r="Y80" s="128">
        <v>5.55136</v>
      </c>
      <c r="Z80" s="129">
        <v>8</v>
      </c>
      <c r="AA80" s="124">
        <f t="shared" si="16"/>
      </c>
      <c r="AB80" s="127">
        <f t="shared" si="566"/>
      </c>
      <c r="AC80" s="123"/>
      <c r="AD80" s="130">
        <f t="shared" si="384"/>
      </c>
      <c r="AE80" s="123">
        <f>I80/7.4/H80</f>
      </c>
      <c r="AF80" s="123">
        <f>Z80/7.4/H80</f>
      </c>
      <c r="AG80" s="126">
        <v>0.15</v>
      </c>
      <c r="AH80" s="123">
        <f t="shared" si="94"/>
      </c>
      <c r="AI80" s="126">
        <v>0.02</v>
      </c>
      <c r="AJ80" s="123">
        <f t="shared" si="942"/>
      </c>
    </row>
    <row customHeight="true" ht="23.703703703703702" r="81">
      <c r="A81" s="132"/>
      <c r="B81" s="132"/>
      <c r="C81" s="132"/>
      <c r="D81" s="132"/>
      <c r="E81" s="123"/>
      <c r="F81" s="124"/>
      <c r="G81" s="124"/>
      <c r="H81" s="123"/>
      <c r="I81" s="124"/>
      <c r="J81" s="123"/>
      <c r="K81" s="126"/>
      <c r="L81" s="126"/>
      <c r="M81" s="126"/>
      <c r="N81" s="126"/>
      <c r="O81" s="127"/>
      <c r="P81" s="126"/>
      <c r="Q81" s="126"/>
      <c r="R81" s="123"/>
      <c r="S81" s="123"/>
      <c r="T81" s="123"/>
      <c r="U81" s="123"/>
      <c r="V81" s="124"/>
      <c r="W81" s="124"/>
      <c r="X81" s="123"/>
      <c r="Y81" s="128"/>
      <c r="Z81" s="124"/>
      <c r="AA81" s="124"/>
      <c r="AB81" s="127"/>
      <c r="AC81" s="123"/>
      <c r="AD81" s="130"/>
      <c r="AE81" s="126"/>
      <c r="AF81" s="126"/>
      <c r="AG81" s="126"/>
      <c r="AH81" s="126"/>
      <c r="AI81" s="126"/>
      <c r="AJ81" s="126"/>
    </row>
    <row customHeight="true" ht="13.333333333333332" r="82">
      <c r="A82" s="133" t="s">
        <v>623</v>
      </c>
      <c r="B82" s="123">
        <v>8</v>
      </c>
      <c r="C82" s="123" t="s">
        <v>611</v>
      </c>
      <c r="D82" s="123" t="s">
        <v>612</v>
      </c>
      <c r="E82" s="123" t="s">
        <v>602</v>
      </c>
      <c r="F82" s="124">
        <f t="shared" ref="F82:F85" si="489">IF(E82="有",(I82/B82+J82+Z82/B82)/(0.99999-K82-L82-M82-N82),(I82/B82+J82+Z82/B82)/(0.99999-K82-M82-N82))</f>
      </c>
      <c r="G82" s="124">
        <f t="shared" ref="G82:G85" si="307">IF(E82="有",(I82/B82+J82+Z82/B82)/(0.8-K82-L82-M82-N82-O82-P82),(I82/B82+J82+Z82/B82)/(0.8-K82-M82-N82-O82-P82))</f>
      </c>
      <c r="H82" s="125">
        <v>39.99</v>
      </c>
      <c r="I82" s="124">
        <f t="shared" ref="I82:I85" si="283">80.4/1.13</f>
      </c>
      <c r="J82" s="123">
        <v>4.21</v>
      </c>
      <c r="K82" s="126">
        <v>0.15</v>
      </c>
      <c r="L82" s="126">
        <v>0.16</v>
      </c>
      <c r="M82" s="126">
        <v>0.05</v>
      </c>
      <c r="N82" s="123">
        <f t="shared" ref="N82:N85" si="657">Q82/H82</f>
      </c>
      <c r="O82" s="127">
        <v>0.01</v>
      </c>
      <c r="P82" s="126">
        <v>0.02</v>
      </c>
      <c r="Q82" s="124">
        <v>4</v>
      </c>
      <c r="R82" s="123"/>
      <c r="S82" s="123"/>
      <c r="T82" s="123"/>
      <c r="U82" s="123"/>
      <c r="V82" s="124"/>
      <c r="W82" s="124"/>
      <c r="X82" s="123" t="s">
        <v>603</v>
      </c>
      <c r="Y82" s="128">
        <v>5.55136</v>
      </c>
      <c r="Z82" s="129">
        <v>8</v>
      </c>
      <c r="AA82" s="124">
        <f t="shared" ref="AA82:AA85" si="17">H82-SUM(K82:P82)*H82-J82-I82/B82-Z82/B82</f>
      </c>
      <c r="AB82" s="127">
        <f t="shared" ref="AB82:AB85" si="567">AA82/H82</f>
      </c>
      <c r="AC82" s="123"/>
      <c r="AD82" s="130">
        <f t="shared" ref="AD82:AD85" si="385">J82/H82</f>
      </c>
      <c r="AE82" s="123">
        <f>I82/7.4/H82</f>
      </c>
      <c r="AF82" s="123">
        <f>Z82/7.4/H82</f>
      </c>
      <c r="AG82" s="126">
        <v>0.15</v>
      </c>
      <c r="AH82" s="123">
        <f t="shared" ref="AH82:AH85" si="95">N82</f>
      </c>
      <c r="AI82" s="126">
        <v>0.02</v>
      </c>
      <c r="AJ82" s="123">
        <f t="shared" ref="AJ82:AJ85" si="943">M82</f>
      </c>
    </row>
    <row customHeight="true" ht="13.333333333333332" r="83">
      <c r="A83" s="133" t="s">
        <v>624</v>
      </c>
      <c r="B83" s="123">
        <v>8</v>
      </c>
      <c r="C83" s="123" t="s">
        <v>611</v>
      </c>
      <c r="D83" s="123" t="s">
        <v>612</v>
      </c>
      <c r="E83" s="123" t="s">
        <v>602</v>
      </c>
      <c r="F83" s="124">
        <f t="shared" si="489"/>
      </c>
      <c r="G83" s="124">
        <f t="shared" si="307"/>
      </c>
      <c r="H83" s="125">
        <f>H82*0.9</f>
      </c>
      <c r="I83" s="124">
        <f t="shared" si="283"/>
      </c>
      <c r="J83" s="123">
        <v>3.95</v>
      </c>
      <c r="K83" s="126">
        <v>0.15</v>
      </c>
      <c r="L83" s="126">
        <v>0.16</v>
      </c>
      <c r="M83" s="126">
        <v>0.05</v>
      </c>
      <c r="N83" s="123">
        <f t="shared" si="657"/>
      </c>
      <c r="O83" s="127">
        <v>0.01</v>
      </c>
      <c r="P83" s="126">
        <v>0.02</v>
      </c>
      <c r="Q83" s="124">
        <v>4</v>
      </c>
      <c r="R83" s="123"/>
      <c r="S83" s="123"/>
      <c r="T83" s="123"/>
      <c r="U83" s="123"/>
      <c r="V83" s="124"/>
      <c r="W83" s="124"/>
      <c r="X83" s="123" t="s">
        <v>603</v>
      </c>
      <c r="Y83" s="128">
        <v>5.55136</v>
      </c>
      <c r="Z83" s="129">
        <v>8</v>
      </c>
      <c r="AA83" s="124">
        <f t="shared" si="17"/>
      </c>
      <c r="AB83" s="127">
        <f t="shared" si="567"/>
      </c>
      <c r="AC83" s="123"/>
      <c r="AD83" s="130">
        <f t="shared" si="385"/>
      </c>
      <c r="AE83" s="123">
        <f t="shared" ref="AE83:AE84" si="248">I83/B83/H83</f>
      </c>
      <c r="AF83" s="123">
        <f t="shared" ref="AF83:AF84" si="458">Z83/B83/H83</f>
      </c>
      <c r="AG83" s="123">
        <f t="shared" ref="AG83:AG84" si="271">K83</f>
      </c>
      <c r="AH83" s="123">
        <f t="shared" si="95"/>
      </c>
      <c r="AI83" s="126">
        <v>0.02</v>
      </c>
      <c r="AJ83" s="123">
        <f t="shared" si="943"/>
      </c>
    </row>
    <row customHeight="true" ht="13.333333333333332" r="84">
      <c r="A84" s="133" t="s">
        <v>625</v>
      </c>
      <c r="B84" s="123">
        <v>8</v>
      </c>
      <c r="C84" s="123" t="s">
        <v>611</v>
      </c>
      <c r="D84" s="123" t="s">
        <v>612</v>
      </c>
      <c r="E84" s="123" t="s">
        <v>602</v>
      </c>
      <c r="F84" s="124">
        <f t="shared" si="489"/>
      </c>
      <c r="G84" s="124">
        <f t="shared" si="307"/>
      </c>
      <c r="H84" s="134">
        <f>H82*0.85</f>
      </c>
      <c r="I84" s="124">
        <f t="shared" si="283"/>
      </c>
      <c r="J84" s="123">
        <v>3.95</v>
      </c>
      <c r="K84" s="126">
        <v>0.15</v>
      </c>
      <c r="L84" s="126">
        <v>0.16</v>
      </c>
      <c r="M84" s="126">
        <v>0.05</v>
      </c>
      <c r="N84" s="123">
        <f t="shared" si="657"/>
      </c>
      <c r="O84" s="127">
        <v>0.01</v>
      </c>
      <c r="P84" s="126">
        <v>0.02</v>
      </c>
      <c r="Q84" s="124">
        <v>4</v>
      </c>
      <c r="R84" s="123"/>
      <c r="S84" s="123"/>
      <c r="T84" s="123"/>
      <c r="U84" s="123"/>
      <c r="V84" s="124"/>
      <c r="W84" s="124"/>
      <c r="X84" s="123" t="s">
        <v>603</v>
      </c>
      <c r="Y84" s="128">
        <v>5.55136</v>
      </c>
      <c r="Z84" s="129">
        <v>8</v>
      </c>
      <c r="AA84" s="124">
        <f t="shared" si="17"/>
      </c>
      <c r="AB84" s="127">
        <f t="shared" si="567"/>
      </c>
      <c r="AC84" s="123"/>
      <c r="AD84" s="130">
        <f t="shared" si="385"/>
      </c>
      <c r="AE84" s="123">
        <f t="shared" si="248"/>
      </c>
      <c r="AF84" s="123">
        <f t="shared" si="458"/>
      </c>
      <c r="AG84" s="123">
        <f t="shared" si="271"/>
      </c>
      <c r="AH84" s="123">
        <f t="shared" si="95"/>
      </c>
      <c r="AI84" s="126">
        <v>0.02</v>
      </c>
      <c r="AJ84" s="123">
        <f t="shared" si="943"/>
      </c>
    </row>
    <row customHeight="true" ht="13.333333333333332" r="85">
      <c r="A85" s="133" t="s">
        <v>626</v>
      </c>
      <c r="B85" s="123">
        <v>8</v>
      </c>
      <c r="C85" s="123" t="s">
        <v>611</v>
      </c>
      <c r="D85" s="123" t="s">
        <v>612</v>
      </c>
      <c r="E85" s="123" t="s">
        <v>602</v>
      </c>
      <c r="F85" s="124">
        <f t="shared" si="489"/>
      </c>
      <c r="G85" s="124">
        <f t="shared" si="307"/>
      </c>
      <c r="H85" s="125">
        <f>H82*0.8</f>
      </c>
      <c r="I85" s="124">
        <f t="shared" si="283"/>
      </c>
      <c r="J85" s="123">
        <v>3.95</v>
      </c>
      <c r="K85" s="126">
        <v>0.15</v>
      </c>
      <c r="L85" s="126">
        <v>0.16</v>
      </c>
      <c r="M85" s="126">
        <v>0.05</v>
      </c>
      <c r="N85" s="123">
        <f t="shared" si="657"/>
      </c>
      <c r="O85" s="127">
        <v>0.01</v>
      </c>
      <c r="P85" s="126">
        <v>0.02</v>
      </c>
      <c r="Q85" s="124">
        <v>4</v>
      </c>
      <c r="R85" s="123"/>
      <c r="S85" s="123"/>
      <c r="T85" s="123"/>
      <c r="U85" s="123"/>
      <c r="V85" s="124"/>
      <c r="W85" s="124"/>
      <c r="X85" s="123" t="s">
        <v>603</v>
      </c>
      <c r="Y85" s="128">
        <v>5.55136</v>
      </c>
      <c r="Z85" s="129">
        <v>8</v>
      </c>
      <c r="AA85" s="124">
        <f t="shared" si="17"/>
      </c>
      <c r="AB85" s="127">
        <f t="shared" si="567"/>
      </c>
      <c r="AC85" s="123"/>
      <c r="AD85" s="130">
        <f t="shared" si="385"/>
      </c>
      <c r="AE85" s="123">
        <f>I85/7.4/H85</f>
      </c>
      <c r="AF85" s="123">
        <f>Z85/7.4/H85</f>
      </c>
      <c r="AG85" s="126">
        <v>0.15</v>
      </c>
      <c r="AH85" s="123">
        <f t="shared" si="95"/>
      </c>
      <c r="AI85" s="126">
        <v>0.02</v>
      </c>
      <c r="AJ85" s="123">
        <f t="shared" si="943"/>
      </c>
    </row>
    <row customHeight="true" ht="23.703703703703702" r="86">
      <c r="E86" s="123"/>
      <c r="F86" s="124"/>
      <c r="G86" s="124"/>
      <c r="H86" s="123"/>
      <c r="I86" s="124"/>
      <c r="J86" s="123"/>
      <c r="K86" s="126"/>
      <c r="L86" s="126"/>
      <c r="M86" s="126"/>
      <c r="N86" s="126"/>
      <c r="O86" s="127"/>
      <c r="P86" s="126"/>
      <c r="Q86" s="126"/>
      <c r="R86" s="123"/>
      <c r="S86" s="123"/>
      <c r="T86" s="123"/>
      <c r="U86" s="123"/>
      <c r="V86" s="124"/>
      <c r="W86" s="124"/>
      <c r="X86" s="123"/>
      <c r="Y86" s="128"/>
      <c r="Z86" s="124"/>
      <c r="AA86" s="124"/>
      <c r="AB86" s="127"/>
      <c r="AC86" s="123"/>
      <c r="AD86" s="130"/>
      <c r="AE86" s="126"/>
      <c r="AF86" s="126"/>
      <c r="AG86" s="126"/>
      <c r="AH86" s="126"/>
      <c r="AI86" s="126"/>
      <c r="AJ86" s="126"/>
    </row>
    <row customHeight="true" ht="13.333333333333332" r="87">
      <c r="A87" s="122" t="s">
        <v>627</v>
      </c>
      <c r="B87" s="123">
        <v>8</v>
      </c>
      <c r="C87" s="123" t="s">
        <v>600</v>
      </c>
      <c r="D87" s="123" t="s">
        <v>601</v>
      </c>
      <c r="E87" s="123" t="s">
        <v>602</v>
      </c>
      <c r="F87" s="124">
        <f t="shared" ref="F87:F90" si="490">IF(E87="有",(I87/B87+J87+Z87/B87)/(0.99999-K87-L87-M87-N87),(I87/B87+J87+Z87/B87)/(0.99999-K87-M87-N87))</f>
      </c>
      <c r="G87" s="124">
        <f t="shared" ref="G87:G90" si="308">IF(E87="有",(I87/B87+J87+Z87/B87)/(0.8-K87-L87-M87-N87-O87-P87),(I87/B87+J87+Z87/B87)/(0.8-K87-M87-N87-O87-P87))</f>
      </c>
      <c r="H87" s="125">
        <v>84.99</v>
      </c>
      <c r="I87" s="124">
        <f t="shared" ref="I87:I90" si="762">208/1.13</f>
      </c>
      <c r="J87" s="123">
        <v>4.03</v>
      </c>
      <c r="K87" s="126">
        <v>0.15</v>
      </c>
      <c r="L87" s="126">
        <v>0.16</v>
      </c>
      <c r="M87" s="126">
        <v>0.05</v>
      </c>
      <c r="N87" s="123">
        <f t="shared" ref="N87:N90" si="658">Q87/H87</f>
      </c>
      <c r="O87" s="127">
        <v>0.01</v>
      </c>
      <c r="P87" s="126">
        <v>0.02</v>
      </c>
      <c r="Q87" s="124">
        <v>10</v>
      </c>
      <c r="R87" s="123"/>
      <c r="S87" s="123"/>
      <c r="T87" s="123"/>
      <c r="U87" s="123"/>
      <c r="V87" s="124"/>
      <c r="W87" s="124"/>
      <c r="X87" s="123" t="s">
        <v>603</v>
      </c>
      <c r="Y87" s="128">
        <v>5.55136</v>
      </c>
      <c r="Z87" s="129">
        <v>13</v>
      </c>
      <c r="AA87" s="124">
        <f t="shared" ref="AA87:AA90" si="18">H87-SUM(K87:P87)*H87-J87-I87/B87-Z87/B87</f>
      </c>
      <c r="AB87" s="127">
        <f t="shared" ref="AB87:AB90" si="568">AA87/H87</f>
      </c>
      <c r="AC87" s="123"/>
      <c r="AD87" s="130">
        <f t="shared" ref="AD87:AD90" si="386">J87/H87</f>
      </c>
      <c r="AE87" s="123">
        <f>I87/7.4/H87</f>
      </c>
      <c r="AF87" s="123">
        <f>Z87/7.4/H87</f>
      </c>
      <c r="AG87" s="126">
        <v>0.15</v>
      </c>
      <c r="AH87" s="123">
        <f t="shared" ref="AH87:AH90" si="96">N87</f>
      </c>
      <c r="AI87" s="126">
        <v>0.02</v>
      </c>
      <c r="AJ87" s="123">
        <f t="shared" ref="AJ87:AJ90" si="944">M87</f>
      </c>
    </row>
    <row customHeight="true" ht="13.333333333333332" r="88">
      <c r="A88" s="122" t="s">
        <v>628</v>
      </c>
      <c r="B88" s="123">
        <v>8</v>
      </c>
      <c r="C88" s="123" t="s">
        <v>600</v>
      </c>
      <c r="D88" s="123" t="s">
        <v>601</v>
      </c>
      <c r="E88" s="123" t="s">
        <v>602</v>
      </c>
      <c r="F88" s="124">
        <f t="shared" si="490"/>
      </c>
      <c r="G88" s="124">
        <f t="shared" si="308"/>
      </c>
      <c r="H88" s="125">
        <f>H87*0.9</f>
      </c>
      <c r="I88" s="124">
        <f t="shared" si="762"/>
      </c>
      <c r="J88" s="123">
        <v>4.03</v>
      </c>
      <c r="K88" s="126">
        <v>0.15</v>
      </c>
      <c r="L88" s="126">
        <v>0.16</v>
      </c>
      <c r="M88" s="126">
        <v>0.05</v>
      </c>
      <c r="N88" s="123">
        <f t="shared" si="658"/>
      </c>
      <c r="O88" s="127">
        <v>0.01</v>
      </c>
      <c r="P88" s="126">
        <v>0.02</v>
      </c>
      <c r="Q88" s="124">
        <v>10</v>
      </c>
      <c r="R88" s="123"/>
      <c r="S88" s="123"/>
      <c r="T88" s="123"/>
      <c r="U88" s="123"/>
      <c r="V88" s="124"/>
      <c r="W88" s="124"/>
      <c r="X88" s="123" t="s">
        <v>603</v>
      </c>
      <c r="Y88" s="128">
        <v>5.55136</v>
      </c>
      <c r="Z88" s="129">
        <v>13</v>
      </c>
      <c r="AA88" s="124">
        <f t="shared" si="18"/>
      </c>
      <c r="AB88" s="127">
        <f t="shared" si="568"/>
      </c>
      <c r="AC88" s="123"/>
      <c r="AD88" s="130">
        <f t="shared" si="386"/>
      </c>
      <c r="AE88" s="123">
        <f t="shared" ref="AE88:AE89" si="249">I88/B88/H88</f>
      </c>
      <c r="AF88" s="123">
        <f t="shared" ref="AF88:AF89" si="459">Z88/B88/H88</f>
      </c>
      <c r="AG88" s="123">
        <f t="shared" ref="AG88:AG89" si="272">K88</f>
      </c>
      <c r="AH88" s="123">
        <f t="shared" si="96"/>
      </c>
      <c r="AI88" s="126">
        <v>0.02</v>
      </c>
      <c r="AJ88" s="123">
        <f t="shared" si="944"/>
      </c>
    </row>
    <row customHeight="true" ht="13.333333333333332" r="89">
      <c r="A89" s="122" t="s">
        <v>629</v>
      </c>
      <c r="B89" s="123">
        <v>8</v>
      </c>
      <c r="C89" s="123" t="s">
        <v>600</v>
      </c>
      <c r="D89" s="123" t="s">
        <v>601</v>
      </c>
      <c r="E89" s="123" t="s">
        <v>602</v>
      </c>
      <c r="F89" s="124">
        <f t="shared" si="490"/>
      </c>
      <c r="G89" s="124">
        <f t="shared" si="308"/>
      </c>
      <c r="H89" s="134">
        <f>H87*0.85</f>
      </c>
      <c r="I89" s="124">
        <f t="shared" si="762"/>
      </c>
      <c r="J89" s="123">
        <v>4.03</v>
      </c>
      <c r="K89" s="126">
        <v>0.15</v>
      </c>
      <c r="L89" s="126">
        <v>0.16</v>
      </c>
      <c r="M89" s="126">
        <v>0.05</v>
      </c>
      <c r="N89" s="123">
        <f t="shared" si="658"/>
      </c>
      <c r="O89" s="127">
        <v>0.01</v>
      </c>
      <c r="P89" s="126">
        <v>0.02</v>
      </c>
      <c r="Q89" s="124">
        <v>10</v>
      </c>
      <c r="R89" s="123"/>
      <c r="S89" s="123"/>
      <c r="T89" s="123"/>
      <c r="U89" s="123"/>
      <c r="V89" s="124"/>
      <c r="W89" s="124"/>
      <c r="X89" s="123" t="s">
        <v>603</v>
      </c>
      <c r="Y89" s="128">
        <v>5.55136</v>
      </c>
      <c r="Z89" s="129">
        <v>13</v>
      </c>
      <c r="AA89" s="124">
        <f t="shared" si="18"/>
      </c>
      <c r="AB89" s="127">
        <f t="shared" si="568"/>
      </c>
      <c r="AC89" s="123"/>
      <c r="AD89" s="130">
        <f t="shared" si="386"/>
      </c>
      <c r="AE89" s="123">
        <f t="shared" si="249"/>
      </c>
      <c r="AF89" s="123">
        <f t="shared" si="459"/>
      </c>
      <c r="AG89" s="123">
        <f t="shared" si="272"/>
      </c>
      <c r="AH89" s="123">
        <f t="shared" si="96"/>
      </c>
      <c r="AI89" s="126">
        <v>0.02</v>
      </c>
      <c r="AJ89" s="123">
        <f t="shared" si="944"/>
      </c>
    </row>
    <row customHeight="true" ht="13.333333333333332" r="90">
      <c r="A90" s="122" t="s">
        <v>630</v>
      </c>
      <c r="B90" s="123">
        <v>8</v>
      </c>
      <c r="C90" s="123" t="s">
        <v>600</v>
      </c>
      <c r="D90" s="123" t="s">
        <v>601</v>
      </c>
      <c r="E90" s="123" t="s">
        <v>602</v>
      </c>
      <c r="F90" s="124">
        <f t="shared" si="490"/>
      </c>
      <c r="G90" s="124">
        <f t="shared" si="308"/>
      </c>
      <c r="H90" s="125">
        <f>H87*0.8</f>
      </c>
      <c r="I90" s="124">
        <f t="shared" si="762"/>
      </c>
      <c r="J90" s="123">
        <v>4.03</v>
      </c>
      <c r="K90" s="126">
        <v>0.15</v>
      </c>
      <c r="L90" s="126">
        <v>0.16</v>
      </c>
      <c r="M90" s="126">
        <v>0.05</v>
      </c>
      <c r="N90" s="123">
        <f t="shared" si="658"/>
      </c>
      <c r="O90" s="127">
        <v>0.01</v>
      </c>
      <c r="P90" s="126">
        <v>0.02</v>
      </c>
      <c r="Q90" s="124">
        <v>10</v>
      </c>
      <c r="R90" s="123"/>
      <c r="S90" s="123"/>
      <c r="T90" s="123"/>
      <c r="U90" s="123"/>
      <c r="V90" s="124"/>
      <c r="W90" s="124"/>
      <c r="X90" s="123" t="s">
        <v>603</v>
      </c>
      <c r="Y90" s="128">
        <v>5.55136</v>
      </c>
      <c r="Z90" s="129">
        <v>13</v>
      </c>
      <c r="AA90" s="124">
        <f t="shared" si="18"/>
      </c>
      <c r="AB90" s="127">
        <f t="shared" si="568"/>
      </c>
      <c r="AC90" s="123"/>
      <c r="AD90" s="130">
        <f t="shared" si="386"/>
      </c>
      <c r="AE90" s="123">
        <f>I90/7.4/H90</f>
      </c>
      <c r="AF90" s="123">
        <f>Z90/7.4/H90</f>
      </c>
      <c r="AG90" s="126">
        <v>0.15</v>
      </c>
      <c r="AH90" s="123">
        <f t="shared" si="96"/>
      </c>
      <c r="AI90" s="126">
        <v>0.02</v>
      </c>
      <c r="AJ90" s="123">
        <f t="shared" si="944"/>
      </c>
    </row>
    <row customHeight="true" ht="23.703703703703702" r="91">
      <c r="A91" s="132"/>
      <c r="B91" s="132"/>
      <c r="C91" s="132"/>
      <c r="D91" s="132"/>
      <c r="E91" s="123"/>
      <c r="F91" s="124"/>
      <c r="G91" s="124"/>
      <c r="H91" s="123"/>
      <c r="I91" s="124"/>
      <c r="J91" s="123"/>
      <c r="K91" s="126"/>
      <c r="L91" s="126"/>
      <c r="M91" s="126"/>
      <c r="N91" s="126"/>
      <c r="O91" s="127"/>
      <c r="P91" s="126"/>
      <c r="Q91" s="126"/>
      <c r="R91" s="123"/>
      <c r="S91" s="123"/>
      <c r="T91" s="123"/>
      <c r="U91" s="123"/>
      <c r="V91" s="124"/>
      <c r="W91" s="124"/>
      <c r="X91" s="123"/>
      <c r="Y91" s="128"/>
      <c r="Z91" s="124"/>
      <c r="AA91" s="124"/>
      <c r="AB91" s="127"/>
      <c r="AC91" s="123"/>
      <c r="AD91" s="130"/>
      <c r="AE91" s="126"/>
      <c r="AF91" s="126"/>
      <c r="AG91" s="126"/>
      <c r="AH91" s="126"/>
      <c r="AI91" s="126"/>
      <c r="AJ91" s="126"/>
    </row>
    <row customHeight="true" ht="13.333333333333332" r="92">
      <c r="A92" s="122" t="s">
        <v>627</v>
      </c>
      <c r="B92" s="123">
        <v>8</v>
      </c>
      <c r="C92" s="123" t="s">
        <v>606</v>
      </c>
      <c r="D92" s="123" t="s">
        <v>607</v>
      </c>
      <c r="E92" s="123" t="s">
        <v>602</v>
      </c>
      <c r="F92" s="124">
        <f t="shared" ref="F92:F95" si="491">IF(E92="有",(I92/B92+J92+Z92/B92)/(0.99999-K92-L92-M92-N92),(I92/B92+J92+Z92/B92)/(0.99999-K92-M92-N92))</f>
      </c>
      <c r="G92" s="124">
        <f t="shared" ref="G92:G95" si="309">IF(E92="有",(I92/B92+J92+Z92/B92)/(0.8-K92-L92-M92-N92-O92-P92),(I92/B92+J92+Z92/B92)/(0.8-K92-M92-N92-O92-P92))</f>
      </c>
      <c r="H92" s="125">
        <v>84.99</v>
      </c>
      <c r="I92" s="124">
        <f t="shared" ref="I92:I95" si="763">208/1.13</f>
      </c>
      <c r="J92" s="123">
        <v>5.87</v>
      </c>
      <c r="K92" s="126">
        <v>0.15</v>
      </c>
      <c r="L92" s="126">
        <v>0.16</v>
      </c>
      <c r="M92" s="126">
        <v>0.05</v>
      </c>
      <c r="N92" s="123">
        <f t="shared" ref="N92:N95" si="659">Q92/H92</f>
      </c>
      <c r="O92" s="127">
        <v>0.01</v>
      </c>
      <c r="P92" s="126">
        <v>0.02</v>
      </c>
      <c r="Q92" s="124">
        <v>10</v>
      </c>
      <c r="R92" s="123"/>
      <c r="S92" s="123"/>
      <c r="T92" s="123"/>
      <c r="U92" s="123"/>
      <c r="V92" s="124"/>
      <c r="W92" s="124"/>
      <c r="X92" s="123" t="s">
        <v>603</v>
      </c>
      <c r="Y92" s="128">
        <v>5.55136</v>
      </c>
      <c r="Z92" s="129">
        <v>13</v>
      </c>
      <c r="AA92" s="124">
        <f t="shared" ref="AA92:AA95" si="19">H92-SUM(K92:P92)*H92-J92-I92/B92-Z92/B92</f>
      </c>
      <c r="AB92" s="127">
        <f t="shared" ref="AB92:AB95" si="569">AA92/H92</f>
      </c>
      <c r="AC92" s="123"/>
      <c r="AD92" s="130">
        <f t="shared" ref="AD92:AD95" si="387">J92/H92</f>
      </c>
      <c r="AE92" s="123">
        <f>I92/7.4/H92</f>
      </c>
      <c r="AF92" s="123">
        <f>Z92/7.4/H92</f>
      </c>
      <c r="AG92" s="126">
        <v>0.15</v>
      </c>
      <c r="AH92" s="123">
        <f t="shared" ref="AH92:AH95" si="97">N92</f>
      </c>
      <c r="AI92" s="126">
        <v>0.02</v>
      </c>
      <c r="AJ92" s="123">
        <f t="shared" ref="AJ92:AJ95" si="945">M92</f>
      </c>
    </row>
    <row customHeight="true" ht="13.333333333333332" r="93">
      <c r="A93" s="122" t="s">
        <v>628</v>
      </c>
      <c r="B93" s="123">
        <v>8</v>
      </c>
      <c r="C93" s="123" t="s">
        <v>606</v>
      </c>
      <c r="D93" s="123" t="s">
        <v>607</v>
      </c>
      <c r="E93" s="123" t="s">
        <v>602</v>
      </c>
      <c r="F93" s="124">
        <f t="shared" si="491"/>
      </c>
      <c r="G93" s="124">
        <f t="shared" si="309"/>
      </c>
      <c r="H93" s="125">
        <f>H92*0.9</f>
      </c>
      <c r="I93" s="124">
        <f t="shared" si="763"/>
      </c>
      <c r="J93" s="123">
        <v>5.87</v>
      </c>
      <c r="K93" s="126">
        <v>0.15</v>
      </c>
      <c r="L93" s="126">
        <v>0.16</v>
      </c>
      <c r="M93" s="126">
        <v>0.05</v>
      </c>
      <c r="N93" s="123">
        <f t="shared" si="659"/>
      </c>
      <c r="O93" s="127">
        <v>0.01</v>
      </c>
      <c r="P93" s="126">
        <v>0.02</v>
      </c>
      <c r="Q93" s="124">
        <v>10</v>
      </c>
      <c r="R93" s="123"/>
      <c r="S93" s="123"/>
      <c r="T93" s="123"/>
      <c r="U93" s="123"/>
      <c r="V93" s="124"/>
      <c r="W93" s="124"/>
      <c r="X93" s="123" t="s">
        <v>603</v>
      </c>
      <c r="Y93" s="128">
        <v>5.55136</v>
      </c>
      <c r="Z93" s="129">
        <v>13</v>
      </c>
      <c r="AA93" s="124">
        <f t="shared" si="19"/>
      </c>
      <c r="AB93" s="127">
        <f t="shared" si="569"/>
      </c>
      <c r="AC93" s="123"/>
      <c r="AD93" s="130">
        <f t="shared" si="387"/>
      </c>
      <c r="AE93" s="123">
        <f t="shared" ref="AE93:AE94" si="250">I93/B93/H93</f>
      </c>
      <c r="AF93" s="123">
        <f t="shared" ref="AF93:AF94" si="460">Z93/B93/H93</f>
      </c>
      <c r="AG93" s="123">
        <f t="shared" ref="AG93:AG94" si="273">K93</f>
      </c>
      <c r="AH93" s="123">
        <f t="shared" si="97"/>
      </c>
      <c r="AI93" s="126">
        <v>0.02</v>
      </c>
      <c r="AJ93" s="123">
        <f t="shared" si="945"/>
      </c>
    </row>
    <row customHeight="true" ht="13.333333333333332" r="94">
      <c r="A94" s="122" t="s">
        <v>629</v>
      </c>
      <c r="B94" s="123">
        <v>8</v>
      </c>
      <c r="C94" s="123" t="s">
        <v>606</v>
      </c>
      <c r="D94" s="123" t="s">
        <v>607</v>
      </c>
      <c r="E94" s="123" t="s">
        <v>602</v>
      </c>
      <c r="F94" s="124">
        <f t="shared" si="491"/>
      </c>
      <c r="G94" s="124">
        <f t="shared" si="309"/>
      </c>
      <c r="H94" s="134">
        <f>H92*0.85</f>
      </c>
      <c r="I94" s="124">
        <f t="shared" si="763"/>
      </c>
      <c r="J94" s="123">
        <v>5.87</v>
      </c>
      <c r="K94" s="126">
        <v>0.15</v>
      </c>
      <c r="L94" s="126">
        <v>0.16</v>
      </c>
      <c r="M94" s="126">
        <v>0.05</v>
      </c>
      <c r="N94" s="123">
        <f t="shared" si="659"/>
      </c>
      <c r="O94" s="127">
        <v>0.01</v>
      </c>
      <c r="P94" s="126">
        <v>0.02</v>
      </c>
      <c r="Q94" s="124">
        <v>10</v>
      </c>
      <c r="R94" s="123"/>
      <c r="S94" s="123"/>
      <c r="T94" s="123"/>
      <c r="U94" s="123"/>
      <c r="V94" s="124"/>
      <c r="W94" s="124"/>
      <c r="X94" s="123" t="s">
        <v>603</v>
      </c>
      <c r="Y94" s="128">
        <v>5.55136</v>
      </c>
      <c r="Z94" s="129">
        <v>13</v>
      </c>
      <c r="AA94" s="124">
        <f t="shared" si="19"/>
      </c>
      <c r="AB94" s="127">
        <f t="shared" si="569"/>
      </c>
      <c r="AC94" s="123"/>
      <c r="AD94" s="130">
        <f t="shared" si="387"/>
      </c>
      <c r="AE94" s="123">
        <f t="shared" si="250"/>
      </c>
      <c r="AF94" s="123">
        <f t="shared" si="460"/>
      </c>
      <c r="AG94" s="123">
        <f t="shared" si="273"/>
      </c>
      <c r="AH94" s="123">
        <f t="shared" si="97"/>
      </c>
      <c r="AI94" s="126">
        <v>0.02</v>
      </c>
      <c r="AJ94" s="123">
        <f t="shared" si="945"/>
      </c>
    </row>
    <row customHeight="true" ht="13.333333333333332" r="95">
      <c r="A95" s="122" t="s">
        <v>630</v>
      </c>
      <c r="B95" s="123">
        <v>8</v>
      </c>
      <c r="C95" s="123" t="s">
        <v>606</v>
      </c>
      <c r="D95" s="123" t="s">
        <v>607</v>
      </c>
      <c r="E95" s="123" t="s">
        <v>602</v>
      </c>
      <c r="F95" s="124">
        <f t="shared" si="491"/>
      </c>
      <c r="G95" s="124">
        <f t="shared" si="309"/>
      </c>
      <c r="H95" s="125">
        <f>H92*0.8</f>
      </c>
      <c r="I95" s="124">
        <f t="shared" si="763"/>
      </c>
      <c r="J95" s="123">
        <v>5.87</v>
      </c>
      <c r="K95" s="126">
        <v>0.15</v>
      </c>
      <c r="L95" s="126">
        <v>0.16</v>
      </c>
      <c r="M95" s="126">
        <v>0.05</v>
      </c>
      <c r="N95" s="123">
        <f t="shared" si="659"/>
      </c>
      <c r="O95" s="127">
        <v>0.01</v>
      </c>
      <c r="P95" s="126">
        <v>0.02</v>
      </c>
      <c r="Q95" s="124">
        <v>10</v>
      </c>
      <c r="R95" s="123"/>
      <c r="S95" s="123"/>
      <c r="T95" s="123"/>
      <c r="U95" s="123"/>
      <c r="V95" s="124"/>
      <c r="W95" s="124"/>
      <c r="X95" s="123" t="s">
        <v>603</v>
      </c>
      <c r="Y95" s="128">
        <v>5.55136</v>
      </c>
      <c r="Z95" s="129">
        <v>13</v>
      </c>
      <c r="AA95" s="124">
        <f t="shared" si="19"/>
      </c>
      <c r="AB95" s="127">
        <f t="shared" si="569"/>
      </c>
      <c r="AC95" s="123"/>
      <c r="AD95" s="130">
        <f t="shared" si="387"/>
      </c>
      <c r="AE95" s="123">
        <f>I95/7.4/H95</f>
      </c>
      <c r="AF95" s="123">
        <f>Z95/7.4/H95</f>
      </c>
      <c r="AG95" s="126">
        <v>0.15</v>
      </c>
      <c r="AH95" s="123">
        <f t="shared" si="97"/>
      </c>
      <c r="AI95" s="126">
        <v>0.02</v>
      </c>
      <c r="AJ95" s="123">
        <f t="shared" si="945"/>
      </c>
    </row>
    <row customHeight="true" ht="23.703703703703702" r="96">
      <c r="A96" s="132"/>
      <c r="B96" s="132"/>
      <c r="C96" s="132"/>
      <c r="D96" s="132"/>
      <c r="E96" s="123"/>
      <c r="F96" s="124"/>
      <c r="G96" s="124"/>
      <c r="H96" s="123"/>
      <c r="I96" s="124"/>
      <c r="J96" s="123"/>
      <c r="K96" s="126"/>
      <c r="L96" s="126"/>
      <c r="M96" s="126"/>
      <c r="N96" s="126"/>
      <c r="O96" s="127"/>
      <c r="P96" s="126"/>
      <c r="Q96" s="126"/>
      <c r="R96" s="123"/>
      <c r="S96" s="123"/>
      <c r="T96" s="123"/>
      <c r="U96" s="123"/>
      <c r="V96" s="124"/>
      <c r="W96" s="124"/>
      <c r="X96" s="123"/>
      <c r="Y96" s="128"/>
      <c r="Z96" s="124"/>
      <c r="AA96" s="124"/>
      <c r="AB96" s="127"/>
      <c r="AC96" s="123"/>
      <c r="AD96" s="130"/>
      <c r="AE96" s="126"/>
      <c r="AF96" s="126"/>
      <c r="AG96" s="126"/>
      <c r="AH96" s="126"/>
      <c r="AI96" s="126"/>
      <c r="AJ96" s="126"/>
    </row>
    <row customHeight="true" ht="13.333333333333332" r="97">
      <c r="A97" s="122" t="s">
        <v>627</v>
      </c>
      <c r="B97" s="123">
        <v>8</v>
      </c>
      <c r="C97" s="123" t="s">
        <v>608</v>
      </c>
      <c r="D97" s="123" t="s">
        <v>609</v>
      </c>
      <c r="E97" s="123" t="s">
        <v>602</v>
      </c>
      <c r="F97" s="124">
        <f t="shared" ref="F97:F100" si="492">IF(E97="有",(I97/B97+J97+Z97/B97)/(0.99999-K97-L97-M97-N97),(I97/B97+J97+Z97/B97)/(0.99999-K97-M97-N97))</f>
      </c>
      <c r="G97" s="124">
        <f t="shared" ref="G97:G100" si="310">IF(E97="有",(I97/B97+J97+Z97/B97)/(0.8-K97-L97-M97-N97-O97-P97),(I97/B97+J97+Z97/B97)/(0.8-K97-M97-N97-O97-P97))</f>
      </c>
      <c r="H97" s="125">
        <v>84.99</v>
      </c>
      <c r="I97" s="124">
        <f t="shared" ref="I97:I100" si="764">208/1.13</f>
      </c>
      <c r="J97" s="123">
        <v>5.51</v>
      </c>
      <c r="K97" s="126">
        <v>0.15</v>
      </c>
      <c r="L97" s="126">
        <v>0.16</v>
      </c>
      <c r="M97" s="126">
        <v>0.05</v>
      </c>
      <c r="N97" s="123">
        <f t="shared" ref="N97:N100" si="660">Q97/H97</f>
      </c>
      <c r="O97" s="127">
        <v>0.01</v>
      </c>
      <c r="P97" s="126">
        <v>0.02</v>
      </c>
      <c r="Q97" s="124">
        <v>10</v>
      </c>
      <c r="R97" s="123"/>
      <c r="S97" s="123"/>
      <c r="T97" s="123"/>
      <c r="U97" s="123"/>
      <c r="V97" s="124"/>
      <c r="W97" s="124"/>
      <c r="X97" s="123" t="s">
        <v>603</v>
      </c>
      <c r="Y97" s="128">
        <v>5.55136</v>
      </c>
      <c r="Z97" s="129">
        <v>13</v>
      </c>
      <c r="AA97" s="124">
        <f t="shared" ref="AA97:AA100" si="20">H97-SUM(K97:P97)*H97-J97-I97/B97-Z97/B97</f>
      </c>
      <c r="AB97" s="127">
        <f t="shared" ref="AB97:AB100" si="570">AA97/H97</f>
      </c>
      <c r="AC97" s="123"/>
      <c r="AD97" s="130">
        <f t="shared" ref="AD97:AD100" si="388">J97/H97</f>
      </c>
      <c r="AE97" s="123">
        <f>I97/7.4/H97</f>
      </c>
      <c r="AF97" s="123">
        <f>Z97/7.4/H97</f>
      </c>
      <c r="AG97" s="126">
        <v>0.15</v>
      </c>
      <c r="AH97" s="123">
        <f t="shared" ref="AH97:AH100" si="98">N97</f>
      </c>
      <c r="AI97" s="126">
        <v>0.02</v>
      </c>
      <c r="AJ97" s="123">
        <f t="shared" ref="AJ97:AJ100" si="946">M97</f>
      </c>
    </row>
    <row customHeight="true" ht="13.333333333333332" r="98">
      <c r="A98" s="122" t="s">
        <v>628</v>
      </c>
      <c r="B98" s="123">
        <v>8</v>
      </c>
      <c r="C98" s="123" t="s">
        <v>608</v>
      </c>
      <c r="D98" s="123" t="s">
        <v>609</v>
      </c>
      <c r="E98" s="123" t="s">
        <v>602</v>
      </c>
      <c r="F98" s="124">
        <f t="shared" si="492"/>
      </c>
      <c r="G98" s="124">
        <f t="shared" si="310"/>
      </c>
      <c r="H98" s="125">
        <f>H97*0.9</f>
      </c>
      <c r="I98" s="124">
        <f t="shared" si="764"/>
      </c>
      <c r="J98" s="123">
        <v>5.51</v>
      </c>
      <c r="K98" s="126">
        <v>0.15</v>
      </c>
      <c r="L98" s="126">
        <v>0.16</v>
      </c>
      <c r="M98" s="126">
        <v>0.05</v>
      </c>
      <c r="N98" s="123">
        <f t="shared" si="660"/>
      </c>
      <c r="O98" s="127">
        <v>0.01</v>
      </c>
      <c r="P98" s="126">
        <v>0.02</v>
      </c>
      <c r="Q98" s="124">
        <v>10</v>
      </c>
      <c r="R98" s="123"/>
      <c r="S98" s="123"/>
      <c r="T98" s="123"/>
      <c r="U98" s="123"/>
      <c r="V98" s="124"/>
      <c r="W98" s="124"/>
      <c r="X98" s="123" t="s">
        <v>603</v>
      </c>
      <c r="Y98" s="128">
        <v>5.55136</v>
      </c>
      <c r="Z98" s="129">
        <v>13</v>
      </c>
      <c r="AA98" s="124">
        <f t="shared" si="20"/>
      </c>
      <c r="AB98" s="127">
        <f t="shared" si="570"/>
      </c>
      <c r="AC98" s="123"/>
      <c r="AD98" s="130">
        <f t="shared" si="388"/>
      </c>
      <c r="AE98" s="123">
        <f t="shared" ref="AE98:AE99" si="251">I98/B98/H98</f>
      </c>
      <c r="AF98" s="123">
        <f t="shared" ref="AF98:AF99" si="461">Z98/B98/H98</f>
      </c>
      <c r="AG98" s="123">
        <f t="shared" ref="AG98:AG99" si="274">K98</f>
      </c>
      <c r="AH98" s="123">
        <f t="shared" si="98"/>
      </c>
      <c r="AI98" s="126">
        <v>0.02</v>
      </c>
      <c r="AJ98" s="123">
        <f t="shared" si="946"/>
      </c>
    </row>
    <row customHeight="true" ht="13.333333333333332" r="99">
      <c r="A99" s="122" t="s">
        <v>629</v>
      </c>
      <c r="B99" s="123">
        <v>8</v>
      </c>
      <c r="C99" s="123" t="s">
        <v>608</v>
      </c>
      <c r="D99" s="123" t="s">
        <v>609</v>
      </c>
      <c r="E99" s="123" t="s">
        <v>602</v>
      </c>
      <c r="F99" s="124">
        <f t="shared" si="492"/>
      </c>
      <c r="G99" s="124">
        <f t="shared" si="310"/>
      </c>
      <c r="H99" s="134">
        <f>H97*0.85</f>
      </c>
      <c r="I99" s="124">
        <f t="shared" si="764"/>
      </c>
      <c r="J99" s="123">
        <v>5.51</v>
      </c>
      <c r="K99" s="126">
        <v>0.15</v>
      </c>
      <c r="L99" s="126">
        <v>0.16</v>
      </c>
      <c r="M99" s="126">
        <v>0.05</v>
      </c>
      <c r="N99" s="123">
        <f t="shared" si="660"/>
      </c>
      <c r="O99" s="127">
        <v>0.01</v>
      </c>
      <c r="P99" s="126">
        <v>0.02</v>
      </c>
      <c r="Q99" s="124">
        <v>10</v>
      </c>
      <c r="R99" s="123"/>
      <c r="S99" s="123"/>
      <c r="T99" s="123"/>
      <c r="U99" s="123"/>
      <c r="V99" s="124"/>
      <c r="W99" s="124"/>
      <c r="X99" s="123" t="s">
        <v>603</v>
      </c>
      <c r="Y99" s="128">
        <v>5.55136</v>
      </c>
      <c r="Z99" s="129">
        <v>13</v>
      </c>
      <c r="AA99" s="124">
        <f t="shared" si="20"/>
      </c>
      <c r="AB99" s="127">
        <f t="shared" si="570"/>
      </c>
      <c r="AC99" s="123"/>
      <c r="AD99" s="130">
        <f t="shared" si="388"/>
      </c>
      <c r="AE99" s="123">
        <f t="shared" si="251"/>
      </c>
      <c r="AF99" s="123">
        <f t="shared" si="461"/>
      </c>
      <c r="AG99" s="123">
        <f t="shared" si="274"/>
      </c>
      <c r="AH99" s="123">
        <f t="shared" si="98"/>
      </c>
      <c r="AI99" s="126">
        <v>0.02</v>
      </c>
      <c r="AJ99" s="123">
        <f t="shared" si="946"/>
      </c>
    </row>
    <row customHeight="true" ht="13.333333333333332" r="100">
      <c r="A100" s="122" t="s">
        <v>630</v>
      </c>
      <c r="B100" s="123">
        <v>8</v>
      </c>
      <c r="C100" s="123" t="s">
        <v>608</v>
      </c>
      <c r="D100" s="123" t="s">
        <v>609</v>
      </c>
      <c r="E100" s="123" t="s">
        <v>602</v>
      </c>
      <c r="F100" s="124">
        <f t="shared" si="492"/>
      </c>
      <c r="G100" s="124">
        <f t="shared" si="310"/>
      </c>
      <c r="H100" s="125">
        <f>H97*0.8</f>
      </c>
      <c r="I100" s="124">
        <f t="shared" si="764"/>
      </c>
      <c r="J100" s="123">
        <v>5.51</v>
      </c>
      <c r="K100" s="126">
        <v>0.15</v>
      </c>
      <c r="L100" s="126">
        <v>0.16</v>
      </c>
      <c r="M100" s="126">
        <v>0.05</v>
      </c>
      <c r="N100" s="123">
        <f t="shared" si="660"/>
      </c>
      <c r="O100" s="127">
        <v>0.01</v>
      </c>
      <c r="P100" s="126">
        <v>0.02</v>
      </c>
      <c r="Q100" s="124">
        <v>10</v>
      </c>
      <c r="R100" s="123"/>
      <c r="S100" s="123"/>
      <c r="T100" s="123"/>
      <c r="U100" s="123"/>
      <c r="V100" s="124"/>
      <c r="W100" s="124"/>
      <c r="X100" s="123" t="s">
        <v>603</v>
      </c>
      <c r="Y100" s="128">
        <v>5.55136</v>
      </c>
      <c r="Z100" s="129">
        <v>13</v>
      </c>
      <c r="AA100" s="124">
        <f t="shared" si="20"/>
      </c>
      <c r="AB100" s="127">
        <f t="shared" si="570"/>
      </c>
      <c r="AC100" s="123"/>
      <c r="AD100" s="130">
        <f t="shared" si="388"/>
      </c>
      <c r="AE100" s="123">
        <f>I100/7.4/H100</f>
      </c>
      <c r="AF100" s="123">
        <f>Z100/7.4/H100</f>
      </c>
      <c r="AG100" s="126">
        <v>0.15</v>
      </c>
      <c r="AH100" s="123">
        <f t="shared" si="98"/>
      </c>
      <c r="AI100" s="126">
        <v>0.02</v>
      </c>
      <c r="AJ100" s="123">
        <f t="shared" si="946"/>
      </c>
    </row>
    <row customHeight="true" ht="23.703703703703702" r="101">
      <c r="A101" s="132"/>
      <c r="B101" s="132"/>
      <c r="C101" s="132"/>
      <c r="D101" s="132"/>
      <c r="E101" s="123"/>
      <c r="F101" s="124"/>
      <c r="G101" s="124"/>
      <c r="H101" s="123"/>
      <c r="I101" s="124"/>
      <c r="J101" s="123"/>
      <c r="K101" s="126"/>
      <c r="L101" s="126"/>
      <c r="M101" s="126"/>
      <c r="N101" s="126"/>
      <c r="O101" s="127"/>
      <c r="P101" s="126"/>
      <c r="Q101" s="126"/>
      <c r="R101" s="123"/>
      <c r="S101" s="123"/>
      <c r="T101" s="123"/>
      <c r="U101" s="123"/>
      <c r="V101" s="124"/>
      <c r="W101" s="124"/>
      <c r="X101" s="123"/>
      <c r="Y101" s="128"/>
      <c r="Z101" s="124"/>
      <c r="AA101" s="124"/>
      <c r="AB101" s="127"/>
      <c r="AC101" s="123"/>
      <c r="AD101" s="130"/>
      <c r="AE101" s="126"/>
      <c r="AF101" s="126"/>
      <c r="AG101" s="126"/>
      <c r="AH101" s="126"/>
      <c r="AI101" s="126"/>
      <c r="AJ101" s="126"/>
    </row>
    <row customHeight="true" ht="13.333333333333332" r="102">
      <c r="A102" s="122" t="s">
        <v>627</v>
      </c>
      <c r="B102" s="123">
        <v>8</v>
      </c>
      <c r="C102" s="123" t="s">
        <v>611</v>
      </c>
      <c r="D102" s="123" t="s">
        <v>612</v>
      </c>
      <c r="E102" s="123" t="s">
        <v>602</v>
      </c>
      <c r="F102" s="124">
        <f t="shared" ref="F102:F105" si="493">IF(E102="有",(I102/B102+J102+Z102/B102)/(0.99999-K102-L102-M102-N102),(I102/B102+J102+Z102/B102)/(0.99999-K102-M102-N102))</f>
      </c>
      <c r="G102" s="124">
        <f t="shared" ref="G102:G105" si="311">IF(E102="有",(I102/B102+J102+Z102/B102)/(0.8-K102-L102-M102-N102-O102-P102),(I102/B102+J102+Z102/B102)/(0.8-K102-M102-N102-O102-P102))</f>
      </c>
      <c r="H102" s="125">
        <v>84.99</v>
      </c>
      <c r="I102" s="124">
        <f t="shared" ref="I102:I105" si="765">208/1.13</f>
      </c>
      <c r="J102" s="123">
        <v>4.21</v>
      </c>
      <c r="K102" s="126">
        <v>0.15</v>
      </c>
      <c r="L102" s="126">
        <v>0.16</v>
      </c>
      <c r="M102" s="126">
        <v>0.05</v>
      </c>
      <c r="N102" s="123">
        <f t="shared" ref="N102:N105" si="661">Q102/H102</f>
      </c>
      <c r="O102" s="127">
        <v>0.01</v>
      </c>
      <c r="P102" s="126">
        <v>0.02</v>
      </c>
      <c r="Q102" s="124">
        <v>10</v>
      </c>
      <c r="R102" s="123"/>
      <c r="S102" s="123"/>
      <c r="T102" s="123"/>
      <c r="U102" s="123"/>
      <c r="V102" s="124"/>
      <c r="W102" s="124"/>
      <c r="X102" s="123" t="s">
        <v>603</v>
      </c>
      <c r="Y102" s="128">
        <v>5.55136</v>
      </c>
      <c r="Z102" s="129">
        <v>13</v>
      </c>
      <c r="AA102" s="124">
        <f t="shared" ref="AA102:AA105" si="21">H102-SUM(K102:P102)*H102-J102-I102/B102-Z102/B102</f>
      </c>
      <c r="AB102" s="127">
        <f t="shared" ref="AB102:AB105" si="571">AA102/H102</f>
      </c>
      <c r="AC102" s="123"/>
      <c r="AD102" s="130">
        <f t="shared" ref="AD102:AD105" si="389">J102/H102</f>
      </c>
      <c r="AE102" s="123">
        <f>I102/7.4/H102</f>
      </c>
      <c r="AF102" s="123">
        <f>Z102/7.4/H102</f>
      </c>
      <c r="AG102" s="126">
        <v>0.15</v>
      </c>
      <c r="AH102" s="123">
        <f t="shared" ref="AH102:AH105" si="99">N102</f>
      </c>
      <c r="AI102" s="126">
        <v>0.02</v>
      </c>
      <c r="AJ102" s="123">
        <f t="shared" ref="AJ102:AJ105" si="947">M102</f>
      </c>
    </row>
    <row customHeight="true" ht="13.333333333333332" r="103">
      <c r="A103" s="122" t="s">
        <v>628</v>
      </c>
      <c r="B103" s="123">
        <v>8</v>
      </c>
      <c r="C103" s="123" t="s">
        <v>611</v>
      </c>
      <c r="D103" s="123" t="s">
        <v>612</v>
      </c>
      <c r="E103" s="123" t="s">
        <v>602</v>
      </c>
      <c r="F103" s="124">
        <f t="shared" si="493"/>
      </c>
      <c r="G103" s="124">
        <f t="shared" si="311"/>
      </c>
      <c r="H103" s="125">
        <f>H102*0.9</f>
      </c>
      <c r="I103" s="124">
        <f t="shared" si="765"/>
      </c>
      <c r="J103" s="123">
        <v>4.21</v>
      </c>
      <c r="K103" s="126">
        <v>0.15</v>
      </c>
      <c r="L103" s="126">
        <v>0.16</v>
      </c>
      <c r="M103" s="126">
        <v>0.05</v>
      </c>
      <c r="N103" s="123">
        <f t="shared" si="661"/>
      </c>
      <c r="O103" s="127">
        <v>0.01</v>
      </c>
      <c r="P103" s="126">
        <v>0.02</v>
      </c>
      <c r="Q103" s="124">
        <v>10</v>
      </c>
      <c r="R103" s="123"/>
      <c r="S103" s="123"/>
      <c r="T103" s="123"/>
      <c r="U103" s="123"/>
      <c r="V103" s="124"/>
      <c r="W103" s="124"/>
      <c r="X103" s="123" t="s">
        <v>603</v>
      </c>
      <c r="Y103" s="128">
        <v>5.55136</v>
      </c>
      <c r="Z103" s="129">
        <v>13</v>
      </c>
      <c r="AA103" s="124">
        <f t="shared" si="21"/>
      </c>
      <c r="AB103" s="127">
        <f t="shared" si="571"/>
      </c>
      <c r="AC103" s="123"/>
      <c r="AD103" s="130">
        <f t="shared" si="389"/>
      </c>
      <c r="AE103" s="123">
        <f t="shared" ref="AE103:AE104" si="252">I103/B103/H103</f>
      </c>
      <c r="AF103" s="123">
        <f t="shared" ref="AF103:AF104" si="462">Z103/B103/H103</f>
      </c>
      <c r="AG103" s="123">
        <f t="shared" ref="AG103:AG104" si="275">K103</f>
      </c>
      <c r="AH103" s="123">
        <f t="shared" si="99"/>
      </c>
      <c r="AI103" s="126">
        <v>0.02</v>
      </c>
      <c r="AJ103" s="123">
        <f t="shared" si="947"/>
      </c>
    </row>
    <row customHeight="true" ht="13.333333333333332" r="104">
      <c r="A104" s="122" t="s">
        <v>629</v>
      </c>
      <c r="B104" s="123">
        <v>8</v>
      </c>
      <c r="C104" s="123" t="s">
        <v>611</v>
      </c>
      <c r="D104" s="123" t="s">
        <v>612</v>
      </c>
      <c r="E104" s="123" t="s">
        <v>602</v>
      </c>
      <c r="F104" s="124">
        <f t="shared" si="493"/>
      </c>
      <c r="G104" s="124">
        <f t="shared" si="311"/>
      </c>
      <c r="H104" s="134">
        <f>H102*0.85</f>
      </c>
      <c r="I104" s="124">
        <f t="shared" si="765"/>
      </c>
      <c r="J104" s="123">
        <v>4.21</v>
      </c>
      <c r="K104" s="126">
        <v>0.15</v>
      </c>
      <c r="L104" s="126">
        <v>0.16</v>
      </c>
      <c r="M104" s="126">
        <v>0.05</v>
      </c>
      <c r="N104" s="123">
        <f t="shared" si="661"/>
      </c>
      <c r="O104" s="127">
        <v>0.01</v>
      </c>
      <c r="P104" s="126">
        <v>0.02</v>
      </c>
      <c r="Q104" s="124">
        <v>10</v>
      </c>
      <c r="R104" s="123"/>
      <c r="S104" s="123"/>
      <c r="T104" s="123"/>
      <c r="U104" s="123"/>
      <c r="V104" s="124"/>
      <c r="W104" s="124"/>
      <c r="X104" s="123" t="s">
        <v>603</v>
      </c>
      <c r="Y104" s="128">
        <v>5.55136</v>
      </c>
      <c r="Z104" s="129">
        <v>13</v>
      </c>
      <c r="AA104" s="124">
        <f t="shared" si="21"/>
      </c>
      <c r="AB104" s="127">
        <f t="shared" si="571"/>
      </c>
      <c r="AC104" s="123"/>
      <c r="AD104" s="130">
        <f t="shared" si="389"/>
      </c>
      <c r="AE104" s="123">
        <f t="shared" si="252"/>
      </c>
      <c r="AF104" s="123">
        <f t="shared" si="462"/>
      </c>
      <c r="AG104" s="123">
        <f t="shared" si="275"/>
      </c>
      <c r="AH104" s="123">
        <f t="shared" si="99"/>
      </c>
      <c r="AI104" s="126">
        <v>0.02</v>
      </c>
      <c r="AJ104" s="123">
        <f t="shared" si="947"/>
      </c>
    </row>
    <row customHeight="true" ht="13.333333333333332" r="105">
      <c r="A105" s="122" t="s">
        <v>630</v>
      </c>
      <c r="B105" s="123">
        <v>8</v>
      </c>
      <c r="C105" s="123" t="s">
        <v>611</v>
      </c>
      <c r="D105" s="123" t="s">
        <v>612</v>
      </c>
      <c r="E105" s="123" t="s">
        <v>602</v>
      </c>
      <c r="F105" s="124">
        <f t="shared" si="493"/>
      </c>
      <c r="G105" s="124">
        <f t="shared" si="311"/>
      </c>
      <c r="H105" s="125">
        <f>H102*0.8</f>
      </c>
      <c r="I105" s="124">
        <f t="shared" si="765"/>
      </c>
      <c r="J105" s="123">
        <v>4.21</v>
      </c>
      <c r="K105" s="126">
        <v>0.15</v>
      </c>
      <c r="L105" s="126">
        <v>0.16</v>
      </c>
      <c r="M105" s="126">
        <v>0.05</v>
      </c>
      <c r="N105" s="123">
        <f t="shared" si="661"/>
      </c>
      <c r="O105" s="127">
        <v>0.01</v>
      </c>
      <c r="P105" s="126">
        <v>0.02</v>
      </c>
      <c r="Q105" s="124">
        <v>10</v>
      </c>
      <c r="R105" s="123"/>
      <c r="S105" s="123"/>
      <c r="T105" s="123"/>
      <c r="U105" s="123"/>
      <c r="V105" s="124"/>
      <c r="W105" s="124"/>
      <c r="X105" s="123" t="s">
        <v>603</v>
      </c>
      <c r="Y105" s="128">
        <v>5.55136</v>
      </c>
      <c r="Z105" s="129">
        <v>13</v>
      </c>
      <c r="AA105" s="124">
        <f t="shared" si="21"/>
      </c>
      <c r="AB105" s="127">
        <f t="shared" si="571"/>
      </c>
      <c r="AC105" s="123"/>
      <c r="AD105" s="130">
        <f t="shared" si="389"/>
      </c>
      <c r="AE105" s="123">
        <f>I105/7.4/H105</f>
      </c>
      <c r="AF105" s="123">
        <f>Z105/7.4/H105</f>
      </c>
      <c r="AG105" s="126">
        <v>0.15</v>
      </c>
      <c r="AH105" s="123">
        <f t="shared" si="99"/>
      </c>
      <c r="AI105" s="126">
        <v>0.02</v>
      </c>
      <c r="AJ105" s="123">
        <f t="shared" si="947"/>
      </c>
    </row>
    <row customHeight="true" ht="23.703703703703702" r="106">
      <c r="E106" s="123"/>
      <c r="F106" s="124"/>
      <c r="G106" s="124"/>
      <c r="H106" s="123"/>
      <c r="I106" s="124"/>
      <c r="J106" s="123"/>
      <c r="K106" s="126"/>
      <c r="L106" s="126"/>
      <c r="M106" s="126"/>
      <c r="N106" s="126"/>
      <c r="O106" s="127"/>
      <c r="P106" s="126"/>
      <c r="Q106" s="126"/>
      <c r="R106" s="123"/>
      <c r="S106" s="123"/>
      <c r="T106" s="123"/>
      <c r="U106" s="123"/>
      <c r="V106" s="124"/>
      <c r="W106" s="124"/>
      <c r="X106" s="123"/>
      <c r="Y106" s="128"/>
      <c r="Z106" s="124"/>
      <c r="AA106" s="124"/>
      <c r="AB106" s="127"/>
      <c r="AC106" s="123"/>
      <c r="AD106" s="130"/>
      <c r="AE106" s="126"/>
      <c r="AF106" s="126"/>
      <c r="AG106" s="126"/>
      <c r="AH106" s="126"/>
      <c r="AI106" s="126"/>
      <c r="AJ106" s="126"/>
    </row>
    <row customHeight="true" ht="13.333333333333332" r="107">
      <c r="A107" s="122" t="s">
        <v>631</v>
      </c>
      <c r="B107" s="123">
        <v>9</v>
      </c>
      <c r="C107" s="123" t="s">
        <v>613</v>
      </c>
      <c r="D107" s="123" t="s">
        <v>614</v>
      </c>
      <c r="E107" s="123" t="s">
        <v>602</v>
      </c>
      <c r="F107" s="124">
        <f t="shared" ref="F107:F109" si="494">IF(E107="有",(I107/B107+J107+Z107/B107)/(0.99999-K107-L107-M107-N107),(I107/B107+J107+Z107/B107)/(0.99999-K107-M107-N107))</f>
      </c>
      <c r="G107" s="124">
        <f t="shared" ref="G107:G109" si="312">IF(E107="有",(I107/B107+J107+Z107/B107)/(0.8-K107-L107-M107-N107-O107-P107),(I107/B107+J107+Z107/B107)/(0.8-K107-M107-N107-O107-P107))</f>
      </c>
      <c r="H107" s="125">
        <v>74.99</v>
      </c>
      <c r="I107" s="124">
        <f t="shared" ref="I107:I109" si="766">208/1.13</f>
      </c>
      <c r="J107" s="123">
        <v>3.05</v>
      </c>
      <c r="K107" s="126">
        <v>0.15</v>
      </c>
      <c r="L107" s="126">
        <v>0.16</v>
      </c>
      <c r="M107" s="126">
        <v>0.05</v>
      </c>
      <c r="N107" s="123">
        <f t="shared" ref="N107:N109" si="662">Q107/H107</f>
      </c>
      <c r="O107" s="127">
        <f t="shared" ref="O107:O109" si="886">0.61/H107</f>
      </c>
      <c r="P107" s="126">
        <v>0.02</v>
      </c>
      <c r="Q107" s="124">
        <v>10</v>
      </c>
      <c r="R107" s="123">
        <v>33.5</v>
      </c>
      <c r="S107" s="123">
        <v>26.5</v>
      </c>
      <c r="T107" s="123">
        <v>25</v>
      </c>
      <c r="U107" s="123">
        <v>2.3</v>
      </c>
      <c r="V107" s="124">
        <f t="shared" ref="V107:V109" si="789">R107*S107*T107/6000</f>
      </c>
      <c r="W107" s="124">
        <f t="shared" ref="W107:W109" si="184">MAX(U107:V107)</f>
      </c>
      <c r="X107" s="123" t="s">
        <v>603</v>
      </c>
      <c r="Y107" s="128">
        <v>6.084</v>
      </c>
      <c r="Z107" s="129">
        <v>18</v>
      </c>
      <c r="AA107" s="124">
        <f t="shared" ref="AA107:AA109" si="22">H107-SUM(K107:P107)*H107-J107-I107/B107-Z107/B107</f>
      </c>
      <c r="AB107" s="127">
        <f t="shared" ref="AB107:AB109" si="572">AA107/H107</f>
      </c>
      <c r="AC107" s="123"/>
      <c r="AD107" s="130">
        <f t="shared" ref="AD107:AD109" si="390">J107/H107</f>
      </c>
      <c r="AE107" s="123">
        <f t="shared" ref="AE107:AE109" si="836">I107/7.4/H107</f>
      </c>
      <c r="AF107" s="123">
        <f t="shared" ref="AF107:AF109" si="719">Z107/7.4/H107</f>
      </c>
      <c r="AG107" s="126">
        <v>0.15</v>
      </c>
      <c r="AH107" s="123">
        <f t="shared" ref="AH107:AH109" si="100">N107</f>
      </c>
      <c r="AI107" s="126">
        <v>0.02</v>
      </c>
      <c r="AJ107" s="123">
        <f t="shared" ref="AJ107:AJ109" si="948">M107</f>
      </c>
    </row>
    <row customHeight="true" ht="13.333333333333332" r="108">
      <c r="A108" s="122" t="s">
        <v>628</v>
      </c>
      <c r="B108" s="123">
        <v>9</v>
      </c>
      <c r="C108" s="123" t="s">
        <v>613</v>
      </c>
      <c r="D108" s="123" t="s">
        <v>614</v>
      </c>
      <c r="E108" s="123" t="s">
        <v>602</v>
      </c>
      <c r="F108" s="124">
        <f t="shared" si="494"/>
      </c>
      <c r="G108" s="124">
        <f t="shared" si="312"/>
      </c>
      <c r="H108" s="125">
        <f>H107*0.9</f>
      </c>
      <c r="I108" s="124">
        <f t="shared" si="766"/>
      </c>
      <c r="J108" s="123">
        <v>3.05</v>
      </c>
      <c r="K108" s="126">
        <v>0.15</v>
      </c>
      <c r="L108" s="126">
        <v>0.16</v>
      </c>
      <c r="M108" s="126">
        <v>0.05</v>
      </c>
      <c r="N108" s="123">
        <f t="shared" si="662"/>
      </c>
      <c r="O108" s="127">
        <f t="shared" si="886"/>
      </c>
      <c r="P108" s="126">
        <v>0.02</v>
      </c>
      <c r="Q108" s="124">
        <v>10</v>
      </c>
      <c r="R108" s="123">
        <v>33.5</v>
      </c>
      <c r="S108" s="123">
        <v>26.5</v>
      </c>
      <c r="T108" s="123">
        <v>25</v>
      </c>
      <c r="U108" s="123">
        <v>2.3</v>
      </c>
      <c r="V108" s="124">
        <f t="shared" si="789"/>
      </c>
      <c r="W108" s="124">
        <f t="shared" si="184"/>
      </c>
      <c r="X108" s="123" t="s">
        <v>603</v>
      </c>
      <c r="Y108" s="128">
        <v>6.084</v>
      </c>
      <c r="Z108" s="129">
        <v>18</v>
      </c>
      <c r="AA108" s="124">
        <f t="shared" si="22"/>
      </c>
      <c r="AB108" s="127">
        <f t="shared" si="572"/>
      </c>
      <c r="AC108" s="123"/>
      <c r="AD108" s="130">
        <f t="shared" si="390"/>
      </c>
      <c r="AE108" s="123">
        <f t="shared" si="836"/>
      </c>
      <c r="AF108" s="123">
        <f t="shared" si="719"/>
      </c>
      <c r="AG108" s="126">
        <v>0.15</v>
      </c>
      <c r="AH108" s="123">
        <f t="shared" si="100"/>
      </c>
      <c r="AI108" s="126">
        <v>0.02</v>
      </c>
      <c r="AJ108" s="123">
        <f t="shared" si="948"/>
      </c>
    </row>
    <row customHeight="true" ht="13.333333333333332" r="109">
      <c r="A109" s="122" t="s">
        <v>629</v>
      </c>
      <c r="B109" s="123">
        <v>9</v>
      </c>
      <c r="C109" s="123" t="s">
        <v>613</v>
      </c>
      <c r="D109" s="123" t="s">
        <v>614</v>
      </c>
      <c r="E109" s="123" t="s">
        <v>602</v>
      </c>
      <c r="F109" s="124">
        <f t="shared" si="494"/>
      </c>
      <c r="G109" s="124">
        <f t="shared" si="312"/>
      </c>
      <c r="H109" s="134">
        <f>H107*0.85</f>
      </c>
      <c r="I109" s="124">
        <f t="shared" si="766"/>
      </c>
      <c r="J109" s="123">
        <v>3.05</v>
      </c>
      <c r="K109" s="126">
        <v>0.15</v>
      </c>
      <c r="L109" s="126">
        <v>0.16</v>
      </c>
      <c r="M109" s="126">
        <v>0.05</v>
      </c>
      <c r="N109" s="123">
        <f t="shared" si="662"/>
      </c>
      <c r="O109" s="127">
        <f t="shared" si="886"/>
      </c>
      <c r="P109" s="126">
        <v>0.02</v>
      </c>
      <c r="Q109" s="124">
        <v>10</v>
      </c>
      <c r="R109" s="123">
        <v>33.5</v>
      </c>
      <c r="S109" s="123">
        <v>26.5</v>
      </c>
      <c r="T109" s="123">
        <v>25</v>
      </c>
      <c r="U109" s="123">
        <v>2.3</v>
      </c>
      <c r="V109" s="124">
        <f t="shared" si="789"/>
      </c>
      <c r="W109" s="124">
        <f t="shared" si="184"/>
      </c>
      <c r="X109" s="123" t="s">
        <v>603</v>
      </c>
      <c r="Y109" s="128">
        <v>6.084</v>
      </c>
      <c r="Z109" s="129">
        <v>18</v>
      </c>
      <c r="AA109" s="124">
        <f t="shared" si="22"/>
      </c>
      <c r="AB109" s="127">
        <f t="shared" si="572"/>
      </c>
      <c r="AC109" s="123"/>
      <c r="AD109" s="130">
        <f t="shared" si="390"/>
      </c>
      <c r="AE109" s="123">
        <f t="shared" si="836"/>
      </c>
      <c r="AF109" s="123">
        <f t="shared" si="719"/>
      </c>
      <c r="AG109" s="126">
        <v>0.15</v>
      </c>
      <c r="AH109" s="123">
        <f t="shared" si="100"/>
      </c>
      <c r="AI109" s="126">
        <v>0.02</v>
      </c>
      <c r="AJ109" s="123">
        <f t="shared" si="948"/>
      </c>
    </row>
    <row customHeight="true" ht="23.703703703703702" r="110">
      <c r="E110" s="123"/>
      <c r="F110" s="124"/>
      <c r="G110" s="124"/>
      <c r="H110" s="123"/>
      <c r="I110" s="124"/>
      <c r="J110" s="123"/>
      <c r="K110" s="126"/>
      <c r="L110" s="126"/>
      <c r="M110" s="126"/>
      <c r="N110" s="126"/>
      <c r="O110" s="127"/>
      <c r="P110" s="126"/>
      <c r="Q110" s="126"/>
      <c r="R110" s="123"/>
      <c r="S110" s="123"/>
      <c r="T110" s="123"/>
      <c r="U110" s="123"/>
      <c r="V110" s="124"/>
      <c r="W110" s="124"/>
      <c r="X110" s="123"/>
      <c r="Y110" s="128"/>
      <c r="Z110" s="124"/>
      <c r="AA110" s="124"/>
      <c r="AB110" s="127"/>
      <c r="AC110" s="123"/>
      <c r="AD110" s="130"/>
      <c r="AE110" s="126"/>
      <c r="AF110" s="126"/>
      <c r="AG110" s="126"/>
      <c r="AH110" s="126"/>
      <c r="AI110" s="126"/>
      <c r="AJ110" s="126"/>
    </row>
    <row customHeight="true" ht="13.333333333333332" r="111">
      <c r="A111" s="133" t="s">
        <v>632</v>
      </c>
      <c r="B111" s="123">
        <v>8</v>
      </c>
      <c r="C111" s="123" t="s">
        <v>600</v>
      </c>
      <c r="D111" s="123" t="s">
        <v>601</v>
      </c>
      <c r="E111" s="123" t="s">
        <v>602</v>
      </c>
      <c r="F111" s="124">
        <f t="shared" ref="F111:F114" si="495">IF(E111="有",(I111/B111+J111+Z111/B111)/(0.99999-K111-L111-M111-N111),(I111/B111+J111+Z111/B111)/(0.99999-K111-M111-N111))</f>
      </c>
      <c r="G111" s="124">
        <f t="shared" ref="G111:G114" si="313">IF(E111="有",(I111/B111+J111+Z111/B111)/(0.8-K111-L111-M111-N111-O111-P111),(I111/B111+J111+Z111/B111)/(0.8-K111-M111-N111-O111-P111))</f>
      </c>
      <c r="H111" s="125">
        <v>24.99</v>
      </c>
      <c r="I111" s="124">
        <f t="shared" ref="I111:I114" si="628">49/1.13</f>
      </c>
      <c r="J111" s="123">
        <v>3.04</v>
      </c>
      <c r="K111" s="126">
        <v>0.15</v>
      </c>
      <c r="L111" s="126">
        <v>0.16</v>
      </c>
      <c r="M111" s="126">
        <v>0.02</v>
      </c>
      <c r="N111" s="123">
        <f t="shared" ref="N111:N114" si="663">Q111/H111</f>
      </c>
      <c r="O111" s="127">
        <v>0.01</v>
      </c>
      <c r="P111" s="126">
        <v>0.02</v>
      </c>
      <c r="Q111" s="124">
        <v>2</v>
      </c>
      <c r="R111" s="123"/>
      <c r="S111" s="123"/>
      <c r="T111" s="123"/>
      <c r="U111" s="123"/>
      <c r="V111" s="124"/>
      <c r="W111" s="124"/>
      <c r="X111" s="123" t="s">
        <v>603</v>
      </c>
      <c r="Y111" s="128">
        <v>5.55136</v>
      </c>
      <c r="Z111" s="129">
        <v>7</v>
      </c>
      <c r="AA111" s="124">
        <f t="shared" ref="AA111:AA114" si="23">H111-SUM(K111:P111)*H111-J111-I111/B111-Z111/B111</f>
      </c>
      <c r="AB111" s="127">
        <f t="shared" ref="AB111:AB114" si="573">AA111/H111</f>
      </c>
      <c r="AC111" s="123"/>
      <c r="AD111" s="130">
        <f t="shared" ref="AD111:AD114" si="391">J111/H111</f>
      </c>
      <c r="AE111" s="123">
        <f>I111/7.4/H111</f>
      </c>
      <c r="AF111" s="123">
        <f>Z111/7.4/H111</f>
      </c>
      <c r="AG111" s="126">
        <v>0.15</v>
      </c>
      <c r="AH111" s="123">
        <f t="shared" ref="AH111:AH114" si="101">N111</f>
      </c>
      <c r="AI111" s="126">
        <v>0.02</v>
      </c>
      <c r="AJ111" s="123">
        <f t="shared" ref="AJ111:AJ114" si="949">M111</f>
      </c>
    </row>
    <row customHeight="true" ht="13.333333333333332" r="112">
      <c r="A112" s="133" t="s">
        <v>633</v>
      </c>
      <c r="B112" s="123">
        <v>8</v>
      </c>
      <c r="C112" s="123" t="s">
        <v>600</v>
      </c>
      <c r="D112" s="123" t="s">
        <v>601</v>
      </c>
      <c r="E112" s="123" t="s">
        <v>602</v>
      </c>
      <c r="F112" s="124">
        <f t="shared" si="495"/>
      </c>
      <c r="G112" s="124">
        <f t="shared" si="313"/>
      </c>
      <c r="H112" s="125">
        <f>H111*0.9</f>
      </c>
      <c r="I112" s="124">
        <f t="shared" si="628"/>
      </c>
      <c r="J112" s="123">
        <v>3.04</v>
      </c>
      <c r="K112" s="126">
        <v>0.15</v>
      </c>
      <c r="L112" s="126">
        <v>0.16</v>
      </c>
      <c r="M112" s="126">
        <v>0.02</v>
      </c>
      <c r="N112" s="123">
        <f t="shared" si="663"/>
      </c>
      <c r="O112" s="127">
        <v>0.01</v>
      </c>
      <c r="P112" s="126">
        <v>0.02</v>
      </c>
      <c r="Q112" s="124">
        <v>2</v>
      </c>
      <c r="R112" s="123"/>
      <c r="S112" s="123"/>
      <c r="T112" s="123"/>
      <c r="U112" s="123"/>
      <c r="V112" s="124"/>
      <c r="W112" s="124"/>
      <c r="X112" s="123" t="s">
        <v>603</v>
      </c>
      <c r="Y112" s="128">
        <v>5.55136</v>
      </c>
      <c r="Z112" s="129">
        <v>7</v>
      </c>
      <c r="AA112" s="124">
        <f t="shared" si="23"/>
      </c>
      <c r="AB112" s="127">
        <f t="shared" si="573"/>
      </c>
      <c r="AC112" s="123"/>
      <c r="AD112" s="130">
        <f t="shared" si="391"/>
      </c>
      <c r="AE112" s="123">
        <f t="shared" ref="AE112:AE113" si="253">I112/B112/H112</f>
      </c>
      <c r="AF112" s="123">
        <f t="shared" ref="AF112:AF113" si="463">Z112/B112/H112</f>
      </c>
      <c r="AG112" s="123">
        <f t="shared" ref="AG112:AG113" si="276">K112</f>
      </c>
      <c r="AH112" s="123">
        <f t="shared" si="101"/>
      </c>
      <c r="AI112" s="126">
        <v>0.02</v>
      </c>
      <c r="AJ112" s="123">
        <f t="shared" si="949"/>
      </c>
    </row>
    <row customHeight="true" ht="13.333333333333332" r="113">
      <c r="A113" s="133" t="s">
        <v>634</v>
      </c>
      <c r="B113" s="123">
        <v>8</v>
      </c>
      <c r="C113" s="123" t="s">
        <v>600</v>
      </c>
      <c r="D113" s="123" t="s">
        <v>601</v>
      </c>
      <c r="E113" s="123" t="s">
        <v>602</v>
      </c>
      <c r="F113" s="124">
        <f t="shared" si="495"/>
      </c>
      <c r="G113" s="124">
        <f t="shared" si="313"/>
      </c>
      <c r="H113" s="134">
        <f>H111*0.85</f>
      </c>
      <c r="I113" s="124">
        <f t="shared" si="628"/>
      </c>
      <c r="J113" s="123">
        <v>3.04</v>
      </c>
      <c r="K113" s="126">
        <v>0.15</v>
      </c>
      <c r="L113" s="126">
        <v>0.16</v>
      </c>
      <c r="M113" s="126">
        <v>0.02</v>
      </c>
      <c r="N113" s="123">
        <f t="shared" si="663"/>
      </c>
      <c r="O113" s="127">
        <v>0.01</v>
      </c>
      <c r="P113" s="126">
        <v>0.02</v>
      </c>
      <c r="Q113" s="124">
        <v>2</v>
      </c>
      <c r="R113" s="123"/>
      <c r="S113" s="123"/>
      <c r="T113" s="123"/>
      <c r="U113" s="123"/>
      <c r="V113" s="124"/>
      <c r="W113" s="124"/>
      <c r="X113" s="123" t="s">
        <v>603</v>
      </c>
      <c r="Y113" s="128">
        <v>5.55136</v>
      </c>
      <c r="Z113" s="129">
        <v>7</v>
      </c>
      <c r="AA113" s="124">
        <f t="shared" si="23"/>
      </c>
      <c r="AB113" s="127">
        <f t="shared" si="573"/>
      </c>
      <c r="AC113" s="123"/>
      <c r="AD113" s="130">
        <f t="shared" si="391"/>
      </c>
      <c r="AE113" s="123">
        <f t="shared" si="253"/>
      </c>
      <c r="AF113" s="123">
        <f t="shared" si="463"/>
      </c>
      <c r="AG113" s="123">
        <f t="shared" si="276"/>
      </c>
      <c r="AH113" s="123">
        <f t="shared" si="101"/>
      </c>
      <c r="AI113" s="126">
        <v>0.02</v>
      </c>
      <c r="AJ113" s="123">
        <f t="shared" si="949"/>
      </c>
    </row>
    <row customHeight="true" ht="13.333333333333332" r="114">
      <c r="A114" s="133" t="s">
        <v>635</v>
      </c>
      <c r="B114" s="123">
        <v>8</v>
      </c>
      <c r="C114" s="123" t="s">
        <v>600</v>
      </c>
      <c r="D114" s="123" t="s">
        <v>601</v>
      </c>
      <c r="E114" s="123" t="s">
        <v>602</v>
      </c>
      <c r="F114" s="124">
        <f t="shared" si="495"/>
      </c>
      <c r="G114" s="124">
        <f t="shared" si="313"/>
      </c>
      <c r="H114" s="125">
        <f>H111*0.8</f>
      </c>
      <c r="I114" s="124">
        <f t="shared" si="628"/>
      </c>
      <c r="J114" s="123">
        <v>3.04</v>
      </c>
      <c r="K114" s="126">
        <v>0.15</v>
      </c>
      <c r="L114" s="126">
        <v>0.16</v>
      </c>
      <c r="M114" s="126">
        <v>0.02</v>
      </c>
      <c r="N114" s="123">
        <f t="shared" si="663"/>
      </c>
      <c r="O114" s="127">
        <v>0.01</v>
      </c>
      <c r="P114" s="126">
        <v>0.02</v>
      </c>
      <c r="Q114" s="124">
        <v>2</v>
      </c>
      <c r="R114" s="123"/>
      <c r="S114" s="123"/>
      <c r="T114" s="123"/>
      <c r="U114" s="123"/>
      <c r="V114" s="124"/>
      <c r="W114" s="124"/>
      <c r="X114" s="123" t="s">
        <v>603</v>
      </c>
      <c r="Y114" s="128">
        <v>5.55136</v>
      </c>
      <c r="Z114" s="129">
        <v>7</v>
      </c>
      <c r="AA114" s="124">
        <f t="shared" si="23"/>
      </c>
      <c r="AB114" s="127">
        <f t="shared" si="573"/>
      </c>
      <c r="AC114" s="123"/>
      <c r="AD114" s="130">
        <f t="shared" si="391"/>
      </c>
      <c r="AE114" s="123">
        <f>I114/7.4/H114</f>
      </c>
      <c r="AF114" s="123">
        <f>Z114/7.4/H114</f>
      </c>
      <c r="AG114" s="126">
        <v>0.15</v>
      </c>
      <c r="AH114" s="123">
        <f t="shared" si="101"/>
      </c>
      <c r="AI114" s="126">
        <v>0.02</v>
      </c>
      <c r="AJ114" s="123">
        <f t="shared" si="949"/>
      </c>
    </row>
    <row customHeight="true" ht="23.703703703703702" r="115">
      <c r="A115" s="132"/>
      <c r="B115" s="132"/>
      <c r="C115" s="132"/>
      <c r="D115" s="132"/>
      <c r="E115" s="123"/>
      <c r="F115" s="124"/>
      <c r="G115" s="124"/>
      <c r="H115" s="123"/>
      <c r="I115" s="124"/>
      <c r="J115" s="123"/>
      <c r="K115" s="126"/>
      <c r="L115" s="126"/>
      <c r="M115" s="126"/>
      <c r="N115" s="126"/>
      <c r="O115" s="127"/>
      <c r="P115" s="126"/>
      <c r="Q115" s="126"/>
      <c r="R115" s="123"/>
      <c r="S115" s="123"/>
      <c r="T115" s="123"/>
      <c r="U115" s="123"/>
      <c r="V115" s="124"/>
      <c r="W115" s="124"/>
      <c r="X115" s="123"/>
      <c r="Y115" s="128"/>
      <c r="Z115" s="124"/>
      <c r="AA115" s="124"/>
      <c r="AB115" s="127"/>
      <c r="AC115" s="123"/>
      <c r="AD115" s="130"/>
      <c r="AE115" s="126"/>
      <c r="AF115" s="126"/>
      <c r="AG115" s="126"/>
      <c r="AH115" s="126"/>
      <c r="AI115" s="126"/>
      <c r="AJ115" s="126"/>
    </row>
    <row customHeight="true" ht="13.333333333333332" r="116">
      <c r="A116" s="133" t="s">
        <v>632</v>
      </c>
      <c r="B116" s="123">
        <v>8</v>
      </c>
      <c r="C116" s="123" t="s">
        <v>606</v>
      </c>
      <c r="D116" s="123" t="s">
        <v>607</v>
      </c>
      <c r="E116" s="123" t="s">
        <v>602</v>
      </c>
      <c r="F116" s="124">
        <f t="shared" ref="F116:F119" si="496">IF(E116="有",(I116/B116+J116+Z116/B116)/(0.99999-K116-L116-M116-N116),(I116/B116+J116+Z116/B116)/(0.99999-K116-M116-N116))</f>
      </c>
      <c r="G116" s="124">
        <f t="shared" ref="G116:G119" si="314">IF(E116="有",(I116/B116+J116+Z116/B116)/(0.8-K116-L116-M116-N116-O116-P116),(I116/B116+J116+Z116/B116)/(0.8-K116-M116-N116-O116-P116))</f>
      </c>
      <c r="H116" s="125">
        <v>24.99</v>
      </c>
      <c r="I116" s="124">
        <f t="shared" ref="I116:I119" si="629">49/1.13</f>
      </c>
      <c r="J116" s="123">
        <v>4.65</v>
      </c>
      <c r="K116" s="126">
        <v>0.15</v>
      </c>
      <c r="L116" s="126">
        <v>0.16</v>
      </c>
      <c r="M116" s="126">
        <v>0.02</v>
      </c>
      <c r="N116" s="123">
        <f t="shared" ref="N116:N119" si="664">Q116/H116</f>
      </c>
      <c r="O116" s="127">
        <v>0.01</v>
      </c>
      <c r="P116" s="126">
        <v>0.02</v>
      </c>
      <c r="Q116" s="124">
        <v>2</v>
      </c>
      <c r="R116" s="123"/>
      <c r="S116" s="123"/>
      <c r="T116" s="123"/>
      <c r="U116" s="123"/>
      <c r="V116" s="124"/>
      <c r="W116" s="124"/>
      <c r="X116" s="123" t="s">
        <v>603</v>
      </c>
      <c r="Y116" s="128">
        <v>5.55136</v>
      </c>
      <c r="Z116" s="129">
        <v>7</v>
      </c>
      <c r="AA116" s="124">
        <f t="shared" ref="AA116:AA119" si="24">H116-SUM(K116:P116)*H116-J116-I116/B116-Z116/B116</f>
      </c>
      <c r="AB116" s="127">
        <f t="shared" ref="AB116:AB119" si="574">AA116/H116</f>
      </c>
      <c r="AC116" s="123"/>
      <c r="AD116" s="130">
        <f t="shared" ref="AD116:AD119" si="392">J116/H116</f>
      </c>
      <c r="AE116" s="123">
        <f>I116/7.4/H116</f>
      </c>
      <c r="AF116" s="123">
        <f>Z116/7.4/H116</f>
      </c>
      <c r="AG116" s="126">
        <v>0.15</v>
      </c>
      <c r="AH116" s="123">
        <f t="shared" ref="AH116:AH119" si="102">N116</f>
      </c>
      <c r="AI116" s="126">
        <v>0.02</v>
      </c>
      <c r="AJ116" s="123">
        <f t="shared" ref="AJ116:AJ119" si="950">M116</f>
      </c>
    </row>
    <row customHeight="true" ht="13.333333333333332" r="117">
      <c r="A117" s="133" t="s">
        <v>633</v>
      </c>
      <c r="B117" s="123">
        <v>8</v>
      </c>
      <c r="C117" s="123" t="s">
        <v>606</v>
      </c>
      <c r="D117" s="123" t="s">
        <v>607</v>
      </c>
      <c r="E117" s="123" t="s">
        <v>602</v>
      </c>
      <c r="F117" s="124">
        <f t="shared" si="496"/>
      </c>
      <c r="G117" s="124">
        <f t="shared" si="314"/>
      </c>
      <c r="H117" s="125">
        <f>H116*0.9</f>
      </c>
      <c r="I117" s="124">
        <f t="shared" si="629"/>
      </c>
      <c r="J117" s="123">
        <v>4.65</v>
      </c>
      <c r="K117" s="126">
        <v>0.15</v>
      </c>
      <c r="L117" s="126">
        <v>0.16</v>
      </c>
      <c r="M117" s="126">
        <v>0.02</v>
      </c>
      <c r="N117" s="123">
        <f t="shared" si="664"/>
      </c>
      <c r="O117" s="127">
        <v>0.01</v>
      </c>
      <c r="P117" s="126">
        <v>0.02</v>
      </c>
      <c r="Q117" s="124">
        <v>2</v>
      </c>
      <c r="R117" s="123"/>
      <c r="S117" s="123"/>
      <c r="T117" s="123"/>
      <c r="U117" s="123"/>
      <c r="V117" s="124"/>
      <c r="W117" s="124"/>
      <c r="X117" s="123" t="s">
        <v>603</v>
      </c>
      <c r="Y117" s="128">
        <v>5.55136</v>
      </c>
      <c r="Z117" s="129">
        <v>7</v>
      </c>
      <c r="AA117" s="124">
        <f t="shared" si="24"/>
      </c>
      <c r="AB117" s="127">
        <f t="shared" si="574"/>
      </c>
      <c r="AC117" s="123"/>
      <c r="AD117" s="130">
        <f t="shared" si="392"/>
      </c>
      <c r="AE117" s="123">
        <f t="shared" ref="AE117:AE118" si="254">I117/B117/H117</f>
      </c>
      <c r="AF117" s="123">
        <f t="shared" ref="AF117:AF118" si="464">Z117/B117/H117</f>
      </c>
      <c r="AG117" s="123">
        <f t="shared" ref="AG117:AG118" si="277">K117</f>
      </c>
      <c r="AH117" s="123">
        <f t="shared" si="102"/>
      </c>
      <c r="AI117" s="126">
        <v>0.02</v>
      </c>
      <c r="AJ117" s="123">
        <f t="shared" si="950"/>
      </c>
    </row>
    <row customHeight="true" ht="13.333333333333332" r="118">
      <c r="A118" s="133" t="s">
        <v>634</v>
      </c>
      <c r="B118" s="123">
        <v>8</v>
      </c>
      <c r="C118" s="123" t="s">
        <v>606</v>
      </c>
      <c r="D118" s="123" t="s">
        <v>607</v>
      </c>
      <c r="E118" s="123" t="s">
        <v>602</v>
      </c>
      <c r="F118" s="124">
        <f t="shared" si="496"/>
      </c>
      <c r="G118" s="124">
        <f t="shared" si="314"/>
      </c>
      <c r="H118" s="134">
        <f>H116*0.85</f>
      </c>
      <c r="I118" s="124">
        <f t="shared" si="629"/>
      </c>
      <c r="J118" s="123">
        <v>4.65</v>
      </c>
      <c r="K118" s="126">
        <v>0.15</v>
      </c>
      <c r="L118" s="126">
        <v>0.16</v>
      </c>
      <c r="M118" s="126">
        <v>0.02</v>
      </c>
      <c r="N118" s="123">
        <f t="shared" si="664"/>
      </c>
      <c r="O118" s="127">
        <v>0.01</v>
      </c>
      <c r="P118" s="126">
        <v>0.02</v>
      </c>
      <c r="Q118" s="124">
        <v>2</v>
      </c>
      <c r="R118" s="123"/>
      <c r="S118" s="123"/>
      <c r="T118" s="123"/>
      <c r="U118" s="123"/>
      <c r="V118" s="124"/>
      <c r="W118" s="124"/>
      <c r="X118" s="123" t="s">
        <v>603</v>
      </c>
      <c r="Y118" s="128">
        <v>5.55136</v>
      </c>
      <c r="Z118" s="129">
        <v>7</v>
      </c>
      <c r="AA118" s="124">
        <f t="shared" si="24"/>
      </c>
      <c r="AB118" s="127">
        <f t="shared" si="574"/>
      </c>
      <c r="AC118" s="123"/>
      <c r="AD118" s="130">
        <f t="shared" si="392"/>
      </c>
      <c r="AE118" s="123">
        <f t="shared" si="254"/>
      </c>
      <c r="AF118" s="123">
        <f t="shared" si="464"/>
      </c>
      <c r="AG118" s="123">
        <f t="shared" si="277"/>
      </c>
      <c r="AH118" s="123">
        <f t="shared" si="102"/>
      </c>
      <c r="AI118" s="126">
        <v>0.02</v>
      </c>
      <c r="AJ118" s="123">
        <f t="shared" si="950"/>
      </c>
    </row>
    <row customHeight="true" ht="13.333333333333332" r="119">
      <c r="A119" s="133" t="s">
        <v>635</v>
      </c>
      <c r="B119" s="123">
        <v>8</v>
      </c>
      <c r="C119" s="123" t="s">
        <v>606</v>
      </c>
      <c r="D119" s="123" t="s">
        <v>607</v>
      </c>
      <c r="E119" s="123" t="s">
        <v>602</v>
      </c>
      <c r="F119" s="124">
        <f t="shared" si="496"/>
      </c>
      <c r="G119" s="124">
        <f t="shared" si="314"/>
      </c>
      <c r="H119" s="125">
        <f>H116*0.8</f>
      </c>
      <c r="I119" s="124">
        <f t="shared" si="629"/>
      </c>
      <c r="J119" s="123">
        <v>4.65</v>
      </c>
      <c r="K119" s="126">
        <v>0.15</v>
      </c>
      <c r="L119" s="126">
        <v>0.16</v>
      </c>
      <c r="M119" s="126">
        <v>0.02</v>
      </c>
      <c r="N119" s="123">
        <f t="shared" si="664"/>
      </c>
      <c r="O119" s="127">
        <v>0.01</v>
      </c>
      <c r="P119" s="126">
        <v>0.02</v>
      </c>
      <c r="Q119" s="124">
        <v>2</v>
      </c>
      <c r="R119" s="123"/>
      <c r="S119" s="123"/>
      <c r="T119" s="123"/>
      <c r="U119" s="123"/>
      <c r="V119" s="124"/>
      <c r="W119" s="124"/>
      <c r="X119" s="123" t="s">
        <v>603</v>
      </c>
      <c r="Y119" s="128">
        <v>5.55136</v>
      </c>
      <c r="Z119" s="129">
        <v>7</v>
      </c>
      <c r="AA119" s="124">
        <f t="shared" si="24"/>
      </c>
      <c r="AB119" s="127">
        <f t="shared" si="574"/>
      </c>
      <c r="AC119" s="123"/>
      <c r="AD119" s="130">
        <f t="shared" si="392"/>
      </c>
      <c r="AE119" s="123">
        <f>I119/7.4/H119</f>
      </c>
      <c r="AF119" s="123">
        <f>Z119/7.4/H119</f>
      </c>
      <c r="AG119" s="126">
        <v>0.15</v>
      </c>
      <c r="AH119" s="123">
        <f t="shared" si="102"/>
      </c>
      <c r="AI119" s="126">
        <v>0.02</v>
      </c>
      <c r="AJ119" s="123">
        <f t="shared" si="950"/>
      </c>
    </row>
    <row customHeight="true" ht="23.703703703703702" r="120">
      <c r="A120" s="132"/>
      <c r="B120" s="132"/>
      <c r="C120" s="132"/>
      <c r="D120" s="132"/>
      <c r="E120" s="123"/>
      <c r="F120" s="124"/>
      <c r="G120" s="124"/>
      <c r="H120" s="123"/>
      <c r="I120" s="124"/>
      <c r="J120" s="123"/>
      <c r="K120" s="126"/>
      <c r="L120" s="126"/>
      <c r="M120" s="126"/>
      <c r="N120" s="126"/>
      <c r="O120" s="127"/>
      <c r="P120" s="126"/>
      <c r="Q120" s="126"/>
      <c r="R120" s="123"/>
      <c r="S120" s="123"/>
      <c r="T120" s="123"/>
      <c r="U120" s="123"/>
      <c r="V120" s="124"/>
      <c r="W120" s="124"/>
      <c r="X120" s="123"/>
      <c r="Y120" s="128"/>
      <c r="Z120" s="124"/>
      <c r="AA120" s="124"/>
      <c r="AB120" s="127"/>
      <c r="AC120" s="123"/>
      <c r="AD120" s="130"/>
      <c r="AE120" s="126"/>
      <c r="AF120" s="126"/>
      <c r="AG120" s="126"/>
      <c r="AH120" s="126"/>
      <c r="AI120" s="126"/>
      <c r="AJ120" s="126"/>
    </row>
    <row customHeight="true" ht="13.333333333333332" r="121">
      <c r="A121" s="133" t="s">
        <v>632</v>
      </c>
      <c r="B121" s="123">
        <v>8</v>
      </c>
      <c r="C121" s="123" t="s">
        <v>608</v>
      </c>
      <c r="D121" s="123" t="s">
        <v>609</v>
      </c>
      <c r="E121" s="123" t="s">
        <v>602</v>
      </c>
      <c r="F121" s="124">
        <f t="shared" ref="F121:F124" si="497">IF(E121="有",(I121/B121+J121+Z121/B121)/(0.99999-K121-L121-M121-N121),(I121/B121+J121+Z121/B121)/(0.99999-K121-M121-N121))</f>
      </c>
      <c r="G121" s="124">
        <f t="shared" ref="G121:G124" si="315">IF(E121="有",(I121/B121+J121+Z121/B121)/(0.8-K121-L121-M121-N121-O121-P121),(I121/B121+J121+Z121/B121)/(0.8-K121-M121-N121-O121-P121))</f>
      </c>
      <c r="H121" s="125">
        <v>24.99</v>
      </c>
      <c r="I121" s="124">
        <f t="shared" ref="I121:I124" si="630">49/1.13</f>
      </c>
      <c r="J121" s="123">
        <v>4.13</v>
      </c>
      <c r="K121" s="126">
        <v>0.15</v>
      </c>
      <c r="L121" s="126">
        <v>0.16</v>
      </c>
      <c r="M121" s="126">
        <v>0.02</v>
      </c>
      <c r="N121" s="123">
        <f t="shared" ref="N121:N124" si="665">Q121/H121</f>
      </c>
      <c r="O121" s="127">
        <v>0.01</v>
      </c>
      <c r="P121" s="126">
        <v>0.02</v>
      </c>
      <c r="Q121" s="124">
        <v>2</v>
      </c>
      <c r="R121" s="123"/>
      <c r="S121" s="123"/>
      <c r="T121" s="123"/>
      <c r="U121" s="123"/>
      <c r="V121" s="124"/>
      <c r="W121" s="124"/>
      <c r="X121" s="123" t="s">
        <v>603</v>
      </c>
      <c r="Y121" s="128">
        <v>5.55136</v>
      </c>
      <c r="Z121" s="129">
        <v>7</v>
      </c>
      <c r="AA121" s="124">
        <f t="shared" ref="AA121:AA124" si="25">H121-SUM(K121:P121)*H121-J121-I121/B121-Z121/B121</f>
      </c>
      <c r="AB121" s="127">
        <f t="shared" ref="AB121:AB124" si="575">AA121/H121</f>
      </c>
      <c r="AC121" s="123"/>
      <c r="AD121" s="130">
        <f t="shared" ref="AD121:AD124" si="393">J121/H121</f>
      </c>
      <c r="AE121" s="123">
        <f>I121/7.4/H121</f>
      </c>
      <c r="AF121" s="123">
        <f>Z121/7.4/H121</f>
      </c>
      <c r="AG121" s="126">
        <v>0.15</v>
      </c>
      <c r="AH121" s="123">
        <f t="shared" ref="AH121:AH124" si="103">N121</f>
      </c>
      <c r="AI121" s="126">
        <v>0.02</v>
      </c>
      <c r="AJ121" s="123">
        <f t="shared" ref="AJ121:AJ124" si="951">M121</f>
      </c>
    </row>
    <row customHeight="true" ht="13.333333333333332" r="122">
      <c r="A122" s="133" t="s">
        <v>633</v>
      </c>
      <c r="B122" s="123">
        <v>8</v>
      </c>
      <c r="C122" s="123" t="s">
        <v>608</v>
      </c>
      <c r="D122" s="123" t="s">
        <v>609</v>
      </c>
      <c r="E122" s="123" t="s">
        <v>602</v>
      </c>
      <c r="F122" s="124">
        <f t="shared" si="497"/>
      </c>
      <c r="G122" s="124">
        <f t="shared" si="315"/>
      </c>
      <c r="H122" s="125">
        <f>H121*0.9</f>
      </c>
      <c r="I122" s="124">
        <f t="shared" si="630"/>
      </c>
      <c r="J122" s="123">
        <v>4.13</v>
      </c>
      <c r="K122" s="126">
        <v>0.15</v>
      </c>
      <c r="L122" s="126">
        <v>0.16</v>
      </c>
      <c r="M122" s="126">
        <v>0.02</v>
      </c>
      <c r="N122" s="123">
        <f t="shared" si="665"/>
      </c>
      <c r="O122" s="127">
        <v>0.01</v>
      </c>
      <c r="P122" s="126">
        <v>0.02</v>
      </c>
      <c r="Q122" s="124">
        <v>2</v>
      </c>
      <c r="R122" s="123"/>
      <c r="S122" s="123"/>
      <c r="T122" s="123"/>
      <c r="U122" s="123"/>
      <c r="V122" s="124"/>
      <c r="W122" s="124"/>
      <c r="X122" s="123" t="s">
        <v>603</v>
      </c>
      <c r="Y122" s="128">
        <v>5.55136</v>
      </c>
      <c r="Z122" s="129">
        <v>7</v>
      </c>
      <c r="AA122" s="124">
        <f t="shared" si="25"/>
      </c>
      <c r="AB122" s="127">
        <f t="shared" si="575"/>
      </c>
      <c r="AC122" s="123"/>
      <c r="AD122" s="130">
        <f t="shared" si="393"/>
      </c>
      <c r="AE122" s="123">
        <f t="shared" ref="AE122:AE123" si="255">I122/B122/H122</f>
      </c>
      <c r="AF122" s="123">
        <f t="shared" ref="AF122:AF123" si="465">Z122/B122/H122</f>
      </c>
      <c r="AG122" s="123">
        <f t="shared" ref="AG122:AG123" si="278">K122</f>
      </c>
      <c r="AH122" s="123">
        <f t="shared" si="103"/>
      </c>
      <c r="AI122" s="126">
        <v>0.02</v>
      </c>
      <c r="AJ122" s="123">
        <f t="shared" si="951"/>
      </c>
    </row>
    <row customHeight="true" ht="13.333333333333332" r="123">
      <c r="A123" s="133" t="s">
        <v>634</v>
      </c>
      <c r="B123" s="123">
        <v>8</v>
      </c>
      <c r="C123" s="123" t="s">
        <v>608</v>
      </c>
      <c r="D123" s="123" t="s">
        <v>609</v>
      </c>
      <c r="E123" s="123" t="s">
        <v>602</v>
      </c>
      <c r="F123" s="124">
        <f t="shared" si="497"/>
      </c>
      <c r="G123" s="124">
        <f t="shared" si="315"/>
      </c>
      <c r="H123" s="134">
        <f>H121*0.85</f>
      </c>
      <c r="I123" s="124">
        <f t="shared" si="630"/>
      </c>
      <c r="J123" s="123">
        <v>4.13</v>
      </c>
      <c r="K123" s="126">
        <v>0.15</v>
      </c>
      <c r="L123" s="126">
        <v>0.16</v>
      </c>
      <c r="M123" s="126">
        <v>0.02</v>
      </c>
      <c r="N123" s="123">
        <f t="shared" si="665"/>
      </c>
      <c r="O123" s="127">
        <v>0.01</v>
      </c>
      <c r="P123" s="126">
        <v>0.02</v>
      </c>
      <c r="Q123" s="124">
        <v>2</v>
      </c>
      <c r="R123" s="123"/>
      <c r="S123" s="123"/>
      <c r="T123" s="123"/>
      <c r="U123" s="123"/>
      <c r="V123" s="124"/>
      <c r="W123" s="124"/>
      <c r="X123" s="123" t="s">
        <v>603</v>
      </c>
      <c r="Y123" s="128">
        <v>5.55136</v>
      </c>
      <c r="Z123" s="129">
        <v>7</v>
      </c>
      <c r="AA123" s="124">
        <f t="shared" si="25"/>
      </c>
      <c r="AB123" s="127">
        <f t="shared" si="575"/>
      </c>
      <c r="AC123" s="123"/>
      <c r="AD123" s="130">
        <f t="shared" si="393"/>
      </c>
      <c r="AE123" s="123">
        <f t="shared" si="255"/>
      </c>
      <c r="AF123" s="123">
        <f t="shared" si="465"/>
      </c>
      <c r="AG123" s="123">
        <f t="shared" si="278"/>
      </c>
      <c r="AH123" s="123">
        <f t="shared" si="103"/>
      </c>
      <c r="AI123" s="126">
        <v>0.02</v>
      </c>
      <c r="AJ123" s="123">
        <f t="shared" si="951"/>
      </c>
    </row>
    <row customHeight="true" ht="13.333333333333332" r="124">
      <c r="A124" s="133" t="s">
        <v>635</v>
      </c>
      <c r="B124" s="123">
        <v>8</v>
      </c>
      <c r="C124" s="123" t="s">
        <v>608</v>
      </c>
      <c r="D124" s="123" t="s">
        <v>609</v>
      </c>
      <c r="E124" s="123" t="s">
        <v>602</v>
      </c>
      <c r="F124" s="124">
        <f t="shared" si="497"/>
      </c>
      <c r="G124" s="124">
        <f t="shared" si="315"/>
      </c>
      <c r="H124" s="125">
        <f>H121*0.8</f>
      </c>
      <c r="I124" s="124">
        <f t="shared" si="630"/>
      </c>
      <c r="J124" s="123">
        <v>4.13</v>
      </c>
      <c r="K124" s="126">
        <v>0.15</v>
      </c>
      <c r="L124" s="126">
        <v>0.16</v>
      </c>
      <c r="M124" s="126">
        <v>0.02</v>
      </c>
      <c r="N124" s="123">
        <f t="shared" si="665"/>
      </c>
      <c r="O124" s="127">
        <v>0.01</v>
      </c>
      <c r="P124" s="126">
        <v>0.02</v>
      </c>
      <c r="Q124" s="124">
        <v>2</v>
      </c>
      <c r="R124" s="123"/>
      <c r="S124" s="123"/>
      <c r="T124" s="123"/>
      <c r="U124" s="123"/>
      <c r="V124" s="124"/>
      <c r="W124" s="124"/>
      <c r="X124" s="123" t="s">
        <v>603</v>
      </c>
      <c r="Y124" s="128">
        <v>5.55136</v>
      </c>
      <c r="Z124" s="129">
        <v>7</v>
      </c>
      <c r="AA124" s="124">
        <f t="shared" si="25"/>
      </c>
      <c r="AB124" s="127">
        <f t="shared" si="575"/>
      </c>
      <c r="AC124" s="123"/>
      <c r="AD124" s="130">
        <f t="shared" si="393"/>
      </c>
      <c r="AE124" s="123">
        <f>I124/7.4/H124</f>
      </c>
      <c r="AF124" s="123">
        <f>Z124/7.4/H124</f>
      </c>
      <c r="AG124" s="126">
        <v>0.15</v>
      </c>
      <c r="AH124" s="123">
        <f t="shared" si="103"/>
      </c>
      <c r="AI124" s="126">
        <v>0.02</v>
      </c>
      <c r="AJ124" s="123">
        <f t="shared" si="951"/>
      </c>
    </row>
    <row customHeight="true" ht="23.703703703703702" r="125">
      <c r="A125" s="132"/>
      <c r="B125" s="132"/>
      <c r="C125" s="132"/>
      <c r="D125" s="132"/>
      <c r="E125" s="123"/>
      <c r="F125" s="124"/>
      <c r="G125" s="124"/>
      <c r="H125" s="123"/>
      <c r="I125" s="124"/>
      <c r="J125" s="123"/>
      <c r="K125" s="126"/>
      <c r="L125" s="126"/>
      <c r="M125" s="126"/>
      <c r="N125" s="126"/>
      <c r="O125" s="127"/>
      <c r="P125" s="126"/>
      <c r="Q125" s="126"/>
      <c r="R125" s="123"/>
      <c r="S125" s="123"/>
      <c r="T125" s="123"/>
      <c r="U125" s="123"/>
      <c r="V125" s="124"/>
      <c r="W125" s="124"/>
      <c r="X125" s="123"/>
      <c r="Y125" s="128"/>
      <c r="Z125" s="124"/>
      <c r="AA125" s="124"/>
      <c r="AB125" s="127"/>
      <c r="AC125" s="123"/>
      <c r="AD125" s="130"/>
      <c r="AE125" s="126"/>
      <c r="AF125" s="126"/>
      <c r="AG125" s="126"/>
      <c r="AH125" s="126"/>
      <c r="AI125" s="126"/>
      <c r="AJ125" s="126"/>
    </row>
    <row customHeight="true" ht="13.333333333333332" r="126">
      <c r="A126" s="133" t="s">
        <v>632</v>
      </c>
      <c r="B126" s="123">
        <v>8</v>
      </c>
      <c r="C126" s="123" t="s">
        <v>611</v>
      </c>
      <c r="D126" s="123" t="s">
        <v>612</v>
      </c>
      <c r="E126" s="123" t="s">
        <v>602</v>
      </c>
      <c r="F126" s="124">
        <f t="shared" ref="F126:F129" si="498">IF(E126="有",(I126/B126+J126+Z126/B126)/(0.99999-K126-L126-M126-N126),(I126/B126+J126+Z126/B126)/(0.99999-K126-M126-N126))</f>
      </c>
      <c r="G126" s="124">
        <f t="shared" ref="G126:G129" si="316">IF(E126="有",(I126/B126+J126+Z126/B126)/(0.8-K126-L126-M126-N126-O126-P126),(I126/B126+J126+Z126/B126)/(0.8-K126-M126-N126-O126-P126))</f>
      </c>
      <c r="H126" s="125">
        <v>24.99</v>
      </c>
      <c r="I126" s="124">
        <f t="shared" ref="I126:I129" si="631">49/1.13</f>
      </c>
      <c r="J126" s="123">
        <v>3.8</v>
      </c>
      <c r="K126" s="126">
        <v>0.15</v>
      </c>
      <c r="L126" s="126">
        <v>0.16</v>
      </c>
      <c r="M126" s="126">
        <v>0.02</v>
      </c>
      <c r="N126" s="123">
        <f t="shared" ref="N126:N129" si="666">Q126/H126</f>
      </c>
      <c r="O126" s="127">
        <v>0.01</v>
      </c>
      <c r="P126" s="126">
        <v>0.02</v>
      </c>
      <c r="Q126" s="124">
        <v>2</v>
      </c>
      <c r="R126" s="123"/>
      <c r="S126" s="123"/>
      <c r="T126" s="123"/>
      <c r="U126" s="123"/>
      <c r="V126" s="124"/>
      <c r="W126" s="124"/>
      <c r="X126" s="123" t="s">
        <v>603</v>
      </c>
      <c r="Y126" s="128">
        <v>5.55136</v>
      </c>
      <c r="Z126" s="129">
        <v>7</v>
      </c>
      <c r="AA126" s="124">
        <f t="shared" ref="AA126:AA129" si="26">H126-SUM(K126:P126)*H126-J126-I126/B126-Z126/B126</f>
      </c>
      <c r="AB126" s="127">
        <f t="shared" ref="AB126:AB129" si="576">AA126/H126</f>
      </c>
      <c r="AC126" s="123"/>
      <c r="AD126" s="130">
        <f t="shared" ref="AD126:AD129" si="394">J126/H126</f>
      </c>
      <c r="AE126" s="123">
        <f>I126/7.4/H126</f>
      </c>
      <c r="AF126" s="123">
        <f>Z126/7.4/H126</f>
      </c>
      <c r="AG126" s="126">
        <v>0.15</v>
      </c>
      <c r="AH126" s="123">
        <f t="shared" ref="AH126:AH129" si="104">N126</f>
      </c>
      <c r="AI126" s="126">
        <v>0.02</v>
      </c>
      <c r="AJ126" s="123">
        <f t="shared" ref="AJ126:AJ129" si="952">M126</f>
      </c>
    </row>
    <row customHeight="true" ht="13.333333333333332" r="127">
      <c r="A127" s="133" t="s">
        <v>633</v>
      </c>
      <c r="B127" s="123">
        <v>8</v>
      </c>
      <c r="C127" s="123" t="s">
        <v>611</v>
      </c>
      <c r="D127" s="123" t="s">
        <v>612</v>
      </c>
      <c r="E127" s="123" t="s">
        <v>602</v>
      </c>
      <c r="F127" s="124">
        <f t="shared" si="498"/>
      </c>
      <c r="G127" s="124">
        <f t="shared" si="316"/>
      </c>
      <c r="H127" s="125">
        <f>H126*0.9</f>
      </c>
      <c r="I127" s="124">
        <f t="shared" si="631"/>
      </c>
      <c r="J127" s="123">
        <v>3.8</v>
      </c>
      <c r="K127" s="126">
        <v>0.15</v>
      </c>
      <c r="L127" s="126">
        <v>0.16</v>
      </c>
      <c r="M127" s="126">
        <v>0.02</v>
      </c>
      <c r="N127" s="123">
        <f t="shared" si="666"/>
      </c>
      <c r="O127" s="127">
        <v>0.01</v>
      </c>
      <c r="P127" s="126">
        <v>0.02</v>
      </c>
      <c r="Q127" s="124">
        <v>2</v>
      </c>
      <c r="R127" s="123"/>
      <c r="S127" s="123"/>
      <c r="T127" s="123"/>
      <c r="U127" s="123"/>
      <c r="V127" s="124"/>
      <c r="W127" s="124"/>
      <c r="X127" s="123" t="s">
        <v>603</v>
      </c>
      <c r="Y127" s="128">
        <v>5.55136</v>
      </c>
      <c r="Z127" s="129">
        <v>7</v>
      </c>
      <c r="AA127" s="124">
        <f t="shared" si="26"/>
      </c>
      <c r="AB127" s="127">
        <f t="shared" si="576"/>
      </c>
      <c r="AC127" s="123"/>
      <c r="AD127" s="130">
        <f t="shared" si="394"/>
      </c>
      <c r="AE127" s="123">
        <f t="shared" ref="AE127:AE128" si="256">I127/B127/H127</f>
      </c>
      <c r="AF127" s="123">
        <f t="shared" ref="AF127:AF128" si="466">Z127/B127/H127</f>
      </c>
      <c r="AG127" s="123">
        <f t="shared" ref="AG127:AG128" si="279">K127</f>
      </c>
      <c r="AH127" s="123">
        <f t="shared" si="104"/>
      </c>
      <c r="AI127" s="126">
        <v>0.02</v>
      </c>
      <c r="AJ127" s="123">
        <f t="shared" si="952"/>
      </c>
    </row>
    <row customHeight="true" ht="13.333333333333332" r="128">
      <c r="A128" s="133" t="s">
        <v>634</v>
      </c>
      <c r="B128" s="123">
        <v>8</v>
      </c>
      <c r="C128" s="123" t="s">
        <v>611</v>
      </c>
      <c r="D128" s="123" t="s">
        <v>612</v>
      </c>
      <c r="E128" s="123" t="s">
        <v>602</v>
      </c>
      <c r="F128" s="124">
        <f t="shared" si="498"/>
      </c>
      <c r="G128" s="124">
        <f t="shared" si="316"/>
      </c>
      <c r="H128" s="134">
        <f>H126*0.85</f>
      </c>
      <c r="I128" s="124">
        <f t="shared" si="631"/>
      </c>
      <c r="J128" s="123">
        <v>3.8</v>
      </c>
      <c r="K128" s="126">
        <v>0.15</v>
      </c>
      <c r="L128" s="126">
        <v>0.16</v>
      </c>
      <c r="M128" s="126">
        <v>0.02</v>
      </c>
      <c r="N128" s="123">
        <f t="shared" si="666"/>
      </c>
      <c r="O128" s="127">
        <v>0.01</v>
      </c>
      <c r="P128" s="126">
        <v>0.02</v>
      </c>
      <c r="Q128" s="124">
        <v>2</v>
      </c>
      <c r="R128" s="123"/>
      <c r="S128" s="123"/>
      <c r="T128" s="123"/>
      <c r="U128" s="123"/>
      <c r="V128" s="124"/>
      <c r="W128" s="124"/>
      <c r="X128" s="123" t="s">
        <v>603</v>
      </c>
      <c r="Y128" s="128">
        <v>5.55136</v>
      </c>
      <c r="Z128" s="129">
        <v>7</v>
      </c>
      <c r="AA128" s="124">
        <f t="shared" si="26"/>
      </c>
      <c r="AB128" s="127">
        <f t="shared" si="576"/>
      </c>
      <c r="AC128" s="123"/>
      <c r="AD128" s="130">
        <f t="shared" si="394"/>
      </c>
      <c r="AE128" s="123">
        <f t="shared" si="256"/>
      </c>
      <c r="AF128" s="123">
        <f t="shared" si="466"/>
      </c>
      <c r="AG128" s="123">
        <f t="shared" si="279"/>
      </c>
      <c r="AH128" s="123">
        <f t="shared" si="104"/>
      </c>
      <c r="AI128" s="126">
        <v>0.02</v>
      </c>
      <c r="AJ128" s="123">
        <f t="shared" si="952"/>
      </c>
    </row>
    <row customHeight="true" ht="13.333333333333332" r="129">
      <c r="A129" s="133" t="s">
        <v>635</v>
      </c>
      <c r="B129" s="123">
        <v>8</v>
      </c>
      <c r="C129" s="123" t="s">
        <v>611</v>
      </c>
      <c r="D129" s="123" t="s">
        <v>612</v>
      </c>
      <c r="E129" s="123" t="s">
        <v>602</v>
      </c>
      <c r="F129" s="124">
        <f t="shared" si="498"/>
      </c>
      <c r="G129" s="124">
        <f t="shared" si="316"/>
      </c>
      <c r="H129" s="125">
        <f>H126*0.8</f>
      </c>
      <c r="I129" s="124">
        <f t="shared" si="631"/>
      </c>
      <c r="J129" s="123">
        <v>3.8</v>
      </c>
      <c r="K129" s="126">
        <v>0.15</v>
      </c>
      <c r="L129" s="126">
        <v>0.16</v>
      </c>
      <c r="M129" s="126">
        <v>0.02</v>
      </c>
      <c r="N129" s="123">
        <f t="shared" si="666"/>
      </c>
      <c r="O129" s="127">
        <v>0.01</v>
      </c>
      <c r="P129" s="126">
        <v>0.02</v>
      </c>
      <c r="Q129" s="124">
        <v>2</v>
      </c>
      <c r="R129" s="123"/>
      <c r="S129" s="123"/>
      <c r="T129" s="123"/>
      <c r="U129" s="123"/>
      <c r="V129" s="124"/>
      <c r="W129" s="124"/>
      <c r="X129" s="123" t="s">
        <v>603</v>
      </c>
      <c r="Y129" s="128">
        <v>5.55136</v>
      </c>
      <c r="Z129" s="129">
        <v>7</v>
      </c>
      <c r="AA129" s="124">
        <f t="shared" si="26"/>
      </c>
      <c r="AB129" s="127">
        <f t="shared" si="576"/>
      </c>
      <c r="AC129" s="123"/>
      <c r="AD129" s="130">
        <f t="shared" si="394"/>
      </c>
      <c r="AE129" s="123">
        <f>I129/7.4/H129</f>
      </c>
      <c r="AF129" s="123">
        <f>Z129/7.4/H129</f>
      </c>
      <c r="AG129" s="126">
        <v>0.15</v>
      </c>
      <c r="AH129" s="123">
        <f t="shared" si="104"/>
      </c>
      <c r="AI129" s="126">
        <v>0.02</v>
      </c>
      <c r="AJ129" s="123">
        <f t="shared" si="952"/>
      </c>
    </row>
    <row customHeight="true" ht="13.333333333333332" r="130">
      <c r="A130" s="132"/>
      <c r="B130" s="123"/>
      <c r="C130" s="123"/>
      <c r="D130" s="123"/>
      <c r="E130" s="123"/>
      <c r="F130" s="124"/>
      <c r="G130" s="124"/>
      <c r="H130" s="123"/>
      <c r="I130" s="124"/>
      <c r="J130" s="123"/>
      <c r="K130" s="126"/>
      <c r="L130" s="126"/>
      <c r="M130" s="126"/>
      <c r="N130" s="126"/>
      <c r="O130" s="127"/>
      <c r="P130" s="126"/>
      <c r="Q130" s="126"/>
      <c r="R130" s="123"/>
      <c r="S130" s="123"/>
      <c r="T130" s="123"/>
      <c r="U130" s="123"/>
      <c r="V130" s="124"/>
      <c r="W130" s="124"/>
      <c r="X130" s="123"/>
      <c r="Y130" s="128"/>
      <c r="Z130" s="124"/>
      <c r="AA130" s="124"/>
      <c r="AB130" s="127"/>
      <c r="AC130" s="123"/>
      <c r="AD130" s="130"/>
      <c r="AE130" s="126"/>
      <c r="AF130" s="126"/>
      <c r="AG130" s="126"/>
      <c r="AH130" s="126"/>
      <c r="AI130" s="126"/>
      <c r="AJ130" s="126"/>
    </row>
    <row customHeight="true" ht="13.333333333333332" r="131">
      <c r="A131" s="133" t="s">
        <v>632</v>
      </c>
      <c r="B131" s="123">
        <v>9</v>
      </c>
      <c r="C131" s="123" t="s">
        <v>613</v>
      </c>
      <c r="D131" s="123" t="s">
        <v>614</v>
      </c>
      <c r="E131" s="123" t="s">
        <v>602</v>
      </c>
      <c r="F131" s="124">
        <f t="shared" ref="F131:F134" si="499">IF(E131="有",(I131/B131+J131+Z131/B131)/(0.99999-K131-L131-M131-N131),(I131/B131+J131+Z131/B131)/(0.99999-K131-M131-N131))</f>
      </c>
      <c r="G131" s="124">
        <f t="shared" ref="G131:G134" si="317">IF(E131="有",(I131/B131+J131+Z131/B131)/(0.8-K131-L131-M131-N131-O131-P131),(I131/B131+J131+Z131/B131)/(0.8-K131-M131-N131-O131-P131))</f>
      </c>
      <c r="H131" s="125">
        <v>15.99</v>
      </c>
      <c r="I131" s="124">
        <f t="shared" ref="I131:I134" si="632">49/1.13</f>
      </c>
      <c r="J131" s="123">
        <v>2.77</v>
      </c>
      <c r="K131" s="126">
        <v>0.15</v>
      </c>
      <c r="L131" s="126">
        <v>0.16</v>
      </c>
      <c r="M131" s="135">
        <v>0</v>
      </c>
      <c r="N131" s="123">
        <f t="shared" ref="N131:N134" si="667">Q131/H131</f>
      </c>
      <c r="O131" s="127">
        <f t="shared" ref="O131:O134" si="887">0.61/H131</f>
      </c>
      <c r="P131" s="126">
        <v>0.02</v>
      </c>
      <c r="Q131" s="124">
        <v>2</v>
      </c>
      <c r="R131" s="123">
        <v>33.5</v>
      </c>
      <c r="S131" s="123">
        <v>26.5</v>
      </c>
      <c r="T131" s="123">
        <v>25</v>
      </c>
      <c r="U131" s="123">
        <v>2.3</v>
      </c>
      <c r="V131" s="124">
        <f t="shared" ref="V131:V134" si="790">R131*S131*T131/6000</f>
      </c>
      <c r="W131" s="124">
        <f t="shared" ref="W131:W134" si="185">MAX(U131:V131)</f>
      </c>
      <c r="X131" s="123" t="s">
        <v>603</v>
      </c>
      <c r="Y131" s="128">
        <v>6.084</v>
      </c>
      <c r="Z131" s="129">
        <v>9.5</v>
      </c>
      <c r="AA131" s="124">
        <f t="shared" ref="AA131:AA134" si="27">H131-SUM(K131:P131)*H131-J131-I131/B131-Z131/B131</f>
      </c>
      <c r="AB131" s="127">
        <f t="shared" ref="AB131:AB134" si="577">AA131/H131</f>
      </c>
      <c r="AC131" s="123"/>
      <c r="AD131" s="130">
        <f t="shared" ref="AD131:AD134" si="395">J131/H131</f>
      </c>
      <c r="AE131" s="123">
        <f t="shared" ref="AE131:AE134" si="837">I131/7.4/H131</f>
      </c>
      <c r="AF131" s="123">
        <f t="shared" ref="AF131:AF134" si="720">Z131/7.4/H131</f>
      </c>
      <c r="AG131" s="126">
        <v>0.15</v>
      </c>
      <c r="AH131" s="123">
        <f t="shared" ref="AH131:AH134" si="105">N131</f>
      </c>
      <c r="AI131" s="126">
        <v>0.02</v>
      </c>
      <c r="AJ131" s="123">
        <f t="shared" ref="AJ131:AJ134" si="953">M131</f>
      </c>
    </row>
    <row customHeight="true" ht="13.333333333333332" r="132">
      <c r="A132" s="133" t="s">
        <v>633</v>
      </c>
      <c r="B132" s="123">
        <v>9</v>
      </c>
      <c r="C132" s="123" t="s">
        <v>613</v>
      </c>
      <c r="D132" s="123" t="s">
        <v>614</v>
      </c>
      <c r="E132" s="123" t="s">
        <v>602</v>
      </c>
      <c r="F132" s="124">
        <f t="shared" si="499"/>
      </c>
      <c r="G132" s="124">
        <f t="shared" si="317"/>
      </c>
      <c r="H132" s="125">
        <f>H131*0.9</f>
      </c>
      <c r="I132" s="124">
        <f t="shared" si="632"/>
      </c>
      <c r="J132" s="123">
        <v>2.77</v>
      </c>
      <c r="K132" s="126">
        <v>0.15</v>
      </c>
      <c r="L132" s="126">
        <v>0.16</v>
      </c>
      <c r="M132" s="126">
        <v>0.02</v>
      </c>
      <c r="N132" s="123">
        <f t="shared" si="667"/>
      </c>
      <c r="O132" s="127">
        <f t="shared" si="887"/>
      </c>
      <c r="P132" s="126">
        <v>0.02</v>
      </c>
      <c r="Q132" s="124">
        <v>2</v>
      </c>
      <c r="R132" s="123">
        <v>33.5</v>
      </c>
      <c r="S132" s="123">
        <v>26.5</v>
      </c>
      <c r="T132" s="123">
        <v>25</v>
      </c>
      <c r="U132" s="123">
        <v>2.3</v>
      </c>
      <c r="V132" s="124">
        <f t="shared" si="790"/>
      </c>
      <c r="W132" s="124">
        <f t="shared" si="185"/>
      </c>
      <c r="X132" s="123" t="s">
        <v>603</v>
      </c>
      <c r="Y132" s="128">
        <v>6.084</v>
      </c>
      <c r="Z132" s="129">
        <v>9.5</v>
      </c>
      <c r="AA132" s="124">
        <f t="shared" si="27"/>
      </c>
      <c r="AB132" s="127">
        <f t="shared" si="577"/>
      </c>
      <c r="AC132" s="123"/>
      <c r="AD132" s="130">
        <f t="shared" si="395"/>
      </c>
      <c r="AE132" s="123">
        <f t="shared" si="837"/>
      </c>
      <c r="AF132" s="123">
        <f t="shared" si="720"/>
      </c>
      <c r="AG132" s="126">
        <v>0.15</v>
      </c>
      <c r="AH132" s="123">
        <f t="shared" si="105"/>
      </c>
      <c r="AI132" s="126">
        <v>0.02</v>
      </c>
      <c r="AJ132" s="123">
        <f t="shared" si="953"/>
      </c>
    </row>
    <row customHeight="true" ht="13.333333333333332" r="133">
      <c r="A133" s="133" t="s">
        <v>634</v>
      </c>
      <c r="B133" s="123">
        <v>9</v>
      </c>
      <c r="C133" s="123" t="s">
        <v>613</v>
      </c>
      <c r="D133" s="123" t="s">
        <v>614</v>
      </c>
      <c r="E133" s="123" t="s">
        <v>602</v>
      </c>
      <c r="F133" s="124">
        <f t="shared" si="499"/>
      </c>
      <c r="G133" s="124">
        <f t="shared" si="317"/>
      </c>
      <c r="H133" s="134">
        <f>H131*0.85</f>
      </c>
      <c r="I133" s="124">
        <f t="shared" si="632"/>
      </c>
      <c r="J133" s="123">
        <v>2.77</v>
      </c>
      <c r="K133" s="126">
        <v>0.15</v>
      </c>
      <c r="L133" s="126">
        <v>0.16</v>
      </c>
      <c r="M133" s="126">
        <v>0.02</v>
      </c>
      <c r="N133" s="123">
        <f t="shared" si="667"/>
      </c>
      <c r="O133" s="127">
        <f t="shared" si="887"/>
      </c>
      <c r="P133" s="126">
        <v>0.02</v>
      </c>
      <c r="Q133" s="124">
        <v>2</v>
      </c>
      <c r="R133" s="123">
        <v>33.5</v>
      </c>
      <c r="S133" s="123">
        <v>26.5</v>
      </c>
      <c r="T133" s="123">
        <v>25</v>
      </c>
      <c r="U133" s="123">
        <v>2.3</v>
      </c>
      <c r="V133" s="124">
        <f t="shared" si="790"/>
      </c>
      <c r="W133" s="124">
        <f t="shared" si="185"/>
      </c>
      <c r="X133" s="123" t="s">
        <v>603</v>
      </c>
      <c r="Y133" s="128">
        <v>6.084</v>
      </c>
      <c r="Z133" s="129">
        <v>9.5</v>
      </c>
      <c r="AA133" s="124">
        <f t="shared" si="27"/>
      </c>
      <c r="AB133" s="127">
        <f t="shared" si="577"/>
      </c>
      <c r="AC133" s="123"/>
      <c r="AD133" s="130">
        <f t="shared" si="395"/>
      </c>
      <c r="AE133" s="123">
        <f t="shared" si="837"/>
      </c>
      <c r="AF133" s="123">
        <f t="shared" si="720"/>
      </c>
      <c r="AG133" s="126">
        <v>0.15</v>
      </c>
      <c r="AH133" s="123">
        <f t="shared" si="105"/>
      </c>
      <c r="AI133" s="126">
        <v>0.02</v>
      </c>
      <c r="AJ133" s="123">
        <f t="shared" si="953"/>
      </c>
    </row>
    <row customHeight="true" ht="13.333333333333332" r="134">
      <c r="A134" s="133" t="s">
        <v>635</v>
      </c>
      <c r="B134" s="123">
        <v>9</v>
      </c>
      <c r="C134" s="123" t="s">
        <v>613</v>
      </c>
      <c r="D134" s="123" t="s">
        <v>614</v>
      </c>
      <c r="E134" s="123" t="s">
        <v>602</v>
      </c>
      <c r="F134" s="124">
        <f t="shared" si="499"/>
      </c>
      <c r="G134" s="124">
        <f t="shared" si="317"/>
      </c>
      <c r="H134" s="125">
        <f>H131*0.8</f>
      </c>
      <c r="I134" s="124">
        <f t="shared" si="632"/>
      </c>
      <c r="J134" s="123">
        <v>2.77</v>
      </c>
      <c r="K134" s="126">
        <v>0.15</v>
      </c>
      <c r="L134" s="126">
        <v>0.16</v>
      </c>
      <c r="M134" s="126">
        <v>0.02</v>
      </c>
      <c r="N134" s="123">
        <f t="shared" si="667"/>
      </c>
      <c r="O134" s="127">
        <f t="shared" si="887"/>
      </c>
      <c r="P134" s="126">
        <v>0.02</v>
      </c>
      <c r="Q134" s="124">
        <v>2</v>
      </c>
      <c r="R134" s="123">
        <v>33.5</v>
      </c>
      <c r="S134" s="123">
        <v>26.5</v>
      </c>
      <c r="T134" s="123">
        <v>25</v>
      </c>
      <c r="U134" s="123">
        <v>2.3</v>
      </c>
      <c r="V134" s="124">
        <f t="shared" si="790"/>
      </c>
      <c r="W134" s="124">
        <f t="shared" si="185"/>
      </c>
      <c r="X134" s="123" t="s">
        <v>603</v>
      </c>
      <c r="Y134" s="128">
        <v>6.084</v>
      </c>
      <c r="Z134" s="129">
        <v>9.5</v>
      </c>
      <c r="AA134" s="124">
        <f t="shared" si="27"/>
      </c>
      <c r="AB134" s="127">
        <f t="shared" si="577"/>
      </c>
      <c r="AC134" s="123"/>
      <c r="AD134" s="130">
        <f t="shared" si="395"/>
      </c>
      <c r="AE134" s="123">
        <f t="shared" si="837"/>
      </c>
      <c r="AF134" s="123">
        <f t="shared" si="720"/>
      </c>
      <c r="AG134" s="126">
        <v>0.15</v>
      </c>
      <c r="AH134" s="123">
        <f t="shared" si="105"/>
      </c>
      <c r="AI134" s="126">
        <v>0.02</v>
      </c>
      <c r="AJ134" s="123">
        <f t="shared" si="953"/>
      </c>
    </row>
    <row customHeight="true" ht="13.333333333333332" r="135">
      <c r="A135" s="132"/>
      <c r="B135" s="123"/>
      <c r="C135" s="123"/>
      <c r="D135" s="123"/>
      <c r="E135" s="123"/>
      <c r="F135" s="124"/>
      <c r="G135" s="124"/>
      <c r="H135" s="123"/>
      <c r="I135" s="124"/>
      <c r="J135" s="123"/>
      <c r="K135" s="126"/>
      <c r="L135" s="126"/>
      <c r="M135" s="126"/>
      <c r="N135" s="126"/>
      <c r="O135" s="127"/>
      <c r="P135" s="126"/>
      <c r="Q135" s="126"/>
      <c r="R135" s="123"/>
      <c r="S135" s="123"/>
      <c r="T135" s="123"/>
      <c r="U135" s="123"/>
      <c r="V135" s="124"/>
      <c r="W135" s="124"/>
      <c r="X135" s="123"/>
      <c r="Y135" s="128"/>
      <c r="Z135" s="124"/>
      <c r="AA135" s="124"/>
      <c r="AB135" s="127"/>
      <c r="AC135" s="123"/>
      <c r="AD135" s="130"/>
      <c r="AE135" s="126"/>
      <c r="AF135" s="126"/>
      <c r="AG135" s="126"/>
      <c r="AH135" s="126"/>
      <c r="AI135" s="126"/>
      <c r="AJ135" s="126"/>
    </row>
    <row customHeight="true" ht="13.333333333333332" r="136">
      <c r="A136" s="132" t="s">
        <v>636</v>
      </c>
      <c r="B136" s="123">
        <v>7.5</v>
      </c>
      <c r="C136" s="123" t="s">
        <v>600</v>
      </c>
      <c r="D136" s="123" t="s">
        <v>601</v>
      </c>
      <c r="E136" s="123" t="s">
        <v>602</v>
      </c>
      <c r="F136" s="124">
        <f t="shared" ref="F136:F137" si="500">IF(E136="有",(I136/B136+J136+Z136/B136)/(0.99999-K136-L136-M136-N136),(I136/B136+J136+Z136/B136)/(0.99999-K136-M136-N136))</f>
      </c>
      <c r="G136" s="124">
        <f t="shared" ref="G136:G137" si="318">IF(E136="有",(I136/B136+J136+Z136/B136)/(0.8-K136-L136-M136-N136-O136-P136),(I136/B136+J136+Z136/B136)/(0.8-K136-M136-N136-O136-P136))</f>
      </c>
      <c r="H136" s="136">
        <v>159.99</v>
      </c>
      <c r="I136" s="124">
        <f t="shared" ref="I136:I137" si="1009">380/1.13</f>
      </c>
      <c r="J136" s="123">
        <v>5.69</v>
      </c>
      <c r="K136" s="126">
        <v>0.15</v>
      </c>
      <c r="L136" s="126">
        <v>0.16</v>
      </c>
      <c r="M136" s="126">
        <v>0.09</v>
      </c>
      <c r="N136" s="126">
        <v>0.15</v>
      </c>
      <c r="O136" s="127">
        <f t="shared" ref="O136:O137" si="888">0.61/H136</f>
      </c>
      <c r="P136" s="126">
        <v>0.02</v>
      </c>
      <c r="Q136" s="126"/>
      <c r="R136" s="123">
        <v>38.5</v>
      </c>
      <c r="S136" s="123">
        <v>32.5</v>
      </c>
      <c r="T136" s="123">
        <v>18.3</v>
      </c>
      <c r="U136" s="123">
        <v>2.3</v>
      </c>
      <c r="V136" s="124">
        <f t="shared" ref="V136:V137" si="791">R136*S136*T136/6000</f>
      </c>
      <c r="W136" s="124">
        <f t="shared" ref="W136:W137" si="186">MAX(U136:V136)</f>
      </c>
      <c r="X136" s="123" t="s">
        <v>603</v>
      </c>
      <c r="Y136" s="128">
        <v>6.6317</v>
      </c>
      <c r="Z136" s="124">
        <f t="shared" ref="Z136:Z137" si="879">W136*Y136</f>
      </c>
      <c r="AA136" s="124">
        <f t="shared" ref="AA136:AA137" si="28">H136-SUM(K136:P136)*H136-J136-I136/B136-Z136/B136</f>
      </c>
      <c r="AB136" s="127">
        <f t="shared" ref="AB136:AB137" si="578">AA136/H136</f>
      </c>
      <c r="AC136" s="123"/>
      <c r="AD136" s="130">
        <f t="shared" ref="AD136:AD137" si="396">J136/H136</f>
      </c>
      <c r="AE136" s="123">
        <f t="shared" ref="AE136:AE137" si="838">I136/7.4/H136</f>
      </c>
      <c r="AF136" s="123">
        <f t="shared" ref="AF136:AF137" si="721">Z136/7.4/H136</f>
      </c>
      <c r="AG136" s="126">
        <v>0.15</v>
      </c>
      <c r="AH136" s="123">
        <f t="shared" ref="AH136:AH137" si="106">N136</f>
      </c>
      <c r="AI136" s="126">
        <v>0.02</v>
      </c>
      <c r="AJ136" s="123">
        <f t="shared" ref="AJ136:AJ137" si="954">M136</f>
      </c>
    </row>
    <row customHeight="true" ht="13.333333333333332" r="137">
      <c r="A137" s="132" t="s">
        <v>637</v>
      </c>
      <c r="B137" s="123">
        <v>9</v>
      </c>
      <c r="C137" s="123" t="s">
        <v>613</v>
      </c>
      <c r="D137" s="123" t="s">
        <v>614</v>
      </c>
      <c r="E137" s="123" t="s">
        <v>602</v>
      </c>
      <c r="F137" s="124">
        <f t="shared" si="500"/>
      </c>
      <c r="G137" s="124">
        <f t="shared" si="318"/>
      </c>
      <c r="H137" s="123">
        <v>149.99</v>
      </c>
      <c r="I137" s="124">
        <f t="shared" si="1009"/>
      </c>
      <c r="J137" s="123">
        <v>5.19</v>
      </c>
      <c r="K137" s="126">
        <v>0.15</v>
      </c>
      <c r="L137" s="126">
        <v>0.16</v>
      </c>
      <c r="M137" s="126">
        <v>0.09</v>
      </c>
      <c r="N137" s="126">
        <v>0.15</v>
      </c>
      <c r="O137" s="127">
        <f t="shared" si="888"/>
      </c>
      <c r="P137" s="126">
        <v>0.02</v>
      </c>
      <c r="Q137" s="126"/>
      <c r="R137" s="123">
        <v>38.5</v>
      </c>
      <c r="S137" s="123">
        <v>32.5</v>
      </c>
      <c r="T137" s="123">
        <v>18.3</v>
      </c>
      <c r="U137" s="123">
        <v>2.3</v>
      </c>
      <c r="V137" s="124">
        <f t="shared" si="791"/>
      </c>
      <c r="W137" s="124">
        <f t="shared" si="186"/>
      </c>
      <c r="X137" s="123" t="s">
        <v>603</v>
      </c>
      <c r="Y137" s="128">
        <v>6.6317</v>
      </c>
      <c r="Z137" s="124">
        <f t="shared" si="879"/>
      </c>
      <c r="AA137" s="124">
        <f t="shared" si="28"/>
      </c>
      <c r="AB137" s="127">
        <f t="shared" si="578"/>
      </c>
      <c r="AC137" s="123"/>
      <c r="AD137" s="130">
        <f t="shared" si="396"/>
      </c>
      <c r="AE137" s="123">
        <f t="shared" si="838"/>
      </c>
      <c r="AF137" s="123">
        <f t="shared" si="721"/>
      </c>
      <c r="AG137" s="126">
        <v>0.15</v>
      </c>
      <c r="AH137" s="123">
        <f t="shared" si="106"/>
      </c>
      <c r="AI137" s="126">
        <v>0.02</v>
      </c>
      <c r="AJ137" s="123">
        <f t="shared" si="954"/>
      </c>
    </row>
    <row customHeight="true" ht="13.333333333333332" r="138">
      <c r="A138" s="132"/>
      <c r="B138" s="123"/>
      <c r="C138" s="123"/>
      <c r="D138" s="123"/>
      <c r="E138" s="123"/>
      <c r="F138" s="124"/>
      <c r="G138" s="124"/>
      <c r="H138" s="124"/>
      <c r="I138" s="124"/>
      <c r="J138" s="124"/>
      <c r="K138" s="126"/>
      <c r="L138" s="126"/>
      <c r="M138" s="126"/>
      <c r="N138" s="126"/>
      <c r="O138" s="127"/>
      <c r="P138" s="126"/>
      <c r="Q138" s="126"/>
      <c r="R138" s="123"/>
      <c r="S138" s="123"/>
      <c r="T138" s="123"/>
      <c r="U138" s="123"/>
      <c r="V138" s="124"/>
      <c r="W138" s="124"/>
      <c r="X138" s="123"/>
      <c r="Y138" s="128"/>
      <c r="Z138" s="124"/>
      <c r="AA138" s="124"/>
      <c r="AB138" s="127"/>
      <c r="AC138" s="123"/>
      <c r="AD138" s="130"/>
      <c r="AE138" s="126"/>
      <c r="AF138" s="126"/>
      <c r="AG138" s="126"/>
      <c r="AH138" s="126"/>
      <c r="AI138" s="126"/>
      <c r="AJ138" s="126"/>
    </row>
    <row customHeight="true" ht="13.333333333333332" r="139">
      <c r="A139" s="132"/>
      <c r="B139" s="123"/>
      <c r="C139" s="123"/>
      <c r="D139" s="123"/>
      <c r="E139" s="123"/>
      <c r="F139" s="124"/>
      <c r="G139" s="124"/>
      <c r="H139" s="124"/>
      <c r="I139" s="124"/>
      <c r="J139" s="124"/>
      <c r="K139" s="126"/>
      <c r="L139" s="126"/>
      <c r="M139" s="126"/>
      <c r="N139" s="126"/>
      <c r="O139" s="127"/>
      <c r="P139" s="126"/>
      <c r="Q139" s="126"/>
      <c r="R139" s="123"/>
      <c r="S139" s="123"/>
      <c r="T139" s="123"/>
      <c r="U139" s="123"/>
      <c r="V139" s="124"/>
      <c r="W139" s="124"/>
      <c r="X139" s="123"/>
      <c r="Y139" s="128"/>
      <c r="Z139" s="124"/>
      <c r="AA139" s="124"/>
      <c r="AB139" s="127"/>
      <c r="AC139" s="123"/>
      <c r="AD139" s="130"/>
      <c r="AE139" s="126"/>
      <c r="AF139" s="126"/>
      <c r="AG139" s="126"/>
      <c r="AH139" s="126"/>
      <c r="AI139" s="126"/>
      <c r="AJ139" s="126"/>
    </row>
    <row customHeight="true" ht="13.333333333333332" r="140">
      <c r="A140" s="132" t="s">
        <v>638</v>
      </c>
      <c r="B140" s="123">
        <v>7.4</v>
      </c>
      <c r="C140" s="123" t="s">
        <v>600</v>
      </c>
      <c r="D140" s="123" t="s">
        <v>601</v>
      </c>
      <c r="E140" s="123" t="s">
        <v>602</v>
      </c>
      <c r="F140" s="124">
        <f t="shared" ref="F140:F141" si="501">IF(E140="有",(I140/B140+J140+Z140/B140)/(0.99999-K140-L140-M140-N140),(I140/B140+J140+Z140/B140)/(0.99999-K140-M140-N140))</f>
      </c>
      <c r="G140" s="124">
        <f t="shared" ref="G140:G141" si="319">IF(E140="有",(I140/B140+J140+Z140/B140)/(0.8-K140-L140-M140-N140-O140-P140),(I140/B140+J140+Z140/B140)/(0.8-K140-M140-N140-O140-P140))</f>
      </c>
      <c r="H140" s="136">
        <v>129.99</v>
      </c>
      <c r="I140" s="124">
        <f t="shared" ref="I140:I141" si="257">240/1.13</f>
      </c>
      <c r="J140" s="123">
        <v>6.89</v>
      </c>
      <c r="K140" s="126">
        <v>0.15</v>
      </c>
      <c r="L140" s="126">
        <v>0.16</v>
      </c>
      <c r="M140" s="126">
        <v>0.07</v>
      </c>
      <c r="N140" s="123">
        <f t="shared" ref="N140:N141" si="668">Q140/H140</f>
      </c>
      <c r="O140" s="127">
        <f t="shared" ref="O140:O141" si="889">0.61/H140</f>
      </c>
      <c r="P140" s="126">
        <v>0.02</v>
      </c>
      <c r="Q140" s="124">
        <v>15</v>
      </c>
      <c r="R140" s="123">
        <v>43.5</v>
      </c>
      <c r="S140" s="123">
        <v>34</v>
      </c>
      <c r="T140" s="123">
        <v>19</v>
      </c>
      <c r="U140" s="123">
        <v>4</v>
      </c>
      <c r="V140" s="124">
        <f t="shared" ref="V140:V141" si="156">R140*S140*T140/5000</f>
      </c>
      <c r="W140" s="124">
        <f t="shared" ref="W140:W141" si="187">MAX(U140:V140)</f>
      </c>
      <c r="X140" s="123" t="s">
        <v>603</v>
      </c>
      <c r="Y140" s="128">
        <v>6.6317</v>
      </c>
      <c r="Z140" s="124">
        <v>27.9</v>
      </c>
      <c r="AA140" s="124">
        <f t="shared" ref="AA140:AA141" si="29">H140-SUM(K140:P140)*H140-J140-I140/B140-Z140/B140</f>
      </c>
      <c r="AB140" s="127">
        <f t="shared" ref="AB140:AB141" si="579">AA140/H140</f>
      </c>
      <c r="AC140" s="123"/>
      <c r="AD140" s="130">
        <f t="shared" ref="AD140:AD141" si="397">J140/H140</f>
      </c>
      <c r="AE140" s="123">
        <f t="shared" ref="AE140:AE141" si="839">I140/7.4/H140</f>
      </c>
      <c r="AF140" s="123">
        <f t="shared" ref="AF140:AF141" si="722">Z140/7.4/H140</f>
      </c>
      <c r="AG140" s="126">
        <v>0.15</v>
      </c>
      <c r="AH140" s="123">
        <f t="shared" ref="AH140:AH141" si="107">N140</f>
      </c>
      <c r="AI140" s="126">
        <v>0.02</v>
      </c>
      <c r="AJ140" s="123">
        <f t="shared" ref="AJ140:AJ141" si="955">M140</f>
      </c>
    </row>
    <row customHeight="true" ht="13.333333333333332" r="141">
      <c r="A141" s="132" t="s">
        <v>639</v>
      </c>
      <c r="B141" s="123">
        <v>9</v>
      </c>
      <c r="C141" s="123" t="s">
        <v>613</v>
      </c>
      <c r="D141" s="123" t="s">
        <v>614</v>
      </c>
      <c r="E141" s="123" t="s">
        <v>602</v>
      </c>
      <c r="F141" s="124">
        <f t="shared" si="501"/>
      </c>
      <c r="G141" s="124">
        <f t="shared" si="319"/>
      </c>
      <c r="H141" s="136">
        <v>119.99</v>
      </c>
      <c r="I141" s="124">
        <f t="shared" si="257"/>
      </c>
      <c r="J141" s="123">
        <v>6.89</v>
      </c>
      <c r="K141" s="126">
        <v>0.15</v>
      </c>
      <c r="L141" s="126">
        <v>0.16</v>
      </c>
      <c r="M141" s="126">
        <v>0.05</v>
      </c>
      <c r="N141" s="123">
        <f t="shared" si="668"/>
      </c>
      <c r="O141" s="127">
        <f t="shared" si="889"/>
      </c>
      <c r="P141" s="126">
        <v>0.02</v>
      </c>
      <c r="Q141" s="124">
        <v>15</v>
      </c>
      <c r="R141" s="123">
        <v>43.5</v>
      </c>
      <c r="S141" s="123">
        <v>34</v>
      </c>
      <c r="T141" s="123">
        <v>19</v>
      </c>
      <c r="U141" s="123">
        <v>4</v>
      </c>
      <c r="V141" s="124">
        <f t="shared" si="156"/>
      </c>
      <c r="W141" s="124">
        <f t="shared" si="187"/>
      </c>
      <c r="X141" s="123" t="s">
        <v>603</v>
      </c>
      <c r="Y141" s="128">
        <v>6.6317</v>
      </c>
      <c r="Z141" s="124">
        <v>27.9</v>
      </c>
      <c r="AA141" s="124">
        <f t="shared" si="29"/>
      </c>
      <c r="AB141" s="127">
        <f t="shared" si="579"/>
      </c>
      <c r="AC141" s="123"/>
      <c r="AD141" s="130">
        <f t="shared" si="397"/>
      </c>
      <c r="AE141" s="123">
        <f t="shared" si="839"/>
      </c>
      <c r="AF141" s="123">
        <f t="shared" si="722"/>
      </c>
      <c r="AG141" s="126">
        <v>0.15</v>
      </c>
      <c r="AH141" s="123">
        <f t="shared" si="107"/>
      </c>
      <c r="AI141" s="126">
        <v>0.02</v>
      </c>
      <c r="AJ141" s="123">
        <f t="shared" si="955"/>
      </c>
    </row>
    <row customHeight="true" ht="13.333333333333332" r="142">
      <c r="A142" s="132"/>
      <c r="B142" s="123"/>
      <c r="C142" s="123"/>
      <c r="D142" s="123"/>
      <c r="E142" s="123"/>
      <c r="F142" s="124"/>
      <c r="G142" s="124"/>
      <c r="H142" s="124"/>
      <c r="I142" s="124"/>
      <c r="J142" s="123"/>
      <c r="K142" s="126"/>
      <c r="L142" s="126"/>
      <c r="M142" s="126"/>
      <c r="N142" s="126"/>
      <c r="O142" s="127"/>
      <c r="P142" s="126"/>
      <c r="Q142" s="126"/>
      <c r="R142" s="123"/>
      <c r="S142" s="123"/>
      <c r="T142" s="123"/>
      <c r="U142" s="123"/>
      <c r="V142" s="124"/>
      <c r="W142" s="124"/>
      <c r="X142" s="123"/>
      <c r="Y142" s="128"/>
      <c r="Z142" s="124"/>
      <c r="AA142" s="124"/>
      <c r="AB142" s="127"/>
      <c r="AC142" s="123"/>
      <c r="AD142" s="130"/>
      <c r="AE142" s="126"/>
      <c r="AF142" s="126"/>
      <c r="AG142" s="126"/>
      <c r="AH142" s="126"/>
      <c r="AI142" s="126"/>
      <c r="AJ142" s="126"/>
    </row>
    <row customHeight="true" ht="13.333333333333332" r="143">
      <c r="A143" s="132" t="s">
        <v>640</v>
      </c>
      <c r="B143" s="123">
        <v>7.4</v>
      </c>
      <c r="C143" s="123" t="s">
        <v>600</v>
      </c>
      <c r="D143" s="123" t="s">
        <v>601</v>
      </c>
      <c r="E143" s="123" t="s">
        <v>602</v>
      </c>
      <c r="F143" s="124">
        <f t="shared" ref="F143:F144" si="502">IF(E143="有",(I143/B143+J143+Z143/B143)/(0.99999-K143-L143-M143-N143),(I143/B143+J143+Z143/B143)/(0.99999-K143-M143-N143))</f>
      </c>
      <c r="G143" s="124">
        <f t="shared" ref="G143:G144" si="320">IF(E143="有",(I143/B143+J143+Z143/B143)/(0.8-K143-L143-M143-N143-O143-P143),(I143/B143+J143+Z143/B143)/(0.8-K143-M143-N143-O143-P143))</f>
      </c>
      <c r="H143" s="136">
        <v>129.99</v>
      </c>
      <c r="I143" s="124">
        <f t="shared" ref="I143:I144" si="633">270/1.13</f>
      </c>
      <c r="J143" s="123">
        <v>5.69</v>
      </c>
      <c r="K143" s="126">
        <v>0.15</v>
      </c>
      <c r="L143" s="126">
        <v>0.16</v>
      </c>
      <c r="M143" s="126">
        <v>0.07</v>
      </c>
      <c r="N143" s="126">
        <v>0.15</v>
      </c>
      <c r="O143" s="127">
        <f>0.74/H143</f>
      </c>
      <c r="P143" s="126">
        <v>0.02</v>
      </c>
      <c r="Q143" s="126"/>
      <c r="R143" s="123">
        <v>43.5</v>
      </c>
      <c r="S143" s="123">
        <v>32.3</v>
      </c>
      <c r="T143" s="123">
        <v>19</v>
      </c>
      <c r="U143" s="123">
        <v>3.05</v>
      </c>
      <c r="V143" s="124">
        <f t="shared" ref="V143:V144" si="157">R143*S143*T143/5000</f>
      </c>
      <c r="W143" s="124">
        <f t="shared" ref="W143:W144" si="188">MAX(U143:V143)</f>
      </c>
      <c r="X143" s="123" t="s">
        <v>603</v>
      </c>
      <c r="Y143" s="128">
        <v>6.6317</v>
      </c>
      <c r="Z143" s="124">
        <v>27.9</v>
      </c>
      <c r="AA143" s="124">
        <f t="shared" ref="AA143:AA144" si="30">H143-SUM(K143:P143)*H143-J143-I143/B143-Z143/B143</f>
      </c>
      <c r="AB143" s="127">
        <f t="shared" ref="AB143:AB144" si="580">AA143/H143</f>
      </c>
      <c r="AC143" s="123"/>
      <c r="AD143" s="130">
        <f t="shared" ref="AD143:AD144" si="398">J143/H143</f>
      </c>
      <c r="AE143" s="123">
        <f t="shared" ref="AE143:AE144" si="840">I143/7.4/H143</f>
      </c>
      <c r="AF143" s="123">
        <f t="shared" ref="AF143:AF144" si="723">Z143/7.4/H143</f>
      </c>
      <c r="AG143" s="126">
        <v>0.15</v>
      </c>
      <c r="AH143" s="123">
        <f t="shared" ref="AH143:AH144" si="108">N143</f>
      </c>
      <c r="AI143" s="126">
        <v>0.02</v>
      </c>
      <c r="AJ143" s="123">
        <f t="shared" ref="AJ143:AJ144" si="956">M143</f>
      </c>
    </row>
    <row customHeight="true" ht="13.333333333333332" r="144">
      <c r="A144" s="132" t="s">
        <v>641</v>
      </c>
      <c r="B144" s="123">
        <v>9</v>
      </c>
      <c r="C144" s="123" t="s">
        <v>613</v>
      </c>
      <c r="D144" s="123" t="s">
        <v>614</v>
      </c>
      <c r="E144" s="123" t="s">
        <v>602</v>
      </c>
      <c r="F144" s="124">
        <f t="shared" si="502"/>
      </c>
      <c r="G144" s="124">
        <f t="shared" si="320"/>
      </c>
      <c r="H144" s="136">
        <v>119.99</v>
      </c>
      <c r="I144" s="124">
        <f t="shared" si="633"/>
      </c>
      <c r="J144" s="123">
        <v>5.19</v>
      </c>
      <c r="K144" s="126">
        <v>0.15</v>
      </c>
      <c r="L144" s="126">
        <v>0.16</v>
      </c>
      <c r="M144" s="126">
        <v>0.05</v>
      </c>
      <c r="N144" s="126">
        <v>0.15</v>
      </c>
      <c r="O144" s="127">
        <f>0.72/H144</f>
      </c>
      <c r="P144" s="126">
        <v>0.02</v>
      </c>
      <c r="Q144" s="126"/>
      <c r="R144" s="123">
        <v>43.5</v>
      </c>
      <c r="S144" s="123">
        <v>32.3</v>
      </c>
      <c r="T144" s="123">
        <v>19</v>
      </c>
      <c r="U144" s="123">
        <v>3.05</v>
      </c>
      <c r="V144" s="124">
        <f t="shared" si="157"/>
      </c>
      <c r="W144" s="124">
        <f t="shared" si="188"/>
      </c>
      <c r="X144" s="123" t="s">
        <v>603</v>
      </c>
      <c r="Y144" s="128">
        <v>6.6317</v>
      </c>
      <c r="Z144" s="124">
        <v>27.9</v>
      </c>
      <c r="AA144" s="124">
        <f t="shared" si="30"/>
      </c>
      <c r="AB144" s="127">
        <f t="shared" si="580"/>
      </c>
      <c r="AC144" s="123"/>
      <c r="AD144" s="130">
        <f t="shared" si="398"/>
      </c>
      <c r="AE144" s="123">
        <f t="shared" si="840"/>
      </c>
      <c r="AF144" s="123">
        <f t="shared" si="723"/>
      </c>
      <c r="AG144" s="126">
        <v>0.15</v>
      </c>
      <c r="AH144" s="123">
        <f t="shared" si="108"/>
      </c>
      <c r="AI144" s="126">
        <v>0.02</v>
      </c>
      <c r="AJ144" s="123">
        <f t="shared" si="956"/>
      </c>
    </row>
    <row customHeight="true" ht="13.333333333333332" r="145">
      <c r="A145" s="132"/>
      <c r="B145" s="123"/>
      <c r="C145" s="123"/>
      <c r="D145" s="123"/>
      <c r="E145" s="123"/>
      <c r="F145" s="124"/>
      <c r="G145" s="124"/>
      <c r="H145" s="124"/>
      <c r="I145" s="124"/>
      <c r="J145" s="123"/>
      <c r="K145" s="126"/>
      <c r="L145" s="126"/>
      <c r="M145" s="126"/>
      <c r="N145" s="126"/>
      <c r="O145" s="127"/>
      <c r="P145" s="126"/>
      <c r="Q145" s="126"/>
      <c r="R145" s="123"/>
      <c r="S145" s="123"/>
      <c r="T145" s="123"/>
      <c r="U145" s="123"/>
      <c r="V145" s="124"/>
      <c r="W145" s="124"/>
      <c r="X145" s="123"/>
      <c r="Y145" s="128"/>
      <c r="Z145" s="124"/>
      <c r="AA145" s="124"/>
      <c r="AB145" s="127"/>
      <c r="AC145" s="123"/>
      <c r="AD145" s="130"/>
      <c r="AE145" s="126"/>
      <c r="AF145" s="126"/>
      <c r="AG145" s="126"/>
      <c r="AH145" s="126"/>
      <c r="AI145" s="126"/>
      <c r="AJ145" s="126"/>
    </row>
    <row customHeight="true" ht="13.333333333333332" r="146">
      <c r="A146" s="122" t="s">
        <v>642</v>
      </c>
      <c r="B146" s="123">
        <v>7</v>
      </c>
      <c r="C146" s="123" t="s">
        <v>600</v>
      </c>
      <c r="D146" s="123" t="s">
        <v>643</v>
      </c>
      <c r="E146" s="123" t="s">
        <v>644</v>
      </c>
      <c r="F146" s="124">
        <f t="shared" ref="F146:F148" si="503">IF(E146="有",(I146/B146+J146+Z146/B146)/(0.99999-K146-L146-M146-N146),(I146/B146+J146+Z146/B146)/(0.99999-K146-M146-N146))</f>
      </c>
      <c r="G146" s="124">
        <f t="shared" ref="G146:G148" si="321">IF(E146="有",(I146/B146+J146+Z146/B146)/(0.8-K146-L146-M146-N146-O146-P146),(I146/B146+J146+Z146/B146)/(0.8-K146-M146-N146-O146-P146))</f>
      </c>
      <c r="H146" s="131">
        <v>49.99</v>
      </c>
      <c r="I146" s="124">
        <f t="shared" ref="I146:I148" si="767">94.4/1.13</f>
      </c>
      <c r="J146" s="137">
        <v>8.1</v>
      </c>
      <c r="K146" s="126">
        <v>0.15</v>
      </c>
      <c r="L146" s="126">
        <v>0</v>
      </c>
      <c r="M146" s="126">
        <v>0.05</v>
      </c>
      <c r="N146" s="123">
        <f t="shared" ref="N146:N148" si="669">Q146/H146</f>
      </c>
      <c r="O146" s="127">
        <f t="shared" ref="O146:O148" si="165">0.261/H146</f>
      </c>
      <c r="P146" s="126">
        <v>0.02</v>
      </c>
      <c r="Q146" s="124">
        <v>8</v>
      </c>
      <c r="R146" s="123">
        <v>32</v>
      </c>
      <c r="S146" s="123">
        <v>17.3</v>
      </c>
      <c r="T146" s="123">
        <v>17.3</v>
      </c>
      <c r="U146" s="123">
        <v>1.6</v>
      </c>
      <c r="V146" s="124">
        <f t="shared" ref="V146:V148" si="158">R146*S146*T146/5000</f>
      </c>
      <c r="W146" s="124">
        <f t="shared" ref="W146:W148" si="189">MAX(U146:V146)</f>
      </c>
      <c r="X146" s="123" t="s">
        <v>603</v>
      </c>
      <c r="Y146" s="128">
        <v>6.6317</v>
      </c>
      <c r="Z146" s="124">
        <v>16</v>
      </c>
      <c r="AA146" s="124">
        <f t="shared" ref="AA146:AA148" si="31">H146-SUM(K146:P146)*H146-J146-I146/B146-Z146/B146</f>
      </c>
      <c r="AB146" s="127">
        <f t="shared" ref="AB146:AB148" si="581">AA146/H146</f>
      </c>
      <c r="AC146" s="123"/>
      <c r="AD146" s="130">
        <f t="shared" ref="AD146:AD148" si="399">J146/H146</f>
      </c>
      <c r="AE146" s="123">
        <f t="shared" ref="AE146:AE148" si="841">I146/7.4/H146</f>
      </c>
      <c r="AF146" s="123">
        <f t="shared" ref="AF146:AF148" si="724">Z146/7.4/H146</f>
      </c>
      <c r="AG146" s="126">
        <v>0.15</v>
      </c>
      <c r="AH146" s="123">
        <f t="shared" ref="AH146:AH148" si="109">N146</f>
      </c>
      <c r="AI146" s="126">
        <v>0.02</v>
      </c>
      <c r="AJ146" s="123">
        <f t="shared" ref="AJ146:AJ148" si="957">M146</f>
      </c>
    </row>
    <row customHeight="true" ht="13.333333333333332" r="147">
      <c r="A147" s="122" t="s">
        <v>645</v>
      </c>
      <c r="B147" s="123">
        <v>7</v>
      </c>
      <c r="C147" s="123" t="s">
        <v>600</v>
      </c>
      <c r="D147" s="123" t="s">
        <v>643</v>
      </c>
      <c r="E147" s="123" t="s">
        <v>644</v>
      </c>
      <c r="F147" s="124">
        <f t="shared" si="503"/>
      </c>
      <c r="G147" s="124">
        <f t="shared" si="321"/>
      </c>
      <c r="H147" s="131">
        <f>H146*0.9</f>
      </c>
      <c r="I147" s="124">
        <f t="shared" si="767"/>
      </c>
      <c r="J147" s="137">
        <v>8.1</v>
      </c>
      <c r="K147" s="126">
        <v>0.15</v>
      </c>
      <c r="L147" s="126">
        <v>0</v>
      </c>
      <c r="M147" s="126">
        <v>0.05</v>
      </c>
      <c r="N147" s="123">
        <f t="shared" si="669"/>
      </c>
      <c r="O147" s="127">
        <f t="shared" si="165"/>
      </c>
      <c r="P147" s="126">
        <v>0.02</v>
      </c>
      <c r="Q147" s="124">
        <v>8</v>
      </c>
      <c r="R147" s="123">
        <v>32</v>
      </c>
      <c r="S147" s="123">
        <v>17.3</v>
      </c>
      <c r="T147" s="123">
        <v>17.3</v>
      </c>
      <c r="U147" s="123">
        <v>1.6</v>
      </c>
      <c r="V147" s="124">
        <f t="shared" si="158"/>
      </c>
      <c r="W147" s="124">
        <f t="shared" si="189"/>
      </c>
      <c r="X147" s="123" t="s">
        <v>603</v>
      </c>
      <c r="Y147" s="128">
        <v>6.6317</v>
      </c>
      <c r="Z147" s="124">
        <v>16</v>
      </c>
      <c r="AA147" s="124">
        <f t="shared" si="31"/>
      </c>
      <c r="AB147" s="127">
        <f t="shared" si="581"/>
      </c>
      <c r="AC147" s="123"/>
      <c r="AD147" s="130">
        <f t="shared" si="399"/>
      </c>
      <c r="AE147" s="123">
        <f t="shared" si="841"/>
      </c>
      <c r="AF147" s="123">
        <f t="shared" si="724"/>
      </c>
      <c r="AG147" s="126">
        <v>0.15</v>
      </c>
      <c r="AH147" s="123">
        <f t="shared" si="109"/>
      </c>
      <c r="AI147" s="126">
        <v>0.02</v>
      </c>
      <c r="AJ147" s="123">
        <f t="shared" si="957"/>
      </c>
    </row>
    <row customHeight="true" ht="13.333333333333332" r="148">
      <c r="A148" s="122" t="s">
        <v>646</v>
      </c>
      <c r="B148" s="123">
        <v>7</v>
      </c>
      <c r="C148" s="123" t="s">
        <v>600</v>
      </c>
      <c r="D148" s="123" t="s">
        <v>643</v>
      </c>
      <c r="E148" s="123" t="s">
        <v>644</v>
      </c>
      <c r="F148" s="124">
        <f t="shared" si="503"/>
      </c>
      <c r="G148" s="124">
        <f t="shared" si="321"/>
      </c>
      <c r="H148" s="131">
        <f>H146*0.8</f>
      </c>
      <c r="I148" s="124">
        <f t="shared" si="767"/>
      </c>
      <c r="J148" s="137">
        <v>8.1</v>
      </c>
      <c r="K148" s="126">
        <v>0.15</v>
      </c>
      <c r="L148" s="126">
        <v>0</v>
      </c>
      <c r="M148" s="126">
        <v>0.05</v>
      </c>
      <c r="N148" s="123">
        <f t="shared" si="669"/>
      </c>
      <c r="O148" s="127">
        <f t="shared" si="165"/>
      </c>
      <c r="P148" s="126">
        <v>0.02</v>
      </c>
      <c r="Q148" s="124">
        <v>8</v>
      </c>
      <c r="R148" s="123">
        <v>32</v>
      </c>
      <c r="S148" s="123">
        <v>17.3</v>
      </c>
      <c r="T148" s="123">
        <v>17.3</v>
      </c>
      <c r="U148" s="123">
        <v>1.6</v>
      </c>
      <c r="V148" s="124">
        <f t="shared" si="158"/>
      </c>
      <c r="W148" s="124">
        <f t="shared" si="189"/>
      </c>
      <c r="X148" s="123" t="s">
        <v>603</v>
      </c>
      <c r="Y148" s="128">
        <v>6.6317</v>
      </c>
      <c r="Z148" s="124">
        <v>16</v>
      </c>
      <c r="AA148" s="124">
        <f t="shared" si="31"/>
      </c>
      <c r="AB148" s="127">
        <f t="shared" si="581"/>
      </c>
      <c r="AC148" s="123"/>
      <c r="AD148" s="130">
        <f t="shared" si="399"/>
      </c>
      <c r="AE148" s="123">
        <f t="shared" si="841"/>
      </c>
      <c r="AF148" s="123">
        <f t="shared" si="724"/>
      </c>
      <c r="AG148" s="126">
        <v>0.15</v>
      </c>
      <c r="AH148" s="123">
        <f t="shared" si="109"/>
      </c>
      <c r="AI148" s="126">
        <v>0.02</v>
      </c>
      <c r="AJ148" s="123">
        <f t="shared" si="957"/>
      </c>
    </row>
    <row customHeight="true" ht="13.333333333333332" r="149">
      <c r="A149" s="132"/>
      <c r="B149" s="123"/>
      <c r="C149" s="123"/>
      <c r="D149" s="123"/>
      <c r="E149" s="123"/>
      <c r="F149" s="124"/>
      <c r="G149" s="124"/>
      <c r="H149" s="131"/>
      <c r="I149" s="124"/>
      <c r="J149" s="137"/>
      <c r="K149" s="126"/>
      <c r="L149" s="126"/>
      <c r="M149" s="126"/>
      <c r="N149" s="126"/>
      <c r="O149" s="127"/>
      <c r="P149" s="126"/>
      <c r="Q149" s="124"/>
      <c r="R149" s="123"/>
      <c r="S149" s="123"/>
      <c r="T149" s="123"/>
      <c r="U149" s="123"/>
      <c r="V149" s="124"/>
      <c r="W149" s="124"/>
      <c r="X149" s="123"/>
      <c r="Y149" s="128"/>
      <c r="Z149" s="124"/>
      <c r="AA149" s="124"/>
      <c r="AB149" s="127"/>
      <c r="AC149" s="123"/>
      <c r="AD149" s="130"/>
      <c r="AE149" s="126"/>
      <c r="AF149" s="126"/>
      <c r="AG149" s="126"/>
      <c r="AH149" s="126"/>
      <c r="AI149" s="126"/>
      <c r="AJ149" s="126"/>
    </row>
    <row customHeight="true" ht="13.333333333333332" r="150">
      <c r="A150" s="122" t="s">
        <v>647</v>
      </c>
      <c r="B150" s="123">
        <v>8</v>
      </c>
      <c r="C150" s="123" t="s">
        <v>600</v>
      </c>
      <c r="D150" s="123" t="s">
        <v>601</v>
      </c>
      <c r="E150" s="123" t="s">
        <v>602</v>
      </c>
      <c r="F150" s="124">
        <f t="shared" ref="F150:F152" si="504">IF(E150="有",(I150/B150+J150+Z150/B150)/(0.99999-K150-L150-M150-N150),(I150/B150+J150+Z150/B150)/(0.99999-K150-M150-N150))</f>
      </c>
      <c r="G150" s="124">
        <f t="shared" ref="G150:G152" si="322">IF(E150="有",(I150/B150+J150+Z150/B150)/(0.8-K150-L150-M150-N150-O150-P150),(I150/B150+J150+Z150/B150)/(0.8-K150-M150-N150-O150-P150))</f>
      </c>
      <c r="H150" s="131">
        <v>54.99</v>
      </c>
      <c r="I150" s="124">
        <f t="shared" ref="I150:I152" si="768">94.4/1.13</f>
      </c>
      <c r="J150" s="137">
        <v>5.18</v>
      </c>
      <c r="K150" s="126">
        <v>0.15</v>
      </c>
      <c r="L150" s="126">
        <v>0.16</v>
      </c>
      <c r="M150" s="126">
        <v>0.05</v>
      </c>
      <c r="N150" s="123">
        <f t="shared" ref="N150:N152" si="670">Q150/H150</f>
      </c>
      <c r="O150" s="127">
        <f t="shared" ref="O150:O152" si="166">0.261/H150</f>
      </c>
      <c r="P150" s="126">
        <v>0.02</v>
      </c>
      <c r="Q150" s="124">
        <v>6</v>
      </c>
      <c r="R150" s="123">
        <v>32</v>
      </c>
      <c r="S150" s="123">
        <v>17.3</v>
      </c>
      <c r="T150" s="123">
        <v>17.3</v>
      </c>
      <c r="U150" s="123">
        <v>1.6</v>
      </c>
      <c r="V150" s="124">
        <f t="shared" ref="V150:V152" si="159">R150*S150*T150/5000</f>
      </c>
      <c r="W150" s="124">
        <f t="shared" ref="W150:W152" si="190">MAX(U150:V150)</f>
      </c>
      <c r="X150" s="123" t="s">
        <v>603</v>
      </c>
      <c r="Y150" s="128">
        <v>6.6317</v>
      </c>
      <c r="Z150" s="124">
        <v>17</v>
      </c>
      <c r="AA150" s="124">
        <f t="shared" ref="AA150:AA152" si="32">H150-SUM(K150:P150)*H150-J150-I150/B150-Z150/B150</f>
      </c>
      <c r="AB150" s="127">
        <f t="shared" ref="AB150:AB152" si="582">AA150/H150</f>
      </c>
      <c r="AC150" s="123"/>
      <c r="AD150" s="130">
        <f t="shared" ref="AD150:AD152" si="400">J150/H150</f>
      </c>
      <c r="AE150" s="123">
        <f t="shared" ref="AE150:AE152" si="842">I150/7.4/H150</f>
      </c>
      <c r="AF150" s="123">
        <f t="shared" ref="AF150:AF152" si="725">Z150/7.4/H150</f>
      </c>
      <c r="AG150" s="126">
        <v>0.15</v>
      </c>
      <c r="AH150" s="123">
        <f t="shared" ref="AH150:AH152" si="110">N150</f>
      </c>
      <c r="AI150" s="126">
        <v>0.02</v>
      </c>
      <c r="AJ150" s="123">
        <f t="shared" ref="AJ150:AJ152" si="958">M150</f>
      </c>
    </row>
    <row customHeight="true" ht="13.333333333333332" r="151">
      <c r="A151" s="122" t="s">
        <v>645</v>
      </c>
      <c r="B151" s="123">
        <v>8</v>
      </c>
      <c r="C151" s="123" t="s">
        <v>600</v>
      </c>
      <c r="D151" s="123" t="s">
        <v>601</v>
      </c>
      <c r="E151" s="123" t="s">
        <v>602</v>
      </c>
      <c r="F151" s="124">
        <f t="shared" si="504"/>
      </c>
      <c r="G151" s="124">
        <f t="shared" si="322"/>
      </c>
      <c r="H151" s="131">
        <f>H150*0.9</f>
      </c>
      <c r="I151" s="124">
        <f t="shared" si="768"/>
      </c>
      <c r="J151" s="137">
        <v>5.18</v>
      </c>
      <c r="K151" s="126">
        <v>0.15</v>
      </c>
      <c r="L151" s="126">
        <v>0.16</v>
      </c>
      <c r="M151" s="126">
        <v>0.05</v>
      </c>
      <c r="N151" s="123">
        <f t="shared" si="670"/>
      </c>
      <c r="O151" s="127">
        <f t="shared" si="166"/>
      </c>
      <c r="P151" s="126">
        <v>0.02</v>
      </c>
      <c r="Q151" s="124">
        <v>6</v>
      </c>
      <c r="R151" s="123">
        <v>32</v>
      </c>
      <c r="S151" s="123">
        <v>17.3</v>
      </c>
      <c r="T151" s="123">
        <v>17.3</v>
      </c>
      <c r="U151" s="123">
        <v>1.6</v>
      </c>
      <c r="V151" s="124">
        <f t="shared" si="159"/>
      </c>
      <c r="W151" s="124">
        <f t="shared" si="190"/>
      </c>
      <c r="X151" s="123" t="s">
        <v>603</v>
      </c>
      <c r="Y151" s="128">
        <v>6.6317</v>
      </c>
      <c r="Z151" s="124">
        <v>17</v>
      </c>
      <c r="AA151" s="124">
        <f t="shared" si="32"/>
      </c>
      <c r="AB151" s="127">
        <f t="shared" si="582"/>
      </c>
      <c r="AC151" s="123"/>
      <c r="AD151" s="130">
        <f t="shared" si="400"/>
      </c>
      <c r="AE151" s="123">
        <f t="shared" si="842"/>
      </c>
      <c r="AF151" s="123">
        <f t="shared" si="725"/>
      </c>
      <c r="AG151" s="126">
        <v>0.15</v>
      </c>
      <c r="AH151" s="123">
        <f t="shared" si="110"/>
      </c>
      <c r="AI151" s="126">
        <v>0.02</v>
      </c>
      <c r="AJ151" s="123">
        <f t="shared" si="958"/>
      </c>
    </row>
    <row customHeight="true" ht="13.333333333333332" r="152">
      <c r="A152" s="122" t="s">
        <v>646</v>
      </c>
      <c r="B152" s="123">
        <v>8</v>
      </c>
      <c r="C152" s="123" t="s">
        <v>600</v>
      </c>
      <c r="D152" s="123" t="s">
        <v>601</v>
      </c>
      <c r="E152" s="123" t="s">
        <v>602</v>
      </c>
      <c r="F152" s="124">
        <f t="shared" si="504"/>
      </c>
      <c r="G152" s="124">
        <f t="shared" si="322"/>
      </c>
      <c r="H152" s="131">
        <f>H150*0.8</f>
      </c>
      <c r="I152" s="124">
        <f t="shared" si="768"/>
      </c>
      <c r="J152" s="137">
        <v>5.18</v>
      </c>
      <c r="K152" s="126">
        <v>0.15</v>
      </c>
      <c r="L152" s="126">
        <v>0.16</v>
      </c>
      <c r="M152" s="126">
        <v>0.05</v>
      </c>
      <c r="N152" s="123">
        <f t="shared" si="670"/>
      </c>
      <c r="O152" s="127">
        <f t="shared" si="166"/>
      </c>
      <c r="P152" s="126">
        <v>0.02</v>
      </c>
      <c r="Q152" s="124">
        <v>6</v>
      </c>
      <c r="R152" s="123">
        <v>32</v>
      </c>
      <c r="S152" s="123">
        <v>17.3</v>
      </c>
      <c r="T152" s="123">
        <v>17.3</v>
      </c>
      <c r="U152" s="123">
        <v>1.6</v>
      </c>
      <c r="V152" s="124">
        <f t="shared" si="159"/>
      </c>
      <c r="W152" s="124">
        <f t="shared" si="190"/>
      </c>
      <c r="X152" s="123" t="s">
        <v>603</v>
      </c>
      <c r="Y152" s="128">
        <v>6.6317</v>
      </c>
      <c r="Z152" s="124">
        <v>17</v>
      </c>
      <c r="AA152" s="124">
        <f t="shared" si="32"/>
      </c>
      <c r="AB152" s="127">
        <f t="shared" si="582"/>
      </c>
      <c r="AC152" s="123"/>
      <c r="AD152" s="130">
        <f t="shared" si="400"/>
      </c>
      <c r="AE152" s="123">
        <f t="shared" si="842"/>
      </c>
      <c r="AF152" s="123">
        <f t="shared" si="725"/>
      </c>
      <c r="AG152" s="126">
        <v>0.15</v>
      </c>
      <c r="AH152" s="123">
        <f t="shared" si="110"/>
      </c>
      <c r="AI152" s="126">
        <v>0.02</v>
      </c>
      <c r="AJ152" s="123">
        <f t="shared" si="958"/>
      </c>
    </row>
    <row customHeight="true" ht="13.333333333333332" r="153">
      <c r="B153" s="123"/>
      <c r="C153" s="123"/>
      <c r="D153" s="123"/>
      <c r="E153" s="123"/>
      <c r="F153" s="124"/>
      <c r="G153" s="124"/>
      <c r="H153" s="124"/>
      <c r="I153" s="124"/>
      <c r="J153" s="137"/>
      <c r="K153" s="126"/>
      <c r="L153" s="126"/>
      <c r="M153" s="126"/>
      <c r="N153" s="126"/>
      <c r="O153" s="127"/>
      <c r="P153" s="126"/>
      <c r="Q153" s="126"/>
      <c r="R153" s="123"/>
      <c r="S153" s="123"/>
      <c r="T153" s="123"/>
      <c r="U153" s="123"/>
      <c r="V153" s="124"/>
      <c r="W153" s="124"/>
      <c r="X153" s="123"/>
      <c r="Y153" s="128"/>
      <c r="Z153" s="124"/>
      <c r="AA153" s="124"/>
      <c r="AB153" s="127"/>
      <c r="AC153" s="123"/>
      <c r="AD153" s="130"/>
      <c r="AE153" s="126"/>
      <c r="AF153" s="126"/>
      <c r="AG153" s="126"/>
      <c r="AH153" s="126"/>
      <c r="AI153" s="126"/>
      <c r="AJ153" s="126"/>
    </row>
    <row customHeight="true" ht="13.333333333333332" r="154">
      <c r="A154" s="122" t="s">
        <v>647</v>
      </c>
      <c r="B154" s="123">
        <v>8</v>
      </c>
      <c r="C154" s="123" t="s">
        <v>600</v>
      </c>
      <c r="D154" s="123" t="s">
        <v>607</v>
      </c>
      <c r="E154" s="123" t="s">
        <v>602</v>
      </c>
      <c r="F154" s="124">
        <f t="shared" ref="F154:F156" si="505">IF(E154="有",(I154/B154+J154+Z154/B154)/(0.99999-K154-L154-M154-N154),(I154/B154+J154+Z154/B154)/(0.99999-K154-M154-N154))</f>
      </c>
      <c r="G154" s="124">
        <f t="shared" ref="G154:G156" si="323">IF(E154="有",(I154/B154+J154+Z154/B154)/(0.8-K154-L154-M154-N154-O154-P154),(I154/B154+J154+Z154/B154)/(0.8-K154-M154-N154-O154-P154))</f>
      </c>
      <c r="H154" s="131">
        <v>59.99</v>
      </c>
      <c r="I154" s="124">
        <f t="shared" ref="I154:I156" si="769">94.4/1.13</f>
      </c>
      <c r="J154" s="137">
        <v>7.08</v>
      </c>
      <c r="K154" s="126">
        <v>0.15</v>
      </c>
      <c r="L154" s="126">
        <v>0.16</v>
      </c>
      <c r="M154" s="126">
        <v>0.05</v>
      </c>
      <c r="N154" s="123">
        <f t="shared" ref="N154:N156" si="671">Q154/H154</f>
      </c>
      <c r="O154" s="127">
        <f t="shared" ref="O154:O156" si="167">0.261/H154</f>
      </c>
      <c r="P154" s="126">
        <v>0.02</v>
      </c>
      <c r="Q154" s="124">
        <v>6</v>
      </c>
      <c r="R154" s="123">
        <v>32</v>
      </c>
      <c r="S154" s="123">
        <v>17.3</v>
      </c>
      <c r="T154" s="123">
        <v>17.3</v>
      </c>
      <c r="U154" s="123">
        <v>1.6</v>
      </c>
      <c r="V154" s="124">
        <f t="shared" ref="V154:V156" si="160">R154*S154*T154/5000</f>
      </c>
      <c r="W154" s="124">
        <f t="shared" ref="W154:W156" si="191">MAX(U154:V154)</f>
      </c>
      <c r="X154" s="123" t="s">
        <v>603</v>
      </c>
      <c r="Y154" s="128">
        <v>6.6317</v>
      </c>
      <c r="Z154" s="124">
        <v>17</v>
      </c>
      <c r="AA154" s="124">
        <f t="shared" ref="AA154:AA156" si="33">H154-SUM(K154:P154)*H154-J154-I154/B154-Z154/B154</f>
      </c>
      <c r="AB154" s="127">
        <f t="shared" ref="AB154:AB156" si="583">AA154/H154</f>
      </c>
      <c r="AC154" s="123"/>
      <c r="AD154" s="130">
        <f t="shared" ref="AD154:AD156" si="401">J154/H154</f>
      </c>
      <c r="AE154" s="123">
        <f t="shared" ref="AE154:AE156" si="843">I154/7.4/H154</f>
      </c>
      <c r="AF154" s="123">
        <f t="shared" ref="AF154:AF156" si="726">Z154/7.4/H154</f>
      </c>
      <c r="AG154" s="126">
        <v>0.15</v>
      </c>
      <c r="AH154" s="123">
        <f t="shared" ref="AH154:AH156" si="111">N154</f>
      </c>
      <c r="AI154" s="126">
        <v>0.02</v>
      </c>
      <c r="AJ154" s="123">
        <f t="shared" ref="AJ154:AJ156" si="959">M154</f>
      </c>
    </row>
    <row customHeight="true" ht="13.333333333333332" r="155">
      <c r="A155" s="122" t="s">
        <v>645</v>
      </c>
      <c r="B155" s="123">
        <v>8</v>
      </c>
      <c r="C155" s="123" t="s">
        <v>600</v>
      </c>
      <c r="D155" s="123" t="s">
        <v>607</v>
      </c>
      <c r="E155" s="123" t="s">
        <v>602</v>
      </c>
      <c r="F155" s="124">
        <f t="shared" si="505"/>
      </c>
      <c r="G155" s="124">
        <f t="shared" si="323"/>
      </c>
      <c r="H155" s="131">
        <f>H154*0.9</f>
      </c>
      <c r="I155" s="124">
        <f t="shared" si="769"/>
      </c>
      <c r="J155" s="137">
        <v>7.08</v>
      </c>
      <c r="K155" s="126">
        <v>0.15</v>
      </c>
      <c r="L155" s="126">
        <v>0.16</v>
      </c>
      <c r="M155" s="126">
        <v>0.05</v>
      </c>
      <c r="N155" s="123">
        <f t="shared" si="671"/>
      </c>
      <c r="O155" s="127">
        <f t="shared" si="167"/>
      </c>
      <c r="P155" s="126">
        <v>0.02</v>
      </c>
      <c r="Q155" s="124">
        <v>6</v>
      </c>
      <c r="R155" s="123">
        <v>32</v>
      </c>
      <c r="S155" s="123">
        <v>17.3</v>
      </c>
      <c r="T155" s="123">
        <v>17.3</v>
      </c>
      <c r="U155" s="123">
        <v>1.6</v>
      </c>
      <c r="V155" s="124">
        <f t="shared" si="160"/>
      </c>
      <c r="W155" s="124">
        <f t="shared" si="191"/>
      </c>
      <c r="X155" s="123" t="s">
        <v>603</v>
      </c>
      <c r="Y155" s="128">
        <v>6.6317</v>
      </c>
      <c r="Z155" s="124">
        <v>17</v>
      </c>
      <c r="AA155" s="124">
        <f t="shared" si="33"/>
      </c>
      <c r="AB155" s="127">
        <f t="shared" si="583"/>
      </c>
      <c r="AC155" s="123"/>
      <c r="AD155" s="130">
        <f t="shared" si="401"/>
      </c>
      <c r="AE155" s="123">
        <f t="shared" si="843"/>
      </c>
      <c r="AF155" s="123">
        <f t="shared" si="726"/>
      </c>
      <c r="AG155" s="126">
        <v>0.15</v>
      </c>
      <c r="AH155" s="123">
        <f t="shared" si="111"/>
      </c>
      <c r="AI155" s="126">
        <v>0.02</v>
      </c>
      <c r="AJ155" s="123">
        <f t="shared" si="959"/>
      </c>
    </row>
    <row customHeight="true" ht="13.333333333333332" r="156">
      <c r="A156" s="122" t="s">
        <v>646</v>
      </c>
      <c r="B156" s="123">
        <v>8</v>
      </c>
      <c r="C156" s="123" t="s">
        <v>600</v>
      </c>
      <c r="D156" s="123" t="s">
        <v>607</v>
      </c>
      <c r="E156" s="123" t="s">
        <v>602</v>
      </c>
      <c r="F156" s="124">
        <f t="shared" si="505"/>
      </c>
      <c r="G156" s="124">
        <f t="shared" si="323"/>
      </c>
      <c r="H156" s="131">
        <f>H154*0.8</f>
      </c>
      <c r="I156" s="124">
        <f t="shared" si="769"/>
      </c>
      <c r="J156" s="137">
        <v>7.08</v>
      </c>
      <c r="K156" s="126">
        <v>0.15</v>
      </c>
      <c r="L156" s="126">
        <v>0.16</v>
      </c>
      <c r="M156" s="126">
        <v>0.05</v>
      </c>
      <c r="N156" s="123">
        <f t="shared" si="671"/>
      </c>
      <c r="O156" s="127">
        <f t="shared" si="167"/>
      </c>
      <c r="P156" s="126">
        <v>0.02</v>
      </c>
      <c r="Q156" s="124">
        <v>6</v>
      </c>
      <c r="R156" s="123">
        <v>32</v>
      </c>
      <c r="S156" s="123">
        <v>17.3</v>
      </c>
      <c r="T156" s="123">
        <v>17.3</v>
      </c>
      <c r="U156" s="123">
        <v>1.6</v>
      </c>
      <c r="V156" s="124">
        <f t="shared" si="160"/>
      </c>
      <c r="W156" s="124">
        <f t="shared" si="191"/>
      </c>
      <c r="X156" s="123" t="s">
        <v>603</v>
      </c>
      <c r="Y156" s="128">
        <v>6.6317</v>
      </c>
      <c r="Z156" s="124">
        <v>17</v>
      </c>
      <c r="AA156" s="124">
        <f t="shared" si="33"/>
      </c>
      <c r="AB156" s="127">
        <f t="shared" si="583"/>
      </c>
      <c r="AC156" s="123"/>
      <c r="AD156" s="130">
        <f t="shared" si="401"/>
      </c>
      <c r="AE156" s="123">
        <f t="shared" si="843"/>
      </c>
      <c r="AF156" s="123">
        <f t="shared" si="726"/>
      </c>
      <c r="AG156" s="126">
        <v>0.15</v>
      </c>
      <c r="AH156" s="123">
        <f t="shared" si="111"/>
      </c>
      <c r="AI156" s="126">
        <v>0.02</v>
      </c>
      <c r="AJ156" s="123">
        <f t="shared" si="959"/>
      </c>
    </row>
    <row customHeight="true" ht="13.333333333333332" r="157">
      <c r="B157" s="123"/>
      <c r="C157" s="123"/>
      <c r="D157" s="123"/>
      <c r="E157" s="123"/>
      <c r="F157" s="124"/>
      <c r="G157" s="124"/>
      <c r="H157" s="124"/>
      <c r="I157" s="124"/>
      <c r="J157" s="137"/>
      <c r="K157" s="126"/>
      <c r="L157" s="126"/>
      <c r="M157" s="126"/>
      <c r="N157" s="126"/>
      <c r="O157" s="127"/>
      <c r="P157" s="126"/>
      <c r="Q157" s="126"/>
      <c r="R157" s="123"/>
      <c r="S157" s="123"/>
      <c r="T157" s="123"/>
      <c r="U157" s="123"/>
      <c r="V157" s="124"/>
      <c r="W157" s="124"/>
      <c r="X157" s="123"/>
      <c r="Y157" s="128"/>
      <c r="Z157" s="124"/>
      <c r="AA157" s="124"/>
      <c r="AB157" s="127"/>
      <c r="AC157" s="123"/>
      <c r="AD157" s="130"/>
      <c r="AE157" s="126"/>
      <c r="AF157" s="126"/>
      <c r="AG157" s="126"/>
      <c r="AH157" s="126"/>
      <c r="AI157" s="126"/>
      <c r="AJ157" s="126"/>
    </row>
    <row customHeight="true" ht="13.333333333333332" r="158">
      <c r="A158" s="122" t="s">
        <v>647</v>
      </c>
      <c r="B158" s="123">
        <v>8</v>
      </c>
      <c r="C158" s="123" t="s">
        <v>600</v>
      </c>
      <c r="D158" s="123" t="s">
        <v>609</v>
      </c>
      <c r="E158" s="123" t="s">
        <v>602</v>
      </c>
      <c r="F158" s="124">
        <f t="shared" ref="F158:F160" si="506">IF(E158="有",(I158/B158+J158+Z158/B158)/(0.99999-K158-L158-M158-N158),(I158/B158+J158+Z158/B158)/(0.99999-K158-M158-N158))</f>
      </c>
      <c r="G158" s="124">
        <f t="shared" ref="G158:G160" si="324">IF(E158="有",(I158/B158+J158+Z158/B158)/(0.8-K158-L158-M158-N158-O158-P158),(I158/B158+J158+Z158/B158)/(0.8-K158-M158-N158-O158-P158))</f>
      </c>
      <c r="H158" s="131">
        <v>54.99</v>
      </c>
      <c r="I158" s="124">
        <f t="shared" ref="I158:I160" si="770">94.4/1.13</f>
      </c>
      <c r="J158" s="137">
        <v>5.3</v>
      </c>
      <c r="K158" s="126">
        <v>0.15</v>
      </c>
      <c r="L158" s="126">
        <v>0.16</v>
      </c>
      <c r="M158" s="126">
        <v>0.05</v>
      </c>
      <c r="N158" s="123">
        <f t="shared" ref="N158:N160" si="672">Q158/H158</f>
      </c>
      <c r="O158" s="127">
        <f t="shared" ref="O158:O160" si="168">0.261/H158</f>
      </c>
      <c r="P158" s="126">
        <v>0.02</v>
      </c>
      <c r="Q158" s="124">
        <v>6</v>
      </c>
      <c r="R158" s="123">
        <v>32</v>
      </c>
      <c r="S158" s="123">
        <v>17.3</v>
      </c>
      <c r="T158" s="123">
        <v>17.3</v>
      </c>
      <c r="U158" s="123">
        <v>1.6</v>
      </c>
      <c r="V158" s="124">
        <f t="shared" ref="V158:V160" si="161">R158*S158*T158/5000</f>
      </c>
      <c r="W158" s="124">
        <f t="shared" ref="W158:W160" si="192">MAX(U158:V158)</f>
      </c>
      <c r="X158" s="123" t="s">
        <v>603</v>
      </c>
      <c r="Y158" s="128">
        <v>6.6317</v>
      </c>
      <c r="Z158" s="124">
        <v>17</v>
      </c>
      <c r="AA158" s="124">
        <f t="shared" ref="AA158:AA160" si="34">H158-SUM(K158:P158)*H158-J158-I158/B158-Z158/B158</f>
      </c>
      <c r="AB158" s="127">
        <f t="shared" ref="AB158:AB160" si="584">AA158/H158</f>
      </c>
      <c r="AC158" s="123"/>
      <c r="AD158" s="130">
        <f t="shared" ref="AD158:AD160" si="402">J158/H158</f>
      </c>
      <c r="AE158" s="123">
        <f t="shared" ref="AE158:AE160" si="844">I158/7.4/H158</f>
      </c>
      <c r="AF158" s="123">
        <f t="shared" ref="AF158:AF160" si="727">Z158/7.4/H158</f>
      </c>
      <c r="AG158" s="126">
        <v>0.15</v>
      </c>
      <c r="AH158" s="123">
        <f t="shared" ref="AH158:AH160" si="112">N158</f>
      </c>
      <c r="AI158" s="126">
        <v>0.02</v>
      </c>
      <c r="AJ158" s="123">
        <f t="shared" ref="AJ158:AJ160" si="960">M158</f>
      </c>
    </row>
    <row customHeight="true" ht="13.333333333333332" r="159">
      <c r="A159" s="122" t="s">
        <v>645</v>
      </c>
      <c r="B159" s="123">
        <v>8</v>
      </c>
      <c r="C159" s="123" t="s">
        <v>600</v>
      </c>
      <c r="D159" s="123" t="s">
        <v>609</v>
      </c>
      <c r="E159" s="123" t="s">
        <v>602</v>
      </c>
      <c r="F159" s="124">
        <f t="shared" si="506"/>
      </c>
      <c r="G159" s="124">
        <f t="shared" si="324"/>
      </c>
      <c r="H159" s="131">
        <f>H158*0.9</f>
      </c>
      <c r="I159" s="124">
        <f t="shared" si="770"/>
      </c>
      <c r="J159" s="137">
        <v>5.3</v>
      </c>
      <c r="K159" s="126">
        <v>0.15</v>
      </c>
      <c r="L159" s="126">
        <v>0.16</v>
      </c>
      <c r="M159" s="126">
        <v>0.05</v>
      </c>
      <c r="N159" s="123">
        <f t="shared" si="672"/>
      </c>
      <c r="O159" s="127">
        <f t="shared" si="168"/>
      </c>
      <c r="P159" s="126">
        <v>0.02</v>
      </c>
      <c r="Q159" s="124">
        <v>6</v>
      </c>
      <c r="R159" s="123">
        <v>32</v>
      </c>
      <c r="S159" s="123">
        <v>17.3</v>
      </c>
      <c r="T159" s="123">
        <v>17.3</v>
      </c>
      <c r="U159" s="123">
        <v>1.6</v>
      </c>
      <c r="V159" s="124">
        <f t="shared" si="161"/>
      </c>
      <c r="W159" s="124">
        <f t="shared" si="192"/>
      </c>
      <c r="X159" s="123" t="s">
        <v>603</v>
      </c>
      <c r="Y159" s="128">
        <v>6.6317</v>
      </c>
      <c r="Z159" s="124">
        <v>17</v>
      </c>
      <c r="AA159" s="124">
        <f t="shared" si="34"/>
      </c>
      <c r="AB159" s="127">
        <f t="shared" si="584"/>
      </c>
      <c r="AC159" s="123"/>
      <c r="AD159" s="130">
        <f t="shared" si="402"/>
      </c>
      <c r="AE159" s="123">
        <f t="shared" si="844"/>
      </c>
      <c r="AF159" s="123">
        <f t="shared" si="727"/>
      </c>
      <c r="AG159" s="126">
        <v>0.15</v>
      </c>
      <c r="AH159" s="123">
        <f t="shared" si="112"/>
      </c>
      <c r="AI159" s="126">
        <v>0.02</v>
      </c>
      <c r="AJ159" s="123">
        <f t="shared" si="960"/>
      </c>
    </row>
    <row customHeight="true" ht="13.333333333333332" r="160">
      <c r="A160" s="122" t="s">
        <v>646</v>
      </c>
      <c r="B160" s="123">
        <v>8</v>
      </c>
      <c r="C160" s="123" t="s">
        <v>600</v>
      </c>
      <c r="D160" s="123" t="s">
        <v>609</v>
      </c>
      <c r="E160" s="123" t="s">
        <v>602</v>
      </c>
      <c r="F160" s="124">
        <f t="shared" si="506"/>
      </c>
      <c r="G160" s="124">
        <f t="shared" si="324"/>
      </c>
      <c r="H160" s="131">
        <f>H158*0.8</f>
      </c>
      <c r="I160" s="124">
        <f t="shared" si="770"/>
      </c>
      <c r="J160" s="137">
        <v>5.3</v>
      </c>
      <c r="K160" s="126">
        <v>0.15</v>
      </c>
      <c r="L160" s="126">
        <v>0.16</v>
      </c>
      <c r="M160" s="126">
        <v>0.05</v>
      </c>
      <c r="N160" s="123">
        <f t="shared" si="672"/>
      </c>
      <c r="O160" s="127">
        <f t="shared" si="168"/>
      </c>
      <c r="P160" s="126">
        <v>0.02</v>
      </c>
      <c r="Q160" s="124">
        <v>6</v>
      </c>
      <c r="R160" s="123">
        <v>32</v>
      </c>
      <c r="S160" s="123">
        <v>17.3</v>
      </c>
      <c r="T160" s="123">
        <v>17.3</v>
      </c>
      <c r="U160" s="123">
        <v>1.6</v>
      </c>
      <c r="V160" s="124">
        <f t="shared" si="161"/>
      </c>
      <c r="W160" s="124">
        <f t="shared" si="192"/>
      </c>
      <c r="X160" s="123" t="s">
        <v>603</v>
      </c>
      <c r="Y160" s="128">
        <v>6.6317</v>
      </c>
      <c r="Z160" s="124">
        <v>17</v>
      </c>
      <c r="AA160" s="124">
        <f t="shared" si="34"/>
      </c>
      <c r="AB160" s="127">
        <f t="shared" si="584"/>
      </c>
      <c r="AC160" s="123"/>
      <c r="AD160" s="130">
        <f t="shared" si="402"/>
      </c>
      <c r="AE160" s="123">
        <f t="shared" si="844"/>
      </c>
      <c r="AF160" s="123">
        <f t="shared" si="727"/>
      </c>
      <c r="AG160" s="126">
        <v>0.15</v>
      </c>
      <c r="AH160" s="123">
        <f t="shared" si="112"/>
      </c>
      <c r="AI160" s="126">
        <v>0.02</v>
      </c>
      <c r="AJ160" s="123">
        <f t="shared" si="960"/>
      </c>
    </row>
    <row customHeight="true" ht="13.333333333333332" r="161">
      <c r="B161" s="123"/>
      <c r="C161" s="123"/>
      <c r="D161" s="123"/>
      <c r="E161" s="123"/>
      <c r="F161" s="124"/>
      <c r="G161" s="124"/>
      <c r="H161" s="124"/>
      <c r="I161" s="124"/>
      <c r="J161" s="137"/>
      <c r="K161" s="126"/>
      <c r="L161" s="126"/>
      <c r="M161" s="126"/>
      <c r="N161" s="126"/>
      <c r="O161" s="127"/>
      <c r="P161" s="126"/>
      <c r="Q161" s="126"/>
      <c r="R161" s="123"/>
      <c r="S161" s="123"/>
      <c r="T161" s="123"/>
      <c r="U161" s="123"/>
      <c r="V161" s="124"/>
      <c r="W161" s="124"/>
      <c r="X161" s="123"/>
      <c r="Y161" s="128"/>
      <c r="Z161" s="124"/>
      <c r="AA161" s="124"/>
      <c r="AB161" s="127"/>
      <c r="AC161" s="123"/>
      <c r="AD161" s="130"/>
      <c r="AE161" s="126"/>
      <c r="AF161" s="126"/>
      <c r="AG161" s="126"/>
      <c r="AH161" s="126"/>
      <c r="AI161" s="126"/>
      <c r="AJ161" s="126"/>
    </row>
    <row customHeight="true" ht="13.333333333333332" r="162">
      <c r="A162" s="122" t="s">
        <v>647</v>
      </c>
      <c r="B162" s="123">
        <v>8</v>
      </c>
      <c r="C162" s="123" t="s">
        <v>600</v>
      </c>
      <c r="D162" s="123" t="s">
        <v>612</v>
      </c>
      <c r="E162" s="123" t="s">
        <v>602</v>
      </c>
      <c r="F162" s="124">
        <f t="shared" ref="F162:F164" si="507">IF(E162="有",(I162/B162+J162+Z162/B162)/(0.99999-K162-L162-M162-N162),(I162/B162+J162+Z162/B162)/(0.99999-K162-M162-N162))</f>
      </c>
      <c r="G162" s="124">
        <f t="shared" ref="G162:G164" si="325">IF(E162="有",(I162/B162+J162+Z162/B162)/(0.8-K162-L162-M162-N162-O162-P162),(I162/B162+J162+Z162/B162)/(0.8-K162-M162-N162-O162-P162))</f>
      </c>
      <c r="H162" s="131">
        <v>54.99</v>
      </c>
      <c r="I162" s="124">
        <f t="shared" ref="I162:I164" si="771">94.4/1.13</f>
      </c>
      <c r="J162" s="137">
        <v>4.98</v>
      </c>
      <c r="K162" s="126">
        <v>0.15</v>
      </c>
      <c r="L162" s="126">
        <v>0.16</v>
      </c>
      <c r="M162" s="126">
        <v>0.05</v>
      </c>
      <c r="N162" s="123">
        <f t="shared" ref="N162:N164" si="673">Q162/H162</f>
      </c>
      <c r="O162" s="127">
        <f t="shared" ref="O162:O164" si="169">0.261/H162</f>
      </c>
      <c r="P162" s="126">
        <v>0.02</v>
      </c>
      <c r="Q162" s="124">
        <v>6</v>
      </c>
      <c r="R162" s="123">
        <v>32</v>
      </c>
      <c r="S162" s="123">
        <v>17.3</v>
      </c>
      <c r="T162" s="123">
        <v>17.3</v>
      </c>
      <c r="U162" s="123">
        <v>1.6</v>
      </c>
      <c r="V162" s="124">
        <f t="shared" ref="V162:V164" si="162">R162*S162*T162/5000</f>
      </c>
      <c r="W162" s="124">
        <f t="shared" ref="W162:W164" si="193">MAX(U162:V162)</f>
      </c>
      <c r="X162" s="123" t="s">
        <v>603</v>
      </c>
      <c r="Y162" s="128">
        <v>6.6317</v>
      </c>
      <c r="Z162" s="124">
        <v>17</v>
      </c>
      <c r="AA162" s="124">
        <f t="shared" ref="AA162:AA164" si="35">H162-SUM(K162:P162)*H162-J162-I162/B162-Z162/B162</f>
      </c>
      <c r="AB162" s="127">
        <f t="shared" ref="AB162:AB164" si="585">AA162/H162</f>
      </c>
      <c r="AC162" s="123"/>
      <c r="AD162" s="130">
        <f t="shared" ref="AD162:AD164" si="403">J162/H162</f>
      </c>
      <c r="AE162" s="123">
        <f t="shared" ref="AE162:AE164" si="845">I162/7.4/H162</f>
      </c>
      <c r="AF162" s="123">
        <f t="shared" ref="AF162:AF164" si="728">Z162/7.4/H162</f>
      </c>
      <c r="AG162" s="126">
        <v>0.15</v>
      </c>
      <c r="AH162" s="123">
        <f t="shared" ref="AH162:AH164" si="113">N162</f>
      </c>
      <c r="AI162" s="126">
        <v>0.02</v>
      </c>
      <c r="AJ162" s="123">
        <f t="shared" ref="AJ162:AJ164" si="961">M162</f>
      </c>
    </row>
    <row customHeight="true" ht="13.333333333333332" r="163">
      <c r="A163" s="122" t="s">
        <v>645</v>
      </c>
      <c r="B163" s="123">
        <v>8</v>
      </c>
      <c r="C163" s="123" t="s">
        <v>600</v>
      </c>
      <c r="D163" s="123" t="s">
        <v>612</v>
      </c>
      <c r="E163" s="123" t="s">
        <v>602</v>
      </c>
      <c r="F163" s="124">
        <f t="shared" si="507"/>
      </c>
      <c r="G163" s="124">
        <f t="shared" si="325"/>
      </c>
      <c r="H163" s="131">
        <f>H162*0.9</f>
      </c>
      <c r="I163" s="124">
        <f t="shared" si="771"/>
      </c>
      <c r="J163" s="137">
        <v>4.98</v>
      </c>
      <c r="K163" s="126">
        <v>0.15</v>
      </c>
      <c r="L163" s="126">
        <v>0.16</v>
      </c>
      <c r="M163" s="126">
        <v>0.05</v>
      </c>
      <c r="N163" s="123">
        <f t="shared" si="673"/>
      </c>
      <c r="O163" s="127">
        <f t="shared" si="169"/>
      </c>
      <c r="P163" s="126">
        <v>0.02</v>
      </c>
      <c r="Q163" s="124">
        <v>6</v>
      </c>
      <c r="R163" s="123">
        <v>32</v>
      </c>
      <c r="S163" s="123">
        <v>17.3</v>
      </c>
      <c r="T163" s="123">
        <v>17.3</v>
      </c>
      <c r="U163" s="123">
        <v>1.6</v>
      </c>
      <c r="V163" s="124">
        <f t="shared" si="162"/>
      </c>
      <c r="W163" s="124">
        <f t="shared" si="193"/>
      </c>
      <c r="X163" s="123" t="s">
        <v>603</v>
      </c>
      <c r="Y163" s="128">
        <v>6.6317</v>
      </c>
      <c r="Z163" s="124">
        <v>17</v>
      </c>
      <c r="AA163" s="124">
        <f t="shared" si="35"/>
      </c>
      <c r="AB163" s="127">
        <f t="shared" si="585"/>
      </c>
      <c r="AC163" s="123"/>
      <c r="AD163" s="130">
        <f t="shared" si="403"/>
      </c>
      <c r="AE163" s="123">
        <f t="shared" si="845"/>
      </c>
      <c r="AF163" s="123">
        <f t="shared" si="728"/>
      </c>
      <c r="AG163" s="126">
        <v>0.15</v>
      </c>
      <c r="AH163" s="123">
        <f t="shared" si="113"/>
      </c>
      <c r="AI163" s="126">
        <v>0.02</v>
      </c>
      <c r="AJ163" s="123">
        <f t="shared" si="961"/>
      </c>
    </row>
    <row customHeight="true" ht="13.333333333333332" r="164">
      <c r="A164" s="122" t="s">
        <v>646</v>
      </c>
      <c r="B164" s="123">
        <v>8</v>
      </c>
      <c r="C164" s="123" t="s">
        <v>600</v>
      </c>
      <c r="D164" s="123" t="s">
        <v>612</v>
      </c>
      <c r="E164" s="123" t="s">
        <v>602</v>
      </c>
      <c r="F164" s="124">
        <f t="shared" si="507"/>
      </c>
      <c r="G164" s="124">
        <f t="shared" si="325"/>
      </c>
      <c r="H164" s="131">
        <f>H162*0.8</f>
      </c>
      <c r="I164" s="124">
        <f t="shared" si="771"/>
      </c>
      <c r="J164" s="137">
        <v>4.98</v>
      </c>
      <c r="K164" s="126">
        <v>0.15</v>
      </c>
      <c r="L164" s="126">
        <v>0.16</v>
      </c>
      <c r="M164" s="126">
        <v>0.05</v>
      </c>
      <c r="N164" s="123">
        <f t="shared" si="673"/>
      </c>
      <c r="O164" s="127">
        <f t="shared" si="169"/>
      </c>
      <c r="P164" s="126">
        <v>0.02</v>
      </c>
      <c r="Q164" s="124">
        <v>6</v>
      </c>
      <c r="R164" s="123">
        <v>32</v>
      </c>
      <c r="S164" s="123">
        <v>17.3</v>
      </c>
      <c r="T164" s="123">
        <v>17.3</v>
      </c>
      <c r="U164" s="123">
        <v>1.6</v>
      </c>
      <c r="V164" s="124">
        <f t="shared" si="162"/>
      </c>
      <c r="W164" s="124">
        <f t="shared" si="193"/>
      </c>
      <c r="X164" s="123" t="s">
        <v>603</v>
      </c>
      <c r="Y164" s="128">
        <v>6.6317</v>
      </c>
      <c r="Z164" s="124">
        <v>17</v>
      </c>
      <c r="AA164" s="124">
        <f t="shared" si="35"/>
      </c>
      <c r="AB164" s="127">
        <f t="shared" si="585"/>
      </c>
      <c r="AC164" s="123"/>
      <c r="AD164" s="130">
        <f t="shared" si="403"/>
      </c>
      <c r="AE164" s="123">
        <f t="shared" si="845"/>
      </c>
      <c r="AF164" s="123">
        <f t="shared" si="728"/>
      </c>
      <c r="AG164" s="126">
        <v>0.15</v>
      </c>
      <c r="AH164" s="123">
        <f t="shared" si="113"/>
      </c>
      <c r="AI164" s="126">
        <v>0.02</v>
      </c>
      <c r="AJ164" s="123">
        <f t="shared" si="961"/>
      </c>
    </row>
    <row customHeight="true" ht="13.333333333333332" r="165">
      <c r="B165" s="123"/>
      <c r="C165" s="123"/>
      <c r="D165" s="123"/>
      <c r="E165" s="123"/>
      <c r="F165" s="124"/>
      <c r="G165" s="124"/>
      <c r="H165" s="124"/>
      <c r="I165" s="124"/>
      <c r="J165" s="137"/>
      <c r="K165" s="126"/>
      <c r="L165" s="126"/>
      <c r="M165" s="126"/>
      <c r="N165" s="126"/>
      <c r="O165" s="127"/>
      <c r="P165" s="126"/>
      <c r="Q165" s="126"/>
      <c r="R165" s="123"/>
      <c r="S165" s="123"/>
      <c r="T165" s="123"/>
      <c r="U165" s="123"/>
      <c r="V165" s="124"/>
      <c r="W165" s="124"/>
      <c r="X165" s="123"/>
      <c r="Y165" s="128"/>
      <c r="Z165" s="124"/>
      <c r="AA165" s="124"/>
      <c r="AB165" s="127"/>
      <c r="AC165" s="123"/>
      <c r="AD165" s="130"/>
      <c r="AE165" s="126"/>
      <c r="AF165" s="126"/>
      <c r="AG165" s="126"/>
      <c r="AH165" s="126"/>
      <c r="AI165" s="126"/>
      <c r="AJ165" s="126"/>
    </row>
    <row customHeight="true" ht="13.333333333333332" r="166">
      <c r="A166" s="122" t="s">
        <v>648</v>
      </c>
      <c r="B166" s="123">
        <v>9</v>
      </c>
      <c r="C166" s="123" t="s">
        <v>613</v>
      </c>
      <c r="D166" s="123" t="s">
        <v>614</v>
      </c>
      <c r="E166" s="123" t="s">
        <v>602</v>
      </c>
      <c r="F166" s="124">
        <f t="shared" ref="F166:F168" si="508">IF(E166="有",(I166/B166+J166+Z166/B166)/(0.99999-K166-L166-M166-N166),(I166/B166+J166+Z166/B166)/(0.99999-K166-M166-N166))</f>
      </c>
      <c r="G166" s="124">
        <f t="shared" ref="G166:G168" si="326">IF(E166="有",(I166/B166+J166+Z166/B166)/(0.8-K166-L166-M166-N166-O166-P166),(I166/B166+J166+Z166/B166)/(0.8-K166-M166-N166-O166-P166))</f>
      </c>
      <c r="H166" s="123">
        <v>49.99</v>
      </c>
      <c r="I166" s="124">
        <f t="shared" ref="I166:I168" si="772">94.4/1.13</f>
      </c>
      <c r="J166" s="137">
        <v>4.87</v>
      </c>
      <c r="K166" s="126">
        <v>0.15</v>
      </c>
      <c r="L166" s="126">
        <v>0.16</v>
      </c>
      <c r="M166" s="126">
        <v>0.05</v>
      </c>
      <c r="N166" s="123">
        <f t="shared" ref="N166:N168" si="674">Q166/H166</f>
      </c>
      <c r="O166" s="127">
        <f t="shared" ref="O166:O168" si="170">0.261/H166</f>
      </c>
      <c r="P166" s="126">
        <v>0.02</v>
      </c>
      <c r="Q166" s="124">
        <v>6</v>
      </c>
      <c r="R166" s="123">
        <v>32</v>
      </c>
      <c r="S166" s="123">
        <v>17.3</v>
      </c>
      <c r="T166" s="123">
        <v>17.3</v>
      </c>
      <c r="U166" s="123">
        <v>1.6</v>
      </c>
      <c r="V166" s="124">
        <f t="shared" ref="V166:V168" si="792">R166*S166*T166/6000</f>
      </c>
      <c r="W166" s="124">
        <f t="shared" ref="W166:W168" si="194">MAX(U166:V166)</f>
      </c>
      <c r="X166" s="123" t="s">
        <v>603</v>
      </c>
      <c r="Y166" s="128">
        <v>6.6317</v>
      </c>
      <c r="Z166" s="124">
        <v>16</v>
      </c>
      <c r="AA166" s="124">
        <f t="shared" ref="AA166:AA168" si="36">H166-SUM(K166:P166)*H166-J166-I166/B166-Z166/B166</f>
      </c>
      <c r="AB166" s="127">
        <f t="shared" ref="AB166:AB168" si="586">AA166/H166</f>
      </c>
      <c r="AC166" s="123"/>
      <c r="AD166" s="130">
        <f t="shared" ref="AD166:AD168" si="404">J166/H166</f>
      </c>
      <c r="AE166" s="123">
        <f t="shared" ref="AE166:AE168" si="846">I166/7.4/H166</f>
      </c>
      <c r="AF166" s="123">
        <f t="shared" ref="AF166:AF168" si="729">Z166/7.4/H166</f>
      </c>
      <c r="AG166" s="126">
        <v>0.15</v>
      </c>
      <c r="AH166" s="123">
        <f t="shared" ref="AH166:AH168" si="114">N166</f>
      </c>
      <c r="AI166" s="126">
        <v>0.02</v>
      </c>
      <c r="AJ166" s="123">
        <f t="shared" ref="AJ166:AJ168" si="962">M166</f>
      </c>
    </row>
    <row customHeight="true" ht="13.333333333333332" r="167">
      <c r="A167" s="122" t="s">
        <v>645</v>
      </c>
      <c r="B167" s="123">
        <v>9</v>
      </c>
      <c r="C167" s="123" t="s">
        <v>613</v>
      </c>
      <c r="D167" s="123" t="s">
        <v>614</v>
      </c>
      <c r="E167" s="123" t="s">
        <v>602</v>
      </c>
      <c r="F167" s="124">
        <f t="shared" si="508"/>
      </c>
      <c r="G167" s="124">
        <f t="shared" si="326"/>
      </c>
      <c r="H167" s="131">
        <f>H166*0.9</f>
      </c>
      <c r="I167" s="124">
        <f t="shared" si="772"/>
      </c>
      <c r="J167" s="137">
        <v>4.87</v>
      </c>
      <c r="K167" s="126">
        <v>0.15</v>
      </c>
      <c r="L167" s="126">
        <v>0.16</v>
      </c>
      <c r="M167" s="126">
        <v>0.05</v>
      </c>
      <c r="N167" s="123">
        <f t="shared" si="674"/>
      </c>
      <c r="O167" s="127">
        <f t="shared" si="170"/>
      </c>
      <c r="P167" s="126">
        <v>0.02</v>
      </c>
      <c r="Q167" s="124">
        <v>6</v>
      </c>
      <c r="R167" s="123">
        <v>32</v>
      </c>
      <c r="S167" s="123">
        <v>17.3</v>
      </c>
      <c r="T167" s="123">
        <v>17.3</v>
      </c>
      <c r="U167" s="123">
        <v>1.6</v>
      </c>
      <c r="V167" s="124">
        <f t="shared" si="792"/>
      </c>
      <c r="W167" s="124">
        <f t="shared" si="194"/>
      </c>
      <c r="X167" s="123" t="s">
        <v>603</v>
      </c>
      <c r="Y167" s="128">
        <v>6.6317</v>
      </c>
      <c r="Z167" s="124">
        <v>16</v>
      </c>
      <c r="AA167" s="124">
        <f t="shared" si="36"/>
      </c>
      <c r="AB167" s="127">
        <f t="shared" si="586"/>
      </c>
      <c r="AC167" s="123"/>
      <c r="AD167" s="130">
        <f t="shared" si="404"/>
      </c>
      <c r="AE167" s="123">
        <f t="shared" si="846"/>
      </c>
      <c r="AF167" s="123">
        <f t="shared" si="729"/>
      </c>
      <c r="AG167" s="126">
        <v>0.15</v>
      </c>
      <c r="AH167" s="123">
        <f t="shared" si="114"/>
      </c>
      <c r="AI167" s="126">
        <v>0.02</v>
      </c>
      <c r="AJ167" s="123">
        <f t="shared" si="962"/>
      </c>
    </row>
    <row customHeight="true" ht="13.333333333333332" r="168">
      <c r="A168" s="122" t="s">
        <v>646</v>
      </c>
      <c r="B168" s="123">
        <v>9</v>
      </c>
      <c r="C168" s="123" t="s">
        <v>613</v>
      </c>
      <c r="D168" s="123" t="s">
        <v>614</v>
      </c>
      <c r="E168" s="123" t="s">
        <v>602</v>
      </c>
      <c r="F168" s="124">
        <f t="shared" si="508"/>
      </c>
      <c r="G168" s="124">
        <f t="shared" si="326"/>
      </c>
      <c r="H168" s="131">
        <f>H166*0.8</f>
      </c>
      <c r="I168" s="124">
        <f t="shared" si="772"/>
      </c>
      <c r="J168" s="137">
        <v>4.87</v>
      </c>
      <c r="K168" s="126">
        <v>0.15</v>
      </c>
      <c r="L168" s="126">
        <v>0.16</v>
      </c>
      <c r="M168" s="126">
        <v>0.05</v>
      </c>
      <c r="N168" s="123">
        <f t="shared" si="674"/>
      </c>
      <c r="O168" s="127">
        <f t="shared" si="170"/>
      </c>
      <c r="P168" s="126">
        <v>0.02</v>
      </c>
      <c r="Q168" s="124">
        <v>6</v>
      </c>
      <c r="R168" s="123">
        <v>32</v>
      </c>
      <c r="S168" s="123">
        <v>17.3</v>
      </c>
      <c r="T168" s="123">
        <v>17.3</v>
      </c>
      <c r="U168" s="123">
        <v>1.6</v>
      </c>
      <c r="V168" s="124">
        <f t="shared" si="792"/>
      </c>
      <c r="W168" s="124">
        <f t="shared" si="194"/>
      </c>
      <c r="X168" s="123" t="s">
        <v>603</v>
      </c>
      <c r="Y168" s="128">
        <v>6.6317</v>
      </c>
      <c r="Z168" s="124">
        <v>16</v>
      </c>
      <c r="AA168" s="124">
        <f t="shared" si="36"/>
      </c>
      <c r="AB168" s="127">
        <f t="shared" si="586"/>
      </c>
      <c r="AC168" s="123"/>
      <c r="AD168" s="130">
        <f t="shared" si="404"/>
      </c>
      <c r="AE168" s="123">
        <f t="shared" si="846"/>
      </c>
      <c r="AF168" s="123">
        <f t="shared" si="729"/>
      </c>
      <c r="AG168" s="126">
        <v>0.15</v>
      </c>
      <c r="AH168" s="123">
        <f t="shared" si="114"/>
      </c>
      <c r="AI168" s="126">
        <v>0.02</v>
      </c>
      <c r="AJ168" s="123">
        <f t="shared" si="962"/>
      </c>
    </row>
    <row customHeight="true" ht="13.333333333333332" r="169">
      <c r="B169" s="123"/>
      <c r="C169" s="123"/>
      <c r="D169" s="123"/>
      <c r="E169" s="123"/>
      <c r="F169" s="124"/>
      <c r="G169" s="124"/>
      <c r="H169" s="124"/>
      <c r="I169" s="124"/>
      <c r="J169" s="137"/>
      <c r="K169" s="126"/>
      <c r="L169" s="126"/>
      <c r="M169" s="126"/>
      <c r="N169" s="126"/>
      <c r="O169" s="127"/>
      <c r="P169" s="126"/>
      <c r="Q169" s="124"/>
      <c r="R169" s="123"/>
      <c r="S169" s="123"/>
      <c r="T169" s="123"/>
      <c r="U169" s="123"/>
      <c r="V169" s="124"/>
      <c r="W169" s="124"/>
      <c r="X169" s="123"/>
      <c r="Y169" s="128"/>
      <c r="Z169" s="124"/>
      <c r="AA169" s="124"/>
      <c r="AB169" s="127"/>
      <c r="AC169" s="123"/>
      <c r="AD169" s="130"/>
      <c r="AE169" s="126"/>
      <c r="AF169" s="126"/>
      <c r="AG169" s="126"/>
      <c r="AH169" s="126"/>
      <c r="AI169" s="126"/>
      <c r="AJ169" s="126"/>
    </row>
    <row customHeight="true" ht="13.333333333333332" r="170">
      <c r="A170" s="122" t="s">
        <v>649</v>
      </c>
      <c r="B170" s="123">
        <v>7</v>
      </c>
      <c r="C170" s="123" t="s">
        <v>600</v>
      </c>
      <c r="D170" s="123" t="s">
        <v>643</v>
      </c>
      <c r="E170" s="123" t="s">
        <v>644</v>
      </c>
      <c r="F170" s="124">
        <f t="shared" ref="F170:F172" si="509">IF(E170="有",(I170/B170+J170+Z170/B170)/(0.99999-K170-L170-M170-N170),(I170/B170+J170+Z170/B170)/(0.99999-K170-M170-N170))</f>
      </c>
      <c r="G170" s="124">
        <f t="shared" ref="G170:G172" si="327">IF(E170="有",(I170/B170+J170+Z170/B170)/(0.8-K170-L170-M170-N170-O170-P170),(I170/B170+J170+Z170/B170)/(0.8-K170-M170-N170-O170-P170))</f>
      </c>
      <c r="H170" s="131">
        <v>19.99</v>
      </c>
      <c r="I170" s="124">
        <f t="shared" ref="I170:I172" si="1010">16.9/1.13</f>
      </c>
      <c r="J170" s="137">
        <v>6.1</v>
      </c>
      <c r="K170" s="126">
        <v>0.15</v>
      </c>
      <c r="L170" s="126">
        <v>0</v>
      </c>
      <c r="M170" s="126">
        <v>0.05</v>
      </c>
      <c r="N170" s="123">
        <f t="shared" ref="N170:N172" si="675">Q170/H170</f>
      </c>
      <c r="O170" s="127">
        <f t="shared" ref="O170:O172" si="171">0.261/H170</f>
      </c>
      <c r="P170" s="126">
        <v>0.02</v>
      </c>
      <c r="Q170" s="124">
        <v>0</v>
      </c>
      <c r="R170" s="123">
        <v>32</v>
      </c>
      <c r="S170" s="123">
        <v>17.3</v>
      </c>
      <c r="T170" s="123">
        <v>17.3</v>
      </c>
      <c r="U170" s="123">
        <v>1.6</v>
      </c>
      <c r="V170" s="124">
        <f t="shared" ref="V170:V172" si="163">R170*S170*T170/5000</f>
      </c>
      <c r="W170" s="124">
        <f t="shared" ref="W170:W172" si="195">MAX(U170:V170)</f>
      </c>
      <c r="X170" s="123" t="s">
        <v>603</v>
      </c>
      <c r="Y170" s="128">
        <v>6.6317</v>
      </c>
      <c r="Z170" s="124">
        <v>10</v>
      </c>
      <c r="AA170" s="124">
        <f t="shared" ref="AA170:AA172" si="37">H170-SUM(K170:P170)*H170-J170-I170/B170-Z170/B170</f>
      </c>
      <c r="AB170" s="127">
        <f t="shared" ref="AB170:AB172" si="587">AA170/H170</f>
      </c>
      <c r="AC170" s="123"/>
      <c r="AD170" s="130">
        <f t="shared" ref="AD170:AD172" si="405">J170/H170</f>
      </c>
      <c r="AE170" s="123">
        <f t="shared" ref="AE170:AE172" si="847">I170/7.4/H170</f>
      </c>
      <c r="AF170" s="123">
        <f t="shared" ref="AF170:AF172" si="730">Z170/7.4/H170</f>
      </c>
      <c r="AG170" s="126">
        <v>0.15</v>
      </c>
      <c r="AH170" s="123">
        <f t="shared" ref="AH170:AH172" si="115">N170</f>
      </c>
      <c r="AI170" s="126">
        <v>0.02</v>
      </c>
      <c r="AJ170" s="123">
        <f t="shared" ref="AJ170:AJ172" si="963">M170</f>
      </c>
    </row>
    <row customHeight="true" ht="13.333333333333332" r="171">
      <c r="A171" s="122" t="s">
        <v>650</v>
      </c>
      <c r="B171" s="123">
        <v>7</v>
      </c>
      <c r="C171" s="123" t="s">
        <v>600</v>
      </c>
      <c r="D171" s="123" t="s">
        <v>643</v>
      </c>
      <c r="E171" s="123" t="s">
        <v>644</v>
      </c>
      <c r="F171" s="124">
        <f t="shared" si="509"/>
      </c>
      <c r="G171" s="124">
        <f t="shared" si="327"/>
      </c>
      <c r="H171" s="131">
        <f>H170*0.9</f>
      </c>
      <c r="I171" s="124">
        <f t="shared" si="1010"/>
      </c>
      <c r="J171" s="137">
        <v>6.1</v>
      </c>
      <c r="K171" s="126">
        <v>0.15</v>
      </c>
      <c r="L171" s="126">
        <v>0</v>
      </c>
      <c r="M171" s="126">
        <v>0.05</v>
      </c>
      <c r="N171" s="123">
        <f t="shared" si="675"/>
      </c>
      <c r="O171" s="127">
        <f t="shared" si="171"/>
      </c>
      <c r="P171" s="126">
        <v>0.02</v>
      </c>
      <c r="Q171" s="124">
        <v>0</v>
      </c>
      <c r="R171" s="123">
        <v>32</v>
      </c>
      <c r="S171" s="123">
        <v>17.3</v>
      </c>
      <c r="T171" s="123">
        <v>17.3</v>
      </c>
      <c r="U171" s="123">
        <v>1.6</v>
      </c>
      <c r="V171" s="124">
        <f t="shared" si="163"/>
      </c>
      <c r="W171" s="124">
        <f t="shared" si="195"/>
      </c>
      <c r="X171" s="123" t="s">
        <v>603</v>
      </c>
      <c r="Y171" s="128">
        <v>6.6317</v>
      </c>
      <c r="Z171" s="124">
        <v>10</v>
      </c>
      <c r="AA171" s="124">
        <f t="shared" si="37"/>
      </c>
      <c r="AB171" s="127">
        <f t="shared" si="587"/>
      </c>
      <c r="AC171" s="123"/>
      <c r="AD171" s="130">
        <f t="shared" si="405"/>
      </c>
      <c r="AE171" s="123">
        <f t="shared" si="847"/>
      </c>
      <c r="AF171" s="123">
        <f t="shared" si="730"/>
      </c>
      <c r="AG171" s="126">
        <v>0.15</v>
      </c>
      <c r="AH171" s="123">
        <f t="shared" si="115"/>
      </c>
      <c r="AI171" s="126">
        <v>0.02</v>
      </c>
      <c r="AJ171" s="123">
        <f t="shared" si="963"/>
      </c>
    </row>
    <row customHeight="true" ht="13.333333333333332" r="172">
      <c r="A172" s="122" t="s">
        <v>651</v>
      </c>
      <c r="B172" s="123">
        <v>7</v>
      </c>
      <c r="C172" s="123" t="s">
        <v>600</v>
      </c>
      <c r="D172" s="123" t="s">
        <v>643</v>
      </c>
      <c r="E172" s="123" t="s">
        <v>644</v>
      </c>
      <c r="F172" s="124">
        <f t="shared" si="509"/>
      </c>
      <c r="G172" s="124">
        <f t="shared" si="327"/>
      </c>
      <c r="H172" s="131">
        <f>H170*0.8</f>
      </c>
      <c r="I172" s="124">
        <f t="shared" si="1010"/>
      </c>
      <c r="J172" s="137">
        <v>6.1</v>
      </c>
      <c r="K172" s="126">
        <v>0.15</v>
      </c>
      <c r="L172" s="126">
        <v>0</v>
      </c>
      <c r="M172" s="126">
        <v>0.05</v>
      </c>
      <c r="N172" s="123">
        <f t="shared" si="675"/>
      </c>
      <c r="O172" s="127">
        <f t="shared" si="171"/>
      </c>
      <c r="P172" s="126">
        <v>0.02</v>
      </c>
      <c r="Q172" s="124">
        <v>0</v>
      </c>
      <c r="R172" s="123">
        <v>32</v>
      </c>
      <c r="S172" s="123">
        <v>17.3</v>
      </c>
      <c r="T172" s="123">
        <v>17.3</v>
      </c>
      <c r="U172" s="123">
        <v>1.6</v>
      </c>
      <c r="V172" s="124">
        <f t="shared" si="163"/>
      </c>
      <c r="W172" s="124">
        <f t="shared" si="195"/>
      </c>
      <c r="X172" s="123" t="s">
        <v>603</v>
      </c>
      <c r="Y172" s="128">
        <v>6.6317</v>
      </c>
      <c r="Z172" s="124">
        <v>10</v>
      </c>
      <c r="AA172" s="124">
        <f t="shared" si="37"/>
      </c>
      <c r="AB172" s="127">
        <f t="shared" si="587"/>
      </c>
      <c r="AC172" s="123"/>
      <c r="AD172" s="130">
        <f t="shared" si="405"/>
      </c>
      <c r="AE172" s="123">
        <f t="shared" si="847"/>
      </c>
      <c r="AF172" s="123">
        <f t="shared" si="730"/>
      </c>
      <c r="AG172" s="126">
        <v>0.15</v>
      </c>
      <c r="AH172" s="123">
        <f t="shared" si="115"/>
      </c>
      <c r="AI172" s="126">
        <v>0.02</v>
      </c>
      <c r="AJ172" s="123">
        <f t="shared" si="963"/>
      </c>
    </row>
    <row customHeight="true" ht="13.333333333333332" r="173">
      <c r="A173" s="132"/>
      <c r="B173" s="123"/>
      <c r="C173" s="123"/>
      <c r="D173" s="123"/>
      <c r="E173" s="123"/>
      <c r="F173" s="124"/>
      <c r="G173" s="124"/>
      <c r="H173" s="131"/>
      <c r="I173" s="124"/>
      <c r="J173" s="137"/>
      <c r="K173" s="126"/>
      <c r="L173" s="126"/>
      <c r="M173" s="126"/>
      <c r="N173" s="126"/>
      <c r="O173" s="127"/>
      <c r="P173" s="126"/>
      <c r="Q173" s="124"/>
      <c r="R173" s="123"/>
      <c r="S173" s="123"/>
      <c r="T173" s="123"/>
      <c r="U173" s="123"/>
      <c r="V173" s="124"/>
      <c r="W173" s="124"/>
      <c r="X173" s="123"/>
      <c r="Y173" s="128"/>
      <c r="Z173" s="124"/>
      <c r="AA173" s="124"/>
      <c r="AB173" s="127"/>
      <c r="AC173" s="123"/>
      <c r="AD173" s="130"/>
      <c r="AE173" s="126"/>
      <c r="AF173" s="126"/>
      <c r="AG173" s="126"/>
      <c r="AH173" s="126"/>
      <c r="AI173" s="126"/>
      <c r="AJ173" s="126"/>
    </row>
    <row customHeight="true" ht="13.333333333333332" r="174">
      <c r="A174" s="122" t="s">
        <v>649</v>
      </c>
      <c r="B174" s="123">
        <v>8</v>
      </c>
      <c r="C174" s="123" t="s">
        <v>600</v>
      </c>
      <c r="D174" s="123" t="s">
        <v>601</v>
      </c>
      <c r="E174" s="123" t="s">
        <v>602</v>
      </c>
      <c r="F174" s="124">
        <f t="shared" ref="F174:F176" si="510">IF(E174="有",(I174/B174+J174+Z174/B174)/(0.99999-K174-L174-M174-N174),(I174/B174+J174+Z174/B174)/(0.99999-K174-M174-N174))</f>
      </c>
      <c r="G174" s="124">
        <f t="shared" ref="G174:G176" si="328">IF(E174="有",(I174/B174+J174+Z174/B174)/(0.8-K174-L174-M174-N174-O174-P174),(I174/B174+J174+Z174/B174)/(0.8-K174-M174-N174-O174-P174))</f>
      </c>
      <c r="H174" s="131">
        <v>19.99</v>
      </c>
      <c r="I174" s="124">
        <f t="shared" ref="I174:I176" si="1011">16.9/1.13</f>
      </c>
      <c r="J174" s="137">
        <v>5</v>
      </c>
      <c r="K174" s="126">
        <v>0.15</v>
      </c>
      <c r="L174" s="126">
        <v>0.16</v>
      </c>
      <c r="M174" s="126">
        <v>0.05</v>
      </c>
      <c r="N174" s="123">
        <f t="shared" ref="N174:N176" si="676">Q174/H174</f>
      </c>
      <c r="O174" s="127">
        <f t="shared" ref="O174:O176" si="172">0.261/H174</f>
      </c>
      <c r="P174" s="126">
        <v>0.02</v>
      </c>
      <c r="Q174" s="124">
        <v>0</v>
      </c>
      <c r="R174" s="123">
        <v>32</v>
      </c>
      <c r="S174" s="123">
        <v>17.3</v>
      </c>
      <c r="T174" s="123">
        <v>17.3</v>
      </c>
      <c r="U174" s="123">
        <v>1.6</v>
      </c>
      <c r="V174" s="124">
        <f t="shared" ref="V174:V176" si="164">R174*S174*T174/5000</f>
      </c>
      <c r="W174" s="124">
        <f t="shared" ref="W174:W176" si="196">MAX(U174:V174)</f>
      </c>
      <c r="X174" s="123" t="s">
        <v>603</v>
      </c>
      <c r="Y174" s="128">
        <v>6.6317</v>
      </c>
      <c r="Z174" s="124">
        <v>10</v>
      </c>
      <c r="AA174" s="124">
        <f t="shared" ref="AA174:AA176" si="38">H174-SUM(K174:P174)*H174-J174-I174/B174-Z174/B174</f>
      </c>
      <c r="AB174" s="127">
        <f t="shared" ref="AB174:AB176" si="588">AA174/H174</f>
      </c>
      <c r="AC174" s="123"/>
      <c r="AD174" s="130">
        <f t="shared" ref="AD174:AD176" si="406">J174/H174</f>
      </c>
      <c r="AE174" s="123">
        <f t="shared" ref="AE174:AE176" si="848">I174/7.4/H174</f>
      </c>
      <c r="AF174" s="123">
        <f t="shared" ref="AF174:AF176" si="731">Z174/7.4/H174</f>
      </c>
      <c r="AG174" s="126">
        <v>0.15</v>
      </c>
      <c r="AH174" s="123">
        <f t="shared" ref="AH174:AH176" si="116">N174</f>
      </c>
      <c r="AI174" s="126">
        <v>0.02</v>
      </c>
      <c r="AJ174" s="123">
        <f t="shared" ref="AJ174:AJ176" si="964">M174</f>
      </c>
    </row>
    <row customHeight="true" ht="13.333333333333332" r="175">
      <c r="A175" s="122" t="s">
        <v>650</v>
      </c>
      <c r="B175" s="123">
        <v>8</v>
      </c>
      <c r="C175" s="123" t="s">
        <v>600</v>
      </c>
      <c r="D175" s="123" t="s">
        <v>601</v>
      </c>
      <c r="E175" s="123" t="s">
        <v>602</v>
      </c>
      <c r="F175" s="124">
        <f t="shared" si="510"/>
      </c>
      <c r="G175" s="124">
        <f t="shared" si="328"/>
      </c>
      <c r="H175" s="131">
        <f>H174*0.9</f>
      </c>
      <c r="I175" s="124">
        <f t="shared" si="1011"/>
      </c>
      <c r="J175" s="137">
        <v>5</v>
      </c>
      <c r="K175" s="126">
        <v>0.15</v>
      </c>
      <c r="L175" s="126">
        <v>0.16</v>
      </c>
      <c r="M175" s="126">
        <v>0.05</v>
      </c>
      <c r="N175" s="123">
        <f t="shared" si="676"/>
      </c>
      <c r="O175" s="127">
        <f t="shared" si="172"/>
      </c>
      <c r="P175" s="126">
        <v>0.02</v>
      </c>
      <c r="Q175" s="124">
        <v>0</v>
      </c>
      <c r="R175" s="123">
        <v>32</v>
      </c>
      <c r="S175" s="123">
        <v>17.3</v>
      </c>
      <c r="T175" s="123">
        <v>17.3</v>
      </c>
      <c r="U175" s="123">
        <v>1.6</v>
      </c>
      <c r="V175" s="124">
        <f t="shared" si="164"/>
      </c>
      <c r="W175" s="124">
        <f t="shared" si="196"/>
      </c>
      <c r="X175" s="123" t="s">
        <v>603</v>
      </c>
      <c r="Y175" s="128">
        <v>6.6317</v>
      </c>
      <c r="Z175" s="124">
        <v>10</v>
      </c>
      <c r="AA175" s="124">
        <f t="shared" si="38"/>
      </c>
      <c r="AB175" s="127">
        <f t="shared" si="588"/>
      </c>
      <c r="AC175" s="123"/>
      <c r="AD175" s="130">
        <f t="shared" si="406"/>
      </c>
      <c r="AE175" s="123">
        <f t="shared" si="848"/>
      </c>
      <c r="AF175" s="123">
        <f t="shared" si="731"/>
      </c>
      <c r="AG175" s="126">
        <v>0.15</v>
      </c>
      <c r="AH175" s="123">
        <f t="shared" si="116"/>
      </c>
      <c r="AI175" s="126">
        <v>0.02</v>
      </c>
      <c r="AJ175" s="123">
        <f t="shared" si="964"/>
      </c>
    </row>
    <row customHeight="true" ht="13.333333333333332" r="176">
      <c r="A176" s="122" t="s">
        <v>651</v>
      </c>
      <c r="B176" s="123">
        <v>8</v>
      </c>
      <c r="C176" s="123" t="s">
        <v>600</v>
      </c>
      <c r="D176" s="123" t="s">
        <v>601</v>
      </c>
      <c r="E176" s="123" t="s">
        <v>602</v>
      </c>
      <c r="F176" s="124">
        <f t="shared" si="510"/>
      </c>
      <c r="G176" s="124">
        <f t="shared" si="328"/>
      </c>
      <c r="H176" s="131">
        <f>H174*0.8</f>
      </c>
      <c r="I176" s="124">
        <f t="shared" si="1011"/>
      </c>
      <c r="J176" s="137">
        <v>5</v>
      </c>
      <c r="K176" s="126">
        <v>0.15</v>
      </c>
      <c r="L176" s="126">
        <v>0.16</v>
      </c>
      <c r="M176" s="126">
        <v>0.05</v>
      </c>
      <c r="N176" s="123">
        <f t="shared" si="676"/>
      </c>
      <c r="O176" s="127">
        <f t="shared" si="172"/>
      </c>
      <c r="P176" s="126">
        <v>0.02</v>
      </c>
      <c r="Q176" s="124">
        <v>0</v>
      </c>
      <c r="R176" s="123">
        <v>32</v>
      </c>
      <c r="S176" s="123">
        <v>17.3</v>
      </c>
      <c r="T176" s="123">
        <v>17.3</v>
      </c>
      <c r="U176" s="123">
        <v>1.6</v>
      </c>
      <c r="V176" s="124">
        <f t="shared" si="164"/>
      </c>
      <c r="W176" s="124">
        <f t="shared" si="196"/>
      </c>
      <c r="X176" s="123" t="s">
        <v>603</v>
      </c>
      <c r="Y176" s="128">
        <v>6.6317</v>
      </c>
      <c r="Z176" s="124">
        <v>10</v>
      </c>
      <c r="AA176" s="124">
        <f t="shared" si="38"/>
      </c>
      <c r="AB176" s="127">
        <f t="shared" si="588"/>
      </c>
      <c r="AC176" s="123"/>
      <c r="AD176" s="130">
        <f t="shared" si="406"/>
      </c>
      <c r="AE176" s="123">
        <f t="shared" si="848"/>
      </c>
      <c r="AF176" s="123">
        <f t="shared" si="731"/>
      </c>
      <c r="AG176" s="126">
        <v>0.15</v>
      </c>
      <c r="AH176" s="123">
        <f t="shared" si="116"/>
      </c>
      <c r="AI176" s="126">
        <v>0.02</v>
      </c>
      <c r="AJ176" s="123">
        <f t="shared" si="964"/>
      </c>
    </row>
    <row customHeight="true" ht="13.333333333333332" r="177">
      <c r="B177" s="123"/>
      <c r="C177" s="123"/>
      <c r="D177" s="123"/>
      <c r="E177" s="123"/>
      <c r="F177" s="124"/>
      <c r="G177" s="124"/>
      <c r="H177" s="124"/>
      <c r="I177" s="124"/>
      <c r="J177" s="137"/>
      <c r="K177" s="126"/>
      <c r="L177" s="126"/>
      <c r="M177" s="126"/>
      <c r="N177" s="126"/>
      <c r="O177" s="127"/>
      <c r="P177" s="126"/>
      <c r="Q177" s="124"/>
      <c r="R177" s="123"/>
      <c r="S177" s="123"/>
      <c r="T177" s="123"/>
      <c r="U177" s="123"/>
      <c r="V177" s="124"/>
      <c r="W177" s="124"/>
      <c r="X177" s="123"/>
      <c r="Y177" s="128"/>
      <c r="Z177" s="124"/>
      <c r="AA177" s="124"/>
      <c r="AB177" s="127"/>
      <c r="AC177" s="123"/>
      <c r="AD177" s="130"/>
      <c r="AE177" s="126"/>
      <c r="AF177" s="126"/>
      <c r="AG177" s="126"/>
      <c r="AH177" s="126"/>
      <c r="AI177" s="126"/>
      <c r="AJ177" s="126"/>
    </row>
    <row customHeight="true" ht="13.333333333333332" r="178">
      <c r="A178" s="122" t="s">
        <v>649</v>
      </c>
      <c r="B178" s="123">
        <v>9</v>
      </c>
      <c r="C178" s="123" t="s">
        <v>613</v>
      </c>
      <c r="D178" s="123" t="s">
        <v>614</v>
      </c>
      <c r="E178" s="123" t="s">
        <v>602</v>
      </c>
      <c r="F178" s="124">
        <f t="shared" ref="F178:F180" si="511">IF(E178="有",(I178/B178+J178+Z178/B178)/(0.99999-K178-L178-M178-N178),(I178/B178+J178+Z178/B178)/(0.99999-K178-M178-N178))</f>
      </c>
      <c r="G178" s="124">
        <f t="shared" ref="G178:G180" si="329">IF(E178="有",(I178/B178+J178+Z178/B178)/(0.8-K178-L178-M178-N178-O178-P178),(I178/B178+J178+Z178/B178)/(0.8-K178-M178-N178-O178-P178))</f>
      </c>
      <c r="H178" s="131">
        <v>17.99</v>
      </c>
      <c r="I178" s="124">
        <f t="shared" ref="I178:I180" si="1012">16.9/1.13</f>
      </c>
      <c r="J178" s="137">
        <v>3.15</v>
      </c>
      <c r="K178" s="126">
        <v>0.15</v>
      </c>
      <c r="L178" s="126">
        <v>0.16</v>
      </c>
      <c r="M178" s="126">
        <v>0.05</v>
      </c>
      <c r="N178" s="123">
        <f t="shared" ref="N178:N180" si="677">Q178/H178</f>
      </c>
      <c r="O178" s="127">
        <f t="shared" ref="O178:O180" si="173">0.261/H178</f>
      </c>
      <c r="P178" s="126">
        <v>0.02</v>
      </c>
      <c r="Q178" s="124">
        <v>0</v>
      </c>
      <c r="R178" s="123">
        <v>32</v>
      </c>
      <c r="S178" s="123">
        <v>17.3</v>
      </c>
      <c r="T178" s="123">
        <v>17.3</v>
      </c>
      <c r="U178" s="123">
        <v>1.6</v>
      </c>
      <c r="V178" s="124">
        <f t="shared" ref="V178:V180" si="793">R178*S178*T178/6000</f>
      </c>
      <c r="W178" s="124">
        <f t="shared" ref="W178:W180" si="197">MAX(U178:V178)</f>
      </c>
      <c r="X178" s="123" t="s">
        <v>603</v>
      </c>
      <c r="Y178" s="128">
        <v>6.6317</v>
      </c>
      <c r="Z178" s="124">
        <v>10</v>
      </c>
      <c r="AA178" s="124">
        <f t="shared" ref="AA178:AA180" si="39">H178-SUM(K178:P178)*H178-J178-I178/B178-Z178/B178</f>
      </c>
      <c r="AB178" s="127">
        <f t="shared" ref="AB178:AB180" si="589">AA178/H178</f>
      </c>
      <c r="AC178" s="123"/>
      <c r="AD178" s="130">
        <f t="shared" ref="AD178:AD180" si="407">J178/H178</f>
      </c>
      <c r="AE178" s="123">
        <f t="shared" ref="AE178:AE180" si="849">I178/7.4/H178</f>
      </c>
      <c r="AF178" s="123">
        <f t="shared" ref="AF178:AF180" si="732">Z178/7.4/H178</f>
      </c>
      <c r="AG178" s="126">
        <v>0.15</v>
      </c>
      <c r="AH178" s="123">
        <f t="shared" ref="AH178:AH180" si="117">N178</f>
      </c>
      <c r="AI178" s="126">
        <v>0.02</v>
      </c>
      <c r="AJ178" s="123">
        <f t="shared" ref="AJ178:AJ180" si="965">M178</f>
      </c>
    </row>
    <row customHeight="true" ht="13.333333333333332" r="179">
      <c r="A179" s="122" t="s">
        <v>650</v>
      </c>
      <c r="B179" s="123">
        <v>9</v>
      </c>
      <c r="C179" s="123" t="s">
        <v>613</v>
      </c>
      <c r="D179" s="123" t="s">
        <v>614</v>
      </c>
      <c r="E179" s="123" t="s">
        <v>602</v>
      </c>
      <c r="F179" s="124">
        <f t="shared" si="511"/>
      </c>
      <c r="G179" s="124">
        <f t="shared" si="329"/>
      </c>
      <c r="H179" s="131">
        <f>H178*0.9</f>
      </c>
      <c r="I179" s="124">
        <f t="shared" si="1012"/>
      </c>
      <c r="J179" s="137">
        <v>3.15</v>
      </c>
      <c r="K179" s="126">
        <v>0.15</v>
      </c>
      <c r="L179" s="126">
        <v>0.16</v>
      </c>
      <c r="M179" s="126">
        <v>0.05</v>
      </c>
      <c r="N179" s="123">
        <f t="shared" si="677"/>
      </c>
      <c r="O179" s="127">
        <f t="shared" si="173"/>
      </c>
      <c r="P179" s="126">
        <v>0.02</v>
      </c>
      <c r="Q179" s="124">
        <v>0</v>
      </c>
      <c r="R179" s="123">
        <v>32</v>
      </c>
      <c r="S179" s="123">
        <v>17.3</v>
      </c>
      <c r="T179" s="123">
        <v>17.3</v>
      </c>
      <c r="U179" s="123">
        <v>1.6</v>
      </c>
      <c r="V179" s="124">
        <f t="shared" si="793"/>
      </c>
      <c r="W179" s="124">
        <f t="shared" si="197"/>
      </c>
      <c r="X179" s="123" t="s">
        <v>603</v>
      </c>
      <c r="Y179" s="128">
        <v>6.6317</v>
      </c>
      <c r="Z179" s="124">
        <v>10</v>
      </c>
      <c r="AA179" s="124">
        <f t="shared" si="39"/>
      </c>
      <c r="AB179" s="127">
        <f t="shared" si="589"/>
      </c>
      <c r="AC179" s="123"/>
      <c r="AD179" s="130">
        <f t="shared" si="407"/>
      </c>
      <c r="AE179" s="123">
        <f t="shared" si="849"/>
      </c>
      <c r="AF179" s="123">
        <f t="shared" si="732"/>
      </c>
      <c r="AG179" s="126">
        <v>0.15</v>
      </c>
      <c r="AH179" s="123">
        <f t="shared" si="117"/>
      </c>
      <c r="AI179" s="126">
        <v>0.02</v>
      </c>
      <c r="AJ179" s="123">
        <f t="shared" si="965"/>
      </c>
    </row>
    <row customHeight="true" ht="13.333333333333332" r="180">
      <c r="A180" s="122" t="s">
        <v>651</v>
      </c>
      <c r="B180" s="123">
        <v>9</v>
      </c>
      <c r="C180" s="123" t="s">
        <v>613</v>
      </c>
      <c r="D180" s="123" t="s">
        <v>614</v>
      </c>
      <c r="E180" s="123" t="s">
        <v>602</v>
      </c>
      <c r="F180" s="124">
        <f t="shared" si="511"/>
      </c>
      <c r="G180" s="124">
        <f t="shared" si="329"/>
      </c>
      <c r="H180" s="131">
        <f>H178*0.8</f>
      </c>
      <c r="I180" s="124">
        <f t="shared" si="1012"/>
      </c>
      <c r="J180" s="137">
        <v>3.15</v>
      </c>
      <c r="K180" s="126">
        <v>0.15</v>
      </c>
      <c r="L180" s="126">
        <v>0.16</v>
      </c>
      <c r="M180" s="126">
        <v>0.05</v>
      </c>
      <c r="N180" s="123">
        <f t="shared" si="677"/>
      </c>
      <c r="O180" s="127">
        <f t="shared" si="173"/>
      </c>
      <c r="P180" s="126">
        <v>0.02</v>
      </c>
      <c r="Q180" s="124">
        <v>0</v>
      </c>
      <c r="R180" s="123">
        <v>32</v>
      </c>
      <c r="S180" s="123">
        <v>17.3</v>
      </c>
      <c r="T180" s="123">
        <v>17.3</v>
      </c>
      <c r="U180" s="123">
        <v>1.6</v>
      </c>
      <c r="V180" s="124">
        <f t="shared" si="793"/>
      </c>
      <c r="W180" s="124">
        <f t="shared" si="197"/>
      </c>
      <c r="X180" s="123" t="s">
        <v>603</v>
      </c>
      <c r="Y180" s="128">
        <v>6.6317</v>
      </c>
      <c r="Z180" s="124">
        <v>10</v>
      </c>
      <c r="AA180" s="124">
        <f t="shared" si="39"/>
      </c>
      <c r="AB180" s="127">
        <f t="shared" si="589"/>
      </c>
      <c r="AC180" s="123"/>
      <c r="AD180" s="130">
        <f t="shared" si="407"/>
      </c>
      <c r="AE180" s="123">
        <f t="shared" si="849"/>
      </c>
      <c r="AF180" s="123">
        <f t="shared" si="732"/>
      </c>
      <c r="AG180" s="126">
        <v>0.15</v>
      </c>
      <c r="AH180" s="123">
        <f t="shared" si="117"/>
      </c>
      <c r="AI180" s="126">
        <v>0.02</v>
      </c>
      <c r="AJ180" s="123">
        <f t="shared" si="965"/>
      </c>
    </row>
    <row customHeight="true" ht="13.333333333333332" r="181">
      <c r="F181" s="138"/>
      <c r="G181" s="138"/>
      <c r="I181" s="138"/>
      <c r="O181" s="139"/>
      <c r="Q181" s="132"/>
      <c r="V181" s="138"/>
      <c r="W181" s="138"/>
      <c r="Y181" s="140"/>
      <c r="Z181" s="138"/>
      <c r="AA181" s="138"/>
      <c r="AB181" s="139"/>
      <c r="AD181" s="141"/>
      <c r="AE181" s="132"/>
      <c r="AF181" s="132"/>
      <c r="AH181" s="126"/>
    </row>
    <row customHeight="true" ht="13.333333333333332" r="182">
      <c r="A182" s="132" t="s">
        <v>652</v>
      </c>
      <c r="B182" s="132">
        <v>7.3</v>
      </c>
      <c r="C182" s="132" t="s">
        <v>653</v>
      </c>
      <c r="D182" s="123" t="s">
        <v>643</v>
      </c>
      <c r="E182" s="123" t="s">
        <v>644</v>
      </c>
      <c r="F182" s="124">
        <f t="shared" ref="F182:F185" si="512">IF(E182="有",(I182/B182+J182+Z182/B182)/(0.99999-K182-L182-M182-N182),(I182/B182+J182+Z182/B182)/(0.99999-K182-M182-N182))</f>
      </c>
      <c r="G182" s="124">
        <f t="shared" ref="G182:G185" si="330">IF(E182="有",(I182/B182+J182+Z182/B182)/(0.8-K182-L182-M182-N182-O182-P182),(I182/B182+J182+Z182/B182)/(0.8-K182-M182-N182-O182-P182))</f>
      </c>
      <c r="H182" s="123">
        <v>39.99</v>
      </c>
      <c r="I182" s="124">
        <f t="shared" ref="I182:I185" si="284">134/1.13</f>
      </c>
      <c r="J182" s="123">
        <v>4.55</v>
      </c>
      <c r="K182" s="126">
        <v>0.15</v>
      </c>
      <c r="L182" s="126">
        <v>0</v>
      </c>
      <c r="M182" s="127">
        <v>0.0043</v>
      </c>
      <c r="N182" s="126">
        <v>0.15</v>
      </c>
      <c r="O182" s="127">
        <f t="shared" ref="O182:O185" si="258">0.12/H182</f>
      </c>
      <c r="P182" s="126">
        <v>0.02</v>
      </c>
      <c r="Q182" s="126"/>
      <c r="R182" s="123">
        <v>19.3</v>
      </c>
      <c r="S182" s="123">
        <v>13.21</v>
      </c>
      <c r="T182" s="123">
        <v>5.08</v>
      </c>
      <c r="U182" s="123">
        <v>0.331</v>
      </c>
      <c r="V182" s="124">
        <f t="shared" ref="V182:V185" si="794">R182*S182*T182/6000</f>
      </c>
      <c r="W182" s="124">
        <f t="shared" ref="W182:W185" si="198">MAX(U182:V182)</f>
      </c>
      <c r="X182" s="123" t="s">
        <v>603</v>
      </c>
      <c r="Y182" s="128">
        <v>23</v>
      </c>
      <c r="Z182" s="124">
        <f t="shared" ref="Z182:Z185" si="880">W182*Y182</f>
      </c>
      <c r="AA182" s="124">
        <f t="shared" ref="AA182:AA185" si="40">H182-SUM(K182:P182)*H182-J182-I182/B182-Z182/B182</f>
      </c>
      <c r="AB182" s="127">
        <f t="shared" ref="AB182:AB185" si="590">AA182/H182</f>
      </c>
      <c r="AC182" s="123"/>
      <c r="AD182" s="130">
        <f t="shared" ref="AD182:AD185" si="408">J182/H182</f>
      </c>
      <c r="AE182" s="123">
        <f t="shared" ref="AE182:AE185" si="850">I182/7.4/H182</f>
      </c>
      <c r="AF182" s="123">
        <f t="shared" ref="AF182:AF185" si="733">Z182/7.4/H182</f>
      </c>
      <c r="AG182" s="126">
        <v>0.15</v>
      </c>
      <c r="AH182" s="123">
        <f t="shared" ref="AH182:AH185" si="118">N182</f>
      </c>
      <c r="AI182" s="126">
        <v>0.02</v>
      </c>
      <c r="AJ182" s="123">
        <f t="shared" ref="AJ182:AJ185" si="966">M182</f>
      </c>
    </row>
    <row customHeight="true" ht="13.333333333333332" r="183">
      <c r="A183" s="132" t="s">
        <v>652</v>
      </c>
      <c r="B183" s="132">
        <v>7.3</v>
      </c>
      <c r="C183" s="132" t="s">
        <v>653</v>
      </c>
      <c r="D183" s="123" t="s">
        <v>643</v>
      </c>
      <c r="E183" s="123" t="s">
        <v>644</v>
      </c>
      <c r="F183" s="124">
        <f t="shared" si="512"/>
      </c>
      <c r="G183" s="124">
        <f t="shared" si="330"/>
      </c>
      <c r="H183" s="123">
        <v>35.99</v>
      </c>
      <c r="I183" s="124">
        <f t="shared" si="284"/>
      </c>
      <c r="J183" s="123">
        <v>4.55</v>
      </c>
      <c r="K183" s="126">
        <v>0.15</v>
      </c>
      <c r="L183" s="126">
        <v>0</v>
      </c>
      <c r="M183" s="127">
        <v>0.0043</v>
      </c>
      <c r="N183" s="126">
        <v>0.15</v>
      </c>
      <c r="O183" s="127">
        <f t="shared" si="258"/>
      </c>
      <c r="P183" s="126">
        <v>0.02</v>
      </c>
      <c r="Q183" s="126"/>
      <c r="R183" s="123">
        <v>19.3</v>
      </c>
      <c r="S183" s="123">
        <v>13.21</v>
      </c>
      <c r="T183" s="123">
        <v>5.08</v>
      </c>
      <c r="U183" s="123">
        <v>0.331</v>
      </c>
      <c r="V183" s="124">
        <f t="shared" si="794"/>
      </c>
      <c r="W183" s="124">
        <f t="shared" si="198"/>
      </c>
      <c r="X183" s="123" t="s">
        <v>603</v>
      </c>
      <c r="Y183" s="128">
        <v>23</v>
      </c>
      <c r="Z183" s="124">
        <f t="shared" si="880"/>
      </c>
      <c r="AA183" s="124">
        <f t="shared" si="40"/>
      </c>
      <c r="AB183" s="127">
        <f t="shared" si="590"/>
      </c>
      <c r="AC183" s="123"/>
      <c r="AD183" s="130">
        <f t="shared" si="408"/>
      </c>
      <c r="AE183" s="123">
        <f t="shared" si="850"/>
      </c>
      <c r="AF183" s="123">
        <f t="shared" si="733"/>
      </c>
      <c r="AG183" s="126">
        <v>0.15</v>
      </c>
      <c r="AH183" s="123">
        <f t="shared" si="118"/>
      </c>
      <c r="AI183" s="126">
        <v>0.02</v>
      </c>
      <c r="AJ183" s="123">
        <f t="shared" si="966"/>
      </c>
    </row>
    <row customHeight="true" ht="13.333333333333332" r="184">
      <c r="A184" s="132" t="s">
        <v>652</v>
      </c>
      <c r="B184" s="132">
        <v>7.3</v>
      </c>
      <c r="C184" s="132" t="s">
        <v>653</v>
      </c>
      <c r="D184" s="123" t="s">
        <v>643</v>
      </c>
      <c r="E184" s="123" t="s">
        <v>644</v>
      </c>
      <c r="F184" s="124">
        <f t="shared" si="512"/>
      </c>
      <c r="G184" s="124">
        <f t="shared" si="330"/>
      </c>
      <c r="H184" s="123">
        <v>32.99</v>
      </c>
      <c r="I184" s="124">
        <f t="shared" si="284"/>
      </c>
      <c r="J184" s="123">
        <v>4.55</v>
      </c>
      <c r="K184" s="126">
        <v>0.15</v>
      </c>
      <c r="L184" s="126">
        <v>0</v>
      </c>
      <c r="M184" s="127">
        <v>0.0043</v>
      </c>
      <c r="N184" s="126">
        <v>0.15</v>
      </c>
      <c r="O184" s="127">
        <f t="shared" si="258"/>
      </c>
      <c r="P184" s="126">
        <v>0.02</v>
      </c>
      <c r="Q184" s="126"/>
      <c r="R184" s="123">
        <v>19.3</v>
      </c>
      <c r="S184" s="123">
        <v>13.21</v>
      </c>
      <c r="T184" s="123">
        <v>5.08</v>
      </c>
      <c r="U184" s="123">
        <v>0.331</v>
      </c>
      <c r="V184" s="124">
        <f t="shared" si="794"/>
      </c>
      <c r="W184" s="124">
        <f t="shared" si="198"/>
      </c>
      <c r="X184" s="123" t="s">
        <v>603</v>
      </c>
      <c r="Y184" s="128">
        <v>23</v>
      </c>
      <c r="Z184" s="124">
        <f t="shared" si="880"/>
      </c>
      <c r="AA184" s="124">
        <f t="shared" si="40"/>
      </c>
      <c r="AB184" s="127">
        <f t="shared" si="590"/>
      </c>
      <c r="AC184" s="123"/>
      <c r="AD184" s="130">
        <f t="shared" si="408"/>
      </c>
      <c r="AE184" s="123">
        <f t="shared" si="850"/>
      </c>
      <c r="AF184" s="123">
        <f t="shared" si="733"/>
      </c>
      <c r="AG184" s="126">
        <v>0.15</v>
      </c>
      <c r="AH184" s="123">
        <f t="shared" si="118"/>
      </c>
      <c r="AI184" s="126">
        <v>0.02</v>
      </c>
      <c r="AJ184" s="123">
        <f t="shared" si="966"/>
      </c>
    </row>
    <row customHeight="true" ht="13.333333333333332" r="185">
      <c r="A185" s="132" t="s">
        <v>652</v>
      </c>
      <c r="B185" s="132">
        <v>7.3</v>
      </c>
      <c r="C185" s="132" t="s">
        <v>653</v>
      </c>
      <c r="D185" s="123" t="s">
        <v>643</v>
      </c>
      <c r="E185" s="123" t="s">
        <v>644</v>
      </c>
      <c r="F185" s="124">
        <f t="shared" si="512"/>
      </c>
      <c r="G185" s="124">
        <f t="shared" si="330"/>
      </c>
      <c r="H185" s="123">
        <v>29.99</v>
      </c>
      <c r="I185" s="124">
        <f t="shared" si="284"/>
      </c>
      <c r="J185" s="123">
        <v>4.55</v>
      </c>
      <c r="K185" s="126">
        <v>0.15</v>
      </c>
      <c r="L185" s="126">
        <v>0</v>
      </c>
      <c r="M185" s="127">
        <v>0.0043</v>
      </c>
      <c r="N185" s="126">
        <v>0.15</v>
      </c>
      <c r="O185" s="127">
        <f t="shared" si="258"/>
      </c>
      <c r="P185" s="126">
        <v>0.02</v>
      </c>
      <c r="Q185" s="126"/>
      <c r="R185" s="123">
        <v>19.3</v>
      </c>
      <c r="S185" s="123">
        <v>13.21</v>
      </c>
      <c r="T185" s="123">
        <v>5.08</v>
      </c>
      <c r="U185" s="123">
        <v>0.331</v>
      </c>
      <c r="V185" s="124">
        <f t="shared" si="794"/>
      </c>
      <c r="W185" s="124">
        <f t="shared" si="198"/>
      </c>
      <c r="X185" s="123" t="s">
        <v>603</v>
      </c>
      <c r="Y185" s="128">
        <v>23</v>
      </c>
      <c r="Z185" s="124">
        <f t="shared" si="880"/>
      </c>
      <c r="AA185" s="124">
        <f t="shared" si="40"/>
      </c>
      <c r="AB185" s="127">
        <f t="shared" si="590"/>
      </c>
      <c r="AC185" s="123"/>
      <c r="AD185" s="130">
        <f t="shared" si="408"/>
      </c>
      <c r="AE185" s="123">
        <f t="shared" si="850"/>
      </c>
      <c r="AF185" s="123">
        <f t="shared" si="733"/>
      </c>
      <c r="AG185" s="126">
        <v>0.15</v>
      </c>
      <c r="AH185" s="123">
        <f t="shared" si="118"/>
      </c>
      <c r="AI185" s="126">
        <v>0.02</v>
      </c>
      <c r="AJ185" s="123">
        <f t="shared" si="966"/>
      </c>
    </row>
    <row customHeight="true" ht="13.333333333333332" r="186">
      <c r="F186" s="138"/>
      <c r="G186" s="138"/>
      <c r="I186" s="138"/>
      <c r="O186" s="139"/>
      <c r="V186" s="138"/>
      <c r="W186" s="138"/>
      <c r="Y186" s="140"/>
      <c r="Z186" s="138"/>
      <c r="AA186" s="138"/>
      <c r="AB186" s="139"/>
      <c r="AD186" s="141"/>
      <c r="AE186" s="132"/>
      <c r="AF186" s="132"/>
      <c r="AH186" s="126"/>
    </row>
    <row customHeight="true" ht="13.333333333333332" r="187">
      <c r="F187" s="138"/>
      <c r="G187" s="138"/>
      <c r="I187" s="138"/>
      <c r="O187" s="139"/>
      <c r="V187" s="138"/>
      <c r="W187" s="138"/>
      <c r="Y187" s="140"/>
      <c r="Z187" s="138"/>
      <c r="AA187" s="138"/>
      <c r="AB187" s="139"/>
      <c r="AD187" s="141"/>
      <c r="AE187" s="132"/>
      <c r="AF187" s="132"/>
      <c r="AH187" s="126"/>
    </row>
    <row customHeight="true" ht="13.333333333333332" r="188">
      <c r="A188" s="132" t="s">
        <v>654</v>
      </c>
      <c r="B188" s="123">
        <v>7</v>
      </c>
      <c r="C188" s="123" t="s">
        <v>600</v>
      </c>
      <c r="D188" s="123" t="s">
        <v>643</v>
      </c>
      <c r="E188" s="123" t="s">
        <v>602</v>
      </c>
      <c r="F188" s="124">
        <f t="shared" ref="F188:F190" si="513">IF(E188="有",(I188/B188+J188+Z188/B188)/(0.99999-K188-L188-M188-N188),(I188/B188+J188+Z188/B188)/(0.99999-K188-M188-N188))</f>
      </c>
      <c r="G188" s="124">
        <f t="shared" ref="G188:G190" si="331">IF(E188="有",(I188/B188+J188+Z188/B188)/(0.8-K188-L188-M188-N188-O188-P188),(I188/B188+J188+Z188/B188)/(0.8-K188-M188-N188-O188-P188))</f>
      </c>
      <c r="H188" s="125">
        <v>69.99</v>
      </c>
      <c r="I188" s="124">
        <f t="shared" ref="I188:I190" si="634">80/1.13</f>
      </c>
      <c r="J188" s="123">
        <v>6.62</v>
      </c>
      <c r="K188" s="126">
        <v>0.15</v>
      </c>
      <c r="L188" s="126">
        <v>0</v>
      </c>
      <c r="M188" s="126">
        <v>0.05</v>
      </c>
      <c r="N188" s="123">
        <f t="shared" ref="N188:N190" si="678">Q188/H188</f>
      </c>
      <c r="O188" s="127">
        <f t="shared" ref="O188:O190" si="471">0.99/H188</f>
      </c>
      <c r="P188" s="126">
        <v>0.02</v>
      </c>
      <c r="Q188" s="124">
        <v>12</v>
      </c>
      <c r="R188" s="123">
        <v>33.5</v>
      </c>
      <c r="S188" s="123">
        <v>26.5</v>
      </c>
      <c r="T188" s="123">
        <v>25</v>
      </c>
      <c r="U188" s="123">
        <v>2.3</v>
      </c>
      <c r="V188" s="124">
        <f t="shared" ref="V188:V190" si="795">R188*S188*T188/6000</f>
      </c>
      <c r="W188" s="124">
        <f t="shared" ref="W188:W190" si="199">MAX(U188:V188)</f>
      </c>
      <c r="X188" s="123" t="s">
        <v>603</v>
      </c>
      <c r="Y188" s="128">
        <v>5.55136</v>
      </c>
      <c r="Z188" s="129">
        <v>9.1</v>
      </c>
      <c r="AA188" s="124">
        <f t="shared" ref="AA188:AA190" si="41">H188-SUM(K188:P188)*H188-J188-I188/B188-Z188/B188</f>
      </c>
      <c r="AB188" s="127">
        <f t="shared" ref="AB188:AB190" si="591">AA188/H188</f>
      </c>
      <c r="AC188" s="123"/>
      <c r="AD188" s="130">
        <f t="shared" ref="AD188:AD190" si="409">J188/H188</f>
      </c>
      <c r="AE188" s="123">
        <f>I188/7.4/H188</f>
      </c>
      <c r="AF188" s="123">
        <f>Z188/7.4/H188</f>
      </c>
      <c r="AG188" s="126">
        <v>0.15</v>
      </c>
      <c r="AH188" s="123">
        <f t="shared" ref="AH188:AH190" si="119">N188</f>
      </c>
      <c r="AI188" s="126">
        <v>0.02</v>
      </c>
      <c r="AJ188" s="123">
        <f t="shared" ref="AJ188:AJ190" si="967">M188</f>
      </c>
    </row>
    <row customHeight="true" ht="13.333333333333332" r="189">
      <c r="A189" s="132" t="s">
        <v>655</v>
      </c>
      <c r="B189" s="123">
        <v>7</v>
      </c>
      <c r="C189" s="123" t="s">
        <v>600</v>
      </c>
      <c r="D189" s="123" t="s">
        <v>643</v>
      </c>
      <c r="E189" s="123" t="s">
        <v>602</v>
      </c>
      <c r="F189" s="124">
        <f t="shared" si="513"/>
      </c>
      <c r="G189" s="124">
        <f t="shared" si="331"/>
      </c>
      <c r="H189" s="125">
        <f>H188*0.85</f>
      </c>
      <c r="I189" s="124">
        <f t="shared" si="634"/>
      </c>
      <c r="J189" s="123">
        <v>6.62</v>
      </c>
      <c r="K189" s="126">
        <v>0.15</v>
      </c>
      <c r="L189" s="126">
        <v>0</v>
      </c>
      <c r="M189" s="126">
        <v>0.05</v>
      </c>
      <c r="N189" s="123">
        <f t="shared" si="678"/>
      </c>
      <c r="O189" s="127">
        <f t="shared" si="471"/>
      </c>
      <c r="P189" s="126">
        <v>0.02</v>
      </c>
      <c r="Q189" s="124">
        <v>10</v>
      </c>
      <c r="R189" s="123">
        <v>33.5</v>
      </c>
      <c r="S189" s="123">
        <v>26.5</v>
      </c>
      <c r="T189" s="123">
        <v>25</v>
      </c>
      <c r="U189" s="123">
        <v>2.3</v>
      </c>
      <c r="V189" s="124">
        <f t="shared" si="795"/>
      </c>
      <c r="W189" s="124">
        <f t="shared" si="199"/>
      </c>
      <c r="X189" s="123" t="s">
        <v>603</v>
      </c>
      <c r="Y189" s="128">
        <v>5.55136</v>
      </c>
      <c r="Z189" s="129">
        <v>9.1</v>
      </c>
      <c r="AA189" s="124">
        <f t="shared" si="41"/>
      </c>
      <c r="AB189" s="127">
        <f t="shared" si="591"/>
      </c>
      <c r="AC189" s="123"/>
      <c r="AD189" s="130">
        <f t="shared" si="409"/>
      </c>
      <c r="AE189" s="123">
        <f>I189/B189/H189</f>
      </c>
      <c r="AF189" s="123">
        <f>Z189/B189/H189</f>
      </c>
      <c r="AG189" s="123">
        <f>K189</f>
      </c>
      <c r="AH189" s="123">
        <f t="shared" si="119"/>
      </c>
      <c r="AI189" s="126">
        <v>0.02</v>
      </c>
      <c r="AJ189" s="123">
        <f t="shared" si="967"/>
      </c>
    </row>
    <row customHeight="true" ht="13.333333333333332" r="190">
      <c r="A190" s="132" t="s">
        <v>656</v>
      </c>
      <c r="B190" s="123">
        <v>7</v>
      </c>
      <c r="C190" s="123" t="s">
        <v>600</v>
      </c>
      <c r="D190" s="123" t="s">
        <v>643</v>
      </c>
      <c r="E190" s="123" t="s">
        <v>602</v>
      </c>
      <c r="F190" s="124">
        <f t="shared" si="513"/>
      </c>
      <c r="G190" s="124">
        <f t="shared" si="331"/>
      </c>
      <c r="H190" s="125">
        <f>H188*0.8</f>
      </c>
      <c r="I190" s="124">
        <f t="shared" si="634"/>
      </c>
      <c r="J190" s="123">
        <v>6.62</v>
      </c>
      <c r="K190" s="126">
        <v>0.15</v>
      </c>
      <c r="L190" s="126">
        <v>0</v>
      </c>
      <c r="M190" s="126">
        <v>0.05</v>
      </c>
      <c r="N190" s="123">
        <f t="shared" si="678"/>
      </c>
      <c r="O190" s="127">
        <f t="shared" si="471"/>
      </c>
      <c r="P190" s="126">
        <v>0.02</v>
      </c>
      <c r="Q190" s="124">
        <v>8</v>
      </c>
      <c r="R190" s="123">
        <v>33.5</v>
      </c>
      <c r="S190" s="123">
        <v>26.5</v>
      </c>
      <c r="T190" s="123">
        <v>25</v>
      </c>
      <c r="U190" s="123">
        <v>2.3</v>
      </c>
      <c r="V190" s="124">
        <f t="shared" si="795"/>
      </c>
      <c r="W190" s="124">
        <f t="shared" si="199"/>
      </c>
      <c r="X190" s="123" t="s">
        <v>603</v>
      </c>
      <c r="Y190" s="128">
        <v>5.55136</v>
      </c>
      <c r="Z190" s="129">
        <v>9.1</v>
      </c>
      <c r="AA190" s="124">
        <f t="shared" si="41"/>
      </c>
      <c r="AB190" s="127">
        <f t="shared" si="591"/>
      </c>
      <c r="AC190" s="123"/>
      <c r="AD190" s="130">
        <f t="shared" si="409"/>
      </c>
      <c r="AE190" s="123">
        <f>I190/7.4/H190</f>
      </c>
      <c r="AF190" s="123">
        <f>Z190/7.4/H190</f>
      </c>
      <c r="AG190" s="126">
        <v>0.15</v>
      </c>
      <c r="AH190" s="123">
        <f t="shared" si="119"/>
      </c>
      <c r="AI190" s="126">
        <v>0.02</v>
      </c>
      <c r="AJ190" s="123">
        <f t="shared" si="967"/>
      </c>
    </row>
    <row customHeight="true" ht="13.333333333333332" r="191">
      <c r="A191" s="132"/>
      <c r="B191" s="123"/>
      <c r="C191" s="123"/>
      <c r="D191" s="123"/>
      <c r="E191" s="123"/>
      <c r="F191" s="124"/>
      <c r="G191" s="124"/>
      <c r="H191" s="131"/>
      <c r="I191" s="124"/>
      <c r="J191" s="123"/>
      <c r="K191" s="126"/>
      <c r="L191" s="126"/>
      <c r="M191" s="126"/>
      <c r="N191" s="126"/>
      <c r="O191" s="127"/>
      <c r="P191" s="126"/>
      <c r="Q191" s="124"/>
      <c r="R191" s="123"/>
      <c r="S191" s="123"/>
      <c r="T191" s="123"/>
      <c r="U191" s="123"/>
      <c r="V191" s="124"/>
      <c r="W191" s="124"/>
      <c r="X191" s="123"/>
      <c r="Y191" s="128"/>
      <c r="Z191" s="123"/>
      <c r="AA191" s="124"/>
      <c r="AB191" s="127"/>
      <c r="AC191" s="123"/>
      <c r="AD191" s="130"/>
      <c r="AE191" s="126"/>
      <c r="AF191" s="126"/>
      <c r="AG191" s="126"/>
      <c r="AH191" s="126"/>
      <c r="AI191" s="126"/>
      <c r="AJ191" s="126"/>
    </row>
    <row customHeight="true" ht="13.333333333333332" r="192">
      <c r="A192" s="132" t="s">
        <v>654</v>
      </c>
      <c r="B192" s="123">
        <v>8</v>
      </c>
      <c r="C192" s="123" t="s">
        <v>600</v>
      </c>
      <c r="D192" s="123" t="s">
        <v>601</v>
      </c>
      <c r="E192" s="123" t="s">
        <v>602</v>
      </c>
      <c r="F192" s="124">
        <f t="shared" ref="F192:F194" si="514">IF(E192="有",(I192/B192+J192+Z192/B192)/(0.99999-K192-L192-M192-N192),(I192/B192+J192+Z192/B192)/(0.99999-K192-M192-N192))</f>
      </c>
      <c r="G192" s="124">
        <f t="shared" ref="G192:G194" si="332">IF(E192="有",(I192/B192+J192+Z192/B192)/(0.8-K192-L192-M192-N192-O192-P192),(I192/B192+J192+Z192/B192)/(0.8-K192-M192-N192-O192-P192))</f>
      </c>
      <c r="H192" s="125">
        <v>59.99</v>
      </c>
      <c r="I192" s="124">
        <f t="shared" ref="I192:I194" si="635">80/1.13</f>
      </c>
      <c r="J192" s="123">
        <v>4.28</v>
      </c>
      <c r="K192" s="126">
        <v>0.15</v>
      </c>
      <c r="L192" s="126">
        <v>0.16</v>
      </c>
      <c r="M192" s="126">
        <v>0.05</v>
      </c>
      <c r="N192" s="123">
        <f t="shared" ref="N192:N194" si="679">Q192/H192</f>
      </c>
      <c r="O192" s="127">
        <f t="shared" ref="O192:O194" si="890">0.61/H192</f>
      </c>
      <c r="P192" s="126">
        <v>0.02</v>
      </c>
      <c r="Q192" s="124">
        <v>10</v>
      </c>
      <c r="R192" s="123">
        <v>33.5</v>
      </c>
      <c r="S192" s="123">
        <v>26.5</v>
      </c>
      <c r="T192" s="123">
        <v>25</v>
      </c>
      <c r="U192" s="123">
        <v>2.3</v>
      </c>
      <c r="V192" s="124">
        <f t="shared" ref="V192:V194" si="796">R192*S192*T192/6000</f>
      </c>
      <c r="W192" s="124">
        <f t="shared" ref="W192:W194" si="200">MAX(U192:V192)</f>
      </c>
      <c r="X192" s="123" t="s">
        <v>603</v>
      </c>
      <c r="Y192" s="128">
        <v>5.55136</v>
      </c>
      <c r="Z192" s="129">
        <v>6.5</v>
      </c>
      <c r="AA192" s="124">
        <f t="shared" ref="AA192:AA194" si="42">H192-SUM(K192:P192)*H192-J192-I192/B192-Z192/B192</f>
      </c>
      <c r="AB192" s="127">
        <f t="shared" ref="AB192:AB194" si="592">AA192/H192</f>
      </c>
      <c r="AC192" s="123"/>
      <c r="AD192" s="130">
        <f t="shared" ref="AD192:AD194" si="410">J192/H192</f>
      </c>
      <c r="AE192" s="123">
        <f>I192/7.4/H192</f>
      </c>
      <c r="AF192" s="123">
        <f>Z192/7.4/H192</f>
      </c>
      <c r="AG192" s="126">
        <v>0.15</v>
      </c>
      <c r="AH192" s="123">
        <f t="shared" ref="AH192:AH194" si="120">N192</f>
      </c>
      <c r="AI192" s="126">
        <v>0.02</v>
      </c>
      <c r="AJ192" s="123">
        <f t="shared" ref="AJ192:AJ194" si="968">M192</f>
      </c>
    </row>
    <row customHeight="true" ht="13.333333333333332" r="193">
      <c r="A193" s="132" t="s">
        <v>655</v>
      </c>
      <c r="B193" s="123">
        <v>8</v>
      </c>
      <c r="C193" s="123" t="s">
        <v>600</v>
      </c>
      <c r="D193" s="123" t="s">
        <v>601</v>
      </c>
      <c r="E193" s="123" t="s">
        <v>602</v>
      </c>
      <c r="F193" s="124">
        <f t="shared" si="514"/>
      </c>
      <c r="G193" s="124">
        <f t="shared" si="332"/>
      </c>
      <c r="H193" s="125">
        <f>H192*0.85</f>
      </c>
      <c r="I193" s="124">
        <f t="shared" si="635"/>
      </c>
      <c r="J193" s="123">
        <v>4.28</v>
      </c>
      <c r="K193" s="126">
        <v>0.15</v>
      </c>
      <c r="L193" s="126">
        <v>0.16</v>
      </c>
      <c r="M193" s="126">
        <v>0.05</v>
      </c>
      <c r="N193" s="123">
        <f t="shared" si="679"/>
      </c>
      <c r="O193" s="127">
        <f t="shared" si="890"/>
      </c>
      <c r="P193" s="126">
        <v>0.02</v>
      </c>
      <c r="Q193" s="124">
        <v>9</v>
      </c>
      <c r="R193" s="123">
        <v>33.5</v>
      </c>
      <c r="S193" s="123">
        <v>26.5</v>
      </c>
      <c r="T193" s="123">
        <v>25</v>
      </c>
      <c r="U193" s="123">
        <v>2.3</v>
      </c>
      <c r="V193" s="124">
        <f t="shared" si="796"/>
      </c>
      <c r="W193" s="124">
        <f t="shared" si="200"/>
      </c>
      <c r="X193" s="123" t="s">
        <v>603</v>
      </c>
      <c r="Y193" s="128">
        <v>5.55136</v>
      </c>
      <c r="Z193" s="129">
        <v>6.5</v>
      </c>
      <c r="AA193" s="124">
        <f t="shared" si="42"/>
      </c>
      <c r="AB193" s="127">
        <f t="shared" si="592"/>
      </c>
      <c r="AC193" s="123"/>
      <c r="AD193" s="130">
        <f t="shared" si="410"/>
      </c>
      <c r="AE193" s="123">
        <f>I193/B193/H193</f>
      </c>
      <c r="AF193" s="123">
        <f>Z193/B193/H193</f>
      </c>
      <c r="AG193" s="123">
        <f>K193</f>
      </c>
      <c r="AH193" s="123">
        <f t="shared" si="120"/>
      </c>
      <c r="AI193" s="126">
        <v>0.02</v>
      </c>
      <c r="AJ193" s="123">
        <f t="shared" si="968"/>
      </c>
    </row>
    <row customHeight="true" ht="13.333333333333332" r="194">
      <c r="A194" s="132" t="s">
        <v>656</v>
      </c>
      <c r="B194" s="123">
        <v>8</v>
      </c>
      <c r="C194" s="123" t="s">
        <v>600</v>
      </c>
      <c r="D194" s="123" t="s">
        <v>601</v>
      </c>
      <c r="E194" s="123" t="s">
        <v>602</v>
      </c>
      <c r="F194" s="124">
        <f t="shared" si="514"/>
      </c>
      <c r="G194" s="124">
        <f t="shared" si="332"/>
      </c>
      <c r="H194" s="125">
        <f>H192*0.8</f>
      </c>
      <c r="I194" s="124">
        <f t="shared" si="635"/>
      </c>
      <c r="J194" s="123">
        <v>4.28</v>
      </c>
      <c r="K194" s="126">
        <v>0.15</v>
      </c>
      <c r="L194" s="126">
        <v>0.16</v>
      </c>
      <c r="M194" s="126">
        <v>0.05</v>
      </c>
      <c r="N194" s="123">
        <f t="shared" si="679"/>
      </c>
      <c r="O194" s="127">
        <f t="shared" si="890"/>
      </c>
      <c r="P194" s="126">
        <v>0.02</v>
      </c>
      <c r="Q194" s="124">
        <v>8</v>
      </c>
      <c r="R194" s="123">
        <v>33.5</v>
      </c>
      <c r="S194" s="123">
        <v>26.5</v>
      </c>
      <c r="T194" s="123">
        <v>25</v>
      </c>
      <c r="U194" s="123">
        <v>2.3</v>
      </c>
      <c r="V194" s="124">
        <f t="shared" si="796"/>
      </c>
      <c r="W194" s="124">
        <f t="shared" si="200"/>
      </c>
      <c r="X194" s="123" t="s">
        <v>603</v>
      </c>
      <c r="Y194" s="128">
        <v>5.55136</v>
      </c>
      <c r="Z194" s="129">
        <v>6.5</v>
      </c>
      <c r="AA194" s="124">
        <f t="shared" si="42"/>
      </c>
      <c r="AB194" s="127">
        <f t="shared" si="592"/>
      </c>
      <c r="AC194" s="123"/>
      <c r="AD194" s="130">
        <f t="shared" si="410"/>
      </c>
      <c r="AE194" s="123">
        <f>I194/7.4/H194</f>
      </c>
      <c r="AF194" s="123">
        <f>Z194/7.4/H194</f>
      </c>
      <c r="AG194" s="126">
        <v>0.15</v>
      </c>
      <c r="AH194" s="123">
        <f t="shared" si="120"/>
      </c>
      <c r="AI194" s="126">
        <v>0.02</v>
      </c>
      <c r="AJ194" s="123">
        <f t="shared" si="968"/>
      </c>
    </row>
    <row customHeight="true" ht="13.333333333333332" r="195">
      <c r="A195" s="132"/>
      <c r="B195" s="123"/>
      <c r="C195" s="123"/>
      <c r="D195" s="123"/>
      <c r="E195" s="123"/>
      <c r="F195" s="124"/>
      <c r="G195" s="124"/>
      <c r="H195" s="131"/>
      <c r="I195" s="124"/>
      <c r="J195" s="123"/>
      <c r="K195" s="126"/>
      <c r="L195" s="126"/>
      <c r="M195" s="126"/>
      <c r="N195" s="126"/>
      <c r="O195" s="127"/>
      <c r="P195" s="126"/>
      <c r="Q195" s="124"/>
      <c r="R195" s="123"/>
      <c r="S195" s="123"/>
      <c r="T195" s="123"/>
      <c r="U195" s="123"/>
      <c r="V195" s="124"/>
      <c r="W195" s="124"/>
      <c r="X195" s="123"/>
      <c r="Y195" s="128"/>
      <c r="Z195" s="123"/>
      <c r="AA195" s="124"/>
      <c r="AB195" s="127"/>
      <c r="AC195" s="123"/>
      <c r="AD195" s="130"/>
      <c r="AE195" s="126"/>
      <c r="AF195" s="126"/>
      <c r="AG195" s="126"/>
      <c r="AH195" s="126"/>
      <c r="AI195" s="126"/>
      <c r="AJ195" s="126"/>
    </row>
    <row customHeight="true" ht="13.333333333333332" r="196">
      <c r="A196" s="132" t="s">
        <v>654</v>
      </c>
      <c r="B196" s="123">
        <v>8</v>
      </c>
      <c r="C196" s="123" t="s">
        <v>606</v>
      </c>
      <c r="D196" s="123" t="s">
        <v>607</v>
      </c>
      <c r="E196" s="123" t="s">
        <v>602</v>
      </c>
      <c r="F196" s="124">
        <f t="shared" ref="F196:F198" si="515">IF(E196="有",(I196/B196+J196+Z196/B196)/(0.99999-K196-L196-M196-N196),(I196/B196+J196+Z196/B196)/(0.99999-K196-M196-N196))</f>
      </c>
      <c r="G196" s="124">
        <f t="shared" ref="G196:G198" si="333">IF(E196="有",(I196/B196+J196+Z196/B196)/(0.8-K196-L196-M196-N196-O196-P196),(I196/B196+J196+Z196/B196)/(0.8-K196-M196-N196-O196-P196))</f>
      </c>
      <c r="H196" s="125">
        <v>59.99</v>
      </c>
      <c r="I196" s="124">
        <f t="shared" ref="I196:I198" si="636">80/1.13</f>
      </c>
      <c r="J196" s="123">
        <v>6.41</v>
      </c>
      <c r="K196" s="126">
        <v>0.15</v>
      </c>
      <c r="L196" s="126">
        <v>0.16</v>
      </c>
      <c r="M196" s="126">
        <v>0.05</v>
      </c>
      <c r="N196" s="123">
        <f t="shared" ref="N196:N198" si="680">Q196/H196</f>
      </c>
      <c r="O196" s="127">
        <f t="shared" ref="O196:O198" si="891">0.61/H196</f>
      </c>
      <c r="P196" s="126">
        <v>0.02</v>
      </c>
      <c r="Q196" s="124">
        <v>10</v>
      </c>
      <c r="R196" s="123">
        <v>33.5</v>
      </c>
      <c r="S196" s="123">
        <v>26.5</v>
      </c>
      <c r="T196" s="123">
        <v>25</v>
      </c>
      <c r="U196" s="123">
        <v>2.3</v>
      </c>
      <c r="V196" s="124">
        <f t="shared" ref="V196:V198" si="797">R196*S196*T196/6000</f>
      </c>
      <c r="W196" s="124">
        <f t="shared" ref="W196:W198" si="201">MAX(U196:V196)</f>
      </c>
      <c r="X196" s="123" t="s">
        <v>603</v>
      </c>
      <c r="Y196" s="128">
        <v>5.55136</v>
      </c>
      <c r="Z196" s="129">
        <v>6.5</v>
      </c>
      <c r="AA196" s="124">
        <f t="shared" ref="AA196:AA198" si="43">H196-SUM(K196:P196)*H196-J196-I196/B196-Z196/B196</f>
      </c>
      <c r="AB196" s="127">
        <f t="shared" ref="AB196:AB198" si="593">AA196/H196</f>
      </c>
      <c r="AC196" s="123"/>
      <c r="AD196" s="130">
        <f t="shared" ref="AD196:AD198" si="411">J196/H196</f>
      </c>
      <c r="AE196" s="123">
        <f t="shared" ref="AE196:AE198" si="851">I196/7.4/H196</f>
      </c>
      <c r="AF196" s="123">
        <f t="shared" ref="AF196:AF198" si="734">Z196/7.4/H196</f>
      </c>
      <c r="AG196" s="126">
        <v>0.15</v>
      </c>
      <c r="AH196" s="123">
        <f t="shared" ref="AH196:AH198" si="121">N196</f>
      </c>
      <c r="AI196" s="126">
        <v>0.02</v>
      </c>
      <c r="AJ196" s="123">
        <f t="shared" ref="AJ196:AJ198" si="969">M196</f>
      </c>
    </row>
    <row customHeight="true" ht="13.333333333333332" r="197">
      <c r="A197" s="132" t="s">
        <v>655</v>
      </c>
      <c r="B197" s="123">
        <v>8</v>
      </c>
      <c r="C197" s="123" t="s">
        <v>606</v>
      </c>
      <c r="D197" s="123" t="s">
        <v>607</v>
      </c>
      <c r="E197" s="123" t="s">
        <v>602</v>
      </c>
      <c r="F197" s="124">
        <f t="shared" si="515"/>
      </c>
      <c r="G197" s="124">
        <f t="shared" si="333"/>
      </c>
      <c r="H197" s="125">
        <f>H196*0.85</f>
      </c>
      <c r="I197" s="124">
        <f t="shared" si="636"/>
      </c>
      <c r="J197" s="123">
        <v>6.41</v>
      </c>
      <c r="K197" s="126">
        <v>0.15</v>
      </c>
      <c r="L197" s="126">
        <v>0.16</v>
      </c>
      <c r="M197" s="126">
        <v>0.05</v>
      </c>
      <c r="N197" s="123">
        <f t="shared" si="680"/>
      </c>
      <c r="O197" s="127">
        <f t="shared" si="891"/>
      </c>
      <c r="P197" s="126">
        <v>0.02</v>
      </c>
      <c r="Q197" s="124">
        <v>9</v>
      </c>
      <c r="R197" s="123">
        <v>33.5</v>
      </c>
      <c r="S197" s="123">
        <v>26.5</v>
      </c>
      <c r="T197" s="123">
        <v>25</v>
      </c>
      <c r="U197" s="123">
        <v>2.3</v>
      </c>
      <c r="V197" s="124">
        <f t="shared" si="797"/>
      </c>
      <c r="W197" s="124">
        <f t="shared" si="201"/>
      </c>
      <c r="X197" s="123" t="s">
        <v>603</v>
      </c>
      <c r="Y197" s="128">
        <v>5.55136</v>
      </c>
      <c r="Z197" s="129">
        <v>6.5</v>
      </c>
      <c r="AA197" s="124">
        <f t="shared" si="43"/>
      </c>
      <c r="AB197" s="127">
        <f t="shared" si="593"/>
      </c>
      <c r="AC197" s="123"/>
      <c r="AD197" s="130">
        <f t="shared" si="411"/>
      </c>
      <c r="AE197" s="123">
        <f t="shared" si="851"/>
      </c>
      <c r="AF197" s="123">
        <f t="shared" si="734"/>
      </c>
      <c r="AG197" s="126">
        <v>0.15</v>
      </c>
      <c r="AH197" s="123">
        <f t="shared" si="121"/>
      </c>
      <c r="AI197" s="126">
        <v>0.02</v>
      </c>
      <c r="AJ197" s="123">
        <f t="shared" si="969"/>
      </c>
    </row>
    <row customHeight="true" ht="13.333333333333332" r="198">
      <c r="A198" s="132" t="s">
        <v>656</v>
      </c>
      <c r="B198" s="123">
        <v>8</v>
      </c>
      <c r="C198" s="123" t="s">
        <v>606</v>
      </c>
      <c r="D198" s="123" t="s">
        <v>607</v>
      </c>
      <c r="E198" s="123" t="s">
        <v>602</v>
      </c>
      <c r="F198" s="124">
        <f t="shared" si="515"/>
      </c>
      <c r="G198" s="124">
        <f t="shared" si="333"/>
      </c>
      <c r="H198" s="125">
        <f>H196*0.78</f>
      </c>
      <c r="I198" s="124">
        <f t="shared" si="636"/>
      </c>
      <c r="J198" s="123">
        <v>6.41</v>
      </c>
      <c r="K198" s="126">
        <v>0.15</v>
      </c>
      <c r="L198" s="126">
        <v>0.16</v>
      </c>
      <c r="M198" s="126">
        <v>0.05</v>
      </c>
      <c r="N198" s="123">
        <f t="shared" si="680"/>
      </c>
      <c r="O198" s="127">
        <f t="shared" si="891"/>
      </c>
      <c r="P198" s="126">
        <v>0.02</v>
      </c>
      <c r="Q198" s="124">
        <v>8</v>
      </c>
      <c r="R198" s="123">
        <v>33.5</v>
      </c>
      <c r="S198" s="123">
        <v>26.5</v>
      </c>
      <c r="T198" s="123">
        <v>25</v>
      </c>
      <c r="U198" s="123">
        <v>2.3</v>
      </c>
      <c r="V198" s="124">
        <f t="shared" si="797"/>
      </c>
      <c r="W198" s="124">
        <f t="shared" si="201"/>
      </c>
      <c r="X198" s="123" t="s">
        <v>603</v>
      </c>
      <c r="Y198" s="128">
        <v>5.55136</v>
      </c>
      <c r="Z198" s="129">
        <v>6.5</v>
      </c>
      <c r="AA198" s="124">
        <f t="shared" si="43"/>
      </c>
      <c r="AB198" s="127">
        <f t="shared" si="593"/>
      </c>
      <c r="AC198" s="123"/>
      <c r="AD198" s="130">
        <f t="shared" si="411"/>
      </c>
      <c r="AE198" s="123">
        <f t="shared" si="851"/>
      </c>
      <c r="AF198" s="123">
        <f t="shared" si="734"/>
      </c>
      <c r="AG198" s="126">
        <v>0.15</v>
      </c>
      <c r="AH198" s="123">
        <f t="shared" si="121"/>
      </c>
      <c r="AI198" s="126">
        <v>0.02</v>
      </c>
      <c r="AJ198" s="123">
        <f t="shared" si="969"/>
      </c>
    </row>
    <row customHeight="true" ht="13.333333333333332" r="199">
      <c r="A199" s="132"/>
      <c r="B199" s="123"/>
      <c r="C199" s="123"/>
      <c r="D199" s="123"/>
      <c r="E199" s="123"/>
      <c r="F199" s="124"/>
      <c r="G199" s="124"/>
      <c r="H199" s="131"/>
      <c r="I199" s="124"/>
      <c r="J199" s="123"/>
      <c r="K199" s="126"/>
      <c r="L199" s="126"/>
      <c r="M199" s="126"/>
      <c r="N199" s="126"/>
      <c r="O199" s="127"/>
      <c r="P199" s="126"/>
      <c r="Q199" s="126"/>
      <c r="R199" s="123"/>
      <c r="S199" s="123"/>
      <c r="T199" s="123"/>
      <c r="U199" s="123"/>
      <c r="V199" s="124"/>
      <c r="W199" s="124"/>
      <c r="X199" s="123"/>
      <c r="Y199" s="128"/>
      <c r="Z199" s="123"/>
      <c r="AA199" s="124"/>
      <c r="AB199" s="127"/>
      <c r="AC199" s="123"/>
      <c r="AD199" s="130"/>
      <c r="AE199" s="126"/>
      <c r="AF199" s="126"/>
      <c r="AG199" s="126"/>
      <c r="AH199" s="126"/>
      <c r="AI199" s="126"/>
      <c r="AJ199" s="126"/>
    </row>
    <row customHeight="true" ht="13.333333333333332" r="200">
      <c r="A200" s="132" t="s">
        <v>654</v>
      </c>
      <c r="B200" s="123">
        <v>8</v>
      </c>
      <c r="C200" s="123" t="s">
        <v>608</v>
      </c>
      <c r="D200" s="123" t="s">
        <v>609</v>
      </c>
      <c r="E200" s="123" t="s">
        <v>602</v>
      </c>
      <c r="F200" s="124">
        <f t="shared" ref="F200:F203" si="516">IF(E200="有",(I200/B200+J200+Z200/B200)/(0.99999-K200-L200-M200-N200),(I200/B200+J200+Z200/B200)/(0.99999-K200-M200-N200))</f>
      </c>
      <c r="G200" s="124">
        <f t="shared" ref="G200:G203" si="334">IF(E200="有",(I200/B200+J200+Z200/B200)/(0.8-K200-L200-M200-N200-O200-P200),(I200/B200+J200+Z200/B200)/(0.8-K200-M200-N200-O200-P200))</f>
      </c>
      <c r="H200" s="125">
        <v>59.99</v>
      </c>
      <c r="I200" s="124">
        <f t="shared" ref="I200:I203" si="637">80/1.13</f>
      </c>
      <c r="J200" s="123">
        <v>5.81</v>
      </c>
      <c r="K200" s="126">
        <v>0.15</v>
      </c>
      <c r="L200" s="126">
        <v>0.16</v>
      </c>
      <c r="M200" s="126">
        <v>0.05</v>
      </c>
      <c r="N200" s="123">
        <f t="shared" ref="N200:N203" si="681">Q200/H200</f>
      </c>
      <c r="O200" s="127">
        <f t="shared" ref="O200:O203" si="892">0.61/H200</f>
      </c>
      <c r="P200" s="126">
        <v>0.02</v>
      </c>
      <c r="Q200" s="124">
        <v>10</v>
      </c>
      <c r="R200" s="123">
        <v>33.5</v>
      </c>
      <c r="S200" s="123">
        <v>26.5</v>
      </c>
      <c r="T200" s="123">
        <v>25</v>
      </c>
      <c r="U200" s="123">
        <v>2.3</v>
      </c>
      <c r="V200" s="124">
        <f t="shared" ref="V200:V203" si="798">R200*S200*T200/6000</f>
      </c>
      <c r="W200" s="124">
        <f t="shared" ref="W200:W203" si="202">MAX(U200:V200)</f>
      </c>
      <c r="X200" s="123" t="s">
        <v>603</v>
      </c>
      <c r="Y200" s="128">
        <v>5.55136</v>
      </c>
      <c r="Z200" s="129">
        <v>6.5</v>
      </c>
      <c r="AA200" s="124">
        <f t="shared" ref="AA200:AA203" si="44">H200-SUM(K200:P200)*H200-J200-I200/B200-Z200/B200</f>
      </c>
      <c r="AB200" s="127">
        <f t="shared" ref="AB200:AB203" si="594">AA200/H200</f>
      </c>
      <c r="AC200" s="123"/>
      <c r="AD200" s="130">
        <f t="shared" ref="AD200:AD203" si="412">J200/H200</f>
      </c>
      <c r="AE200" s="123">
        <f t="shared" ref="AE200:AE203" si="852">I200/7.4/H200</f>
      </c>
      <c r="AF200" s="123">
        <f t="shared" ref="AF200:AF203" si="735">Z200/7.4/H200</f>
      </c>
      <c r="AG200" s="126">
        <v>0.15</v>
      </c>
      <c r="AH200" s="123">
        <f t="shared" ref="AH200:AH203" si="122">N200</f>
      </c>
      <c r="AI200" s="126">
        <v>0.02</v>
      </c>
      <c r="AJ200" s="123">
        <f t="shared" ref="AJ200:AJ203" si="970">M200</f>
      </c>
    </row>
    <row customHeight="true" ht="13.333333333333332" r="201">
      <c r="A201" s="132" t="s">
        <v>655</v>
      </c>
      <c r="B201" s="123">
        <v>8</v>
      </c>
      <c r="C201" s="123" t="s">
        <v>608</v>
      </c>
      <c r="D201" s="123" t="s">
        <v>609</v>
      </c>
      <c r="E201" s="123" t="s">
        <v>602</v>
      </c>
      <c r="F201" s="124">
        <f t="shared" si="516"/>
      </c>
      <c r="G201" s="124">
        <f t="shared" si="334"/>
      </c>
      <c r="H201" s="125">
        <f>H200*0.85</f>
      </c>
      <c r="I201" s="124">
        <f t="shared" si="637"/>
      </c>
      <c r="J201" s="123">
        <v>5.81</v>
      </c>
      <c r="K201" s="126">
        <v>0.15</v>
      </c>
      <c r="L201" s="126">
        <v>0.16</v>
      </c>
      <c r="M201" s="126">
        <v>0.05</v>
      </c>
      <c r="N201" s="123">
        <f t="shared" si="681"/>
      </c>
      <c r="O201" s="127">
        <f t="shared" si="892"/>
      </c>
      <c r="P201" s="126">
        <v>0.02</v>
      </c>
      <c r="Q201" s="124">
        <v>9</v>
      </c>
      <c r="R201" s="123">
        <v>33.5</v>
      </c>
      <c r="S201" s="123">
        <v>26.5</v>
      </c>
      <c r="T201" s="123">
        <v>25</v>
      </c>
      <c r="U201" s="123">
        <v>2.3</v>
      </c>
      <c r="V201" s="124">
        <f t="shared" si="798"/>
      </c>
      <c r="W201" s="124">
        <f t="shared" si="202"/>
      </c>
      <c r="X201" s="123" t="s">
        <v>603</v>
      </c>
      <c r="Y201" s="128">
        <v>5.55136</v>
      </c>
      <c r="Z201" s="129">
        <v>6.5</v>
      </c>
      <c r="AA201" s="124">
        <f t="shared" si="44"/>
      </c>
      <c r="AB201" s="127">
        <f t="shared" si="594"/>
      </c>
      <c r="AC201" s="123"/>
      <c r="AD201" s="130">
        <f t="shared" si="412"/>
      </c>
      <c r="AE201" s="123">
        <f t="shared" si="852"/>
      </c>
      <c r="AF201" s="123">
        <f t="shared" si="735"/>
      </c>
      <c r="AG201" s="126">
        <v>0.15</v>
      </c>
      <c r="AH201" s="123">
        <f t="shared" si="122"/>
      </c>
      <c r="AI201" s="126">
        <v>0.02</v>
      </c>
      <c r="AJ201" s="123">
        <f t="shared" si="970"/>
      </c>
    </row>
    <row customHeight="true" ht="13.333333333333332" r="202">
      <c r="A202" s="132" t="s">
        <v>656</v>
      </c>
      <c r="B202" s="123">
        <v>8</v>
      </c>
      <c r="C202" s="123" t="s">
        <v>608</v>
      </c>
      <c r="D202" s="123" t="s">
        <v>609</v>
      </c>
      <c r="E202" s="123" t="s">
        <v>602</v>
      </c>
      <c r="F202" s="124">
        <f t="shared" si="516"/>
      </c>
      <c r="G202" s="124">
        <f t="shared" si="334"/>
      </c>
      <c r="H202" s="125">
        <f>H200*0.8</f>
      </c>
      <c r="I202" s="124">
        <f t="shared" si="637"/>
      </c>
      <c r="J202" s="123">
        <v>5.81</v>
      </c>
      <c r="K202" s="126">
        <v>0.15</v>
      </c>
      <c r="L202" s="126">
        <v>0.16</v>
      </c>
      <c r="M202" s="126">
        <v>0.05</v>
      </c>
      <c r="N202" s="123">
        <f t="shared" si="681"/>
      </c>
      <c r="O202" s="127">
        <f t="shared" si="892"/>
      </c>
      <c r="P202" s="126">
        <v>0.02</v>
      </c>
      <c r="Q202" s="124">
        <v>8</v>
      </c>
      <c r="R202" s="123">
        <v>33.5</v>
      </c>
      <c r="S202" s="123">
        <v>26.5</v>
      </c>
      <c r="T202" s="123">
        <v>25</v>
      </c>
      <c r="U202" s="123">
        <v>2.3</v>
      </c>
      <c r="V202" s="124">
        <f t="shared" si="798"/>
      </c>
      <c r="W202" s="124">
        <f t="shared" si="202"/>
      </c>
      <c r="X202" s="123" t="s">
        <v>603</v>
      </c>
      <c r="Y202" s="128">
        <v>5.55136</v>
      </c>
      <c r="Z202" s="129">
        <v>6.5</v>
      </c>
      <c r="AA202" s="124">
        <f t="shared" si="44"/>
      </c>
      <c r="AB202" s="127">
        <f t="shared" si="594"/>
      </c>
      <c r="AC202" s="123"/>
      <c r="AD202" s="130">
        <f t="shared" si="412"/>
      </c>
      <c r="AE202" s="123">
        <f t="shared" si="852"/>
      </c>
      <c r="AF202" s="123">
        <f t="shared" si="735"/>
      </c>
      <c r="AG202" s="126">
        <v>0.15</v>
      </c>
      <c r="AH202" s="123">
        <f t="shared" si="122"/>
      </c>
      <c r="AI202" s="126">
        <v>0.02</v>
      </c>
      <c r="AJ202" s="123">
        <f t="shared" si="970"/>
      </c>
    </row>
    <row customHeight="true" ht="13.333333333333332" r="203">
      <c r="A203" s="132" t="s">
        <v>657</v>
      </c>
      <c r="B203" s="123">
        <v>8</v>
      </c>
      <c r="C203" s="123" t="s">
        <v>608</v>
      </c>
      <c r="D203" s="123" t="s">
        <v>609</v>
      </c>
      <c r="E203" s="123" t="s">
        <v>602</v>
      </c>
      <c r="F203" s="124">
        <f t="shared" si="516"/>
      </c>
      <c r="G203" s="124">
        <f t="shared" si="334"/>
      </c>
      <c r="H203" s="125">
        <v>49.99</v>
      </c>
      <c r="I203" s="124">
        <f t="shared" si="637"/>
      </c>
      <c r="J203" s="123">
        <v>5.81</v>
      </c>
      <c r="K203" s="126">
        <v>0.15</v>
      </c>
      <c r="L203" s="126">
        <v>0.16</v>
      </c>
      <c r="M203" s="126">
        <v>0.05</v>
      </c>
      <c r="N203" s="123">
        <f t="shared" si="681"/>
      </c>
      <c r="O203" s="127">
        <f t="shared" si="892"/>
      </c>
      <c r="P203" s="126">
        <v>0.02</v>
      </c>
      <c r="Q203" s="124">
        <v>10</v>
      </c>
      <c r="R203" s="123">
        <v>33.5</v>
      </c>
      <c r="S203" s="123">
        <v>26.5</v>
      </c>
      <c r="T203" s="123">
        <v>25</v>
      </c>
      <c r="U203" s="123">
        <v>2.3</v>
      </c>
      <c r="V203" s="124">
        <f t="shared" si="798"/>
      </c>
      <c r="W203" s="124">
        <f t="shared" si="202"/>
      </c>
      <c r="X203" s="123" t="s">
        <v>603</v>
      </c>
      <c r="Y203" s="128">
        <v>5.55136</v>
      </c>
      <c r="Z203" s="129">
        <v>6.5</v>
      </c>
      <c r="AA203" s="124">
        <f t="shared" si="44"/>
      </c>
      <c r="AB203" s="127">
        <f t="shared" si="594"/>
      </c>
      <c r="AC203" s="123"/>
      <c r="AD203" s="130">
        <f t="shared" si="412"/>
      </c>
      <c r="AE203" s="123">
        <f t="shared" si="852"/>
      </c>
      <c r="AF203" s="123">
        <f t="shared" si="735"/>
      </c>
      <c r="AG203" s="126">
        <v>0.15</v>
      </c>
      <c r="AH203" s="123">
        <f t="shared" si="122"/>
      </c>
      <c r="AI203" s="126">
        <v>0.02</v>
      </c>
      <c r="AJ203" s="123">
        <f t="shared" si="970"/>
      </c>
    </row>
    <row customHeight="true" ht="13.333333333333332" r="204">
      <c r="A204" s="132"/>
      <c r="B204" s="123"/>
      <c r="C204" s="123"/>
      <c r="D204" s="123"/>
      <c r="E204" s="123"/>
      <c r="F204" s="124"/>
      <c r="G204" s="124"/>
      <c r="H204" s="131"/>
      <c r="I204" s="124"/>
      <c r="J204" s="123"/>
      <c r="K204" s="126"/>
      <c r="L204" s="126"/>
      <c r="M204" s="126"/>
      <c r="N204" s="126"/>
      <c r="O204" s="127"/>
      <c r="P204" s="126"/>
      <c r="Q204" s="126"/>
      <c r="R204" s="123"/>
      <c r="S204" s="123"/>
      <c r="T204" s="123"/>
      <c r="U204" s="123"/>
      <c r="V204" s="124"/>
      <c r="W204" s="124"/>
      <c r="X204" s="123"/>
      <c r="Y204" s="128"/>
      <c r="Z204" s="123"/>
      <c r="AA204" s="124"/>
      <c r="AB204" s="127"/>
      <c r="AC204" s="123"/>
      <c r="AD204" s="130"/>
      <c r="AE204" s="126"/>
      <c r="AF204" s="126"/>
      <c r="AG204" s="126"/>
      <c r="AH204" s="126"/>
      <c r="AI204" s="126"/>
      <c r="AJ204" s="126"/>
    </row>
    <row customHeight="true" ht="13.333333333333332" r="205">
      <c r="A205" s="132" t="s">
        <v>654</v>
      </c>
      <c r="B205" s="123">
        <v>8</v>
      </c>
      <c r="C205" s="123" t="s">
        <v>611</v>
      </c>
      <c r="D205" s="123" t="s">
        <v>612</v>
      </c>
      <c r="E205" s="123" t="s">
        <v>602</v>
      </c>
      <c r="F205" s="124">
        <f t="shared" ref="F205:F207" si="517">IF(E205="有",(I205/B205+J205+Z205/B205)/(0.99999-K205-L205-M205-N205),(I205/B205+J205+Z205/B205)/(0.99999-K205-M205-N205))</f>
      </c>
      <c r="G205" s="124">
        <f t="shared" ref="G205:G207" si="335">IF(E205="有",(I205/B205+J205+Z205/B205)/(0.8-K205-L205-M205-N205-O205-P205),(I205/B205+J205+Z205/B205)/(0.8-K205-M205-N205-O205-P205))</f>
      </c>
      <c r="H205" s="125">
        <v>59.99</v>
      </c>
      <c r="I205" s="124">
        <f t="shared" ref="I205:I207" si="638">80/1.13</f>
      </c>
      <c r="J205" s="123">
        <v>4.85</v>
      </c>
      <c r="K205" s="126">
        <v>0.15</v>
      </c>
      <c r="L205" s="126">
        <v>0.16</v>
      </c>
      <c r="M205" s="126">
        <v>0.05</v>
      </c>
      <c r="N205" s="123">
        <f t="shared" ref="N205:N207" si="682">Q205/H205</f>
      </c>
      <c r="O205" s="127">
        <f t="shared" ref="O205:O207" si="893">0.61/H205</f>
      </c>
      <c r="P205" s="126">
        <v>0.02</v>
      </c>
      <c r="Q205" s="124">
        <v>10</v>
      </c>
      <c r="R205" s="123">
        <v>33.5</v>
      </c>
      <c r="S205" s="123">
        <v>26.5</v>
      </c>
      <c r="T205" s="123">
        <v>25</v>
      </c>
      <c r="U205" s="123">
        <v>2.3</v>
      </c>
      <c r="V205" s="124">
        <f t="shared" ref="V205:V207" si="799">R205*S205*T205/6000</f>
      </c>
      <c r="W205" s="124">
        <f t="shared" ref="W205:W207" si="203">MAX(U205:V205)</f>
      </c>
      <c r="X205" s="123" t="s">
        <v>603</v>
      </c>
      <c r="Y205" s="128">
        <v>5.55136</v>
      </c>
      <c r="Z205" s="129">
        <v>6.5</v>
      </c>
      <c r="AA205" s="124">
        <f t="shared" ref="AA205:AA207" si="45">H205-SUM(K205:P205)*H205-J205-I205/B205-Z205/B205</f>
      </c>
      <c r="AB205" s="127">
        <f t="shared" ref="AB205:AB207" si="595">AA205/H205</f>
      </c>
      <c r="AC205" s="123"/>
      <c r="AD205" s="130">
        <f t="shared" ref="AD205:AD207" si="413">J205/H205</f>
      </c>
      <c r="AE205" s="123">
        <f t="shared" ref="AE205:AE207" si="853">I205/7.4/H205</f>
      </c>
      <c r="AF205" s="123">
        <f t="shared" ref="AF205:AF207" si="736">Z205/7.4/H205</f>
      </c>
      <c r="AG205" s="126">
        <v>0.15</v>
      </c>
      <c r="AH205" s="123">
        <f t="shared" ref="AH205:AH207" si="123">N205</f>
      </c>
      <c r="AI205" s="126">
        <v>0.02</v>
      </c>
      <c r="AJ205" s="123">
        <f t="shared" ref="AJ205:AJ207" si="971">M205</f>
      </c>
    </row>
    <row customHeight="true" ht="13.333333333333332" r="206">
      <c r="A206" s="132" t="s">
        <v>655</v>
      </c>
      <c r="B206" s="123">
        <v>8</v>
      </c>
      <c r="C206" s="123" t="s">
        <v>611</v>
      </c>
      <c r="D206" s="123" t="s">
        <v>612</v>
      </c>
      <c r="E206" s="123" t="s">
        <v>602</v>
      </c>
      <c r="F206" s="124">
        <f t="shared" si="517"/>
      </c>
      <c r="G206" s="124">
        <f t="shared" si="335"/>
      </c>
      <c r="H206" s="125">
        <f>H205*0.85</f>
      </c>
      <c r="I206" s="124">
        <f t="shared" si="638"/>
      </c>
      <c r="J206" s="123">
        <v>4.85</v>
      </c>
      <c r="K206" s="126">
        <v>0.15</v>
      </c>
      <c r="L206" s="126">
        <v>0.16</v>
      </c>
      <c r="M206" s="126">
        <v>0.05</v>
      </c>
      <c r="N206" s="123">
        <f t="shared" si="682"/>
      </c>
      <c r="O206" s="127">
        <f t="shared" si="893"/>
      </c>
      <c r="P206" s="126">
        <v>0.02</v>
      </c>
      <c r="Q206" s="124">
        <v>9</v>
      </c>
      <c r="R206" s="123">
        <v>33.5</v>
      </c>
      <c r="S206" s="123">
        <v>26.5</v>
      </c>
      <c r="T206" s="123">
        <v>25</v>
      </c>
      <c r="U206" s="123">
        <v>2.3</v>
      </c>
      <c r="V206" s="124">
        <f t="shared" si="799"/>
      </c>
      <c r="W206" s="124">
        <f t="shared" si="203"/>
      </c>
      <c r="X206" s="123" t="s">
        <v>603</v>
      </c>
      <c r="Y206" s="128">
        <v>5.55136</v>
      </c>
      <c r="Z206" s="129">
        <v>6.5</v>
      </c>
      <c r="AA206" s="124">
        <f t="shared" si="45"/>
      </c>
      <c r="AB206" s="127">
        <f t="shared" si="595"/>
      </c>
      <c r="AC206" s="123"/>
      <c r="AD206" s="130">
        <f t="shared" si="413"/>
      </c>
      <c r="AE206" s="123">
        <f t="shared" si="853"/>
      </c>
      <c r="AF206" s="123">
        <f t="shared" si="736"/>
      </c>
      <c r="AG206" s="126">
        <v>0.15</v>
      </c>
      <c r="AH206" s="123">
        <f t="shared" si="123"/>
      </c>
      <c r="AI206" s="126">
        <v>0.02</v>
      </c>
      <c r="AJ206" s="123">
        <f t="shared" si="971"/>
      </c>
    </row>
    <row customHeight="true" ht="13.333333333333332" r="207">
      <c r="A207" s="132" t="s">
        <v>656</v>
      </c>
      <c r="B207" s="123">
        <v>8</v>
      </c>
      <c r="C207" s="123" t="s">
        <v>611</v>
      </c>
      <c r="D207" s="123" t="s">
        <v>612</v>
      </c>
      <c r="E207" s="123" t="s">
        <v>602</v>
      </c>
      <c r="F207" s="124">
        <f t="shared" si="517"/>
      </c>
      <c r="G207" s="124">
        <f t="shared" si="335"/>
      </c>
      <c r="H207" s="125">
        <f>H205*0.8</f>
      </c>
      <c r="I207" s="124">
        <f t="shared" si="638"/>
      </c>
      <c r="J207" s="123">
        <v>4.85</v>
      </c>
      <c r="K207" s="126">
        <v>0.15</v>
      </c>
      <c r="L207" s="126">
        <v>0.16</v>
      </c>
      <c r="M207" s="126">
        <v>0.05</v>
      </c>
      <c r="N207" s="123">
        <f t="shared" si="682"/>
      </c>
      <c r="O207" s="127">
        <f t="shared" si="893"/>
      </c>
      <c r="P207" s="126">
        <v>0.02</v>
      </c>
      <c r="Q207" s="124">
        <v>8</v>
      </c>
      <c r="R207" s="123">
        <v>33.5</v>
      </c>
      <c r="S207" s="123">
        <v>26.5</v>
      </c>
      <c r="T207" s="123">
        <v>25</v>
      </c>
      <c r="U207" s="123">
        <v>2.3</v>
      </c>
      <c r="V207" s="124">
        <f t="shared" si="799"/>
      </c>
      <c r="W207" s="124">
        <f t="shared" si="203"/>
      </c>
      <c r="X207" s="123" t="s">
        <v>603</v>
      </c>
      <c r="Y207" s="128">
        <v>5.55136</v>
      </c>
      <c r="Z207" s="129">
        <v>6.5</v>
      </c>
      <c r="AA207" s="124">
        <f t="shared" si="45"/>
      </c>
      <c r="AB207" s="127">
        <f t="shared" si="595"/>
      </c>
      <c r="AC207" s="123"/>
      <c r="AD207" s="130">
        <f t="shared" si="413"/>
      </c>
      <c r="AE207" s="123">
        <f t="shared" si="853"/>
      </c>
      <c r="AF207" s="123">
        <f t="shared" si="736"/>
      </c>
      <c r="AG207" s="126">
        <v>0.15</v>
      </c>
      <c r="AH207" s="123">
        <f t="shared" si="123"/>
      </c>
      <c r="AI207" s="126">
        <v>0.02</v>
      </c>
      <c r="AJ207" s="123">
        <f t="shared" si="971"/>
      </c>
    </row>
    <row customHeight="true" ht="13.333333333333332" r="208">
      <c r="A208" s="132"/>
      <c r="B208" s="123"/>
      <c r="C208" s="123"/>
      <c r="D208" s="123"/>
      <c r="E208" s="123"/>
      <c r="F208" s="124"/>
      <c r="G208" s="124"/>
      <c r="H208" s="131"/>
      <c r="I208" s="124"/>
      <c r="J208" s="123"/>
      <c r="K208" s="126"/>
      <c r="L208" s="126"/>
      <c r="M208" s="126"/>
      <c r="N208" s="126"/>
      <c r="O208" s="127"/>
      <c r="P208" s="126"/>
      <c r="Q208" s="126"/>
      <c r="R208" s="123"/>
      <c r="S208" s="123"/>
      <c r="T208" s="123"/>
      <c r="U208" s="123"/>
      <c r="V208" s="124"/>
      <c r="W208" s="124"/>
      <c r="X208" s="123"/>
      <c r="Y208" s="128"/>
      <c r="Z208" s="123"/>
      <c r="AA208" s="124"/>
      <c r="AB208" s="127"/>
      <c r="AC208" s="123"/>
      <c r="AD208" s="130"/>
      <c r="AE208" s="126"/>
      <c r="AF208" s="126"/>
      <c r="AG208" s="126"/>
      <c r="AH208" s="126"/>
      <c r="AI208" s="126"/>
      <c r="AJ208" s="126"/>
    </row>
    <row customHeight="true" ht="13.333333333333332" r="209">
      <c r="A209" s="132" t="s">
        <v>654</v>
      </c>
      <c r="B209" s="123">
        <v>9</v>
      </c>
      <c r="C209" s="123" t="s">
        <v>613</v>
      </c>
      <c r="D209" s="123" t="s">
        <v>614</v>
      </c>
      <c r="E209" s="123" t="s">
        <v>602</v>
      </c>
      <c r="F209" s="124">
        <f t="shared" ref="F209:F211" si="518">IF(E209="有",(I209/B209+J209+Z209/B209)/(0.99999-K209-L209-M209-N209),(I209/B209+J209+Z209/B209)/(0.99999-K209-M209-N209))</f>
      </c>
      <c r="G209" s="124">
        <f t="shared" ref="G209:G211" si="336">IF(E209="有",(I209/B209+J209+Z209/B209)/(0.8-K209-L209-M209-N209-O209-P209),(I209/B209+J209+Z209/B209)/(0.8-K209-M209-N209-O209-P209))</f>
      </c>
      <c r="H209" s="125">
        <v>59.99</v>
      </c>
      <c r="I209" s="124">
        <v>70.8</v>
      </c>
      <c r="J209" s="123">
        <v>3.26</v>
      </c>
      <c r="K209" s="126">
        <v>0.15</v>
      </c>
      <c r="L209" s="126">
        <v>0.16</v>
      </c>
      <c r="M209" s="126">
        <v>0.05</v>
      </c>
      <c r="N209" s="123">
        <f t="shared" ref="N209:N211" si="683">Q209/H209</f>
      </c>
      <c r="O209" s="127">
        <f t="shared" ref="O209:O211" si="894">0.61/H209</f>
      </c>
      <c r="P209" s="126">
        <v>0.02</v>
      </c>
      <c r="Q209" s="124">
        <v>10</v>
      </c>
      <c r="R209" s="123">
        <v>33.5</v>
      </c>
      <c r="S209" s="123">
        <v>26.5</v>
      </c>
      <c r="T209" s="123">
        <v>25</v>
      </c>
      <c r="U209" s="123">
        <v>2.3</v>
      </c>
      <c r="V209" s="124">
        <f t="shared" ref="V209:V211" si="800">R209*S209*T209/6000</f>
      </c>
      <c r="W209" s="124">
        <f t="shared" ref="W209:W211" si="204">MAX(U209:V209)</f>
      </c>
      <c r="X209" s="123" t="s">
        <v>603</v>
      </c>
      <c r="Y209" s="128">
        <v>6.084</v>
      </c>
      <c r="Z209" s="129">
        <v>6.5</v>
      </c>
      <c r="AA209" s="124">
        <f t="shared" ref="AA209:AA211" si="46">H209-SUM(K209:P209)*H209-J209-I209/B209-Z209/B209</f>
      </c>
      <c r="AB209" s="127">
        <f t="shared" ref="AB209:AB211" si="596">AA209/H209</f>
      </c>
      <c r="AC209" s="123"/>
      <c r="AD209" s="130">
        <f t="shared" ref="AD209:AD211" si="414">J209/H209</f>
      </c>
      <c r="AE209" s="123">
        <f t="shared" ref="AE209:AE211" si="854">I209/7.4/H209</f>
      </c>
      <c r="AF209" s="123">
        <f t="shared" ref="AF209:AF211" si="737">Z209/7.4/H209</f>
      </c>
      <c r="AG209" s="126">
        <v>0.15</v>
      </c>
      <c r="AH209" s="123">
        <f t="shared" ref="AH209:AH211" si="124">N209</f>
      </c>
      <c r="AI209" s="126">
        <v>0.02</v>
      </c>
      <c r="AJ209" s="123">
        <f t="shared" ref="AJ209:AJ211" si="972">M209</f>
      </c>
    </row>
    <row customHeight="true" ht="13.333333333333332" r="210">
      <c r="A210" s="132" t="s">
        <v>655</v>
      </c>
      <c r="B210" s="123">
        <v>9</v>
      </c>
      <c r="C210" s="123" t="s">
        <v>613</v>
      </c>
      <c r="D210" s="123" t="s">
        <v>614</v>
      </c>
      <c r="E210" s="123" t="s">
        <v>602</v>
      </c>
      <c r="F210" s="124">
        <f t="shared" si="518"/>
      </c>
      <c r="G210" s="124">
        <f t="shared" si="336"/>
      </c>
      <c r="H210" s="125">
        <f>H209*0.85</f>
      </c>
      <c r="I210" s="124">
        <f t="shared" ref="I210:I211" si="639">80/1.13</f>
      </c>
      <c r="J210" s="123">
        <v>3.26</v>
      </c>
      <c r="K210" s="126">
        <v>0.15</v>
      </c>
      <c r="L210" s="126">
        <v>0.16</v>
      </c>
      <c r="M210" s="126">
        <v>0.05</v>
      </c>
      <c r="N210" s="123">
        <f t="shared" si="683"/>
      </c>
      <c r="O210" s="127">
        <f t="shared" si="894"/>
      </c>
      <c r="P210" s="126">
        <v>0.02</v>
      </c>
      <c r="Q210" s="124">
        <v>9</v>
      </c>
      <c r="R210" s="123">
        <v>33.5</v>
      </c>
      <c r="S210" s="123">
        <v>26.5</v>
      </c>
      <c r="T210" s="123">
        <v>25</v>
      </c>
      <c r="U210" s="123">
        <v>2.3</v>
      </c>
      <c r="V210" s="124">
        <f t="shared" si="800"/>
      </c>
      <c r="W210" s="124">
        <f t="shared" si="204"/>
      </c>
      <c r="X210" s="123" t="s">
        <v>603</v>
      </c>
      <c r="Y210" s="128">
        <v>6.084</v>
      </c>
      <c r="Z210" s="129">
        <v>6.5</v>
      </c>
      <c r="AA210" s="124">
        <f t="shared" si="46"/>
      </c>
      <c r="AB210" s="127">
        <f t="shared" si="596"/>
      </c>
      <c r="AC210" s="123"/>
      <c r="AD210" s="130">
        <f t="shared" si="414"/>
      </c>
      <c r="AE210" s="123">
        <f t="shared" si="854"/>
      </c>
      <c r="AF210" s="123">
        <f t="shared" si="737"/>
      </c>
      <c r="AG210" s="126">
        <v>0.15</v>
      </c>
      <c r="AH210" s="123">
        <f t="shared" si="124"/>
      </c>
      <c r="AI210" s="126">
        <v>0.02</v>
      </c>
      <c r="AJ210" s="123">
        <f t="shared" si="972"/>
      </c>
    </row>
    <row customHeight="true" ht="13.333333333333332" r="211">
      <c r="A211" s="132" t="s">
        <v>656</v>
      </c>
      <c r="B211" s="123">
        <v>9</v>
      </c>
      <c r="C211" s="123" t="s">
        <v>613</v>
      </c>
      <c r="D211" s="123" t="s">
        <v>614</v>
      </c>
      <c r="E211" s="123" t="s">
        <v>602</v>
      </c>
      <c r="F211" s="124">
        <f t="shared" si="518"/>
      </c>
      <c r="G211" s="124">
        <f t="shared" si="336"/>
      </c>
      <c r="H211" s="125">
        <f>H209*0.8</f>
      </c>
      <c r="I211" s="124">
        <f t="shared" si="639"/>
      </c>
      <c r="J211" s="123">
        <v>3.26</v>
      </c>
      <c r="K211" s="126">
        <v>0.15</v>
      </c>
      <c r="L211" s="126">
        <v>0.16</v>
      </c>
      <c r="M211" s="126">
        <v>0.05</v>
      </c>
      <c r="N211" s="123">
        <f t="shared" si="683"/>
      </c>
      <c r="O211" s="127">
        <f t="shared" si="894"/>
      </c>
      <c r="P211" s="126">
        <v>0.02</v>
      </c>
      <c r="Q211" s="124">
        <v>8</v>
      </c>
      <c r="R211" s="123">
        <v>33.5</v>
      </c>
      <c r="S211" s="123">
        <v>26.5</v>
      </c>
      <c r="T211" s="123">
        <v>25</v>
      </c>
      <c r="U211" s="123">
        <v>2.3</v>
      </c>
      <c r="V211" s="124">
        <f t="shared" si="800"/>
      </c>
      <c r="W211" s="124">
        <f t="shared" si="204"/>
      </c>
      <c r="X211" s="123" t="s">
        <v>603</v>
      </c>
      <c r="Y211" s="128">
        <v>6.084</v>
      </c>
      <c r="Z211" s="129">
        <v>6.5</v>
      </c>
      <c r="AA211" s="124">
        <f t="shared" si="46"/>
      </c>
      <c r="AB211" s="127">
        <f t="shared" si="596"/>
      </c>
      <c r="AC211" s="123"/>
      <c r="AD211" s="130">
        <f t="shared" si="414"/>
      </c>
      <c r="AE211" s="123">
        <f t="shared" si="854"/>
      </c>
      <c r="AF211" s="123">
        <f t="shared" si="737"/>
      </c>
      <c r="AG211" s="126">
        <v>0.15</v>
      </c>
      <c r="AH211" s="123">
        <f t="shared" si="124"/>
      </c>
      <c r="AI211" s="126">
        <v>0.02</v>
      </c>
      <c r="AJ211" s="123">
        <f t="shared" si="972"/>
      </c>
    </row>
    <row customHeight="true" ht="13.333333333333332" r="212">
      <c r="B212" s="123"/>
      <c r="C212" s="123"/>
      <c r="D212" s="123"/>
      <c r="E212" s="123"/>
      <c r="F212" s="124"/>
      <c r="G212" s="124"/>
      <c r="H212" s="131"/>
      <c r="I212" s="124"/>
      <c r="J212" s="123"/>
      <c r="K212" s="126"/>
      <c r="L212" s="126"/>
      <c r="M212" s="126"/>
      <c r="N212" s="126"/>
      <c r="O212" s="127"/>
      <c r="P212" s="126"/>
      <c r="Q212" s="126"/>
      <c r="R212" s="123"/>
      <c r="S212" s="123"/>
      <c r="T212" s="123"/>
      <c r="U212" s="123"/>
      <c r="V212" s="124"/>
      <c r="W212" s="124"/>
      <c r="X212" s="123"/>
      <c r="Y212" s="128"/>
      <c r="Z212" s="124"/>
      <c r="AA212" s="124"/>
      <c r="AB212" s="127"/>
      <c r="AC212" s="123"/>
      <c r="AD212" s="130"/>
      <c r="AE212" s="126"/>
      <c r="AF212" s="126"/>
      <c r="AG212" s="126"/>
      <c r="AH212" s="126"/>
      <c r="AI212" s="126"/>
      <c r="AJ212" s="126"/>
    </row>
    <row customHeight="true" ht="13.333333333333332" r="213">
      <c r="A213" s="122" t="s">
        <v>658</v>
      </c>
      <c r="B213" s="123">
        <v>8</v>
      </c>
      <c r="C213" s="123" t="s">
        <v>600</v>
      </c>
      <c r="D213" s="123" t="s">
        <v>643</v>
      </c>
      <c r="E213" s="123" t="s">
        <v>602</v>
      </c>
      <c r="F213" s="124">
        <f t="shared" ref="F213:F214" si="519">IF(E213="有",(I213/B213+J213+Z213/B213)/(0.99999-K213-L213-M213-N213),(I213/B213+J213+Z213/B213)/(0.99999-K213-M213-N213))</f>
      </c>
      <c r="G213" s="124">
        <f t="shared" ref="G213:G214" si="337">IF(E213="有",(I213/B213+J213+Z213/B213)/(0.8-K213-L213-M213-N213-O213-P213),(I213/B213+J213+Z213/B213)/(0.8-K213-M213-N213-O213-P213))</f>
      </c>
      <c r="H213" s="131">
        <v>119.99</v>
      </c>
      <c r="I213" s="124">
        <f t="shared" ref="I213:I214" si="773">260/1.13</f>
      </c>
      <c r="J213" s="123">
        <v>10.34</v>
      </c>
      <c r="K213" s="126">
        <v>0.15</v>
      </c>
      <c r="L213" s="126">
        <v>0.16</v>
      </c>
      <c r="M213" s="126">
        <v>0.05</v>
      </c>
      <c r="N213" s="123">
        <f t="shared" ref="N213:N214" si="684">Q213/H213</f>
      </c>
      <c r="O213" s="127">
        <f t="shared" ref="O213:O214" si="895">0.61/H213</f>
      </c>
      <c r="P213" s="126">
        <v>0.02</v>
      </c>
      <c r="Q213" s="124">
        <v>10</v>
      </c>
      <c r="R213" s="123">
        <v>33.5</v>
      </c>
      <c r="S213" s="123">
        <v>26.5</v>
      </c>
      <c r="T213" s="123">
        <v>25</v>
      </c>
      <c r="U213" s="123">
        <v>2.3</v>
      </c>
      <c r="V213" s="124">
        <f t="shared" ref="V213:V214" si="801">R213*S213*T213/6000</f>
      </c>
      <c r="W213" s="124">
        <f t="shared" ref="W213:W214" si="205">MAX(U213:V213)</f>
      </c>
      <c r="X213" s="123" t="s">
        <v>603</v>
      </c>
      <c r="Y213" s="128">
        <v>5.55136</v>
      </c>
      <c r="Z213" s="124">
        <v>35</v>
      </c>
      <c r="AA213" s="124">
        <f t="shared" ref="AA213:AA214" si="47">H213-SUM(K213:P213)*H213-J213-I213/B213-Z213/B213</f>
      </c>
      <c r="AB213" s="127">
        <f t="shared" ref="AB213:AB214" si="597">AA213/H213</f>
      </c>
      <c r="AC213" s="123"/>
      <c r="AD213" s="130">
        <f t="shared" ref="AD213:AD214" si="415">J213/H213</f>
      </c>
      <c r="AE213" s="123">
        <f>I213/7.4/H213</f>
      </c>
      <c r="AF213" s="123">
        <f>Z213/7.4/H213</f>
      </c>
      <c r="AG213" s="126">
        <v>0.15</v>
      </c>
      <c r="AH213" s="123">
        <f t="shared" ref="AH213:AH214" si="125">N213</f>
      </c>
      <c r="AI213" s="126">
        <v>0.02</v>
      </c>
      <c r="AJ213" s="123">
        <f t="shared" ref="AJ213:AJ214" si="973">M213</f>
      </c>
    </row>
    <row customHeight="true" ht="13.333333333333332" r="214">
      <c r="A214" s="122" t="s">
        <v>659</v>
      </c>
      <c r="B214" s="123">
        <v>8</v>
      </c>
      <c r="C214" s="123" t="s">
        <v>600</v>
      </c>
      <c r="D214" s="123" t="s">
        <v>643</v>
      </c>
      <c r="E214" s="123" t="s">
        <v>602</v>
      </c>
      <c r="F214" s="124">
        <f t="shared" si="519"/>
      </c>
      <c r="G214" s="124">
        <f t="shared" si="337"/>
      </c>
      <c r="H214" s="131">
        <f>H213*0.85</f>
      </c>
      <c r="I214" s="124">
        <f t="shared" si="773"/>
      </c>
      <c r="J214" s="123">
        <v>10.34</v>
      </c>
      <c r="K214" s="126">
        <v>0.15</v>
      </c>
      <c r="L214" s="126">
        <v>0.16</v>
      </c>
      <c r="M214" s="126">
        <v>0.05</v>
      </c>
      <c r="N214" s="123">
        <f t="shared" si="684"/>
      </c>
      <c r="O214" s="127">
        <f t="shared" si="895"/>
      </c>
      <c r="P214" s="126">
        <v>0.02</v>
      </c>
      <c r="Q214" s="124">
        <v>10</v>
      </c>
      <c r="R214" s="123">
        <v>33.5</v>
      </c>
      <c r="S214" s="123">
        <v>26.5</v>
      </c>
      <c r="T214" s="123">
        <v>25</v>
      </c>
      <c r="U214" s="123">
        <v>2.3</v>
      </c>
      <c r="V214" s="124">
        <f t="shared" si="801"/>
      </c>
      <c r="W214" s="124">
        <f t="shared" si="205"/>
      </c>
      <c r="X214" s="123" t="s">
        <v>603</v>
      </c>
      <c r="Y214" s="128">
        <v>5.55136</v>
      </c>
      <c r="Z214" s="124">
        <v>35</v>
      </c>
      <c r="AA214" s="124">
        <f t="shared" si="47"/>
      </c>
      <c r="AB214" s="127">
        <f t="shared" si="597"/>
      </c>
      <c r="AC214" s="123"/>
      <c r="AD214" s="130">
        <f t="shared" si="415"/>
      </c>
      <c r="AE214" s="123">
        <f>I214/B214/H214</f>
      </c>
      <c r="AF214" s="123">
        <f>Z214/B214/H214</f>
      </c>
      <c r="AG214" s="123">
        <f>K214</f>
      </c>
      <c r="AH214" s="123">
        <f t="shared" si="125"/>
      </c>
      <c r="AI214" s="126">
        <v>0.02</v>
      </c>
      <c r="AJ214" s="123">
        <f t="shared" si="973"/>
      </c>
    </row>
    <row customHeight="true" ht="13.333333333333332" r="215">
      <c r="B215" s="123"/>
      <c r="C215" s="123"/>
      <c r="D215" s="123"/>
      <c r="E215" s="123"/>
      <c r="F215" s="124"/>
      <c r="G215" s="124"/>
      <c r="H215" s="131"/>
      <c r="I215" s="124"/>
      <c r="J215" s="123"/>
      <c r="K215" s="126"/>
      <c r="L215" s="126"/>
      <c r="M215" s="126"/>
      <c r="N215" s="126"/>
      <c r="O215" s="127"/>
      <c r="P215" s="126"/>
      <c r="Q215" s="124"/>
      <c r="R215" s="123"/>
      <c r="S215" s="123"/>
      <c r="T215" s="123"/>
      <c r="U215" s="123"/>
      <c r="V215" s="124"/>
      <c r="W215" s="124"/>
      <c r="X215" s="123"/>
      <c r="Y215" s="128"/>
      <c r="Z215" s="124"/>
      <c r="AA215" s="124"/>
      <c r="AB215" s="127"/>
      <c r="AC215" s="123"/>
      <c r="AD215" s="130"/>
      <c r="AE215" s="126"/>
      <c r="AF215" s="126"/>
      <c r="AG215" s="126"/>
      <c r="AH215" s="126"/>
      <c r="AI215" s="126"/>
      <c r="AJ215" s="126"/>
    </row>
    <row customHeight="true" ht="13.333333333333332" r="216">
      <c r="A216" s="122" t="s">
        <v>658</v>
      </c>
      <c r="B216" s="123">
        <v>8</v>
      </c>
      <c r="C216" s="123" t="s">
        <v>600</v>
      </c>
      <c r="D216" s="123" t="s">
        <v>601</v>
      </c>
      <c r="E216" s="123" t="s">
        <v>602</v>
      </c>
      <c r="F216" s="124">
        <f t="shared" ref="F216:F217" si="520">IF(E216="有",(I216/B216+J216+Z216/B216)/(0.99999-K216-L216-M216-N216),(I216/B216+J216+Z216/B216)/(0.99999-K216-M216-N216))</f>
      </c>
      <c r="G216" s="124">
        <f t="shared" ref="G216:G217" si="338">IF(E216="有",(I216/B216+J216+Z216/B216)/(0.8-K216-L216-M216-N216-O216-P216),(I216/B216+J216+Z216/B216)/(0.8-K216-M216-N216-O216-P216))</f>
      </c>
      <c r="H216" s="131">
        <v>129</v>
      </c>
      <c r="I216" s="124">
        <f t="shared" ref="I216:I217" si="774">260/1.13</f>
      </c>
      <c r="J216" s="123">
        <v>5.97</v>
      </c>
      <c r="K216" s="126">
        <v>0.15</v>
      </c>
      <c r="L216" s="126">
        <v>0.16</v>
      </c>
      <c r="M216" s="126">
        <v>0.05</v>
      </c>
      <c r="N216" s="123">
        <f t="shared" ref="N216:N217" si="685">Q216/H216</f>
      </c>
      <c r="O216" s="127">
        <f t="shared" ref="O216:O217" si="896">0.61/H216</f>
      </c>
      <c r="P216" s="126">
        <v>0.02</v>
      </c>
      <c r="Q216" s="124">
        <v>10</v>
      </c>
      <c r="R216" s="123">
        <v>33.5</v>
      </c>
      <c r="S216" s="123">
        <v>26.5</v>
      </c>
      <c r="T216" s="123">
        <v>25</v>
      </c>
      <c r="U216" s="123">
        <v>2.3</v>
      </c>
      <c r="V216" s="124">
        <f t="shared" ref="V216:V217" si="802">R216*S216*T216/6000</f>
      </c>
      <c r="W216" s="124">
        <f t="shared" ref="W216:W217" si="206">MAX(U216:V216)</f>
      </c>
      <c r="X216" s="123" t="s">
        <v>603</v>
      </c>
      <c r="Y216" s="128">
        <v>5.55136</v>
      </c>
      <c r="Z216" s="124">
        <v>30</v>
      </c>
      <c r="AA216" s="124">
        <f t="shared" ref="AA216:AA217" si="48">H216-SUM(K216:P216)*H216-J216-I216/B216-Z216/B216</f>
      </c>
      <c r="AB216" s="127">
        <f t="shared" ref="AB216:AB217" si="598">AA216/H216</f>
      </c>
      <c r="AC216" s="123"/>
      <c r="AD216" s="130">
        <f t="shared" ref="AD216:AD217" si="416">J216/H216</f>
      </c>
      <c r="AE216" s="123">
        <f>I216/7.4/H216</f>
      </c>
      <c r="AF216" s="123">
        <f>Z216/7.4/H216</f>
      </c>
      <c r="AG216" s="126">
        <v>0.15</v>
      </c>
      <c r="AH216" s="123">
        <f t="shared" ref="AH216:AH217" si="126">N216</f>
      </c>
      <c r="AI216" s="126">
        <v>0.02</v>
      </c>
      <c r="AJ216" s="123">
        <f t="shared" ref="AJ216:AJ217" si="974">M216</f>
      </c>
    </row>
    <row customHeight="true" ht="13.333333333333332" r="217">
      <c r="A217" s="122" t="s">
        <v>659</v>
      </c>
      <c r="B217" s="123">
        <v>8</v>
      </c>
      <c r="C217" s="123" t="s">
        <v>600</v>
      </c>
      <c r="D217" s="123" t="s">
        <v>601</v>
      </c>
      <c r="E217" s="123" t="s">
        <v>602</v>
      </c>
      <c r="F217" s="124">
        <f t="shared" si="520"/>
      </c>
      <c r="G217" s="124">
        <f t="shared" si="338"/>
      </c>
      <c r="H217" s="131">
        <f>H216*0.85</f>
      </c>
      <c r="I217" s="124">
        <f t="shared" si="774"/>
      </c>
      <c r="J217" s="123">
        <v>5.97</v>
      </c>
      <c r="K217" s="126">
        <v>0.15</v>
      </c>
      <c r="L217" s="126">
        <v>0.16</v>
      </c>
      <c r="M217" s="126">
        <v>0.05</v>
      </c>
      <c r="N217" s="123">
        <f t="shared" si="685"/>
      </c>
      <c r="O217" s="127">
        <f t="shared" si="896"/>
      </c>
      <c r="P217" s="126">
        <v>0.02</v>
      </c>
      <c r="Q217" s="124">
        <v>10</v>
      </c>
      <c r="R217" s="123">
        <v>33.5</v>
      </c>
      <c r="S217" s="123">
        <v>26.5</v>
      </c>
      <c r="T217" s="123">
        <v>25</v>
      </c>
      <c r="U217" s="123">
        <v>2.3</v>
      </c>
      <c r="V217" s="124">
        <f t="shared" si="802"/>
      </c>
      <c r="W217" s="124">
        <f t="shared" si="206"/>
      </c>
      <c r="X217" s="123" t="s">
        <v>603</v>
      </c>
      <c r="Y217" s="128">
        <v>5.55136</v>
      </c>
      <c r="Z217" s="124">
        <v>30</v>
      </c>
      <c r="AA217" s="124">
        <f t="shared" si="48"/>
      </c>
      <c r="AB217" s="127">
        <f t="shared" si="598"/>
      </c>
      <c r="AC217" s="123"/>
      <c r="AD217" s="130">
        <f t="shared" si="416"/>
      </c>
      <c r="AE217" s="123">
        <f>I217/B217/H217</f>
      </c>
      <c r="AF217" s="123">
        <f>Z217/B217/H217</f>
      </c>
      <c r="AG217" s="123">
        <f>K217</f>
      </c>
      <c r="AH217" s="123">
        <f t="shared" si="126"/>
      </c>
      <c r="AI217" s="126">
        <v>0.02</v>
      </c>
      <c r="AJ217" s="123">
        <f t="shared" si="974"/>
      </c>
    </row>
    <row customHeight="true" ht="13.333333333333332" r="218">
      <c r="A218" s="132"/>
      <c r="B218" s="123"/>
      <c r="C218" s="123"/>
      <c r="D218" s="123"/>
      <c r="E218" s="123"/>
      <c r="F218" s="124"/>
      <c r="G218" s="124"/>
      <c r="H218" s="131"/>
      <c r="I218" s="124"/>
      <c r="J218" s="123"/>
      <c r="K218" s="126"/>
      <c r="L218" s="126"/>
      <c r="M218" s="126"/>
      <c r="N218" s="126"/>
      <c r="O218" s="127"/>
      <c r="P218" s="126"/>
      <c r="Q218" s="124"/>
      <c r="R218" s="123"/>
      <c r="S218" s="123"/>
      <c r="T218" s="123"/>
      <c r="U218" s="123"/>
      <c r="V218" s="124"/>
      <c r="W218" s="124"/>
      <c r="X218" s="123"/>
      <c r="Y218" s="128"/>
      <c r="Z218" s="123"/>
      <c r="AA218" s="124"/>
      <c r="AB218" s="127"/>
      <c r="AC218" s="123"/>
      <c r="AD218" s="130"/>
      <c r="AE218" s="126"/>
      <c r="AF218" s="126"/>
      <c r="AG218" s="126"/>
      <c r="AH218" s="126"/>
      <c r="AI218" s="126"/>
      <c r="AJ218" s="126"/>
    </row>
    <row customHeight="true" ht="13.333333333333332" r="219">
      <c r="A219" s="122" t="s">
        <v>658</v>
      </c>
      <c r="B219" s="123">
        <v>8</v>
      </c>
      <c r="C219" s="123" t="s">
        <v>606</v>
      </c>
      <c r="D219" s="123" t="s">
        <v>607</v>
      </c>
      <c r="E219" s="123" t="s">
        <v>602</v>
      </c>
      <c r="F219" s="124">
        <f t="shared" ref="F219:F220" si="521">IF(E219="有",(I219/B219+J219+Z219/B219)/(0.99999-K219-L219-M219-N219),(I219/B219+J219+Z219/B219)/(0.99999-K219-M219-N219))</f>
      </c>
      <c r="G219" s="124">
        <f t="shared" ref="G219:G220" si="339">IF(E219="有",(I219/B219+J219+Z219/B219)/(0.8-K219-L219-M219-N219-O219-P219),(I219/B219+J219+Z219/B219)/(0.8-K219-M219-N219-O219-P219))</f>
      </c>
      <c r="H219" s="131">
        <v>129</v>
      </c>
      <c r="I219" s="124">
        <f t="shared" ref="I219:I220" si="775">260/1.13</f>
      </c>
      <c r="J219" s="123">
        <v>9.67</v>
      </c>
      <c r="K219" s="126">
        <v>0.15</v>
      </c>
      <c r="L219" s="126">
        <v>0.16</v>
      </c>
      <c r="M219" s="126">
        <v>0.05</v>
      </c>
      <c r="N219" s="123">
        <f t="shared" ref="N219:N220" si="686">Q219/H219</f>
      </c>
      <c r="O219" s="127">
        <f t="shared" ref="O219:O220" si="897">0.61/H219</f>
      </c>
      <c r="P219" s="126">
        <v>0.02</v>
      </c>
      <c r="Q219" s="124">
        <v>10</v>
      </c>
      <c r="R219" s="123">
        <v>33.5</v>
      </c>
      <c r="S219" s="123">
        <v>26.5</v>
      </c>
      <c r="T219" s="123">
        <v>25</v>
      </c>
      <c r="U219" s="123">
        <v>2.3</v>
      </c>
      <c r="V219" s="124">
        <f t="shared" ref="V219:V220" si="803">R219*S219*T219/6000</f>
      </c>
      <c r="W219" s="124">
        <f t="shared" ref="W219:W220" si="207">MAX(U219:V219)</f>
      </c>
      <c r="X219" s="123" t="s">
        <v>603</v>
      </c>
      <c r="Y219" s="128">
        <v>5.55136</v>
      </c>
      <c r="Z219" s="124">
        <v>30</v>
      </c>
      <c r="AA219" s="124">
        <f t="shared" ref="AA219:AA220" si="49">H219-SUM(K219:P219)*H219-J219-I219/B219-Z219/B219</f>
      </c>
      <c r="AB219" s="127">
        <f t="shared" ref="AB219:AB220" si="599">AA219/H219</f>
      </c>
      <c r="AC219" s="123"/>
      <c r="AD219" s="130">
        <f t="shared" ref="AD219:AD220" si="417">J219/H219</f>
      </c>
      <c r="AE219" s="123">
        <f t="shared" ref="AE219:AE220" si="855">I219/7.4/H219</f>
      </c>
      <c r="AF219" s="123">
        <f t="shared" ref="AF219:AF220" si="738">Z219/7.4/H219</f>
      </c>
      <c r="AG219" s="126">
        <v>0.15</v>
      </c>
      <c r="AH219" s="123">
        <f t="shared" ref="AH219:AH220" si="127">N219</f>
      </c>
      <c r="AI219" s="126">
        <v>0.02</v>
      </c>
      <c r="AJ219" s="123">
        <f t="shared" ref="AJ219:AJ220" si="975">M219</f>
      </c>
    </row>
    <row customHeight="true" ht="13.333333333333332" r="220">
      <c r="A220" s="122" t="s">
        <v>659</v>
      </c>
      <c r="B220" s="123">
        <v>8</v>
      </c>
      <c r="C220" s="123" t="s">
        <v>606</v>
      </c>
      <c r="D220" s="123" t="s">
        <v>607</v>
      </c>
      <c r="E220" s="123" t="s">
        <v>602</v>
      </c>
      <c r="F220" s="124">
        <f t="shared" si="521"/>
      </c>
      <c r="G220" s="124">
        <f t="shared" si="339"/>
      </c>
      <c r="H220" s="131">
        <f>H219*0.85</f>
      </c>
      <c r="I220" s="124">
        <f t="shared" si="775"/>
      </c>
      <c r="J220" s="123">
        <v>9.67</v>
      </c>
      <c r="K220" s="126">
        <v>0.15</v>
      </c>
      <c r="L220" s="126">
        <v>0.16</v>
      </c>
      <c r="M220" s="126">
        <v>0.05</v>
      </c>
      <c r="N220" s="123">
        <f t="shared" si="686"/>
      </c>
      <c r="O220" s="127">
        <f t="shared" si="897"/>
      </c>
      <c r="P220" s="126">
        <v>0.02</v>
      </c>
      <c r="Q220" s="124">
        <v>10</v>
      </c>
      <c r="R220" s="123">
        <v>33.5</v>
      </c>
      <c r="S220" s="123">
        <v>26.5</v>
      </c>
      <c r="T220" s="123">
        <v>25</v>
      </c>
      <c r="U220" s="123">
        <v>2.3</v>
      </c>
      <c r="V220" s="124">
        <f t="shared" si="803"/>
      </c>
      <c r="W220" s="124">
        <f t="shared" si="207"/>
      </c>
      <c r="X220" s="123" t="s">
        <v>603</v>
      </c>
      <c r="Y220" s="128">
        <v>5.55136</v>
      </c>
      <c r="Z220" s="124">
        <v>30</v>
      </c>
      <c r="AA220" s="124">
        <f t="shared" si="49"/>
      </c>
      <c r="AB220" s="127">
        <f t="shared" si="599"/>
      </c>
      <c r="AC220" s="123"/>
      <c r="AD220" s="130">
        <f t="shared" si="417"/>
      </c>
      <c r="AE220" s="123">
        <f t="shared" si="855"/>
      </c>
      <c r="AF220" s="123">
        <f t="shared" si="738"/>
      </c>
      <c r="AG220" s="126">
        <v>0.15</v>
      </c>
      <c r="AH220" s="123">
        <f t="shared" si="127"/>
      </c>
      <c r="AI220" s="126">
        <v>0.02</v>
      </c>
      <c r="AJ220" s="123">
        <f t="shared" si="975"/>
      </c>
    </row>
    <row customHeight="true" ht="13.333333333333332" r="221">
      <c r="A221" s="132"/>
      <c r="B221" s="123"/>
      <c r="C221" s="123"/>
      <c r="D221" s="123"/>
      <c r="E221" s="123"/>
      <c r="F221" s="124"/>
      <c r="G221" s="124"/>
      <c r="H221" s="131"/>
      <c r="I221" s="124"/>
      <c r="J221" s="123"/>
      <c r="K221" s="126"/>
      <c r="L221" s="126"/>
      <c r="M221" s="126"/>
      <c r="N221" s="126"/>
      <c r="O221" s="127"/>
      <c r="P221" s="126"/>
      <c r="Q221" s="126"/>
      <c r="R221" s="123"/>
      <c r="S221" s="123"/>
      <c r="T221" s="123"/>
      <c r="U221" s="123"/>
      <c r="V221" s="124"/>
      <c r="W221" s="124"/>
      <c r="X221" s="123"/>
      <c r="Y221" s="128"/>
      <c r="Z221" s="123"/>
      <c r="AA221" s="124"/>
      <c r="AB221" s="127"/>
      <c r="AC221" s="123"/>
      <c r="AD221" s="130"/>
      <c r="AE221" s="126"/>
      <c r="AF221" s="126"/>
      <c r="AG221" s="126"/>
      <c r="AH221" s="126"/>
      <c r="AI221" s="126"/>
      <c r="AJ221" s="126"/>
    </row>
    <row customHeight="true" ht="13.333333333333332" r="222">
      <c r="A222" s="122" t="s">
        <v>658</v>
      </c>
      <c r="B222" s="123">
        <v>8</v>
      </c>
      <c r="C222" s="123" t="s">
        <v>608</v>
      </c>
      <c r="D222" s="123" t="s">
        <v>609</v>
      </c>
      <c r="E222" s="123" t="s">
        <v>602</v>
      </c>
      <c r="F222" s="124">
        <f t="shared" ref="F222:F223" si="522">IF(E222="有",(I222/B222+J222+Z222/B222)/(0.99999-K222-L222-M222-N222),(I222/B222+J222+Z222/B222)/(0.99999-K222-M222-N222))</f>
      </c>
      <c r="G222" s="124">
        <f t="shared" ref="G222:G223" si="340">IF(E222="有",(I222/B222+J222+Z222/B222)/(0.8-K222-L222-M222-N222-O222-P222),(I222/B222+J222+Z222/B222)/(0.8-K222-M222-N222-O222-P222))</f>
      </c>
      <c r="H222" s="131">
        <v>129</v>
      </c>
      <c r="I222" s="124">
        <f t="shared" ref="I222:I223" si="776">260/1.13</f>
      </c>
      <c r="J222" s="123">
        <v>7.25</v>
      </c>
      <c r="K222" s="126">
        <v>0.15</v>
      </c>
      <c r="L222" s="126">
        <v>0.16</v>
      </c>
      <c r="M222" s="126">
        <v>0.05</v>
      </c>
      <c r="N222" s="123">
        <f t="shared" ref="N222:N223" si="687">Q222/H222</f>
      </c>
      <c r="O222" s="127">
        <f t="shared" ref="O222:O223" si="898">0.61/H222</f>
      </c>
      <c r="P222" s="126">
        <v>0.02</v>
      </c>
      <c r="Q222" s="124">
        <v>10</v>
      </c>
      <c r="R222" s="123">
        <v>33.5</v>
      </c>
      <c r="S222" s="123">
        <v>26.5</v>
      </c>
      <c r="T222" s="123">
        <v>25</v>
      </c>
      <c r="U222" s="123">
        <v>2.3</v>
      </c>
      <c r="V222" s="124">
        <f t="shared" ref="V222:V223" si="804">R222*S222*T222/6000</f>
      </c>
      <c r="W222" s="124">
        <f t="shared" ref="W222:W223" si="208">MAX(U222:V222)</f>
      </c>
      <c r="X222" s="123" t="s">
        <v>603</v>
      </c>
      <c r="Y222" s="128">
        <v>5.55136</v>
      </c>
      <c r="Z222" s="124">
        <v>30</v>
      </c>
      <c r="AA222" s="124">
        <f t="shared" ref="AA222:AA223" si="50">H222-SUM(K222:P222)*H222-J222-I222/B222-Z222/B222</f>
      </c>
      <c r="AB222" s="127">
        <f t="shared" ref="AB222:AB223" si="600">AA222/H222</f>
      </c>
      <c r="AC222" s="123"/>
      <c r="AD222" s="130">
        <f t="shared" ref="AD222:AD223" si="418">J222/H222</f>
      </c>
      <c r="AE222" s="123">
        <f t="shared" ref="AE222:AE223" si="856">I222/7.4/H222</f>
      </c>
      <c r="AF222" s="123">
        <f t="shared" ref="AF222:AF223" si="739">Z222/7.4/H222</f>
      </c>
      <c r="AG222" s="126">
        <v>0.15</v>
      </c>
      <c r="AH222" s="123">
        <f t="shared" ref="AH222:AH223" si="128">N222</f>
      </c>
      <c r="AI222" s="126">
        <v>0.02</v>
      </c>
      <c r="AJ222" s="123">
        <f t="shared" ref="AJ222:AJ223" si="976">M222</f>
      </c>
    </row>
    <row customHeight="true" ht="13.333333333333332" r="223">
      <c r="A223" s="122" t="s">
        <v>659</v>
      </c>
      <c r="B223" s="123">
        <v>8</v>
      </c>
      <c r="C223" s="123" t="s">
        <v>608</v>
      </c>
      <c r="D223" s="123" t="s">
        <v>609</v>
      </c>
      <c r="E223" s="123" t="s">
        <v>602</v>
      </c>
      <c r="F223" s="124">
        <f t="shared" si="522"/>
      </c>
      <c r="G223" s="124">
        <f t="shared" si="340"/>
      </c>
      <c r="H223" s="131">
        <f>H222*0.85</f>
      </c>
      <c r="I223" s="124">
        <f t="shared" si="776"/>
      </c>
      <c r="J223" s="123">
        <v>7.25</v>
      </c>
      <c r="K223" s="126">
        <v>0.15</v>
      </c>
      <c r="L223" s="126">
        <v>0.16</v>
      </c>
      <c r="M223" s="126">
        <v>0.05</v>
      </c>
      <c r="N223" s="123">
        <f t="shared" si="687"/>
      </c>
      <c r="O223" s="127">
        <f t="shared" si="898"/>
      </c>
      <c r="P223" s="126">
        <v>0.02</v>
      </c>
      <c r="Q223" s="124">
        <v>10</v>
      </c>
      <c r="R223" s="123">
        <v>33.5</v>
      </c>
      <c r="S223" s="123">
        <v>26.5</v>
      </c>
      <c r="T223" s="123">
        <v>25</v>
      </c>
      <c r="U223" s="123">
        <v>2.3</v>
      </c>
      <c r="V223" s="124">
        <f t="shared" si="804"/>
      </c>
      <c r="W223" s="124">
        <f t="shared" si="208"/>
      </c>
      <c r="X223" s="123" t="s">
        <v>603</v>
      </c>
      <c r="Y223" s="128">
        <v>5.55136</v>
      </c>
      <c r="Z223" s="124">
        <v>30</v>
      </c>
      <c r="AA223" s="124">
        <f t="shared" si="50"/>
      </c>
      <c r="AB223" s="127">
        <f t="shared" si="600"/>
      </c>
      <c r="AC223" s="123"/>
      <c r="AD223" s="130">
        <f t="shared" si="418"/>
      </c>
      <c r="AE223" s="123">
        <f t="shared" si="856"/>
      </c>
      <c r="AF223" s="123">
        <f t="shared" si="739"/>
      </c>
      <c r="AG223" s="126">
        <v>0.15</v>
      </c>
      <c r="AH223" s="123">
        <f t="shared" si="128"/>
      </c>
      <c r="AI223" s="126">
        <v>0.02</v>
      </c>
      <c r="AJ223" s="123">
        <f t="shared" si="976"/>
      </c>
    </row>
    <row customHeight="true" ht="13.333333333333332" r="224">
      <c r="A224" s="132"/>
      <c r="B224" s="123"/>
      <c r="C224" s="123"/>
      <c r="D224" s="123"/>
      <c r="E224" s="123"/>
      <c r="F224" s="124"/>
      <c r="G224" s="124"/>
      <c r="H224" s="131"/>
      <c r="I224" s="124"/>
      <c r="J224" s="123"/>
      <c r="K224" s="126"/>
      <c r="L224" s="126"/>
      <c r="M224" s="126"/>
      <c r="N224" s="126"/>
      <c r="O224" s="127"/>
      <c r="P224" s="126"/>
      <c r="Q224" s="126"/>
      <c r="R224" s="123"/>
      <c r="S224" s="123"/>
      <c r="T224" s="123"/>
      <c r="U224" s="123"/>
      <c r="V224" s="124"/>
      <c r="W224" s="124"/>
      <c r="X224" s="123"/>
      <c r="Y224" s="128"/>
      <c r="Z224" s="123"/>
      <c r="AA224" s="124"/>
      <c r="AB224" s="127"/>
      <c r="AC224" s="123"/>
      <c r="AD224" s="130"/>
      <c r="AE224" s="126"/>
      <c r="AF224" s="126"/>
      <c r="AG224" s="126"/>
      <c r="AH224" s="126"/>
      <c r="AI224" s="126"/>
      <c r="AJ224" s="126"/>
    </row>
    <row customHeight="true" ht="13.333333333333332" r="225">
      <c r="A225" s="122" t="s">
        <v>658</v>
      </c>
      <c r="B225" s="123">
        <v>8</v>
      </c>
      <c r="C225" s="123" t="s">
        <v>611</v>
      </c>
      <c r="D225" s="123" t="s">
        <v>612</v>
      </c>
      <c r="E225" s="123" t="s">
        <v>602</v>
      </c>
      <c r="F225" s="124">
        <f t="shared" ref="F225:F226" si="523">IF(E225="有",(I225/B225+J225+Z225/B225)/(0.99999-K225-L225-M225-N225),(I225/B225+J225+Z225/B225)/(0.99999-K225-M225-N225))</f>
      </c>
      <c r="G225" s="124">
        <f t="shared" ref="G225:G226" si="341">IF(E225="有",(I225/B225+J225+Z225/B225)/(0.8-K225-L225-M225-N225-O225-P225),(I225/B225+J225+Z225/B225)/(0.8-K225-M225-N225-O225-P225))</f>
      </c>
      <c r="H225" s="131">
        <v>129</v>
      </c>
      <c r="I225" s="124">
        <f t="shared" ref="I225:I226" si="777">260/1.13</f>
      </c>
      <c r="J225" s="123">
        <v>7.02</v>
      </c>
      <c r="K225" s="126">
        <v>0.15</v>
      </c>
      <c r="L225" s="126">
        <v>0.16</v>
      </c>
      <c r="M225" s="126">
        <v>0.05</v>
      </c>
      <c r="N225" s="123">
        <f t="shared" ref="N225:N226" si="688">Q225/H225</f>
      </c>
      <c r="O225" s="127">
        <f t="shared" ref="O225:O226" si="899">0.61/H225</f>
      </c>
      <c r="P225" s="126">
        <v>0.02</v>
      </c>
      <c r="Q225" s="124">
        <v>10</v>
      </c>
      <c r="R225" s="123">
        <v>33.5</v>
      </c>
      <c r="S225" s="123">
        <v>26.5</v>
      </c>
      <c r="T225" s="123">
        <v>25</v>
      </c>
      <c r="U225" s="123">
        <v>2.3</v>
      </c>
      <c r="V225" s="124">
        <f t="shared" ref="V225:V226" si="805">R225*S225*T225/6000</f>
      </c>
      <c r="W225" s="124">
        <f t="shared" ref="W225:W226" si="209">MAX(U225:V225)</f>
      </c>
      <c r="X225" s="123" t="s">
        <v>603</v>
      </c>
      <c r="Y225" s="128">
        <v>5.55136</v>
      </c>
      <c r="Z225" s="124">
        <v>30</v>
      </c>
      <c r="AA225" s="124">
        <f t="shared" ref="AA225:AA226" si="51">H225-SUM(K225:P225)*H225-J225-I225/B225-Z225/B225</f>
      </c>
      <c r="AB225" s="127">
        <f t="shared" ref="AB225:AB226" si="601">AA225/H225</f>
      </c>
      <c r="AC225" s="123"/>
      <c r="AD225" s="130">
        <f t="shared" ref="AD225:AD226" si="419">J225/H225</f>
      </c>
      <c r="AE225" s="123">
        <f t="shared" ref="AE225:AE226" si="857">I225/7.4/H225</f>
      </c>
      <c r="AF225" s="123">
        <f t="shared" ref="AF225:AF226" si="740">Z225/7.4/H225</f>
      </c>
      <c r="AG225" s="126">
        <v>0.15</v>
      </c>
      <c r="AH225" s="123">
        <f t="shared" ref="AH225:AH226" si="129">N225</f>
      </c>
      <c r="AI225" s="126">
        <v>0.02</v>
      </c>
      <c r="AJ225" s="123">
        <f t="shared" ref="AJ225:AJ226" si="977">M225</f>
      </c>
    </row>
    <row customHeight="true" ht="13.333333333333332" r="226">
      <c r="A226" s="122" t="s">
        <v>659</v>
      </c>
      <c r="B226" s="123">
        <v>8</v>
      </c>
      <c r="C226" s="123" t="s">
        <v>611</v>
      </c>
      <c r="D226" s="123" t="s">
        <v>612</v>
      </c>
      <c r="E226" s="123" t="s">
        <v>602</v>
      </c>
      <c r="F226" s="124">
        <f t="shared" si="523"/>
      </c>
      <c r="G226" s="124">
        <f t="shared" si="341"/>
      </c>
      <c r="H226" s="131">
        <f>H225*0.85</f>
      </c>
      <c r="I226" s="124">
        <f t="shared" si="777"/>
      </c>
      <c r="J226" s="123">
        <v>7.02</v>
      </c>
      <c r="K226" s="126">
        <v>0.15</v>
      </c>
      <c r="L226" s="126">
        <v>0.16</v>
      </c>
      <c r="M226" s="126">
        <v>0.05</v>
      </c>
      <c r="N226" s="123">
        <f t="shared" si="688"/>
      </c>
      <c r="O226" s="127">
        <f t="shared" si="899"/>
      </c>
      <c r="P226" s="126">
        <v>0.02</v>
      </c>
      <c r="Q226" s="124">
        <v>10</v>
      </c>
      <c r="R226" s="123">
        <v>33.5</v>
      </c>
      <c r="S226" s="123">
        <v>26.5</v>
      </c>
      <c r="T226" s="123">
        <v>25</v>
      </c>
      <c r="U226" s="123">
        <v>2.3</v>
      </c>
      <c r="V226" s="124">
        <f t="shared" si="805"/>
      </c>
      <c r="W226" s="124">
        <f t="shared" si="209"/>
      </c>
      <c r="X226" s="123" t="s">
        <v>603</v>
      </c>
      <c r="Y226" s="128">
        <v>5.55136</v>
      </c>
      <c r="Z226" s="124">
        <v>30</v>
      </c>
      <c r="AA226" s="124">
        <f t="shared" si="51"/>
      </c>
      <c r="AB226" s="127">
        <f t="shared" si="601"/>
      </c>
      <c r="AC226" s="123"/>
      <c r="AD226" s="130">
        <f t="shared" si="419"/>
      </c>
      <c r="AE226" s="123">
        <f t="shared" si="857"/>
      </c>
      <c r="AF226" s="123">
        <f t="shared" si="740"/>
      </c>
      <c r="AG226" s="126">
        <v>0.15</v>
      </c>
      <c r="AH226" s="123">
        <f t="shared" si="129"/>
      </c>
      <c r="AI226" s="126">
        <v>0.02</v>
      </c>
      <c r="AJ226" s="123">
        <f t="shared" si="977"/>
      </c>
    </row>
    <row customHeight="true" ht="13.333333333333332" r="227">
      <c r="A227" s="132"/>
      <c r="B227" s="123"/>
      <c r="C227" s="123"/>
      <c r="D227" s="123"/>
      <c r="E227" s="123"/>
      <c r="F227" s="124"/>
      <c r="G227" s="124"/>
      <c r="H227" s="131"/>
      <c r="I227" s="124"/>
      <c r="J227" s="123"/>
      <c r="K227" s="126"/>
      <c r="L227" s="126"/>
      <c r="M227" s="126"/>
      <c r="N227" s="126"/>
      <c r="O227" s="127"/>
      <c r="P227" s="126"/>
      <c r="Q227" s="126"/>
      <c r="R227" s="123"/>
      <c r="S227" s="123"/>
      <c r="T227" s="123"/>
      <c r="U227" s="123"/>
      <c r="V227" s="124"/>
      <c r="W227" s="124"/>
      <c r="X227" s="123"/>
      <c r="Y227" s="128"/>
      <c r="Z227" s="123"/>
      <c r="AA227" s="124"/>
      <c r="AB227" s="127"/>
      <c r="AC227" s="123"/>
      <c r="AD227" s="130"/>
      <c r="AE227" s="126"/>
      <c r="AF227" s="126"/>
      <c r="AG227" s="126"/>
      <c r="AH227" s="126"/>
      <c r="AI227" s="126"/>
      <c r="AJ227" s="126"/>
    </row>
    <row customHeight="true" ht="13.333333333333332" r="228">
      <c r="A228" s="122" t="s">
        <v>658</v>
      </c>
      <c r="B228" s="123">
        <v>9</v>
      </c>
      <c r="C228" s="123" t="s">
        <v>613</v>
      </c>
      <c r="D228" s="123" t="s">
        <v>614</v>
      </c>
      <c r="E228" s="123" t="s">
        <v>602</v>
      </c>
      <c r="F228" s="124">
        <f t="shared" ref="F228:F229" si="524">IF(E228="有",(I228/B228+J228+Z228/B228)/(0.99999-K228-L228-M228-N228),(I228/B228+J228+Z228/B228)/(0.99999-K228-M228-N228))</f>
      </c>
      <c r="G228" s="124">
        <f t="shared" ref="G228:G229" si="342">IF(E228="有",(I228/B228+J228+Z228/B228)/(0.8-K228-L228-M228-N228-O228-P228),(I228/B228+J228+Z228/B228)/(0.8-K228-M228-N228-O228-P228))</f>
      </c>
      <c r="H228" s="131">
        <v>119.99</v>
      </c>
      <c r="I228" s="124">
        <f t="shared" ref="I228:I229" si="778">260/1.13</f>
      </c>
      <c r="J228" s="123">
        <v>5.34</v>
      </c>
      <c r="K228" s="126">
        <v>0.15</v>
      </c>
      <c r="L228" s="126">
        <v>0.16</v>
      </c>
      <c r="M228" s="126">
        <v>0.05</v>
      </c>
      <c r="N228" s="123">
        <f t="shared" ref="N228:N229" si="689">Q228/H228</f>
      </c>
      <c r="O228" s="127">
        <f t="shared" ref="O228:O229" si="900">0.61/H228</f>
      </c>
      <c r="P228" s="126">
        <v>0.02</v>
      </c>
      <c r="Q228" s="124">
        <v>10</v>
      </c>
      <c r="R228" s="123">
        <v>33.5</v>
      </c>
      <c r="S228" s="123">
        <v>26.5</v>
      </c>
      <c r="T228" s="123">
        <v>25</v>
      </c>
      <c r="U228" s="123">
        <v>2.3</v>
      </c>
      <c r="V228" s="124">
        <f t="shared" ref="V228:V229" si="806">R228*S228*T228/6000</f>
      </c>
      <c r="W228" s="124">
        <f t="shared" ref="W228:W229" si="210">MAX(U228:V228)</f>
      </c>
      <c r="X228" s="123" t="s">
        <v>603</v>
      </c>
      <c r="Y228" s="128">
        <v>6.084</v>
      </c>
      <c r="Z228" s="124">
        <v>25</v>
      </c>
      <c r="AA228" s="124">
        <f t="shared" ref="AA228:AA229" si="52">H228-SUM(K228:P228)*H228-J228-I228/B228-Z228/B228</f>
      </c>
      <c r="AB228" s="127">
        <f t="shared" ref="AB228:AB229" si="602">AA228/H228</f>
      </c>
      <c r="AC228" s="123"/>
      <c r="AD228" s="130">
        <f t="shared" ref="AD228:AD229" si="420">J228/H228</f>
      </c>
      <c r="AE228" s="123">
        <f t="shared" ref="AE228:AE229" si="858">I228/7.4/H228</f>
      </c>
      <c r="AF228" s="123">
        <f t="shared" ref="AF228:AF229" si="741">Z228/7.4/H228</f>
      </c>
      <c r="AG228" s="126">
        <v>0.15</v>
      </c>
      <c r="AH228" s="123">
        <f t="shared" ref="AH228:AH229" si="130">N228</f>
      </c>
      <c r="AI228" s="126">
        <v>0.02</v>
      </c>
      <c r="AJ228" s="123">
        <f t="shared" ref="AJ228:AJ229" si="978">M228</f>
      </c>
    </row>
    <row customHeight="true" ht="13.333333333333332" r="229">
      <c r="A229" s="122" t="s">
        <v>659</v>
      </c>
      <c r="B229" s="123">
        <v>9</v>
      </c>
      <c r="C229" s="123" t="s">
        <v>613</v>
      </c>
      <c r="D229" s="123" t="s">
        <v>614</v>
      </c>
      <c r="E229" s="123" t="s">
        <v>602</v>
      </c>
      <c r="F229" s="124">
        <f t="shared" si="524"/>
      </c>
      <c r="G229" s="124">
        <f t="shared" si="342"/>
      </c>
      <c r="H229" s="131">
        <f>H228*0.85</f>
      </c>
      <c r="I229" s="124">
        <f t="shared" si="778"/>
      </c>
      <c r="J229" s="123">
        <v>5.34</v>
      </c>
      <c r="K229" s="126">
        <v>0.15</v>
      </c>
      <c r="L229" s="126">
        <v>0.16</v>
      </c>
      <c r="M229" s="126">
        <v>0.05</v>
      </c>
      <c r="N229" s="123">
        <f t="shared" si="689"/>
      </c>
      <c r="O229" s="127">
        <f t="shared" si="900"/>
      </c>
      <c r="P229" s="126">
        <v>0.02</v>
      </c>
      <c r="Q229" s="124">
        <v>10</v>
      </c>
      <c r="R229" s="123">
        <v>33.5</v>
      </c>
      <c r="S229" s="123">
        <v>26.5</v>
      </c>
      <c r="T229" s="123">
        <v>25</v>
      </c>
      <c r="U229" s="123">
        <v>2.3</v>
      </c>
      <c r="V229" s="124">
        <f t="shared" si="806"/>
      </c>
      <c r="W229" s="124">
        <f t="shared" si="210"/>
      </c>
      <c r="X229" s="123" t="s">
        <v>603</v>
      </c>
      <c r="Y229" s="128">
        <v>6.084</v>
      </c>
      <c r="Z229" s="124">
        <v>25</v>
      </c>
      <c r="AA229" s="124">
        <f t="shared" si="52"/>
      </c>
      <c r="AB229" s="127">
        <f t="shared" si="602"/>
      </c>
      <c r="AC229" s="123"/>
      <c r="AD229" s="130">
        <f t="shared" si="420"/>
      </c>
      <c r="AE229" s="123">
        <f t="shared" si="858"/>
      </c>
      <c r="AF229" s="123">
        <f t="shared" si="741"/>
      </c>
      <c r="AG229" s="126">
        <v>0.15</v>
      </c>
      <c r="AH229" s="123">
        <f t="shared" si="130"/>
      </c>
      <c r="AI229" s="126">
        <v>0.02</v>
      </c>
      <c r="AJ229" s="123">
        <f t="shared" si="978"/>
      </c>
    </row>
    <row customHeight="true" ht="13.333333333333332" r="230">
      <c r="A230" s="132"/>
      <c r="B230" s="123"/>
      <c r="C230" s="123"/>
      <c r="D230" s="123"/>
      <c r="E230" s="123"/>
      <c r="F230" s="124"/>
      <c r="G230" s="124"/>
      <c r="H230" s="131"/>
      <c r="I230" s="124"/>
      <c r="J230" s="123"/>
      <c r="K230" s="126"/>
      <c r="L230" s="126"/>
      <c r="M230" s="126"/>
      <c r="N230" s="126"/>
      <c r="O230" s="127"/>
      <c r="P230" s="126"/>
      <c r="Q230" s="126"/>
      <c r="R230" s="123"/>
      <c r="S230" s="123"/>
      <c r="T230" s="123"/>
      <c r="U230" s="123"/>
      <c r="V230" s="124"/>
      <c r="W230" s="124"/>
      <c r="X230" s="123"/>
      <c r="Y230" s="128"/>
      <c r="Z230" s="124"/>
      <c r="AA230" s="124"/>
      <c r="AB230" s="127"/>
      <c r="AC230" s="123"/>
      <c r="AD230" s="130"/>
      <c r="AE230" s="126"/>
      <c r="AF230" s="126"/>
      <c r="AG230" s="126"/>
      <c r="AH230" s="126"/>
      <c r="AI230" s="126"/>
      <c r="AJ230" s="126"/>
    </row>
    <row customHeight="true" ht="13.333333333333332" r="231">
      <c r="A231" s="142" t="s">
        <v>660</v>
      </c>
      <c r="B231" s="123">
        <v>8</v>
      </c>
      <c r="C231" s="123" t="s">
        <v>600</v>
      </c>
      <c r="D231" s="123" t="s">
        <v>601</v>
      </c>
      <c r="E231" s="123" t="s">
        <v>602</v>
      </c>
      <c r="F231" s="124">
        <f t="shared" ref="F231:F232" si="525">IF(E231="有",(I231/B231+J231+Z231/B231)/(0.99999-K231-L231-M231-N231),(I231/B231+J231+Z231/B231)/(0.99999-K231-M231-N231))</f>
      </c>
      <c r="G231" s="124">
        <f t="shared" ref="G231:G232" si="343">IF(E231="有",(I231/B231+J231+Z231/B231)/(0.8-K231-L231-M231-N231-O231-P231),(I231/B231+J231+Z231/B231)/(0.8-K231-M231-N231-O231-P231))</f>
      </c>
      <c r="H231" s="131">
        <v>49.99</v>
      </c>
      <c r="I231" s="124">
        <f t="shared" ref="I231:I232" si="174">90/1.13</f>
      </c>
      <c r="J231" s="123">
        <v>3.16</v>
      </c>
      <c r="K231" s="126">
        <v>0.15</v>
      </c>
      <c r="L231" s="126">
        <v>0.16</v>
      </c>
      <c r="M231" s="126">
        <v>0.05</v>
      </c>
      <c r="N231" s="123">
        <f t="shared" ref="N231:N232" si="690">Q231/H231</f>
      </c>
      <c r="O231" s="127">
        <f t="shared" ref="O231:O232" si="901">0.61/H231</f>
      </c>
      <c r="P231" s="126">
        <v>0.02</v>
      </c>
      <c r="Q231" s="124">
        <v>6</v>
      </c>
      <c r="R231" s="123">
        <v>33.5</v>
      </c>
      <c r="S231" s="123">
        <v>26.5</v>
      </c>
      <c r="T231" s="123">
        <v>25</v>
      </c>
      <c r="U231" s="123">
        <v>2.3</v>
      </c>
      <c r="V231" s="124">
        <f t="shared" ref="V231:V232" si="807">R231*S231*T231/6000</f>
      </c>
      <c r="W231" s="124">
        <f t="shared" ref="W231:W232" si="211">MAX(U231:V231)</f>
      </c>
      <c r="X231" s="123" t="s">
        <v>603</v>
      </c>
      <c r="Y231" s="128">
        <v>5.55136</v>
      </c>
      <c r="Z231" s="124">
        <v>10</v>
      </c>
      <c r="AA231" s="124">
        <f t="shared" ref="AA231:AA232" si="53">H231-SUM(K231:P231)*H231-J231-I231/B231-Z231/B231</f>
      </c>
      <c r="AB231" s="127">
        <f t="shared" ref="AB231:AB232" si="603">AA231/H231</f>
      </c>
      <c r="AC231" s="123"/>
      <c r="AD231" s="130">
        <f t="shared" ref="AD231:AD232" si="421">J231/H231</f>
      </c>
      <c r="AE231" s="123">
        <f>I231/7.4/H231</f>
      </c>
      <c r="AF231" s="123">
        <f>Z231/7.4/H231</f>
      </c>
      <c r="AG231" s="126">
        <v>0.15</v>
      </c>
      <c r="AH231" s="123">
        <f t="shared" ref="AH231:AH232" si="131">N231</f>
      </c>
      <c r="AI231" s="126">
        <v>0.02</v>
      </c>
      <c r="AJ231" s="123">
        <f t="shared" ref="AJ231:AJ232" si="979">M231</f>
      </c>
    </row>
    <row customHeight="true" ht="13.333333333333332" r="232">
      <c r="A232" s="142" t="s">
        <v>661</v>
      </c>
      <c r="B232" s="123">
        <v>8</v>
      </c>
      <c r="C232" s="123" t="s">
        <v>600</v>
      </c>
      <c r="D232" s="123" t="s">
        <v>601</v>
      </c>
      <c r="E232" s="123" t="s">
        <v>602</v>
      </c>
      <c r="F232" s="124">
        <f t="shared" si="525"/>
      </c>
      <c r="G232" s="124">
        <f t="shared" si="343"/>
      </c>
      <c r="H232" s="131">
        <f>H231*0.85</f>
      </c>
      <c r="I232" s="124">
        <f t="shared" si="174"/>
      </c>
      <c r="J232" s="123">
        <v>3.16</v>
      </c>
      <c r="K232" s="126">
        <v>0.15</v>
      </c>
      <c r="L232" s="126">
        <v>0.16</v>
      </c>
      <c r="M232" s="126">
        <v>0.05</v>
      </c>
      <c r="N232" s="123">
        <f t="shared" si="690"/>
      </c>
      <c r="O232" s="127">
        <f t="shared" si="901"/>
      </c>
      <c r="P232" s="126">
        <v>0.02</v>
      </c>
      <c r="Q232" s="124">
        <v>6</v>
      </c>
      <c r="R232" s="123">
        <v>33.5</v>
      </c>
      <c r="S232" s="123">
        <v>26.5</v>
      </c>
      <c r="T232" s="123">
        <v>25</v>
      </c>
      <c r="U232" s="123">
        <v>2.3</v>
      </c>
      <c r="V232" s="124">
        <f t="shared" si="807"/>
      </c>
      <c r="W232" s="124">
        <f t="shared" si="211"/>
      </c>
      <c r="X232" s="123" t="s">
        <v>603</v>
      </c>
      <c r="Y232" s="128">
        <v>5.55136</v>
      </c>
      <c r="Z232" s="124">
        <v>10</v>
      </c>
      <c r="AA232" s="124">
        <f t="shared" si="53"/>
      </c>
      <c r="AB232" s="127">
        <f t="shared" si="603"/>
      </c>
      <c r="AC232" s="123"/>
      <c r="AD232" s="130">
        <f t="shared" si="421"/>
      </c>
      <c r="AE232" s="123">
        <f>I232/B232/H232</f>
      </c>
      <c r="AF232" s="123">
        <f>Z232/B232/H232</f>
      </c>
      <c r="AG232" s="123">
        <f>K232</f>
      </c>
      <c r="AH232" s="123">
        <f t="shared" si="131"/>
      </c>
      <c r="AI232" s="126">
        <v>0.02</v>
      </c>
      <c r="AJ232" s="123">
        <f t="shared" si="979"/>
      </c>
    </row>
    <row customHeight="true" ht="13.333333333333332" r="233">
      <c r="A233" s="132"/>
      <c r="B233" s="123"/>
      <c r="C233" s="123"/>
      <c r="D233" s="123"/>
      <c r="E233" s="123"/>
      <c r="F233" s="124"/>
      <c r="G233" s="124"/>
      <c r="H233" s="131"/>
      <c r="I233" s="124"/>
      <c r="J233" s="123"/>
      <c r="K233" s="126"/>
      <c r="L233" s="126"/>
      <c r="M233" s="126"/>
      <c r="N233" s="126"/>
      <c r="O233" s="127"/>
      <c r="P233" s="126"/>
      <c r="Q233" s="124"/>
      <c r="R233" s="123"/>
      <c r="S233" s="123"/>
      <c r="T233" s="123"/>
      <c r="U233" s="123"/>
      <c r="V233" s="124"/>
      <c r="W233" s="124"/>
      <c r="X233" s="123"/>
      <c r="Y233" s="128"/>
      <c r="Z233" s="123"/>
      <c r="AA233" s="124"/>
      <c r="AB233" s="127"/>
      <c r="AC233" s="123"/>
      <c r="AD233" s="130"/>
      <c r="AE233" s="126"/>
      <c r="AF233" s="126"/>
      <c r="AG233" s="126"/>
      <c r="AH233" s="126"/>
      <c r="AI233" s="126"/>
      <c r="AJ233" s="126"/>
    </row>
    <row customHeight="true" ht="13.333333333333332" r="234">
      <c r="A234" s="142" t="s">
        <v>660</v>
      </c>
      <c r="B234" s="123">
        <v>8</v>
      </c>
      <c r="C234" s="123" t="s">
        <v>606</v>
      </c>
      <c r="D234" s="123" t="s">
        <v>607</v>
      </c>
      <c r="E234" s="123" t="s">
        <v>602</v>
      </c>
      <c r="F234" s="124">
        <f t="shared" ref="F234:F235" si="526">IF(E234="有",(I234/B234+J234+Z234/B234)/(0.99999-K234-L234-M234-N234),(I234/B234+J234+Z234/B234)/(0.99999-K234-M234-N234))</f>
      </c>
      <c r="G234" s="124">
        <f t="shared" ref="G234:G235" si="344">IF(E234="有",(I234/B234+J234+Z234/B234)/(0.8-K234-L234-M234-N234-O234-P234),(I234/B234+J234+Z234/B234)/(0.8-K234-M234-N234-O234-P234))</f>
      </c>
      <c r="H234" s="131">
        <v>49.99</v>
      </c>
      <c r="I234" s="124">
        <f t="shared" ref="I234:I235" si="175">90/1.13</f>
      </c>
      <c r="J234" s="123">
        <v>4.72</v>
      </c>
      <c r="K234" s="126">
        <v>0.15</v>
      </c>
      <c r="L234" s="126">
        <v>0.16</v>
      </c>
      <c r="M234" s="126">
        <v>0.05</v>
      </c>
      <c r="N234" s="123">
        <f t="shared" ref="N234:N235" si="691">Q234/H234</f>
      </c>
      <c r="O234" s="127">
        <f t="shared" ref="O234:O235" si="902">0.61/H234</f>
      </c>
      <c r="P234" s="126">
        <v>0.02</v>
      </c>
      <c r="Q234" s="124">
        <v>6</v>
      </c>
      <c r="R234" s="123">
        <v>33.5</v>
      </c>
      <c r="S234" s="123">
        <v>26.5</v>
      </c>
      <c r="T234" s="123">
        <v>25</v>
      </c>
      <c r="U234" s="123">
        <v>2.3</v>
      </c>
      <c r="V234" s="124">
        <f t="shared" ref="V234:V235" si="808">R234*S234*T234/6000</f>
      </c>
      <c r="W234" s="124">
        <f t="shared" ref="W234:W235" si="212">MAX(U234:V234)</f>
      </c>
      <c r="X234" s="123" t="s">
        <v>603</v>
      </c>
      <c r="Y234" s="128">
        <v>5.55136</v>
      </c>
      <c r="Z234" s="124">
        <v>10</v>
      </c>
      <c r="AA234" s="124">
        <f t="shared" ref="AA234:AA235" si="54">H234-SUM(K234:P234)*H234-J234-I234/B234-Z234/B234</f>
      </c>
      <c r="AB234" s="127">
        <f t="shared" ref="AB234:AB235" si="604">AA234/H234</f>
      </c>
      <c r="AC234" s="123"/>
      <c r="AD234" s="130">
        <f t="shared" ref="AD234:AD235" si="422">J234/H234</f>
      </c>
      <c r="AE234" s="123">
        <f t="shared" ref="AE234:AE235" si="859">I234/7.4/H234</f>
      </c>
      <c r="AF234" s="123">
        <f t="shared" ref="AF234:AF235" si="742">Z234/7.4/H234</f>
      </c>
      <c r="AG234" s="126">
        <v>0.15</v>
      </c>
      <c r="AH234" s="123">
        <f t="shared" ref="AH234:AH235" si="132">N234</f>
      </c>
      <c r="AI234" s="126">
        <v>0.02</v>
      </c>
      <c r="AJ234" s="123">
        <f t="shared" ref="AJ234:AJ235" si="980">M234</f>
      </c>
    </row>
    <row customHeight="true" ht="13.333333333333332" r="235">
      <c r="A235" s="142" t="s">
        <v>661</v>
      </c>
      <c r="B235" s="123">
        <v>8</v>
      </c>
      <c r="C235" s="123" t="s">
        <v>606</v>
      </c>
      <c r="D235" s="123" t="s">
        <v>607</v>
      </c>
      <c r="E235" s="123" t="s">
        <v>602</v>
      </c>
      <c r="F235" s="124">
        <f t="shared" si="526"/>
      </c>
      <c r="G235" s="124">
        <f t="shared" si="344"/>
      </c>
      <c r="H235" s="131">
        <f>H234*0.85</f>
      </c>
      <c r="I235" s="124">
        <f t="shared" si="175"/>
      </c>
      <c r="J235" s="123">
        <v>4.72</v>
      </c>
      <c r="K235" s="126">
        <v>0.15</v>
      </c>
      <c r="L235" s="126">
        <v>0.16</v>
      </c>
      <c r="M235" s="126">
        <v>0.05</v>
      </c>
      <c r="N235" s="123">
        <f t="shared" si="691"/>
      </c>
      <c r="O235" s="127">
        <f t="shared" si="902"/>
      </c>
      <c r="P235" s="126">
        <v>0.02</v>
      </c>
      <c r="Q235" s="124">
        <v>6</v>
      </c>
      <c r="R235" s="123">
        <v>33.5</v>
      </c>
      <c r="S235" s="123">
        <v>26.5</v>
      </c>
      <c r="T235" s="123">
        <v>25</v>
      </c>
      <c r="U235" s="123">
        <v>2.3</v>
      </c>
      <c r="V235" s="124">
        <f t="shared" si="808"/>
      </c>
      <c r="W235" s="124">
        <f t="shared" si="212"/>
      </c>
      <c r="X235" s="123" t="s">
        <v>603</v>
      </c>
      <c r="Y235" s="128">
        <v>5.55136</v>
      </c>
      <c r="Z235" s="124">
        <v>10</v>
      </c>
      <c r="AA235" s="124">
        <f t="shared" si="54"/>
      </c>
      <c r="AB235" s="127">
        <f t="shared" si="604"/>
      </c>
      <c r="AC235" s="123"/>
      <c r="AD235" s="130">
        <f t="shared" si="422"/>
      </c>
      <c r="AE235" s="123">
        <f t="shared" si="859"/>
      </c>
      <c r="AF235" s="123">
        <f t="shared" si="742"/>
      </c>
      <c r="AG235" s="126">
        <v>0.15</v>
      </c>
      <c r="AH235" s="123">
        <f t="shared" si="132"/>
      </c>
      <c r="AI235" s="126">
        <v>0.02</v>
      </c>
      <c r="AJ235" s="123">
        <f t="shared" si="980"/>
      </c>
    </row>
    <row customHeight="true" ht="13.333333333333332" r="236">
      <c r="A236" s="132"/>
      <c r="B236" s="123"/>
      <c r="C236" s="123"/>
      <c r="D236" s="123"/>
      <c r="E236" s="123"/>
      <c r="F236" s="124"/>
      <c r="G236" s="124"/>
      <c r="H236" s="131"/>
      <c r="I236" s="124"/>
      <c r="J236" s="123"/>
      <c r="K236" s="126"/>
      <c r="L236" s="126"/>
      <c r="M236" s="126"/>
      <c r="N236" s="126"/>
      <c r="O236" s="127"/>
      <c r="P236" s="126"/>
      <c r="Q236" s="126"/>
      <c r="R236" s="123"/>
      <c r="S236" s="123"/>
      <c r="T236" s="123"/>
      <c r="U236" s="123"/>
      <c r="V236" s="124"/>
      <c r="W236" s="124"/>
      <c r="X236" s="123"/>
      <c r="Y236" s="128"/>
      <c r="Z236" s="123"/>
      <c r="AA236" s="124"/>
      <c r="AB236" s="127"/>
      <c r="AC236" s="123"/>
      <c r="AD236" s="130"/>
      <c r="AE236" s="126"/>
      <c r="AF236" s="126"/>
      <c r="AG236" s="126"/>
      <c r="AH236" s="126"/>
      <c r="AI236" s="126"/>
      <c r="AJ236" s="126"/>
    </row>
    <row customHeight="true" ht="13.333333333333332" r="237">
      <c r="A237" s="142" t="s">
        <v>660</v>
      </c>
      <c r="B237" s="123">
        <v>8</v>
      </c>
      <c r="C237" s="123" t="s">
        <v>608</v>
      </c>
      <c r="D237" s="123" t="s">
        <v>609</v>
      </c>
      <c r="E237" s="123" t="s">
        <v>602</v>
      </c>
      <c r="F237" s="124">
        <f t="shared" ref="F237:F238" si="527">IF(E237="有",(I237/B237+J237+Z237/B237)/(0.99999-K237-L237-M237-N237),(I237/B237+J237+Z237/B237)/(0.99999-K237-M237-N237))</f>
      </c>
      <c r="G237" s="124">
        <f t="shared" ref="G237:G238" si="345">IF(E237="有",(I237/B237+J237+Z237/B237)/(0.8-K237-L237-M237-N237-O237-P237),(I237/B237+J237+Z237/B237)/(0.8-K237-M237-N237-O237-P237))</f>
      </c>
      <c r="H237" s="131">
        <v>49.99</v>
      </c>
      <c r="I237" s="124">
        <f t="shared" ref="I237:I238" si="176">90/1.13</f>
      </c>
      <c r="J237" s="123">
        <v>4.17</v>
      </c>
      <c r="K237" s="126">
        <v>0.15</v>
      </c>
      <c r="L237" s="126">
        <v>0.16</v>
      </c>
      <c r="M237" s="126">
        <v>0.05</v>
      </c>
      <c r="N237" s="123">
        <f t="shared" ref="N237:N238" si="692">Q237/H237</f>
      </c>
      <c r="O237" s="127">
        <f t="shared" ref="O237:O238" si="903">0.61/H237</f>
      </c>
      <c r="P237" s="126">
        <v>0.02</v>
      </c>
      <c r="Q237" s="124">
        <v>6</v>
      </c>
      <c r="R237" s="123">
        <v>33.5</v>
      </c>
      <c r="S237" s="123">
        <v>26.5</v>
      </c>
      <c r="T237" s="123">
        <v>25</v>
      </c>
      <c r="U237" s="123">
        <v>2.3</v>
      </c>
      <c r="V237" s="124">
        <f t="shared" ref="V237:V238" si="809">R237*S237*T237/6000</f>
      </c>
      <c r="W237" s="124">
        <f t="shared" ref="W237:W238" si="213">MAX(U237:V237)</f>
      </c>
      <c r="X237" s="123" t="s">
        <v>603</v>
      </c>
      <c r="Y237" s="128">
        <v>5.55136</v>
      </c>
      <c r="Z237" s="124">
        <v>10</v>
      </c>
      <c r="AA237" s="124">
        <f t="shared" ref="AA237:AA238" si="55">H237-SUM(K237:P237)*H237-J237-I237/B237-Z237/B237</f>
      </c>
      <c r="AB237" s="127">
        <f t="shared" ref="AB237:AB238" si="605">AA237/H237</f>
      </c>
      <c r="AC237" s="123"/>
      <c r="AD237" s="130">
        <f t="shared" ref="AD237:AD238" si="423">J237/H237</f>
      </c>
      <c r="AE237" s="123">
        <f t="shared" ref="AE237:AE238" si="860">I237/7.4/H237</f>
      </c>
      <c r="AF237" s="123">
        <f t="shared" ref="AF237:AF238" si="743">Z237/7.4/H237</f>
      </c>
      <c r="AG237" s="126">
        <v>0.15</v>
      </c>
      <c r="AH237" s="123">
        <f t="shared" ref="AH237:AH238" si="133">N237</f>
      </c>
      <c r="AI237" s="126">
        <v>0.02</v>
      </c>
      <c r="AJ237" s="123">
        <f t="shared" ref="AJ237:AJ238" si="981">M237</f>
      </c>
    </row>
    <row customHeight="true" ht="13.333333333333332" r="238">
      <c r="A238" s="142" t="s">
        <v>661</v>
      </c>
      <c r="B238" s="123">
        <v>8</v>
      </c>
      <c r="C238" s="123" t="s">
        <v>608</v>
      </c>
      <c r="D238" s="123" t="s">
        <v>609</v>
      </c>
      <c r="E238" s="123" t="s">
        <v>602</v>
      </c>
      <c r="F238" s="124">
        <f t="shared" si="527"/>
      </c>
      <c r="G238" s="124">
        <f t="shared" si="345"/>
      </c>
      <c r="H238" s="131">
        <f>H237*0.85</f>
      </c>
      <c r="I238" s="124">
        <f t="shared" si="176"/>
      </c>
      <c r="J238" s="123">
        <v>4.17</v>
      </c>
      <c r="K238" s="126">
        <v>0.15</v>
      </c>
      <c r="L238" s="126">
        <v>0.16</v>
      </c>
      <c r="M238" s="126">
        <v>0.05</v>
      </c>
      <c r="N238" s="123">
        <f t="shared" si="692"/>
      </c>
      <c r="O238" s="127">
        <f t="shared" si="903"/>
      </c>
      <c r="P238" s="126">
        <v>0.02</v>
      </c>
      <c r="Q238" s="124">
        <v>6</v>
      </c>
      <c r="R238" s="123">
        <v>33.5</v>
      </c>
      <c r="S238" s="123">
        <v>26.5</v>
      </c>
      <c r="T238" s="123">
        <v>25</v>
      </c>
      <c r="U238" s="123">
        <v>2.3</v>
      </c>
      <c r="V238" s="124">
        <f t="shared" si="809"/>
      </c>
      <c r="W238" s="124">
        <f t="shared" si="213"/>
      </c>
      <c r="X238" s="123" t="s">
        <v>603</v>
      </c>
      <c r="Y238" s="128">
        <v>5.55136</v>
      </c>
      <c r="Z238" s="124">
        <v>10</v>
      </c>
      <c r="AA238" s="124">
        <f t="shared" si="55"/>
      </c>
      <c r="AB238" s="127">
        <f t="shared" si="605"/>
      </c>
      <c r="AC238" s="123"/>
      <c r="AD238" s="130">
        <f t="shared" si="423"/>
      </c>
      <c r="AE238" s="123">
        <f t="shared" si="860"/>
      </c>
      <c r="AF238" s="123">
        <f t="shared" si="743"/>
      </c>
      <c r="AG238" s="126">
        <v>0.15</v>
      </c>
      <c r="AH238" s="123">
        <f t="shared" si="133"/>
      </c>
      <c r="AI238" s="126">
        <v>0.02</v>
      </c>
      <c r="AJ238" s="123">
        <f t="shared" si="981"/>
      </c>
    </row>
    <row customHeight="true" ht="13.333333333333332" r="239">
      <c r="A239" s="132"/>
      <c r="B239" s="123"/>
      <c r="C239" s="123"/>
      <c r="D239" s="123"/>
      <c r="E239" s="123"/>
      <c r="F239" s="124"/>
      <c r="G239" s="124"/>
      <c r="H239" s="131"/>
      <c r="I239" s="124"/>
      <c r="J239" s="123"/>
      <c r="K239" s="126"/>
      <c r="L239" s="126"/>
      <c r="M239" s="126"/>
      <c r="N239" s="126"/>
      <c r="O239" s="127"/>
      <c r="P239" s="126"/>
      <c r="Q239" s="126"/>
      <c r="R239" s="123"/>
      <c r="S239" s="123"/>
      <c r="T239" s="123"/>
      <c r="U239" s="123"/>
      <c r="V239" s="124"/>
      <c r="W239" s="124"/>
      <c r="X239" s="123"/>
      <c r="Y239" s="128"/>
      <c r="Z239" s="123"/>
      <c r="AA239" s="124"/>
      <c r="AB239" s="127"/>
      <c r="AC239" s="123"/>
      <c r="AD239" s="130"/>
      <c r="AE239" s="126"/>
      <c r="AF239" s="126"/>
      <c r="AG239" s="126"/>
      <c r="AH239" s="126"/>
      <c r="AI239" s="126"/>
      <c r="AJ239" s="126"/>
    </row>
    <row customHeight="true" ht="13.333333333333332" r="240">
      <c r="A240" s="142" t="s">
        <v>660</v>
      </c>
      <c r="B240" s="123">
        <v>8</v>
      </c>
      <c r="C240" s="123" t="s">
        <v>611</v>
      </c>
      <c r="D240" s="123" t="s">
        <v>612</v>
      </c>
      <c r="E240" s="123" t="s">
        <v>602</v>
      </c>
      <c r="F240" s="124">
        <f t="shared" ref="F240:F241" si="528">IF(E240="有",(I240/B240+J240+Z240/B240)/(0.99999-K240-L240-M240-N240),(I240/B240+J240+Z240/B240)/(0.99999-K240-M240-N240))</f>
      </c>
      <c r="G240" s="124">
        <f t="shared" ref="G240:G241" si="346">IF(E240="有",(I240/B240+J240+Z240/B240)/(0.8-K240-L240-M240-N240-O240-P240),(I240/B240+J240+Z240/B240)/(0.8-K240-M240-N240-O240-P240))</f>
      </c>
      <c r="H240" s="131">
        <v>49.99</v>
      </c>
      <c r="I240" s="124">
        <f t="shared" ref="I240:I241" si="177">90/1.13</f>
      </c>
      <c r="J240" s="123">
        <v>3.85</v>
      </c>
      <c r="K240" s="126">
        <v>0.15</v>
      </c>
      <c r="L240" s="126">
        <v>0.16</v>
      </c>
      <c r="M240" s="126">
        <v>0.05</v>
      </c>
      <c r="N240" s="123">
        <f t="shared" ref="N240:N241" si="693">Q240/H240</f>
      </c>
      <c r="O240" s="127">
        <f t="shared" ref="O240:O241" si="904">0.61/H240</f>
      </c>
      <c r="P240" s="126">
        <v>0.02</v>
      </c>
      <c r="Q240" s="124">
        <v>6</v>
      </c>
      <c r="R240" s="123">
        <v>33.5</v>
      </c>
      <c r="S240" s="123">
        <v>26.5</v>
      </c>
      <c r="T240" s="123">
        <v>25</v>
      </c>
      <c r="U240" s="123">
        <v>2.3</v>
      </c>
      <c r="V240" s="124">
        <f t="shared" ref="V240:V241" si="810">R240*S240*T240/6000</f>
      </c>
      <c r="W240" s="124">
        <f t="shared" ref="W240:W241" si="214">MAX(U240:V240)</f>
      </c>
      <c r="X240" s="123" t="s">
        <v>603</v>
      </c>
      <c r="Y240" s="128">
        <v>5.55136</v>
      </c>
      <c r="Z240" s="124">
        <v>10</v>
      </c>
      <c r="AA240" s="124">
        <f t="shared" ref="AA240:AA241" si="56">H240-SUM(K240:P240)*H240-J240-I240/B240-Z240/B240</f>
      </c>
      <c r="AB240" s="127">
        <f t="shared" ref="AB240:AB241" si="606">AA240/H240</f>
      </c>
      <c r="AC240" s="123"/>
      <c r="AD240" s="130">
        <f t="shared" ref="AD240:AD241" si="424">J240/H240</f>
      </c>
      <c r="AE240" s="123">
        <f t="shared" ref="AE240:AE241" si="861">I240/7.4/H240</f>
      </c>
      <c r="AF240" s="123">
        <f t="shared" ref="AF240:AF241" si="744">Z240/7.4/H240</f>
      </c>
      <c r="AG240" s="126">
        <v>0.15</v>
      </c>
      <c r="AH240" s="123">
        <f t="shared" ref="AH240:AH241" si="134">N240</f>
      </c>
      <c r="AI240" s="126">
        <v>0.02</v>
      </c>
      <c r="AJ240" s="123">
        <f t="shared" ref="AJ240:AJ241" si="982">M240</f>
      </c>
    </row>
    <row customHeight="true" ht="13.333333333333332" r="241">
      <c r="A241" s="142" t="s">
        <v>661</v>
      </c>
      <c r="B241" s="123">
        <v>8</v>
      </c>
      <c r="C241" s="123" t="s">
        <v>611</v>
      </c>
      <c r="D241" s="123" t="s">
        <v>612</v>
      </c>
      <c r="E241" s="123" t="s">
        <v>602</v>
      </c>
      <c r="F241" s="124">
        <f t="shared" si="528"/>
      </c>
      <c r="G241" s="124">
        <f t="shared" si="346"/>
      </c>
      <c r="H241" s="131">
        <f>H240*0.85</f>
      </c>
      <c r="I241" s="124">
        <f t="shared" si="177"/>
      </c>
      <c r="J241" s="123">
        <v>3.85</v>
      </c>
      <c r="K241" s="126">
        <v>0.15</v>
      </c>
      <c r="L241" s="126">
        <v>0.16</v>
      </c>
      <c r="M241" s="126">
        <v>0.05</v>
      </c>
      <c r="N241" s="123">
        <f t="shared" si="693"/>
      </c>
      <c r="O241" s="127">
        <f t="shared" si="904"/>
      </c>
      <c r="P241" s="126">
        <v>0.02</v>
      </c>
      <c r="Q241" s="124">
        <v>6</v>
      </c>
      <c r="R241" s="123">
        <v>33.5</v>
      </c>
      <c r="S241" s="123">
        <v>26.5</v>
      </c>
      <c r="T241" s="123">
        <v>25</v>
      </c>
      <c r="U241" s="123">
        <v>2.3</v>
      </c>
      <c r="V241" s="124">
        <f t="shared" si="810"/>
      </c>
      <c r="W241" s="124">
        <f t="shared" si="214"/>
      </c>
      <c r="X241" s="123" t="s">
        <v>603</v>
      </c>
      <c r="Y241" s="128">
        <v>5.55136</v>
      </c>
      <c r="Z241" s="124">
        <v>10</v>
      </c>
      <c r="AA241" s="124">
        <f t="shared" si="56"/>
      </c>
      <c r="AB241" s="127">
        <f t="shared" si="606"/>
      </c>
      <c r="AC241" s="123"/>
      <c r="AD241" s="130">
        <f t="shared" si="424"/>
      </c>
      <c r="AE241" s="123">
        <f t="shared" si="861"/>
      </c>
      <c r="AF241" s="123">
        <f t="shared" si="744"/>
      </c>
      <c r="AG241" s="126">
        <v>0.15</v>
      </c>
      <c r="AH241" s="123">
        <f t="shared" si="134"/>
      </c>
      <c r="AI241" s="126">
        <v>0.02</v>
      </c>
      <c r="AJ241" s="123">
        <f t="shared" si="982"/>
      </c>
    </row>
    <row customHeight="true" ht="13.333333333333332" r="242">
      <c r="A242" s="132"/>
      <c r="B242" s="123"/>
      <c r="C242" s="123"/>
      <c r="D242" s="123"/>
      <c r="E242" s="123"/>
      <c r="F242" s="124"/>
      <c r="G242" s="124"/>
      <c r="H242" s="131"/>
      <c r="I242" s="124"/>
      <c r="J242" s="123"/>
      <c r="K242" s="126"/>
      <c r="L242" s="126"/>
      <c r="M242" s="126"/>
      <c r="N242" s="126"/>
      <c r="O242" s="127"/>
      <c r="P242" s="126"/>
      <c r="Q242" s="126"/>
      <c r="R242" s="123"/>
      <c r="S242" s="123"/>
      <c r="T242" s="123"/>
      <c r="U242" s="123"/>
      <c r="V242" s="124"/>
      <c r="W242" s="124"/>
      <c r="X242" s="123"/>
      <c r="Y242" s="128"/>
      <c r="Z242" s="123"/>
      <c r="AA242" s="124"/>
      <c r="AB242" s="127"/>
      <c r="AC242" s="123"/>
      <c r="AD242" s="130"/>
      <c r="AE242" s="126"/>
      <c r="AF242" s="126"/>
      <c r="AG242" s="126"/>
      <c r="AH242" s="126"/>
      <c r="AI242" s="126"/>
      <c r="AJ242" s="126"/>
    </row>
    <row customHeight="true" ht="13.333333333333332" r="243">
      <c r="A243" s="142" t="s">
        <v>660</v>
      </c>
      <c r="B243" s="123">
        <v>9</v>
      </c>
      <c r="C243" s="123" t="s">
        <v>613</v>
      </c>
      <c r="D243" s="123" t="s">
        <v>614</v>
      </c>
      <c r="E243" s="123" t="s">
        <v>602</v>
      </c>
      <c r="F243" s="124">
        <f t="shared" ref="F243:F244" si="529">IF(E243="有",(I243/B243+J243+Z243/B243)/(0.99999-K243-L243-M243-N243),(I243/B243+J243+Z243/B243)/(0.99999-K243-M243-N243))</f>
      </c>
      <c r="G243" s="124">
        <f t="shared" ref="G243:G244" si="347">IF(E243="有",(I243/B243+J243+Z243/B243)/(0.8-K243-L243-M243-N243-O243-P243),(I243/B243+J243+Z243/B243)/(0.8-K243-M243-N243-O243-P243))</f>
      </c>
      <c r="H243" s="131">
        <v>44.99</v>
      </c>
      <c r="I243" s="124">
        <f t="shared" ref="I243:I244" si="178">90/1.13</f>
      </c>
      <c r="J243" s="123">
        <v>2.94</v>
      </c>
      <c r="K243" s="126">
        <v>0.15</v>
      </c>
      <c r="L243" s="126">
        <v>0.16</v>
      </c>
      <c r="M243" s="126">
        <v>0.05</v>
      </c>
      <c r="N243" s="123">
        <f t="shared" ref="N243:N244" si="694">Q243/H243</f>
      </c>
      <c r="O243" s="127">
        <f t="shared" ref="O243:O244" si="905">0.61/H243</f>
      </c>
      <c r="P243" s="126">
        <v>0.02</v>
      </c>
      <c r="Q243" s="124">
        <v>6</v>
      </c>
      <c r="R243" s="123">
        <v>33.5</v>
      </c>
      <c r="S243" s="123">
        <v>26.5</v>
      </c>
      <c r="T243" s="123">
        <v>25</v>
      </c>
      <c r="U243" s="123">
        <v>2.3</v>
      </c>
      <c r="V243" s="124">
        <f t="shared" ref="V243:V244" si="811">R243*S243*T243/6000</f>
      </c>
      <c r="W243" s="124">
        <f t="shared" ref="W243:W244" si="215">MAX(U243:V243)</f>
      </c>
      <c r="X243" s="123" t="s">
        <v>603</v>
      </c>
      <c r="Y243" s="128">
        <v>6.084</v>
      </c>
      <c r="Z243" s="124">
        <v>10</v>
      </c>
      <c r="AA243" s="124">
        <f t="shared" ref="AA243:AA244" si="57">H243-SUM(K243:P243)*H243-J243-I243/B243-Z243/B243</f>
      </c>
      <c r="AB243" s="127">
        <f t="shared" ref="AB243:AB244" si="607">AA243/H243</f>
      </c>
      <c r="AC243" s="123"/>
      <c r="AD243" s="130">
        <f t="shared" ref="AD243:AD244" si="425">J243/H243</f>
      </c>
      <c r="AE243" s="123">
        <f t="shared" ref="AE243:AE244" si="862">I243/7.4/H243</f>
      </c>
      <c r="AF243" s="123">
        <f t="shared" ref="AF243:AF244" si="745">Z243/7.4/H243</f>
      </c>
      <c r="AG243" s="126">
        <v>0.15</v>
      </c>
      <c r="AH243" s="123">
        <f t="shared" ref="AH243:AH244" si="135">N243</f>
      </c>
      <c r="AI243" s="126">
        <v>0.02</v>
      </c>
      <c r="AJ243" s="123">
        <f t="shared" ref="AJ243:AJ244" si="983">M243</f>
      </c>
    </row>
    <row customHeight="true" ht="13.333333333333332" r="244">
      <c r="A244" s="142" t="s">
        <v>661</v>
      </c>
      <c r="B244" s="123">
        <v>9</v>
      </c>
      <c r="C244" s="123" t="s">
        <v>613</v>
      </c>
      <c r="D244" s="123" t="s">
        <v>614</v>
      </c>
      <c r="E244" s="123" t="s">
        <v>602</v>
      </c>
      <c r="F244" s="124">
        <f t="shared" si="529"/>
      </c>
      <c r="G244" s="124">
        <f t="shared" si="347"/>
      </c>
      <c r="H244" s="131">
        <f>H243*0.85</f>
      </c>
      <c r="I244" s="124">
        <f t="shared" si="178"/>
      </c>
      <c r="J244" s="123">
        <v>2.94</v>
      </c>
      <c r="K244" s="126">
        <v>0.15</v>
      </c>
      <c r="L244" s="126">
        <v>0.16</v>
      </c>
      <c r="M244" s="126">
        <v>0.05</v>
      </c>
      <c r="N244" s="123">
        <f t="shared" si="694"/>
      </c>
      <c r="O244" s="127">
        <f t="shared" si="905"/>
      </c>
      <c r="P244" s="126">
        <v>0.02</v>
      </c>
      <c r="Q244" s="124">
        <v>6</v>
      </c>
      <c r="R244" s="123">
        <v>33.5</v>
      </c>
      <c r="S244" s="123">
        <v>26.5</v>
      </c>
      <c r="T244" s="123">
        <v>25</v>
      </c>
      <c r="U244" s="123">
        <v>2.3</v>
      </c>
      <c r="V244" s="124">
        <f t="shared" si="811"/>
      </c>
      <c r="W244" s="124">
        <f t="shared" si="215"/>
      </c>
      <c r="X244" s="123" t="s">
        <v>603</v>
      </c>
      <c r="Y244" s="128">
        <v>6.084</v>
      </c>
      <c r="Z244" s="124">
        <v>10</v>
      </c>
      <c r="AA244" s="124">
        <f t="shared" si="57"/>
      </c>
      <c r="AB244" s="127">
        <f t="shared" si="607"/>
      </c>
      <c r="AC244" s="123"/>
      <c r="AD244" s="130">
        <f t="shared" si="425"/>
      </c>
      <c r="AE244" s="123">
        <f t="shared" si="862"/>
      </c>
      <c r="AF244" s="123">
        <f t="shared" si="745"/>
      </c>
      <c r="AG244" s="126">
        <v>0.15</v>
      </c>
      <c r="AH244" s="123">
        <f t="shared" si="135"/>
      </c>
      <c r="AI244" s="126">
        <v>0.02</v>
      </c>
      <c r="AJ244" s="123">
        <f t="shared" si="983"/>
      </c>
    </row>
    <row customHeight="true" ht="13.333333333333332" r="245">
      <c r="F245" s="138"/>
      <c r="G245" s="138"/>
      <c r="I245" s="138"/>
      <c r="O245" s="139"/>
      <c r="Q245" s="132"/>
      <c r="V245" s="138"/>
      <c r="W245" s="138"/>
      <c r="Y245" s="140"/>
      <c r="Z245" s="138"/>
      <c r="AA245" s="138"/>
      <c r="AB245" s="139"/>
      <c r="AD245" s="141"/>
      <c r="AE245" s="132"/>
      <c r="AF245" s="132"/>
    </row>
    <row customHeight="true" ht="13.333333333333332" r="246">
      <c r="A246" s="142" t="s">
        <v>662</v>
      </c>
      <c r="B246" s="123">
        <v>8</v>
      </c>
      <c r="C246" s="123" t="s">
        <v>600</v>
      </c>
      <c r="D246" s="123" t="s">
        <v>601</v>
      </c>
      <c r="E246" s="123" t="s">
        <v>602</v>
      </c>
      <c r="F246" s="124">
        <f t="shared" ref="F246:F247" si="530">IF(E246="有",(I246/B246+J246+Z246/B246)/(0.99999-K246-L246-M246-N246),(I246/B246+J246+Z246/B246)/(0.99999-K246-M246-N246))</f>
      </c>
      <c r="G246" s="124">
        <f t="shared" ref="G246:G247" si="348">IF(E246="有",(I246/B246+J246+Z246/B246)/(0.8-K246-L246-M246-N246-O246-P246),(I246/B246+J246+Z246/B246)/(0.8-K246-M246-N246-O246-P246))</f>
      </c>
      <c r="H246" s="131">
        <v>39.99</v>
      </c>
      <c r="I246" s="124">
        <v>67</v>
      </c>
      <c r="J246" s="123">
        <v>3.41</v>
      </c>
      <c r="K246" s="126">
        <v>0.15</v>
      </c>
      <c r="L246" s="126">
        <v>0.16</v>
      </c>
      <c r="M246" s="126">
        <v>0.05</v>
      </c>
      <c r="N246" s="123">
        <f t="shared" ref="N246:N247" si="695">Q246/H246</f>
      </c>
      <c r="O246" s="127">
        <f t="shared" ref="O246:O247" si="906">0.61/H246</f>
      </c>
      <c r="P246" s="126">
        <v>0.02</v>
      </c>
      <c r="Q246" s="124">
        <v>6</v>
      </c>
      <c r="R246" s="123">
        <v>33.5</v>
      </c>
      <c r="S246" s="123">
        <v>26.5</v>
      </c>
      <c r="T246" s="123">
        <v>25</v>
      </c>
      <c r="U246" s="123">
        <v>2.3</v>
      </c>
      <c r="V246" s="124">
        <f t="shared" ref="V246:V247" si="812">R246*S246*T246/6000</f>
      </c>
      <c r="W246" s="124">
        <f t="shared" ref="W246:W247" si="216">MAX(U246:V246)</f>
      </c>
      <c r="X246" s="123" t="s">
        <v>603</v>
      </c>
      <c r="Y246" s="128">
        <v>5.55136</v>
      </c>
      <c r="Z246" s="124">
        <v>13</v>
      </c>
      <c r="AA246" s="124">
        <f t="shared" ref="AA246:AA247" si="58">H246-SUM(K246:P246)*H246-J246-I246/B246-Z246/B246</f>
      </c>
      <c r="AB246" s="127">
        <f t="shared" ref="AB246:AB247" si="608">AA246/H246</f>
      </c>
      <c r="AC246" s="123"/>
      <c r="AD246" s="130">
        <f t="shared" ref="AD246:AD247" si="426">J246/H246</f>
      </c>
      <c r="AE246" s="123">
        <f>I246/7.4/H246</f>
      </c>
      <c r="AF246" s="123">
        <f>Z246/7.4/H246</f>
      </c>
      <c r="AG246" s="126">
        <v>0.15</v>
      </c>
      <c r="AH246" s="123">
        <f t="shared" ref="AH246:AH247" si="136">N246</f>
      </c>
      <c r="AI246" s="126">
        <v>0.02</v>
      </c>
      <c r="AJ246" s="123">
        <f t="shared" ref="AJ246:AJ247" si="984">M246</f>
      </c>
    </row>
    <row customHeight="true" ht="13.333333333333332" r="247">
      <c r="A247" s="142" t="s">
        <v>663</v>
      </c>
      <c r="B247" s="123">
        <v>8</v>
      </c>
      <c r="C247" s="123" t="s">
        <v>600</v>
      </c>
      <c r="D247" s="123" t="s">
        <v>601</v>
      </c>
      <c r="E247" s="123" t="s">
        <v>602</v>
      </c>
      <c r="F247" s="124">
        <f t="shared" si="530"/>
      </c>
      <c r="G247" s="124">
        <f t="shared" si="348"/>
      </c>
      <c r="H247" s="131">
        <f>H246*0.85</f>
      </c>
      <c r="I247" s="124">
        <v>67</v>
      </c>
      <c r="J247" s="123">
        <v>3.41</v>
      </c>
      <c r="K247" s="126">
        <v>0.15</v>
      </c>
      <c r="L247" s="126">
        <v>0.16</v>
      </c>
      <c r="M247" s="126">
        <v>0.05</v>
      </c>
      <c r="N247" s="123">
        <f t="shared" si="695"/>
      </c>
      <c r="O247" s="127">
        <f t="shared" si="906"/>
      </c>
      <c r="P247" s="126">
        <v>0.02</v>
      </c>
      <c r="Q247" s="124">
        <v>6</v>
      </c>
      <c r="R247" s="123">
        <v>33.5</v>
      </c>
      <c r="S247" s="123">
        <v>26.5</v>
      </c>
      <c r="T247" s="123">
        <v>25</v>
      </c>
      <c r="U247" s="123">
        <v>2.3</v>
      </c>
      <c r="V247" s="124">
        <f t="shared" si="812"/>
      </c>
      <c r="W247" s="124">
        <f t="shared" si="216"/>
      </c>
      <c r="X247" s="123" t="s">
        <v>603</v>
      </c>
      <c r="Y247" s="128">
        <v>5.55136</v>
      </c>
      <c r="Z247" s="124">
        <v>13</v>
      </c>
      <c r="AA247" s="124">
        <f t="shared" si="58"/>
      </c>
      <c r="AB247" s="127">
        <f t="shared" si="608"/>
      </c>
      <c r="AC247" s="123"/>
      <c r="AD247" s="130">
        <f t="shared" si="426"/>
      </c>
      <c r="AE247" s="123">
        <f>I247/B247/H247</f>
      </c>
      <c r="AF247" s="123">
        <f>Z247/B247/H247</f>
      </c>
      <c r="AG247" s="123">
        <f>K247</f>
      </c>
      <c r="AH247" s="123">
        <f t="shared" si="136"/>
      </c>
      <c r="AI247" s="126">
        <v>0.02</v>
      </c>
      <c r="AJ247" s="123">
        <f t="shared" si="984"/>
      </c>
    </row>
    <row customHeight="true" ht="13.333333333333332" r="248">
      <c r="A248" s="142"/>
      <c r="B248" s="123"/>
      <c r="C248" s="123"/>
      <c r="D248" s="123"/>
      <c r="E248" s="123"/>
      <c r="F248" s="124"/>
      <c r="G248" s="124"/>
      <c r="H248" s="131"/>
      <c r="I248" s="124"/>
      <c r="J248" s="123"/>
      <c r="K248" s="126"/>
      <c r="L248" s="126"/>
      <c r="M248" s="126"/>
      <c r="N248" s="126"/>
      <c r="O248" s="127"/>
      <c r="P248" s="126"/>
      <c r="Q248" s="124"/>
      <c r="R248" s="123"/>
      <c r="S248" s="123"/>
      <c r="T248" s="123"/>
      <c r="U248" s="123"/>
      <c r="V248" s="124"/>
      <c r="W248" s="124"/>
      <c r="X248" s="123"/>
      <c r="Y248" s="128"/>
      <c r="Z248" s="123"/>
      <c r="AA248" s="124"/>
      <c r="AB248" s="127"/>
      <c r="AC248" s="123"/>
      <c r="AD248" s="130"/>
      <c r="AE248" s="126"/>
      <c r="AF248" s="126"/>
      <c r="AG248" s="126"/>
      <c r="AH248" s="126"/>
      <c r="AI248" s="126"/>
      <c r="AJ248" s="126"/>
    </row>
    <row customHeight="true" ht="13.333333333333332" r="249">
      <c r="A249" s="142" t="s">
        <v>662</v>
      </c>
      <c r="B249" s="123">
        <v>8</v>
      </c>
      <c r="C249" s="123" t="s">
        <v>606</v>
      </c>
      <c r="D249" s="123" t="s">
        <v>607</v>
      </c>
      <c r="E249" s="123" t="s">
        <v>602</v>
      </c>
      <c r="F249" s="124">
        <f t="shared" ref="F249:F250" si="531">IF(E249="有",(I249/B249+J249+Z249/B249)/(0.99999-K249-L249-M249-N249),(I249/B249+J249+Z249/B249)/(0.99999-K249-M249-N249))</f>
      </c>
      <c r="G249" s="124">
        <f t="shared" ref="G249:G250" si="349">IF(E249="有",(I249/B249+J249+Z249/B249)/(0.8-K249-L249-M249-N249-O249-P249),(I249/B249+J249+Z249/B249)/(0.8-K249-M249-N249-O249-P249))</f>
      </c>
      <c r="H249" s="131">
        <v>39.99</v>
      </c>
      <c r="I249" s="124">
        <v>67</v>
      </c>
      <c r="J249" s="123">
        <v>5.79</v>
      </c>
      <c r="K249" s="126">
        <v>0.15</v>
      </c>
      <c r="L249" s="126">
        <v>0.16</v>
      </c>
      <c r="M249" s="126">
        <v>0.05</v>
      </c>
      <c r="N249" s="123">
        <f t="shared" ref="N249:N250" si="696">Q249/H249</f>
      </c>
      <c r="O249" s="127">
        <f t="shared" ref="O249:O250" si="907">0.61/H249</f>
      </c>
      <c r="P249" s="126">
        <v>0.02</v>
      </c>
      <c r="Q249" s="124">
        <v>6</v>
      </c>
      <c r="R249" s="123">
        <v>33.5</v>
      </c>
      <c r="S249" s="123">
        <v>26.5</v>
      </c>
      <c r="T249" s="123">
        <v>25</v>
      </c>
      <c r="U249" s="123">
        <v>2.3</v>
      </c>
      <c r="V249" s="124">
        <f t="shared" ref="V249:V250" si="813">R249*S249*T249/6000</f>
      </c>
      <c r="W249" s="124">
        <f t="shared" ref="W249:W250" si="217">MAX(U249:V249)</f>
      </c>
      <c r="X249" s="123" t="s">
        <v>603</v>
      </c>
      <c r="Y249" s="128">
        <v>5.55136</v>
      </c>
      <c r="Z249" s="124">
        <v>13</v>
      </c>
      <c r="AA249" s="124">
        <f t="shared" ref="AA249:AA250" si="59">H249-SUM(K249:P249)*H249-J249-I249/B249-Z249/B249</f>
      </c>
      <c r="AB249" s="127">
        <f t="shared" ref="AB249:AB250" si="609">AA249/H249</f>
      </c>
      <c r="AC249" s="123"/>
      <c r="AD249" s="130">
        <f t="shared" ref="AD249:AD250" si="427">J249/H249</f>
      </c>
      <c r="AE249" s="123">
        <f t="shared" ref="AE249:AE250" si="863">I249/7.4/H249</f>
      </c>
      <c r="AF249" s="123">
        <f t="shared" ref="AF249:AF250" si="746">Z249/7.4/H249</f>
      </c>
      <c r="AG249" s="126">
        <v>0.15</v>
      </c>
      <c r="AH249" s="123">
        <f t="shared" ref="AH249:AH250" si="137">N249</f>
      </c>
      <c r="AI249" s="126">
        <v>0.02</v>
      </c>
      <c r="AJ249" s="123">
        <f t="shared" ref="AJ249:AJ250" si="985">M249</f>
      </c>
    </row>
    <row customHeight="true" ht="13.333333333333332" r="250">
      <c r="A250" s="142" t="s">
        <v>663</v>
      </c>
      <c r="B250" s="123">
        <v>8</v>
      </c>
      <c r="C250" s="123" t="s">
        <v>606</v>
      </c>
      <c r="D250" s="123" t="s">
        <v>607</v>
      </c>
      <c r="E250" s="123" t="s">
        <v>602</v>
      </c>
      <c r="F250" s="124">
        <f t="shared" si="531"/>
      </c>
      <c r="G250" s="124">
        <f t="shared" si="349"/>
      </c>
      <c r="H250" s="131">
        <f>H249*0.85</f>
      </c>
      <c r="I250" s="124">
        <v>67</v>
      </c>
      <c r="J250" s="123">
        <v>5.79</v>
      </c>
      <c r="K250" s="126">
        <v>0.15</v>
      </c>
      <c r="L250" s="126">
        <v>0.16</v>
      </c>
      <c r="M250" s="126">
        <v>0.05</v>
      </c>
      <c r="N250" s="123">
        <f t="shared" si="696"/>
      </c>
      <c r="O250" s="127">
        <f t="shared" si="907"/>
      </c>
      <c r="P250" s="126">
        <v>0.02</v>
      </c>
      <c r="Q250" s="124">
        <v>6</v>
      </c>
      <c r="R250" s="123">
        <v>33.5</v>
      </c>
      <c r="S250" s="123">
        <v>26.5</v>
      </c>
      <c r="T250" s="123">
        <v>25</v>
      </c>
      <c r="U250" s="123">
        <v>2.3</v>
      </c>
      <c r="V250" s="124">
        <f t="shared" si="813"/>
      </c>
      <c r="W250" s="124">
        <f t="shared" si="217"/>
      </c>
      <c r="X250" s="123" t="s">
        <v>603</v>
      </c>
      <c r="Y250" s="128">
        <v>5.55136</v>
      </c>
      <c r="Z250" s="124">
        <v>13</v>
      </c>
      <c r="AA250" s="124">
        <f t="shared" si="59"/>
      </c>
      <c r="AB250" s="127">
        <f t="shared" si="609"/>
      </c>
      <c r="AC250" s="123"/>
      <c r="AD250" s="130">
        <f t="shared" si="427"/>
      </c>
      <c r="AE250" s="123">
        <f t="shared" si="863"/>
      </c>
      <c r="AF250" s="123">
        <f t="shared" si="746"/>
      </c>
      <c r="AG250" s="126">
        <v>0.15</v>
      </c>
      <c r="AH250" s="123">
        <f t="shared" si="137"/>
      </c>
      <c r="AI250" s="126">
        <v>0.02</v>
      </c>
      <c r="AJ250" s="123">
        <f t="shared" si="985"/>
      </c>
    </row>
    <row customHeight="true" ht="13.333333333333332" r="251">
      <c r="A251" s="142"/>
      <c r="B251" s="123"/>
      <c r="C251" s="123"/>
      <c r="D251" s="123"/>
      <c r="E251" s="123"/>
      <c r="F251" s="124"/>
      <c r="G251" s="124"/>
      <c r="H251" s="131"/>
      <c r="I251" s="124"/>
      <c r="J251" s="123"/>
      <c r="K251" s="126"/>
      <c r="L251" s="126"/>
      <c r="M251" s="126"/>
      <c r="N251" s="126"/>
      <c r="O251" s="127"/>
      <c r="P251" s="126"/>
      <c r="Q251" s="126"/>
      <c r="R251" s="123"/>
      <c r="S251" s="123"/>
      <c r="T251" s="123"/>
      <c r="U251" s="123"/>
      <c r="V251" s="124"/>
      <c r="W251" s="124"/>
      <c r="X251" s="123"/>
      <c r="Y251" s="128"/>
      <c r="Z251" s="123"/>
      <c r="AA251" s="124"/>
      <c r="AB251" s="127"/>
      <c r="AC251" s="123"/>
      <c r="AD251" s="130"/>
      <c r="AE251" s="126"/>
      <c r="AF251" s="126"/>
      <c r="AG251" s="126"/>
      <c r="AH251" s="126"/>
      <c r="AI251" s="126"/>
      <c r="AJ251" s="126"/>
    </row>
    <row customHeight="true" ht="13.333333333333332" r="252">
      <c r="A252" s="142" t="s">
        <v>662</v>
      </c>
      <c r="B252" s="123">
        <v>8</v>
      </c>
      <c r="C252" s="123" t="s">
        <v>608</v>
      </c>
      <c r="D252" s="123" t="s">
        <v>609</v>
      </c>
      <c r="E252" s="123" t="s">
        <v>602</v>
      </c>
      <c r="F252" s="124">
        <f t="shared" ref="F252:F253" si="532">IF(E252="有",(I252/B252+J252+Z252/B252)/(0.99999-K252-L252-M252-N252),(I252/B252+J252+Z252/B252)/(0.99999-K252-M252-N252))</f>
      </c>
      <c r="G252" s="124">
        <f t="shared" ref="G252:G253" si="350">IF(E252="有",(I252/B252+J252+Z252/B252)/(0.8-K252-L252-M252-N252-O252-P252),(I252/B252+J252+Z252/B252)/(0.8-K252-M252-N252-O252-P252))</f>
      </c>
      <c r="H252" s="131">
        <v>39.99</v>
      </c>
      <c r="I252" s="124">
        <v>67</v>
      </c>
      <c r="J252" s="123">
        <v>4.95</v>
      </c>
      <c r="K252" s="126">
        <v>0.15</v>
      </c>
      <c r="L252" s="126">
        <v>0.16</v>
      </c>
      <c r="M252" s="126">
        <v>0.05</v>
      </c>
      <c r="N252" s="123">
        <f t="shared" ref="N252:N253" si="697">Q252/H252</f>
      </c>
      <c r="O252" s="127">
        <f t="shared" ref="O252:O253" si="908">0.61/H252</f>
      </c>
      <c r="P252" s="126">
        <v>0.02</v>
      </c>
      <c r="Q252" s="124">
        <v>6</v>
      </c>
      <c r="R252" s="123">
        <v>33.5</v>
      </c>
      <c r="S252" s="123">
        <v>26.5</v>
      </c>
      <c r="T252" s="123">
        <v>25</v>
      </c>
      <c r="U252" s="123">
        <v>2.3</v>
      </c>
      <c r="V252" s="124">
        <f t="shared" ref="V252:V253" si="814">R252*S252*T252/6000</f>
      </c>
      <c r="W252" s="124">
        <f t="shared" ref="W252:W253" si="218">MAX(U252:V252)</f>
      </c>
      <c r="X252" s="123" t="s">
        <v>603</v>
      </c>
      <c r="Y252" s="128">
        <v>5.55136</v>
      </c>
      <c r="Z252" s="124">
        <v>13</v>
      </c>
      <c r="AA252" s="124">
        <f t="shared" ref="AA252:AA253" si="60">H252-SUM(K252:P252)*H252-J252-I252/B252-Z252/B252</f>
      </c>
      <c r="AB252" s="127">
        <f t="shared" ref="AB252:AB253" si="610">AA252/H252</f>
      </c>
      <c r="AC252" s="123"/>
      <c r="AD252" s="130">
        <f t="shared" ref="AD252:AD253" si="428">J252/H252</f>
      </c>
      <c r="AE252" s="123">
        <f t="shared" ref="AE252:AE253" si="864">I252/7.4/H252</f>
      </c>
      <c r="AF252" s="123">
        <f t="shared" ref="AF252:AF253" si="747">Z252/7.4/H252</f>
      </c>
      <c r="AG252" s="126">
        <v>0.15</v>
      </c>
      <c r="AH252" s="123">
        <f t="shared" ref="AH252:AH253" si="138">N252</f>
      </c>
      <c r="AI252" s="126">
        <v>0.02</v>
      </c>
      <c r="AJ252" s="123">
        <f t="shared" ref="AJ252:AJ253" si="986">M252</f>
      </c>
    </row>
    <row customHeight="true" ht="13.333333333333332" r="253">
      <c r="A253" s="142" t="s">
        <v>663</v>
      </c>
      <c r="B253" s="123">
        <v>8</v>
      </c>
      <c r="C253" s="123" t="s">
        <v>608</v>
      </c>
      <c r="D253" s="123" t="s">
        <v>609</v>
      </c>
      <c r="E253" s="123" t="s">
        <v>602</v>
      </c>
      <c r="F253" s="124">
        <f t="shared" si="532"/>
      </c>
      <c r="G253" s="124">
        <f t="shared" si="350"/>
      </c>
      <c r="H253" s="131">
        <f>H252*0.85</f>
      </c>
      <c r="I253" s="124">
        <v>67</v>
      </c>
      <c r="J253" s="123">
        <v>4.95</v>
      </c>
      <c r="K253" s="126">
        <v>0.15</v>
      </c>
      <c r="L253" s="126">
        <v>0.16</v>
      </c>
      <c r="M253" s="126">
        <v>0.05</v>
      </c>
      <c r="N253" s="123">
        <f t="shared" si="697"/>
      </c>
      <c r="O253" s="127">
        <f t="shared" si="908"/>
      </c>
      <c r="P253" s="126">
        <v>0.02</v>
      </c>
      <c r="Q253" s="124">
        <v>6</v>
      </c>
      <c r="R253" s="123">
        <v>33.5</v>
      </c>
      <c r="S253" s="123">
        <v>26.5</v>
      </c>
      <c r="T253" s="123">
        <v>25</v>
      </c>
      <c r="U253" s="123">
        <v>2.3</v>
      </c>
      <c r="V253" s="124">
        <f t="shared" si="814"/>
      </c>
      <c r="W253" s="124">
        <f t="shared" si="218"/>
      </c>
      <c r="X253" s="123" t="s">
        <v>603</v>
      </c>
      <c r="Y253" s="128">
        <v>5.55136</v>
      </c>
      <c r="Z253" s="124">
        <v>13</v>
      </c>
      <c r="AA253" s="124">
        <f t="shared" si="60"/>
      </c>
      <c r="AB253" s="127">
        <f t="shared" si="610"/>
      </c>
      <c r="AC253" s="123"/>
      <c r="AD253" s="130">
        <f t="shared" si="428"/>
      </c>
      <c r="AE253" s="123">
        <f t="shared" si="864"/>
      </c>
      <c r="AF253" s="123">
        <f t="shared" si="747"/>
      </c>
      <c r="AG253" s="126">
        <v>0.15</v>
      </c>
      <c r="AH253" s="123">
        <f t="shared" si="138"/>
      </c>
      <c r="AI253" s="126">
        <v>0.02</v>
      </c>
      <c r="AJ253" s="123">
        <f t="shared" si="986"/>
      </c>
    </row>
    <row customHeight="true" ht="13.333333333333332" r="254">
      <c r="A254" s="142"/>
      <c r="B254" s="123"/>
      <c r="C254" s="123"/>
      <c r="D254" s="123"/>
      <c r="E254" s="123"/>
      <c r="F254" s="124"/>
      <c r="G254" s="124"/>
      <c r="H254" s="131"/>
      <c r="I254" s="124"/>
      <c r="J254" s="123"/>
      <c r="K254" s="126"/>
      <c r="L254" s="126"/>
      <c r="M254" s="126"/>
      <c r="N254" s="126"/>
      <c r="O254" s="127"/>
      <c r="P254" s="126"/>
      <c r="Q254" s="126"/>
      <c r="R254" s="123"/>
      <c r="S254" s="123"/>
      <c r="T254" s="123"/>
      <c r="U254" s="123"/>
      <c r="V254" s="124"/>
      <c r="W254" s="124"/>
      <c r="X254" s="123"/>
      <c r="Y254" s="128"/>
      <c r="Z254" s="123"/>
      <c r="AA254" s="124"/>
      <c r="AB254" s="127"/>
      <c r="AC254" s="123"/>
      <c r="AD254" s="130"/>
      <c r="AE254" s="126"/>
      <c r="AF254" s="126"/>
      <c r="AG254" s="126"/>
      <c r="AH254" s="126"/>
      <c r="AI254" s="126"/>
      <c r="AJ254" s="126"/>
    </row>
    <row customHeight="true" ht="13.333333333333332" r="255">
      <c r="A255" s="142" t="s">
        <v>662</v>
      </c>
      <c r="B255" s="123">
        <v>8</v>
      </c>
      <c r="C255" s="123" t="s">
        <v>611</v>
      </c>
      <c r="D255" s="123" t="s">
        <v>612</v>
      </c>
      <c r="E255" s="123" t="s">
        <v>602</v>
      </c>
      <c r="F255" s="124">
        <f t="shared" ref="F255:F256" si="533">IF(E255="有",(I255/B255+J255+Z255/B255)/(0.99999-K255-L255-M255-N255),(I255/B255+J255+Z255/B255)/(0.99999-K255-M255-N255))</f>
      </c>
      <c r="G255" s="124">
        <f t="shared" ref="G255:G256" si="351">IF(E255="有",(I255/B255+J255+Z255/B255)/(0.8-K255-L255-M255-N255-O255-P255),(I255/B255+J255+Z255/B255)/(0.8-K255-M255-N255-O255-P255))</f>
      </c>
      <c r="H255" s="131">
        <v>39.99</v>
      </c>
      <c r="I255" s="124">
        <v>67</v>
      </c>
      <c r="J255" s="123">
        <v>3.95</v>
      </c>
      <c r="K255" s="126">
        <v>0.15</v>
      </c>
      <c r="L255" s="126">
        <v>0.16</v>
      </c>
      <c r="M255" s="126">
        <v>0.05</v>
      </c>
      <c r="N255" s="123">
        <f t="shared" ref="N255:N256" si="698">Q255/H255</f>
      </c>
      <c r="O255" s="127">
        <f t="shared" ref="O255:O256" si="909">0.61/H255</f>
      </c>
      <c r="P255" s="126">
        <v>0.02</v>
      </c>
      <c r="Q255" s="124">
        <v>6</v>
      </c>
      <c r="R255" s="123">
        <v>33.5</v>
      </c>
      <c r="S255" s="123">
        <v>26.5</v>
      </c>
      <c r="T255" s="123">
        <v>25</v>
      </c>
      <c r="U255" s="123">
        <v>2.3</v>
      </c>
      <c r="V255" s="124">
        <f t="shared" ref="V255:V256" si="815">R255*S255*T255/6000</f>
      </c>
      <c r="W255" s="124">
        <f t="shared" ref="W255:W256" si="219">MAX(U255:V255)</f>
      </c>
      <c r="X255" s="123" t="s">
        <v>603</v>
      </c>
      <c r="Y255" s="128">
        <v>5.55136</v>
      </c>
      <c r="Z255" s="124">
        <v>13</v>
      </c>
      <c r="AA255" s="124">
        <f t="shared" ref="AA255:AA256" si="61">H255-SUM(K255:P255)*H255-J255-I255/B255-Z255/B255</f>
      </c>
      <c r="AB255" s="127">
        <f t="shared" ref="AB255:AB256" si="611">AA255/H255</f>
      </c>
      <c r="AC255" s="123"/>
      <c r="AD255" s="130">
        <f t="shared" ref="AD255:AD256" si="429">J255/H255</f>
      </c>
      <c r="AE255" s="123">
        <f t="shared" ref="AE255:AE256" si="865">I255/7.4/H255</f>
      </c>
      <c r="AF255" s="123">
        <f t="shared" ref="AF255:AF256" si="748">Z255/7.4/H255</f>
      </c>
      <c r="AG255" s="126">
        <v>0.15</v>
      </c>
      <c r="AH255" s="123">
        <f t="shared" ref="AH255:AH256" si="139">N255</f>
      </c>
      <c r="AI255" s="126">
        <v>0.02</v>
      </c>
      <c r="AJ255" s="123">
        <f t="shared" ref="AJ255:AJ256" si="987">M255</f>
      </c>
    </row>
    <row customHeight="true" ht="13.333333333333332" r="256">
      <c r="A256" s="142" t="s">
        <v>663</v>
      </c>
      <c r="B256" s="123">
        <v>8</v>
      </c>
      <c r="C256" s="123" t="s">
        <v>611</v>
      </c>
      <c r="D256" s="123" t="s">
        <v>612</v>
      </c>
      <c r="E256" s="123" t="s">
        <v>602</v>
      </c>
      <c r="F256" s="124">
        <f t="shared" si="533"/>
      </c>
      <c r="G256" s="124">
        <f t="shared" si="351"/>
      </c>
      <c r="H256" s="131">
        <f>H255*0.85</f>
      </c>
      <c r="I256" s="124">
        <v>67</v>
      </c>
      <c r="J256" s="123">
        <v>3.95</v>
      </c>
      <c r="K256" s="126">
        <v>0.15</v>
      </c>
      <c r="L256" s="126">
        <v>0.16</v>
      </c>
      <c r="M256" s="126">
        <v>0.05</v>
      </c>
      <c r="N256" s="123">
        <f t="shared" si="698"/>
      </c>
      <c r="O256" s="127">
        <f t="shared" si="909"/>
      </c>
      <c r="P256" s="126">
        <v>0.02</v>
      </c>
      <c r="Q256" s="124">
        <v>6</v>
      </c>
      <c r="R256" s="123">
        <v>33.5</v>
      </c>
      <c r="S256" s="123">
        <v>26.5</v>
      </c>
      <c r="T256" s="123">
        <v>25</v>
      </c>
      <c r="U256" s="123">
        <v>2.3</v>
      </c>
      <c r="V256" s="124">
        <f t="shared" si="815"/>
      </c>
      <c r="W256" s="124">
        <f t="shared" si="219"/>
      </c>
      <c r="X256" s="123" t="s">
        <v>603</v>
      </c>
      <c r="Y256" s="128">
        <v>5.55136</v>
      </c>
      <c r="Z256" s="124">
        <v>13</v>
      </c>
      <c r="AA256" s="124">
        <f t="shared" si="61"/>
      </c>
      <c r="AB256" s="127">
        <f t="shared" si="611"/>
      </c>
      <c r="AC256" s="123"/>
      <c r="AD256" s="130">
        <f t="shared" si="429"/>
      </c>
      <c r="AE256" s="123">
        <f t="shared" si="865"/>
      </c>
      <c r="AF256" s="123">
        <f t="shared" si="748"/>
      </c>
      <c r="AG256" s="126">
        <v>0.15</v>
      </c>
      <c r="AH256" s="123">
        <f t="shared" si="139"/>
      </c>
      <c r="AI256" s="126">
        <v>0.02</v>
      </c>
      <c r="AJ256" s="123">
        <f t="shared" si="987"/>
      </c>
    </row>
    <row customHeight="true" ht="13.333333333333332" r="257">
      <c r="A257" s="142"/>
      <c r="B257" s="123"/>
      <c r="C257" s="123"/>
      <c r="D257" s="123"/>
      <c r="E257" s="123"/>
      <c r="F257" s="124"/>
      <c r="G257" s="124"/>
      <c r="H257" s="131"/>
      <c r="I257" s="124"/>
      <c r="J257" s="123"/>
      <c r="K257" s="126"/>
      <c r="L257" s="126"/>
      <c r="M257" s="126"/>
      <c r="N257" s="126"/>
      <c r="O257" s="127"/>
      <c r="P257" s="126"/>
      <c r="Q257" s="126"/>
      <c r="R257" s="123"/>
      <c r="S257" s="123"/>
      <c r="T257" s="123"/>
      <c r="U257" s="123"/>
      <c r="V257" s="124"/>
      <c r="W257" s="124"/>
      <c r="X257" s="123"/>
      <c r="Y257" s="128"/>
      <c r="Z257" s="123"/>
      <c r="AA257" s="124"/>
      <c r="AB257" s="127"/>
      <c r="AC257" s="123"/>
      <c r="AD257" s="130"/>
      <c r="AE257" s="126"/>
      <c r="AF257" s="126"/>
      <c r="AG257" s="126"/>
      <c r="AH257" s="126"/>
      <c r="AI257" s="126"/>
      <c r="AJ257" s="126"/>
    </row>
    <row customHeight="true" ht="13.333333333333332" r="258">
      <c r="A258" s="142" t="s">
        <v>662</v>
      </c>
      <c r="B258" s="123">
        <v>9</v>
      </c>
      <c r="C258" s="123" t="s">
        <v>613</v>
      </c>
      <c r="D258" s="123" t="s">
        <v>614</v>
      </c>
      <c r="E258" s="123" t="s">
        <v>602</v>
      </c>
      <c r="F258" s="124">
        <f t="shared" ref="F258:F259" si="534">IF(E258="有",(I258/B258+J258+Z258/B258)/(0.99999-K258-L258-M258-N258),(I258/B258+J258+Z258/B258)/(0.99999-K258-M258-N258))</f>
      </c>
      <c r="G258" s="124">
        <f t="shared" ref="G258:G259" si="352">IF(E258="有",(I258/B258+J258+Z258/B258)/(0.8-K258-L258-M258-N258-O258-P258),(I258/B258+J258+Z258/B258)/(0.8-K258-M258-N258-O258-P258))</f>
      </c>
      <c r="H258" s="131">
        <v>34.99</v>
      </c>
      <c r="I258" s="124">
        <v>67</v>
      </c>
      <c r="J258" s="123">
        <v>3.04</v>
      </c>
      <c r="K258" s="126">
        <v>0.15</v>
      </c>
      <c r="L258" s="126">
        <v>0.16</v>
      </c>
      <c r="M258" s="126">
        <v>0.05</v>
      </c>
      <c r="N258" s="123">
        <f t="shared" ref="N258:N259" si="699">Q258/H258</f>
      </c>
      <c r="O258" s="127">
        <f t="shared" ref="O258:O259" si="910">0.61/H258</f>
      </c>
      <c r="P258" s="126">
        <v>0.02</v>
      </c>
      <c r="Q258" s="124">
        <v>6</v>
      </c>
      <c r="R258" s="123">
        <v>33.5</v>
      </c>
      <c r="S258" s="123">
        <v>26.5</v>
      </c>
      <c r="T258" s="123">
        <v>25</v>
      </c>
      <c r="U258" s="123">
        <v>2.3</v>
      </c>
      <c r="V258" s="124">
        <f t="shared" ref="V258:V259" si="816">R258*S258*T258/6000</f>
      </c>
      <c r="W258" s="124">
        <f t="shared" ref="W258:W259" si="220">MAX(U258:V258)</f>
      </c>
      <c r="X258" s="123" t="s">
        <v>603</v>
      </c>
      <c r="Y258" s="128">
        <v>6.084</v>
      </c>
      <c r="Z258" s="124">
        <v>13</v>
      </c>
      <c r="AA258" s="124">
        <f t="shared" ref="AA258:AA259" si="62">H258-SUM(K258:P258)*H258-J258-I258/B258-Z258/B258</f>
      </c>
      <c r="AB258" s="127">
        <f t="shared" ref="AB258:AB259" si="612">AA258/H258</f>
      </c>
      <c r="AC258" s="123"/>
      <c r="AD258" s="130">
        <f t="shared" ref="AD258:AD259" si="430">J258/H258</f>
      </c>
      <c r="AE258" s="123">
        <f t="shared" ref="AE258:AE259" si="866">I258/7.4/H258</f>
      </c>
      <c r="AF258" s="123">
        <f t="shared" ref="AF258:AF259" si="749">Z258/7.4/H258</f>
      </c>
      <c r="AG258" s="126">
        <v>0.15</v>
      </c>
      <c r="AH258" s="123">
        <f t="shared" ref="AH258:AH259" si="140">N258</f>
      </c>
      <c r="AI258" s="126">
        <v>0.02</v>
      </c>
      <c r="AJ258" s="123">
        <f t="shared" ref="AJ258:AJ259" si="988">M258</f>
      </c>
    </row>
    <row customHeight="true" ht="13.333333333333332" r="259">
      <c r="A259" s="142" t="s">
        <v>663</v>
      </c>
      <c r="B259" s="123">
        <v>9</v>
      </c>
      <c r="C259" s="123" t="s">
        <v>613</v>
      </c>
      <c r="D259" s="123" t="s">
        <v>614</v>
      </c>
      <c r="E259" s="123" t="s">
        <v>602</v>
      </c>
      <c r="F259" s="124">
        <f t="shared" si="534"/>
      </c>
      <c r="G259" s="124">
        <f t="shared" si="352"/>
      </c>
      <c r="H259" s="131">
        <f>H258*0.85</f>
      </c>
      <c r="I259" s="124">
        <v>67</v>
      </c>
      <c r="J259" s="123">
        <v>3.04</v>
      </c>
      <c r="K259" s="126">
        <v>0.15</v>
      </c>
      <c r="L259" s="126">
        <v>0.16</v>
      </c>
      <c r="M259" s="126">
        <v>0.05</v>
      </c>
      <c r="N259" s="123">
        <f t="shared" si="699"/>
      </c>
      <c r="O259" s="127">
        <f t="shared" si="910"/>
      </c>
      <c r="P259" s="126">
        <v>0.02</v>
      </c>
      <c r="Q259" s="124">
        <v>6</v>
      </c>
      <c r="R259" s="123">
        <v>33.5</v>
      </c>
      <c r="S259" s="123">
        <v>26.5</v>
      </c>
      <c r="T259" s="123">
        <v>25</v>
      </c>
      <c r="U259" s="123">
        <v>2.3</v>
      </c>
      <c r="V259" s="124">
        <f t="shared" si="816"/>
      </c>
      <c r="W259" s="124">
        <f t="shared" si="220"/>
      </c>
      <c r="X259" s="123" t="s">
        <v>603</v>
      </c>
      <c r="Y259" s="128">
        <v>6.084</v>
      </c>
      <c r="Z259" s="124">
        <v>13</v>
      </c>
      <c r="AA259" s="124">
        <f t="shared" si="62"/>
      </c>
      <c r="AB259" s="127">
        <f t="shared" si="612"/>
      </c>
      <c r="AC259" s="123"/>
      <c r="AD259" s="130">
        <f t="shared" si="430"/>
      </c>
      <c r="AE259" s="123">
        <f t="shared" si="866"/>
      </c>
      <c r="AF259" s="123">
        <f t="shared" si="749"/>
      </c>
      <c r="AG259" s="126">
        <v>0.15</v>
      </c>
      <c r="AH259" s="123">
        <f t="shared" si="140"/>
      </c>
      <c r="AI259" s="126">
        <v>0.02</v>
      </c>
      <c r="AJ259" s="123">
        <f t="shared" si="988"/>
      </c>
    </row>
    <row customHeight="true" ht="13.333333333333332" r="260">
      <c r="F260" s="138"/>
      <c r="G260" s="138"/>
      <c r="I260" s="138"/>
      <c r="O260" s="139"/>
      <c r="Q260" s="132"/>
      <c r="V260" s="138"/>
      <c r="W260" s="138"/>
      <c r="Y260" s="140"/>
      <c r="Z260" s="138"/>
      <c r="AA260" s="138"/>
      <c r="AB260" s="139"/>
      <c r="AD260" s="141"/>
      <c r="AE260" s="132"/>
      <c r="AF260" s="132"/>
    </row>
    <row customHeight="true" ht="13.333333333333332" r="261">
      <c r="A261" s="142" t="s">
        <v>664</v>
      </c>
      <c r="B261" s="123">
        <v>8</v>
      </c>
      <c r="C261" s="123" t="s">
        <v>600</v>
      </c>
      <c r="D261" s="123" t="s">
        <v>601</v>
      </c>
      <c r="E261" s="123" t="s">
        <v>602</v>
      </c>
      <c r="F261" s="124">
        <f t="shared" ref="F261:F262" si="535">IF(E261="有",(I261/B261+J261+Z261/B261)/(0.99999-K261-L261-M261-N261),(I261/B261+J261+Z261/B261)/(0.99999-K261-M261-N261))</f>
      </c>
      <c r="G261" s="124">
        <f t="shared" ref="G261:G262" si="353">IF(E261="有",(I261/B261+J261+Z261/B261)/(0.8-K261-L261-M261-N261-O261-P261),(I261/B261+J261+Z261/B261)/(0.8-K261-M261-N261-O261-P261))</f>
      </c>
      <c r="H261" s="131">
        <v>59.99</v>
      </c>
      <c r="I261" s="124">
        <v>130</v>
      </c>
      <c r="J261" s="123">
        <v>3.41</v>
      </c>
      <c r="K261" s="126">
        <v>0.15</v>
      </c>
      <c r="L261" s="126">
        <v>0.16</v>
      </c>
      <c r="M261" s="126">
        <v>0.05</v>
      </c>
      <c r="N261" s="123">
        <f t="shared" ref="N261:N262" si="700">Q261/H261</f>
      </c>
      <c r="O261" s="127">
        <f t="shared" ref="O261:O262" si="911">0.61/H261</f>
      </c>
      <c r="P261" s="126">
        <v>0.02</v>
      </c>
      <c r="Q261" s="124">
        <v>6</v>
      </c>
      <c r="R261" s="123">
        <v>33.5</v>
      </c>
      <c r="S261" s="123">
        <v>26.5</v>
      </c>
      <c r="T261" s="123">
        <v>25</v>
      </c>
      <c r="U261" s="123">
        <v>2.3</v>
      </c>
      <c r="V261" s="124">
        <f t="shared" ref="V261:V262" si="817">R261*S261*T261/6000</f>
      </c>
      <c r="W261" s="124">
        <f t="shared" ref="W261:W262" si="221">MAX(U261:V261)</f>
      </c>
      <c r="X261" s="123" t="s">
        <v>603</v>
      </c>
      <c r="Y261" s="128">
        <v>5.55136</v>
      </c>
      <c r="Z261" s="124">
        <v>14</v>
      </c>
      <c r="AA261" s="124">
        <f t="shared" ref="AA261:AA262" si="63">H261-SUM(K261:P261)*H261-J261-I261/B261-Z261/B261</f>
      </c>
      <c r="AB261" s="127">
        <f t="shared" ref="AB261:AB262" si="613">AA261/H261</f>
      </c>
      <c r="AC261" s="123"/>
      <c r="AD261" s="130">
        <f t="shared" ref="AD261:AD262" si="431">J261/H261</f>
      </c>
      <c r="AE261" s="123">
        <f>I261/7.4/H261</f>
      </c>
      <c r="AF261" s="123">
        <f>Z261/7.4/H261</f>
      </c>
      <c r="AG261" s="126">
        <v>0.15</v>
      </c>
      <c r="AH261" s="123">
        <f t="shared" ref="AH261:AH262" si="141">N261</f>
      </c>
      <c r="AI261" s="126">
        <v>0.02</v>
      </c>
      <c r="AJ261" s="123">
        <f t="shared" ref="AJ261:AJ262" si="989">M261</f>
      </c>
    </row>
    <row customHeight="true" ht="13.333333333333332" r="262">
      <c r="A262" s="142" t="s">
        <v>665</v>
      </c>
      <c r="B262" s="123">
        <v>8</v>
      </c>
      <c r="C262" s="123" t="s">
        <v>600</v>
      </c>
      <c r="D262" s="123" t="s">
        <v>601</v>
      </c>
      <c r="E262" s="123" t="s">
        <v>602</v>
      </c>
      <c r="F262" s="124">
        <f t="shared" si="535"/>
      </c>
      <c r="G262" s="124">
        <f t="shared" si="353"/>
      </c>
      <c r="H262" s="131">
        <f>H261*0.85</f>
      </c>
      <c r="I262" s="124">
        <v>130</v>
      </c>
      <c r="J262" s="123">
        <v>3.41</v>
      </c>
      <c r="K262" s="126">
        <v>0.15</v>
      </c>
      <c r="L262" s="126">
        <v>0.16</v>
      </c>
      <c r="M262" s="126">
        <v>0.05</v>
      </c>
      <c r="N262" s="123">
        <f t="shared" si="700"/>
      </c>
      <c r="O262" s="127">
        <f t="shared" si="911"/>
      </c>
      <c r="P262" s="126">
        <v>0.02</v>
      </c>
      <c r="Q262" s="124">
        <v>6</v>
      </c>
      <c r="R262" s="123">
        <v>33.5</v>
      </c>
      <c r="S262" s="123">
        <v>26.5</v>
      </c>
      <c r="T262" s="123">
        <v>25</v>
      </c>
      <c r="U262" s="123">
        <v>2.3</v>
      </c>
      <c r="V262" s="124">
        <f t="shared" si="817"/>
      </c>
      <c r="W262" s="124">
        <f t="shared" si="221"/>
      </c>
      <c r="X262" s="123" t="s">
        <v>603</v>
      </c>
      <c r="Y262" s="128">
        <v>5.55136</v>
      </c>
      <c r="Z262" s="124">
        <v>14</v>
      </c>
      <c r="AA262" s="124">
        <f t="shared" si="63"/>
      </c>
      <c r="AB262" s="127">
        <f t="shared" si="613"/>
      </c>
      <c r="AC262" s="123"/>
      <c r="AD262" s="130">
        <f t="shared" si="431"/>
      </c>
      <c r="AE262" s="123">
        <f>I262/B262/H262</f>
      </c>
      <c r="AF262" s="123">
        <f>Z262/B262/H262</f>
      </c>
      <c r="AG262" s="123">
        <f>K262</f>
      </c>
      <c r="AH262" s="123">
        <f t="shared" si="141"/>
      </c>
      <c r="AI262" s="126">
        <v>0.02</v>
      </c>
      <c r="AJ262" s="123">
        <f t="shared" si="989"/>
      </c>
    </row>
    <row customHeight="true" ht="13.333333333333332" r="263">
      <c r="A263" s="142"/>
      <c r="B263" s="123"/>
      <c r="C263" s="123"/>
      <c r="D263" s="123"/>
      <c r="E263" s="123"/>
      <c r="F263" s="124"/>
      <c r="G263" s="124"/>
      <c r="H263" s="131"/>
      <c r="I263" s="124"/>
      <c r="J263" s="123"/>
      <c r="K263" s="126"/>
      <c r="L263" s="126"/>
      <c r="M263" s="126"/>
      <c r="N263" s="126"/>
      <c r="O263" s="127"/>
      <c r="P263" s="126"/>
      <c r="Q263" s="124"/>
      <c r="R263" s="123"/>
      <c r="S263" s="123"/>
      <c r="T263" s="123"/>
      <c r="U263" s="123"/>
      <c r="V263" s="124"/>
      <c r="W263" s="124"/>
      <c r="X263" s="123"/>
      <c r="Y263" s="128"/>
      <c r="Z263" s="123"/>
      <c r="AA263" s="124"/>
      <c r="AB263" s="127"/>
      <c r="AC263" s="123"/>
      <c r="AD263" s="130"/>
      <c r="AE263" s="126"/>
      <c r="AF263" s="126"/>
      <c r="AG263" s="126"/>
      <c r="AH263" s="126"/>
      <c r="AI263" s="126"/>
      <c r="AJ263" s="126"/>
    </row>
    <row customHeight="true" ht="13.333333333333332" r="264">
      <c r="A264" s="142" t="s">
        <v>664</v>
      </c>
      <c r="B264" s="123">
        <v>8</v>
      </c>
      <c r="C264" s="123" t="s">
        <v>606</v>
      </c>
      <c r="D264" s="123" t="s">
        <v>607</v>
      </c>
      <c r="E264" s="123" t="s">
        <v>602</v>
      </c>
      <c r="F264" s="124">
        <f t="shared" ref="F264:F265" si="536">IF(E264="有",(I264/B264+J264+Z264/B264)/(0.99999-K264-L264-M264-N264),(I264/B264+J264+Z264/B264)/(0.99999-K264-M264-N264))</f>
      </c>
      <c r="G264" s="124">
        <f t="shared" ref="G264:G265" si="354">IF(E264="有",(I264/B264+J264+Z264/B264)/(0.8-K264-L264-M264-N264-O264-P264),(I264/B264+J264+Z264/B264)/(0.8-K264-M264-N264-O264-P264))</f>
      </c>
      <c r="H264" s="131">
        <v>59.99</v>
      </c>
      <c r="I264" s="124">
        <v>130</v>
      </c>
      <c r="J264" s="123">
        <v>5.79</v>
      </c>
      <c r="K264" s="126">
        <v>0.15</v>
      </c>
      <c r="L264" s="126">
        <v>0.16</v>
      </c>
      <c r="M264" s="126">
        <v>0.05</v>
      </c>
      <c r="N264" s="123">
        <f t="shared" ref="N264:N265" si="701">Q264/H264</f>
      </c>
      <c r="O264" s="127">
        <f t="shared" ref="O264:O265" si="912">0.61/H264</f>
      </c>
      <c r="P264" s="126">
        <v>0.02</v>
      </c>
      <c r="Q264" s="124">
        <v>6</v>
      </c>
      <c r="R264" s="123">
        <v>33.5</v>
      </c>
      <c r="S264" s="123">
        <v>26.5</v>
      </c>
      <c r="T264" s="123">
        <v>25</v>
      </c>
      <c r="U264" s="123">
        <v>2.3</v>
      </c>
      <c r="V264" s="124">
        <f t="shared" ref="V264:V265" si="818">R264*S264*T264/6000</f>
      </c>
      <c r="W264" s="124">
        <f t="shared" ref="W264:W265" si="222">MAX(U264:V264)</f>
      </c>
      <c r="X264" s="123" t="s">
        <v>603</v>
      </c>
      <c r="Y264" s="128">
        <v>5.55136</v>
      </c>
      <c r="Z264" s="124">
        <v>14</v>
      </c>
      <c r="AA264" s="124">
        <f t="shared" ref="AA264:AA265" si="64">H264-SUM(K264:P264)*H264-J264-I264/B264-Z264/B264</f>
      </c>
      <c r="AB264" s="127">
        <f t="shared" ref="AB264:AB265" si="614">AA264/H264</f>
      </c>
      <c r="AC264" s="123"/>
      <c r="AD264" s="130">
        <f t="shared" ref="AD264:AD265" si="432">J264/H264</f>
      </c>
      <c r="AE264" s="123">
        <f t="shared" ref="AE264:AE265" si="867">I264/7.4/H264</f>
      </c>
      <c r="AF264" s="123">
        <f t="shared" ref="AF264:AF265" si="750">Z264/7.4/H264</f>
      </c>
      <c r="AG264" s="126">
        <v>0.15</v>
      </c>
      <c r="AH264" s="123">
        <f t="shared" ref="AH264:AH265" si="142">N264</f>
      </c>
      <c r="AI264" s="126">
        <v>0.02</v>
      </c>
      <c r="AJ264" s="123">
        <f t="shared" ref="AJ264:AJ265" si="990">M264</f>
      </c>
    </row>
    <row customHeight="true" ht="13.333333333333332" r="265">
      <c r="A265" s="142" t="s">
        <v>665</v>
      </c>
      <c r="B265" s="123">
        <v>8</v>
      </c>
      <c r="C265" s="123" t="s">
        <v>606</v>
      </c>
      <c r="D265" s="123" t="s">
        <v>607</v>
      </c>
      <c r="E265" s="123" t="s">
        <v>602</v>
      </c>
      <c r="F265" s="124">
        <f t="shared" si="536"/>
      </c>
      <c r="G265" s="124">
        <f t="shared" si="354"/>
      </c>
      <c r="H265" s="131">
        <f>H264*0.85</f>
      </c>
      <c r="I265" s="124">
        <v>130</v>
      </c>
      <c r="J265" s="123">
        <v>5.79</v>
      </c>
      <c r="K265" s="126">
        <v>0.15</v>
      </c>
      <c r="L265" s="126">
        <v>0.16</v>
      </c>
      <c r="M265" s="126">
        <v>0.05</v>
      </c>
      <c r="N265" s="123">
        <f t="shared" si="701"/>
      </c>
      <c r="O265" s="127">
        <f t="shared" si="912"/>
      </c>
      <c r="P265" s="126">
        <v>0.02</v>
      </c>
      <c r="Q265" s="124">
        <v>6</v>
      </c>
      <c r="R265" s="123">
        <v>33.5</v>
      </c>
      <c r="S265" s="123">
        <v>26.5</v>
      </c>
      <c r="T265" s="123">
        <v>25</v>
      </c>
      <c r="U265" s="123">
        <v>2.3</v>
      </c>
      <c r="V265" s="124">
        <f t="shared" si="818"/>
      </c>
      <c r="W265" s="124">
        <f t="shared" si="222"/>
      </c>
      <c r="X265" s="123" t="s">
        <v>603</v>
      </c>
      <c r="Y265" s="128">
        <v>5.55136</v>
      </c>
      <c r="Z265" s="124">
        <v>14</v>
      </c>
      <c r="AA265" s="124">
        <f t="shared" si="64"/>
      </c>
      <c r="AB265" s="127">
        <f t="shared" si="614"/>
      </c>
      <c r="AC265" s="123"/>
      <c r="AD265" s="130">
        <f t="shared" si="432"/>
      </c>
      <c r="AE265" s="123">
        <f t="shared" si="867"/>
      </c>
      <c r="AF265" s="123">
        <f t="shared" si="750"/>
      </c>
      <c r="AG265" s="126">
        <v>0.15</v>
      </c>
      <c r="AH265" s="123">
        <f t="shared" si="142"/>
      </c>
      <c r="AI265" s="126">
        <v>0.02</v>
      </c>
      <c r="AJ265" s="123">
        <f t="shared" si="990"/>
      </c>
    </row>
    <row customHeight="true" ht="13.333333333333332" r="266">
      <c r="A266" s="142"/>
      <c r="B266" s="123"/>
      <c r="C266" s="123"/>
      <c r="D266" s="123"/>
      <c r="E266" s="123"/>
      <c r="F266" s="124"/>
      <c r="G266" s="124"/>
      <c r="H266" s="131"/>
      <c r="I266" s="124"/>
      <c r="J266" s="123"/>
      <c r="K266" s="126"/>
      <c r="L266" s="126"/>
      <c r="M266" s="126"/>
      <c r="N266" s="126"/>
      <c r="O266" s="127"/>
      <c r="P266" s="126"/>
      <c r="Q266" s="126"/>
      <c r="R266" s="123"/>
      <c r="S266" s="123"/>
      <c r="T266" s="123"/>
      <c r="U266" s="123"/>
      <c r="V266" s="124"/>
      <c r="W266" s="124"/>
      <c r="X266" s="123"/>
      <c r="Y266" s="128"/>
      <c r="Z266" s="123"/>
      <c r="AA266" s="124"/>
      <c r="AB266" s="127"/>
      <c r="AC266" s="123"/>
      <c r="AD266" s="130"/>
      <c r="AE266" s="126"/>
      <c r="AF266" s="126"/>
      <c r="AG266" s="126"/>
      <c r="AH266" s="126"/>
      <c r="AI266" s="126"/>
      <c r="AJ266" s="126"/>
    </row>
    <row customHeight="true" ht="13.333333333333332" r="267">
      <c r="A267" s="142" t="s">
        <v>664</v>
      </c>
      <c r="B267" s="123">
        <v>8</v>
      </c>
      <c r="C267" s="123" t="s">
        <v>608</v>
      </c>
      <c r="D267" s="123" t="s">
        <v>609</v>
      </c>
      <c r="E267" s="123" t="s">
        <v>602</v>
      </c>
      <c r="F267" s="124">
        <f t="shared" ref="F267:F268" si="537">IF(E267="有",(I267/B267+J267+Z267/B267)/(0.99999-K267-L267-M267-N267),(I267/B267+J267+Z267/B267)/(0.99999-K267-M267-N267))</f>
      </c>
      <c r="G267" s="124">
        <f t="shared" ref="G267:G268" si="355">IF(E267="有",(I267/B267+J267+Z267/B267)/(0.8-K267-L267-M267-N267-O267-P267),(I267/B267+J267+Z267/B267)/(0.8-K267-M267-N267-O267-P267))</f>
      </c>
      <c r="H267" s="131">
        <v>59.99</v>
      </c>
      <c r="I267" s="124">
        <v>130</v>
      </c>
      <c r="J267" s="123">
        <v>4.95</v>
      </c>
      <c r="K267" s="126">
        <v>0.15</v>
      </c>
      <c r="L267" s="126">
        <v>0.16</v>
      </c>
      <c r="M267" s="126">
        <v>0.05</v>
      </c>
      <c r="N267" s="123">
        <f t="shared" ref="N267:N268" si="702">Q267/H267</f>
      </c>
      <c r="O267" s="127">
        <f t="shared" ref="O267:O268" si="913">0.61/H267</f>
      </c>
      <c r="P267" s="126">
        <v>0.02</v>
      </c>
      <c r="Q267" s="124">
        <v>6</v>
      </c>
      <c r="R267" s="123">
        <v>33.5</v>
      </c>
      <c r="S267" s="123">
        <v>26.5</v>
      </c>
      <c r="T267" s="123">
        <v>25</v>
      </c>
      <c r="U267" s="123">
        <v>2.3</v>
      </c>
      <c r="V267" s="124">
        <f t="shared" ref="V267:V268" si="819">R267*S267*T267/6000</f>
      </c>
      <c r="W267" s="124">
        <f t="shared" ref="W267:W268" si="223">MAX(U267:V267)</f>
      </c>
      <c r="X267" s="123" t="s">
        <v>603</v>
      </c>
      <c r="Y267" s="128">
        <v>5.55136</v>
      </c>
      <c r="Z267" s="124">
        <v>14</v>
      </c>
      <c r="AA267" s="124">
        <f t="shared" ref="AA267:AA268" si="65">H267-SUM(K267:P267)*H267-J267-I267/B267-Z267/B267</f>
      </c>
      <c r="AB267" s="127">
        <f t="shared" ref="AB267:AB268" si="615">AA267/H267</f>
      </c>
      <c r="AC267" s="123"/>
      <c r="AD267" s="130">
        <f t="shared" ref="AD267:AD268" si="433">J267/H267</f>
      </c>
      <c r="AE267" s="123">
        <f t="shared" ref="AE267:AE268" si="868">I267/7.4/H267</f>
      </c>
      <c r="AF267" s="123">
        <f t="shared" ref="AF267:AF268" si="751">Z267/7.4/H267</f>
      </c>
      <c r="AG267" s="126">
        <v>0.15</v>
      </c>
      <c r="AH267" s="123">
        <f t="shared" ref="AH267:AH268" si="143">N267</f>
      </c>
      <c r="AI267" s="126">
        <v>0.02</v>
      </c>
      <c r="AJ267" s="123">
        <f t="shared" ref="AJ267:AJ268" si="991">M267</f>
      </c>
    </row>
    <row customHeight="true" ht="13.333333333333332" r="268">
      <c r="A268" s="142" t="s">
        <v>665</v>
      </c>
      <c r="B268" s="123">
        <v>8</v>
      </c>
      <c r="C268" s="123" t="s">
        <v>608</v>
      </c>
      <c r="D268" s="123" t="s">
        <v>609</v>
      </c>
      <c r="E268" s="123" t="s">
        <v>602</v>
      </c>
      <c r="F268" s="124">
        <f t="shared" si="537"/>
      </c>
      <c r="G268" s="124">
        <f t="shared" si="355"/>
      </c>
      <c r="H268" s="131">
        <f>H267*0.85</f>
      </c>
      <c r="I268" s="124">
        <v>130</v>
      </c>
      <c r="J268" s="123">
        <v>4.95</v>
      </c>
      <c r="K268" s="126">
        <v>0.15</v>
      </c>
      <c r="L268" s="126">
        <v>0.16</v>
      </c>
      <c r="M268" s="126">
        <v>0.05</v>
      </c>
      <c r="N268" s="123">
        <f t="shared" si="702"/>
      </c>
      <c r="O268" s="127">
        <f t="shared" si="913"/>
      </c>
      <c r="P268" s="126">
        <v>0.02</v>
      </c>
      <c r="Q268" s="124">
        <v>6</v>
      </c>
      <c r="R268" s="123">
        <v>33.5</v>
      </c>
      <c r="S268" s="123">
        <v>26.5</v>
      </c>
      <c r="T268" s="123">
        <v>25</v>
      </c>
      <c r="U268" s="123">
        <v>2.3</v>
      </c>
      <c r="V268" s="124">
        <f t="shared" si="819"/>
      </c>
      <c r="W268" s="124">
        <f t="shared" si="223"/>
      </c>
      <c r="X268" s="123" t="s">
        <v>603</v>
      </c>
      <c r="Y268" s="128">
        <v>5.55136</v>
      </c>
      <c r="Z268" s="124">
        <v>14</v>
      </c>
      <c r="AA268" s="124">
        <f t="shared" si="65"/>
      </c>
      <c r="AB268" s="127">
        <f t="shared" si="615"/>
      </c>
      <c r="AC268" s="123"/>
      <c r="AD268" s="130">
        <f t="shared" si="433"/>
      </c>
      <c r="AE268" s="123">
        <f t="shared" si="868"/>
      </c>
      <c r="AF268" s="123">
        <f t="shared" si="751"/>
      </c>
      <c r="AG268" s="126">
        <v>0.15</v>
      </c>
      <c r="AH268" s="123">
        <f t="shared" si="143"/>
      </c>
      <c r="AI268" s="126">
        <v>0.02</v>
      </c>
      <c r="AJ268" s="123">
        <f t="shared" si="991"/>
      </c>
    </row>
    <row customHeight="true" ht="13.333333333333332" r="269">
      <c r="A269" s="142"/>
      <c r="B269" s="123"/>
      <c r="C269" s="123"/>
      <c r="D269" s="123"/>
      <c r="E269" s="123"/>
      <c r="F269" s="124"/>
      <c r="G269" s="124"/>
      <c r="H269" s="131"/>
      <c r="I269" s="124"/>
      <c r="J269" s="123"/>
      <c r="K269" s="126"/>
      <c r="L269" s="126"/>
      <c r="M269" s="126"/>
      <c r="N269" s="126"/>
      <c r="O269" s="127"/>
      <c r="P269" s="126"/>
      <c r="Q269" s="126"/>
      <c r="R269" s="123"/>
      <c r="S269" s="123"/>
      <c r="T269" s="123"/>
      <c r="U269" s="123"/>
      <c r="V269" s="124"/>
      <c r="W269" s="124"/>
      <c r="X269" s="123"/>
      <c r="Y269" s="128"/>
      <c r="Z269" s="123"/>
      <c r="AA269" s="124"/>
      <c r="AB269" s="127"/>
      <c r="AC269" s="123"/>
      <c r="AD269" s="130"/>
      <c r="AE269" s="126"/>
      <c r="AF269" s="126"/>
      <c r="AG269" s="126"/>
      <c r="AH269" s="126"/>
      <c r="AI269" s="126"/>
      <c r="AJ269" s="126"/>
    </row>
    <row customHeight="true" ht="13.333333333333332" r="270">
      <c r="A270" s="142" t="s">
        <v>664</v>
      </c>
      <c r="B270" s="123">
        <v>8</v>
      </c>
      <c r="C270" s="123" t="s">
        <v>611</v>
      </c>
      <c r="D270" s="123" t="s">
        <v>612</v>
      </c>
      <c r="E270" s="123" t="s">
        <v>602</v>
      </c>
      <c r="F270" s="124">
        <f t="shared" ref="F270:F271" si="538">IF(E270="有",(I270/B270+J270+Z270/B270)/(0.99999-K270-L270-M270-N270),(I270/B270+J270+Z270/B270)/(0.99999-K270-M270-N270))</f>
      </c>
      <c r="G270" s="124">
        <f t="shared" ref="G270:G271" si="356">IF(E270="有",(I270/B270+J270+Z270/B270)/(0.8-K270-L270-M270-N270-O270-P270),(I270/B270+J270+Z270/B270)/(0.8-K270-M270-N270-O270-P270))</f>
      </c>
      <c r="H270" s="131">
        <v>59.99</v>
      </c>
      <c r="I270" s="124">
        <v>130</v>
      </c>
      <c r="J270" s="123">
        <v>3.95</v>
      </c>
      <c r="K270" s="126">
        <v>0.15</v>
      </c>
      <c r="L270" s="126">
        <v>0.16</v>
      </c>
      <c r="M270" s="126">
        <v>0.05</v>
      </c>
      <c r="N270" s="123">
        <f t="shared" ref="N270:N271" si="703">Q270/H270</f>
      </c>
      <c r="O270" s="127">
        <f t="shared" ref="O270:O271" si="914">0.61/H270</f>
      </c>
      <c r="P270" s="126">
        <v>0.02</v>
      </c>
      <c r="Q270" s="124">
        <v>6</v>
      </c>
      <c r="R270" s="123">
        <v>33.5</v>
      </c>
      <c r="S270" s="123">
        <v>26.5</v>
      </c>
      <c r="T270" s="123">
        <v>25</v>
      </c>
      <c r="U270" s="123">
        <v>2.3</v>
      </c>
      <c r="V270" s="124">
        <f t="shared" ref="V270:V271" si="820">R270*S270*T270/6000</f>
      </c>
      <c r="W270" s="124">
        <f t="shared" ref="W270:W271" si="224">MAX(U270:V270)</f>
      </c>
      <c r="X270" s="123" t="s">
        <v>603</v>
      </c>
      <c r="Y270" s="128">
        <v>5.55136</v>
      </c>
      <c r="Z270" s="124">
        <v>14</v>
      </c>
      <c r="AA270" s="124">
        <f t="shared" ref="AA270:AA271" si="66">H270-SUM(K270:P270)*H270-J270-I270/B270-Z270/B270</f>
      </c>
      <c r="AB270" s="127">
        <f t="shared" ref="AB270:AB271" si="616">AA270/H270</f>
      </c>
      <c r="AC270" s="123"/>
      <c r="AD270" s="130">
        <f t="shared" ref="AD270:AD271" si="434">J270/H270</f>
      </c>
      <c r="AE270" s="123">
        <f t="shared" ref="AE270:AE271" si="869">I270/7.4/H270</f>
      </c>
      <c r="AF270" s="123">
        <f t="shared" ref="AF270:AF271" si="752">Z270/7.4/H270</f>
      </c>
      <c r="AG270" s="126">
        <v>0.15</v>
      </c>
      <c r="AH270" s="123">
        <f t="shared" ref="AH270:AH271" si="144">N270</f>
      </c>
      <c r="AI270" s="126">
        <v>0.02</v>
      </c>
      <c r="AJ270" s="123">
        <f t="shared" ref="AJ270:AJ271" si="992">M270</f>
      </c>
    </row>
    <row customHeight="true" ht="13.333333333333332" r="271">
      <c r="A271" s="142" t="s">
        <v>665</v>
      </c>
      <c r="B271" s="123">
        <v>8</v>
      </c>
      <c r="C271" s="123" t="s">
        <v>611</v>
      </c>
      <c r="D271" s="123" t="s">
        <v>612</v>
      </c>
      <c r="E271" s="123" t="s">
        <v>602</v>
      </c>
      <c r="F271" s="124">
        <f t="shared" si="538"/>
      </c>
      <c r="G271" s="124">
        <f t="shared" si="356"/>
      </c>
      <c r="H271" s="131">
        <f>H270*0.85</f>
      </c>
      <c r="I271" s="124">
        <v>130</v>
      </c>
      <c r="J271" s="123">
        <v>3.95</v>
      </c>
      <c r="K271" s="126">
        <v>0.15</v>
      </c>
      <c r="L271" s="126">
        <v>0.16</v>
      </c>
      <c r="M271" s="126">
        <v>0.05</v>
      </c>
      <c r="N271" s="123">
        <f t="shared" si="703"/>
      </c>
      <c r="O271" s="127">
        <f t="shared" si="914"/>
      </c>
      <c r="P271" s="126">
        <v>0.02</v>
      </c>
      <c r="Q271" s="124">
        <v>6</v>
      </c>
      <c r="R271" s="123">
        <v>33.5</v>
      </c>
      <c r="S271" s="123">
        <v>26.5</v>
      </c>
      <c r="T271" s="123">
        <v>25</v>
      </c>
      <c r="U271" s="123">
        <v>2.3</v>
      </c>
      <c r="V271" s="124">
        <f t="shared" si="820"/>
      </c>
      <c r="W271" s="124">
        <f t="shared" si="224"/>
      </c>
      <c r="X271" s="123" t="s">
        <v>603</v>
      </c>
      <c r="Y271" s="128">
        <v>5.55136</v>
      </c>
      <c r="Z271" s="124">
        <v>14</v>
      </c>
      <c r="AA271" s="124">
        <f t="shared" si="66"/>
      </c>
      <c r="AB271" s="127">
        <f t="shared" si="616"/>
      </c>
      <c r="AC271" s="123"/>
      <c r="AD271" s="130">
        <f t="shared" si="434"/>
      </c>
      <c r="AE271" s="123">
        <f t="shared" si="869"/>
      </c>
      <c r="AF271" s="123">
        <f t="shared" si="752"/>
      </c>
      <c r="AG271" s="126">
        <v>0.15</v>
      </c>
      <c r="AH271" s="123">
        <f t="shared" si="144"/>
      </c>
      <c r="AI271" s="126">
        <v>0.02</v>
      </c>
      <c r="AJ271" s="123">
        <f t="shared" si="992"/>
      </c>
    </row>
    <row customHeight="true" ht="13.333333333333332" r="272">
      <c r="A272" s="142"/>
      <c r="B272" s="123"/>
      <c r="C272" s="123"/>
      <c r="D272" s="123"/>
      <c r="E272" s="123"/>
      <c r="F272" s="124"/>
      <c r="G272" s="124"/>
      <c r="H272" s="131"/>
      <c r="I272" s="124"/>
      <c r="J272" s="123"/>
      <c r="K272" s="126"/>
      <c r="L272" s="126"/>
      <c r="M272" s="126"/>
      <c r="N272" s="126"/>
      <c r="O272" s="127"/>
      <c r="P272" s="126"/>
      <c r="Q272" s="126"/>
      <c r="R272" s="123"/>
      <c r="S272" s="123"/>
      <c r="T272" s="123"/>
      <c r="U272" s="123"/>
      <c r="V272" s="124"/>
      <c r="W272" s="124"/>
      <c r="X272" s="123"/>
      <c r="Y272" s="128"/>
      <c r="Z272" s="123"/>
      <c r="AA272" s="124"/>
      <c r="AB272" s="127"/>
      <c r="AC272" s="123"/>
      <c r="AD272" s="130"/>
      <c r="AE272" s="126"/>
      <c r="AF272" s="126"/>
      <c r="AG272" s="126"/>
      <c r="AH272" s="126"/>
      <c r="AI272" s="126"/>
      <c r="AJ272" s="126"/>
    </row>
    <row customHeight="true" ht="13.333333333333332" r="273">
      <c r="A273" s="142" t="s">
        <v>664</v>
      </c>
      <c r="B273" s="123">
        <v>9</v>
      </c>
      <c r="C273" s="123" t="s">
        <v>613</v>
      </c>
      <c r="D273" s="123" t="s">
        <v>614</v>
      </c>
      <c r="E273" s="123" t="s">
        <v>602</v>
      </c>
      <c r="F273" s="124">
        <f t="shared" ref="F273:F274" si="539">IF(E273="有",(I273/B273+J273+Z273/B273)/(0.99999-K273-L273-M273-N273),(I273/B273+J273+Z273/B273)/(0.99999-K273-M273-N273))</f>
      </c>
      <c r="G273" s="124">
        <f t="shared" ref="G273:G274" si="357">IF(E273="有",(I273/B273+J273+Z273/B273)/(0.8-K273-L273-M273-N273-O273-P273),(I273/B273+J273+Z273/B273)/(0.8-K273-M273-N273-O273-P273))</f>
      </c>
      <c r="H273" s="131">
        <v>59.99</v>
      </c>
      <c r="I273" s="124">
        <v>130</v>
      </c>
      <c r="J273" s="123">
        <v>3.04</v>
      </c>
      <c r="K273" s="126">
        <v>0.15</v>
      </c>
      <c r="L273" s="126">
        <v>0.16</v>
      </c>
      <c r="M273" s="126">
        <v>0.05</v>
      </c>
      <c r="N273" s="123">
        <f t="shared" ref="N273:N274" si="704">Q273/H273</f>
      </c>
      <c r="O273" s="127">
        <f t="shared" ref="O273:O274" si="915">0.61/H273</f>
      </c>
      <c r="P273" s="126">
        <v>0.02</v>
      </c>
      <c r="Q273" s="124">
        <v>6</v>
      </c>
      <c r="R273" s="123">
        <v>33.5</v>
      </c>
      <c r="S273" s="123">
        <v>26.5</v>
      </c>
      <c r="T273" s="123">
        <v>25</v>
      </c>
      <c r="U273" s="123">
        <v>2.3</v>
      </c>
      <c r="V273" s="124">
        <f t="shared" ref="V273:V274" si="821">R273*S273*T273/6000</f>
      </c>
      <c r="W273" s="124">
        <f t="shared" ref="W273:W274" si="225">MAX(U273:V273)</f>
      </c>
      <c r="X273" s="123" t="s">
        <v>603</v>
      </c>
      <c r="Y273" s="128">
        <v>6.084</v>
      </c>
      <c r="Z273" s="124">
        <v>14</v>
      </c>
      <c r="AA273" s="124">
        <f t="shared" ref="AA273:AA274" si="67">H273-SUM(K273:P273)*H273-J273-I273/B273-Z273/B273</f>
      </c>
      <c r="AB273" s="127">
        <f t="shared" ref="AB273:AB274" si="617">AA273/H273</f>
      </c>
      <c r="AC273" s="123"/>
      <c r="AD273" s="130">
        <f t="shared" ref="AD273:AD274" si="435">J273/H273</f>
      </c>
      <c r="AE273" s="123">
        <f t="shared" ref="AE273:AE274" si="870">I273/7.4/H273</f>
      </c>
      <c r="AF273" s="123">
        <f t="shared" ref="AF273:AF274" si="753">Z273/7.4/H273</f>
      </c>
      <c r="AG273" s="126">
        <v>0.15</v>
      </c>
      <c r="AH273" s="123">
        <f t="shared" ref="AH273:AH274" si="145">N273</f>
      </c>
      <c r="AI273" s="126">
        <v>0.02</v>
      </c>
      <c r="AJ273" s="123">
        <f t="shared" ref="AJ273:AJ274" si="993">M273</f>
      </c>
    </row>
    <row customHeight="true" ht="13.333333333333332" r="274">
      <c r="A274" s="142" t="s">
        <v>665</v>
      </c>
      <c r="B274" s="123">
        <v>9</v>
      </c>
      <c r="C274" s="123" t="s">
        <v>613</v>
      </c>
      <c r="D274" s="123" t="s">
        <v>614</v>
      </c>
      <c r="E274" s="123" t="s">
        <v>602</v>
      </c>
      <c r="F274" s="124">
        <f t="shared" si="539"/>
      </c>
      <c r="G274" s="124">
        <f t="shared" si="357"/>
      </c>
      <c r="H274" s="131">
        <f>H273*0.85</f>
      </c>
      <c r="I274" s="124">
        <v>130</v>
      </c>
      <c r="J274" s="123">
        <v>3.04</v>
      </c>
      <c r="K274" s="126">
        <v>0.15</v>
      </c>
      <c r="L274" s="126">
        <v>0.16</v>
      </c>
      <c r="M274" s="126">
        <v>0.05</v>
      </c>
      <c r="N274" s="123">
        <f t="shared" si="704"/>
      </c>
      <c r="O274" s="127">
        <f t="shared" si="915"/>
      </c>
      <c r="P274" s="126">
        <v>0.02</v>
      </c>
      <c r="Q274" s="124">
        <v>6</v>
      </c>
      <c r="R274" s="123">
        <v>33.5</v>
      </c>
      <c r="S274" s="123">
        <v>26.5</v>
      </c>
      <c r="T274" s="123">
        <v>25</v>
      </c>
      <c r="U274" s="123">
        <v>2.3</v>
      </c>
      <c r="V274" s="124">
        <f t="shared" si="821"/>
      </c>
      <c r="W274" s="124">
        <f t="shared" si="225"/>
      </c>
      <c r="X274" s="123" t="s">
        <v>603</v>
      </c>
      <c r="Y274" s="128">
        <v>6.084</v>
      </c>
      <c r="Z274" s="124">
        <v>14</v>
      </c>
      <c r="AA274" s="124">
        <f t="shared" si="67"/>
      </c>
      <c r="AB274" s="127">
        <f t="shared" si="617"/>
      </c>
      <c r="AC274" s="123"/>
      <c r="AD274" s="130">
        <f t="shared" si="435"/>
      </c>
      <c r="AE274" s="123">
        <f t="shared" si="870"/>
      </c>
      <c r="AF274" s="123">
        <f t="shared" si="753"/>
      </c>
      <c r="AG274" s="126">
        <v>0.15</v>
      </c>
      <c r="AH274" s="123">
        <f t="shared" si="145"/>
      </c>
      <c r="AI274" s="126">
        <v>0.02</v>
      </c>
      <c r="AJ274" s="123">
        <f t="shared" si="993"/>
      </c>
    </row>
    <row customHeight="true" ht="13.333333333333332" r="275">
      <c r="F275" s="138"/>
      <c r="G275" s="138"/>
      <c r="I275" s="138"/>
      <c r="O275" s="139"/>
      <c r="Q275" s="132"/>
      <c r="V275" s="138"/>
      <c r="W275" s="138"/>
      <c r="Y275" s="140"/>
      <c r="Z275" s="138"/>
      <c r="AA275" s="138"/>
      <c r="AB275" s="139"/>
      <c r="AD275" s="141"/>
      <c r="AE275" s="132"/>
      <c r="AF275" s="132"/>
    </row>
    <row customHeight="true" ht="13.333333333333332" r="276">
      <c r="A276" s="142" t="s">
        <v>666</v>
      </c>
      <c r="B276" s="123">
        <v>8</v>
      </c>
      <c r="C276" s="123" t="s">
        <v>600</v>
      </c>
      <c r="D276" s="123" t="s">
        <v>601</v>
      </c>
      <c r="E276" s="123" t="s">
        <v>602</v>
      </c>
      <c r="F276" s="124">
        <f t="shared" ref="F276:F277" si="540">IF(E276="有",(I276/B276+J276+Z276/B276)/(0.99999-K276-L276-M276-N276),(I276/B276+J276+Z276/B276)/(0.99999-K276-M276-N276))</f>
      </c>
      <c r="G276" s="124">
        <f t="shared" ref="G276:G277" si="358">IF(E276="有",(I276/B276+J276+Z276/B276)/(0.8-K276-L276-M276-N276-O276-P276),(I276/B276+J276+Z276/B276)/(0.8-K276-M276-N276-O276-P276))</f>
      </c>
      <c r="H276" s="131">
        <v>44.99</v>
      </c>
      <c r="I276" s="124">
        <f t="shared" ref="I276:I277" si="1013">108/1.13</f>
      </c>
      <c r="J276" s="123">
        <v>3.41</v>
      </c>
      <c r="K276" s="126">
        <v>0.15</v>
      </c>
      <c r="L276" s="126">
        <v>0.16</v>
      </c>
      <c r="M276" s="126">
        <v>0.05</v>
      </c>
      <c r="N276" s="123">
        <f t="shared" ref="N276:N277" si="705">Q276/H276</f>
      </c>
      <c r="O276" s="127">
        <f t="shared" ref="O276:O277" si="916">0.61/H276</f>
      </c>
      <c r="P276" s="126">
        <v>0.02</v>
      </c>
      <c r="Q276" s="124">
        <v>6</v>
      </c>
      <c r="R276" s="123">
        <v>33.5</v>
      </c>
      <c r="S276" s="123">
        <v>26.5</v>
      </c>
      <c r="T276" s="123">
        <v>25</v>
      </c>
      <c r="U276" s="123">
        <v>2.3</v>
      </c>
      <c r="V276" s="124">
        <f t="shared" ref="V276:V277" si="822">R276*S276*T276/6000</f>
      </c>
      <c r="W276" s="124">
        <f t="shared" ref="W276:W277" si="226">MAX(U276:V276)</f>
      </c>
      <c r="X276" s="123" t="s">
        <v>603</v>
      </c>
      <c r="Y276" s="128">
        <v>5.55136</v>
      </c>
      <c r="Z276" s="124">
        <v>13</v>
      </c>
      <c r="AA276" s="124">
        <f t="shared" ref="AA276:AA277" si="68">H276-SUM(K276:P276)*H276-J276-I276/B276-Z276/B276</f>
      </c>
      <c r="AB276" s="127">
        <f t="shared" ref="AB276:AB277" si="618">AA276/H276</f>
      </c>
      <c r="AC276" s="123"/>
      <c r="AD276" s="130">
        <f t="shared" ref="AD276:AD277" si="436">J276/H276</f>
      </c>
      <c r="AE276" s="123">
        <f>I276/7.4/H276</f>
      </c>
      <c r="AF276" s="123">
        <f>Z276/7.4/H276</f>
      </c>
      <c r="AG276" s="126">
        <v>0.15</v>
      </c>
      <c r="AH276" s="123">
        <f t="shared" ref="AH276:AH277" si="146">N276</f>
      </c>
      <c r="AI276" s="126">
        <v>0.02</v>
      </c>
      <c r="AJ276" s="123">
        <f t="shared" ref="AJ276:AJ277" si="994">M276</f>
      </c>
    </row>
    <row customHeight="true" ht="13.333333333333332" r="277">
      <c r="A277" s="142" t="s">
        <v>667</v>
      </c>
      <c r="B277" s="123">
        <v>8</v>
      </c>
      <c r="C277" s="123" t="s">
        <v>600</v>
      </c>
      <c r="D277" s="123" t="s">
        <v>601</v>
      </c>
      <c r="E277" s="123" t="s">
        <v>602</v>
      </c>
      <c r="F277" s="124">
        <f t="shared" si="540"/>
      </c>
      <c r="G277" s="124">
        <f t="shared" si="358"/>
      </c>
      <c r="H277" s="131">
        <f>H276*0.85</f>
      </c>
      <c r="I277" s="124">
        <f t="shared" si="1013"/>
      </c>
      <c r="J277" s="123">
        <v>3.41</v>
      </c>
      <c r="K277" s="126">
        <v>0.15</v>
      </c>
      <c r="L277" s="126">
        <v>0.16</v>
      </c>
      <c r="M277" s="126">
        <v>0.05</v>
      </c>
      <c r="N277" s="123">
        <f t="shared" si="705"/>
      </c>
      <c r="O277" s="127">
        <f t="shared" si="916"/>
      </c>
      <c r="P277" s="126">
        <v>0.02</v>
      </c>
      <c r="Q277" s="124">
        <v>6</v>
      </c>
      <c r="R277" s="123">
        <v>33.5</v>
      </c>
      <c r="S277" s="123">
        <v>26.5</v>
      </c>
      <c r="T277" s="123">
        <v>25</v>
      </c>
      <c r="U277" s="123">
        <v>2.3</v>
      </c>
      <c r="V277" s="124">
        <f t="shared" si="822"/>
      </c>
      <c r="W277" s="124">
        <f t="shared" si="226"/>
      </c>
      <c r="X277" s="123" t="s">
        <v>603</v>
      </c>
      <c r="Y277" s="128">
        <v>5.55136</v>
      </c>
      <c r="Z277" s="124">
        <v>13</v>
      </c>
      <c r="AA277" s="124">
        <f t="shared" si="68"/>
      </c>
      <c r="AB277" s="127">
        <f t="shared" si="618"/>
      </c>
      <c r="AC277" s="123"/>
      <c r="AD277" s="130">
        <f t="shared" si="436"/>
      </c>
      <c r="AE277" s="123">
        <f>I277/B277/H277</f>
      </c>
      <c r="AF277" s="123">
        <f>Z277/B277/H277</f>
      </c>
      <c r="AG277" s="123">
        <f>K277</f>
      </c>
      <c r="AH277" s="123">
        <f t="shared" si="146"/>
      </c>
      <c r="AI277" s="126">
        <v>0.02</v>
      </c>
      <c r="AJ277" s="123">
        <f t="shared" si="994"/>
      </c>
    </row>
    <row customHeight="true" ht="13.333333333333332" r="278">
      <c r="A278" s="142"/>
      <c r="B278" s="123"/>
      <c r="C278" s="123"/>
      <c r="D278" s="123"/>
      <c r="E278" s="123"/>
      <c r="F278" s="124"/>
      <c r="G278" s="124"/>
      <c r="H278" s="131"/>
      <c r="I278" s="124"/>
      <c r="J278" s="123"/>
      <c r="K278" s="126"/>
      <c r="L278" s="126"/>
      <c r="M278" s="126"/>
      <c r="N278" s="126"/>
      <c r="O278" s="127"/>
      <c r="P278" s="126"/>
      <c r="Q278" s="124"/>
      <c r="R278" s="123"/>
      <c r="S278" s="123"/>
      <c r="T278" s="123"/>
      <c r="U278" s="123"/>
      <c r="V278" s="124"/>
      <c r="W278" s="124"/>
      <c r="X278" s="123"/>
      <c r="Y278" s="128"/>
      <c r="Z278" s="123"/>
      <c r="AA278" s="124"/>
      <c r="AB278" s="127"/>
      <c r="AC278" s="123"/>
      <c r="AD278" s="130"/>
      <c r="AE278" s="126"/>
      <c r="AF278" s="126"/>
      <c r="AG278" s="126"/>
      <c r="AH278" s="126"/>
      <c r="AI278" s="126"/>
      <c r="AJ278" s="126"/>
    </row>
    <row customHeight="true" ht="13.333333333333332" r="279">
      <c r="A279" s="142" t="s">
        <v>666</v>
      </c>
      <c r="B279" s="123">
        <v>8</v>
      </c>
      <c r="C279" s="123" t="s">
        <v>606</v>
      </c>
      <c r="D279" s="123" t="s">
        <v>607</v>
      </c>
      <c r="E279" s="123" t="s">
        <v>602</v>
      </c>
      <c r="F279" s="124">
        <f t="shared" ref="F279:F280" si="541">IF(E279="有",(I279/B279+J279+Z279/B279)/(0.99999-K279-L279-M279-N279),(I279/B279+J279+Z279/B279)/(0.99999-K279-M279-N279))</f>
      </c>
      <c r="G279" s="124">
        <f t="shared" ref="G279:G280" si="359">IF(E279="有",(I279/B279+J279+Z279/B279)/(0.8-K279-L279-M279-N279-O279-P279),(I279/B279+J279+Z279/B279)/(0.8-K279-M279-N279-O279-P279))</f>
      </c>
      <c r="H279" s="131">
        <v>44.99</v>
      </c>
      <c r="I279" s="124">
        <f t="shared" ref="I279:I280" si="1014">108/1.13</f>
      </c>
      <c r="J279" s="123">
        <v>5.79</v>
      </c>
      <c r="K279" s="126">
        <v>0.15</v>
      </c>
      <c r="L279" s="126">
        <v>0.16</v>
      </c>
      <c r="M279" s="126">
        <v>0.05</v>
      </c>
      <c r="N279" s="123">
        <f t="shared" ref="N279:N280" si="706">Q279/H279</f>
      </c>
      <c r="O279" s="127">
        <f t="shared" ref="O279:O280" si="917">0.61/H279</f>
      </c>
      <c r="P279" s="126">
        <v>0.02</v>
      </c>
      <c r="Q279" s="124">
        <v>6</v>
      </c>
      <c r="R279" s="123">
        <v>33.5</v>
      </c>
      <c r="S279" s="123">
        <v>26.5</v>
      </c>
      <c r="T279" s="123">
        <v>25</v>
      </c>
      <c r="U279" s="123">
        <v>2.3</v>
      </c>
      <c r="V279" s="124">
        <f t="shared" ref="V279:V280" si="823">R279*S279*T279/6000</f>
      </c>
      <c r="W279" s="124">
        <f t="shared" ref="W279:W280" si="227">MAX(U279:V279)</f>
      </c>
      <c r="X279" s="123" t="s">
        <v>603</v>
      </c>
      <c r="Y279" s="128">
        <v>5.55136</v>
      </c>
      <c r="Z279" s="124">
        <v>13</v>
      </c>
      <c r="AA279" s="124">
        <f t="shared" ref="AA279:AA280" si="69">H279-SUM(K279:P279)*H279-J279-I279/B279-Z279/B279</f>
      </c>
      <c r="AB279" s="127">
        <f t="shared" ref="AB279:AB280" si="619">AA279/H279</f>
      </c>
      <c r="AC279" s="123"/>
      <c r="AD279" s="130">
        <f t="shared" ref="AD279:AD280" si="437">J279/H279</f>
      </c>
      <c r="AE279" s="123">
        <f t="shared" ref="AE279:AE280" si="871">I279/7.4/H279</f>
      </c>
      <c r="AF279" s="123">
        <f t="shared" ref="AF279:AF280" si="754">Z279/7.4/H279</f>
      </c>
      <c r="AG279" s="126">
        <v>0.15</v>
      </c>
      <c r="AH279" s="123">
        <f t="shared" ref="AH279:AH280" si="147">N279</f>
      </c>
      <c r="AI279" s="126">
        <v>0.02</v>
      </c>
      <c r="AJ279" s="123">
        <f t="shared" ref="AJ279:AJ280" si="995">M279</f>
      </c>
    </row>
    <row customHeight="true" ht="13.333333333333332" r="280">
      <c r="A280" s="142" t="s">
        <v>667</v>
      </c>
      <c r="B280" s="123">
        <v>8</v>
      </c>
      <c r="C280" s="123" t="s">
        <v>606</v>
      </c>
      <c r="D280" s="123" t="s">
        <v>607</v>
      </c>
      <c r="E280" s="123" t="s">
        <v>602</v>
      </c>
      <c r="F280" s="124">
        <f t="shared" si="541"/>
      </c>
      <c r="G280" s="124">
        <f t="shared" si="359"/>
      </c>
      <c r="H280" s="131">
        <f>H279*0.85</f>
      </c>
      <c r="I280" s="124">
        <f t="shared" si="1014"/>
      </c>
      <c r="J280" s="123">
        <v>5.79</v>
      </c>
      <c r="K280" s="126">
        <v>0.15</v>
      </c>
      <c r="L280" s="126">
        <v>0.16</v>
      </c>
      <c r="M280" s="126">
        <v>0.05</v>
      </c>
      <c r="N280" s="123">
        <f t="shared" si="706"/>
      </c>
      <c r="O280" s="127">
        <f t="shared" si="917"/>
      </c>
      <c r="P280" s="126">
        <v>0.02</v>
      </c>
      <c r="Q280" s="124">
        <v>6</v>
      </c>
      <c r="R280" s="123">
        <v>33.5</v>
      </c>
      <c r="S280" s="123">
        <v>26.5</v>
      </c>
      <c r="T280" s="123">
        <v>25</v>
      </c>
      <c r="U280" s="123">
        <v>2.3</v>
      </c>
      <c r="V280" s="124">
        <f t="shared" si="823"/>
      </c>
      <c r="W280" s="124">
        <f t="shared" si="227"/>
      </c>
      <c r="X280" s="123" t="s">
        <v>603</v>
      </c>
      <c r="Y280" s="128">
        <v>5.55136</v>
      </c>
      <c r="Z280" s="124">
        <v>13</v>
      </c>
      <c r="AA280" s="124">
        <f t="shared" si="69"/>
      </c>
      <c r="AB280" s="127">
        <f t="shared" si="619"/>
      </c>
      <c r="AC280" s="123"/>
      <c r="AD280" s="130">
        <f t="shared" si="437"/>
      </c>
      <c r="AE280" s="123">
        <f t="shared" si="871"/>
      </c>
      <c r="AF280" s="123">
        <f t="shared" si="754"/>
      </c>
      <c r="AG280" s="126">
        <v>0.15</v>
      </c>
      <c r="AH280" s="123">
        <f t="shared" si="147"/>
      </c>
      <c r="AI280" s="126">
        <v>0.02</v>
      </c>
      <c r="AJ280" s="123">
        <f t="shared" si="995"/>
      </c>
    </row>
    <row customHeight="true" ht="13.333333333333332" r="281">
      <c r="A281" s="142"/>
      <c r="B281" s="123"/>
      <c r="C281" s="123"/>
      <c r="D281" s="123"/>
      <c r="E281" s="123"/>
      <c r="F281" s="124"/>
      <c r="G281" s="124"/>
      <c r="H281" s="131"/>
      <c r="I281" s="124"/>
      <c r="J281" s="123"/>
      <c r="K281" s="126"/>
      <c r="L281" s="126"/>
      <c r="M281" s="126"/>
      <c r="N281" s="126"/>
      <c r="O281" s="127"/>
      <c r="P281" s="126"/>
      <c r="Q281" s="126"/>
      <c r="R281" s="123"/>
      <c r="S281" s="123"/>
      <c r="T281" s="123"/>
      <c r="U281" s="123"/>
      <c r="V281" s="124"/>
      <c r="W281" s="124"/>
      <c r="X281" s="123"/>
      <c r="Y281" s="128"/>
      <c r="Z281" s="123"/>
      <c r="AA281" s="124"/>
      <c r="AB281" s="127"/>
      <c r="AC281" s="123"/>
      <c r="AD281" s="130"/>
      <c r="AE281" s="126"/>
      <c r="AF281" s="126"/>
      <c r="AG281" s="126"/>
      <c r="AH281" s="126"/>
      <c r="AI281" s="126"/>
      <c r="AJ281" s="126"/>
    </row>
    <row customHeight="true" ht="13.333333333333332" r="282">
      <c r="A282" s="142" t="s">
        <v>666</v>
      </c>
      <c r="B282" s="123">
        <v>8</v>
      </c>
      <c r="C282" s="123" t="s">
        <v>608</v>
      </c>
      <c r="D282" s="123" t="s">
        <v>609</v>
      </c>
      <c r="E282" s="123" t="s">
        <v>602</v>
      </c>
      <c r="F282" s="124">
        <f t="shared" ref="F282:F283" si="542">IF(E282="有",(I282/B282+J282+Z282/B282)/(0.99999-K282-L282-M282-N282),(I282/B282+J282+Z282/B282)/(0.99999-K282-M282-N282))</f>
      </c>
      <c r="G282" s="124">
        <f t="shared" ref="G282:G283" si="360">IF(E282="有",(I282/B282+J282+Z282/B282)/(0.8-K282-L282-M282-N282-O282-P282),(I282/B282+J282+Z282/B282)/(0.8-K282-M282-N282-O282-P282))</f>
      </c>
      <c r="H282" s="131">
        <v>44.99</v>
      </c>
      <c r="I282" s="124">
        <f t="shared" ref="I282:I283" si="1015">108/1.13</f>
      </c>
      <c r="J282" s="123">
        <v>4.95</v>
      </c>
      <c r="K282" s="126">
        <v>0.15</v>
      </c>
      <c r="L282" s="126">
        <v>0.16</v>
      </c>
      <c r="M282" s="126">
        <v>0.05</v>
      </c>
      <c r="N282" s="123">
        <f t="shared" ref="N282:N283" si="707">Q282/H282</f>
      </c>
      <c r="O282" s="127">
        <f t="shared" ref="O282:O283" si="918">0.61/H282</f>
      </c>
      <c r="P282" s="126">
        <v>0.02</v>
      </c>
      <c r="Q282" s="124">
        <v>6</v>
      </c>
      <c r="R282" s="123">
        <v>33.5</v>
      </c>
      <c r="S282" s="123">
        <v>26.5</v>
      </c>
      <c r="T282" s="123">
        <v>25</v>
      </c>
      <c r="U282" s="123">
        <v>2.3</v>
      </c>
      <c r="V282" s="124">
        <f t="shared" ref="V282:V283" si="824">R282*S282*T282/6000</f>
      </c>
      <c r="W282" s="124">
        <f t="shared" ref="W282:W283" si="228">MAX(U282:V282)</f>
      </c>
      <c r="X282" s="123" t="s">
        <v>603</v>
      </c>
      <c r="Y282" s="128">
        <v>5.55136</v>
      </c>
      <c r="Z282" s="124">
        <v>13</v>
      </c>
      <c r="AA282" s="124">
        <f t="shared" ref="AA282:AA283" si="70">H282-SUM(K282:P282)*H282-J282-I282/B282-Z282/B282</f>
      </c>
      <c r="AB282" s="127">
        <f t="shared" ref="AB282:AB283" si="620">AA282/H282</f>
      </c>
      <c r="AC282" s="123"/>
      <c r="AD282" s="130">
        <f t="shared" ref="AD282:AD283" si="438">J282/H282</f>
      </c>
      <c r="AE282" s="123">
        <f t="shared" ref="AE282:AE283" si="872">I282/7.4/H282</f>
      </c>
      <c r="AF282" s="123">
        <f t="shared" ref="AF282:AF283" si="755">Z282/7.4/H282</f>
      </c>
      <c r="AG282" s="126">
        <v>0.15</v>
      </c>
      <c r="AH282" s="123">
        <f t="shared" ref="AH282:AH283" si="148">N282</f>
      </c>
      <c r="AI282" s="126">
        <v>0.02</v>
      </c>
      <c r="AJ282" s="123">
        <f t="shared" ref="AJ282:AJ283" si="996">M282</f>
      </c>
    </row>
    <row customHeight="true" ht="13.333333333333332" r="283">
      <c r="A283" s="142" t="s">
        <v>667</v>
      </c>
      <c r="B283" s="123">
        <v>8</v>
      </c>
      <c r="C283" s="123" t="s">
        <v>608</v>
      </c>
      <c r="D283" s="123" t="s">
        <v>609</v>
      </c>
      <c r="E283" s="123" t="s">
        <v>602</v>
      </c>
      <c r="F283" s="124">
        <f t="shared" si="542"/>
      </c>
      <c r="G283" s="124">
        <f t="shared" si="360"/>
      </c>
      <c r="H283" s="131">
        <f>H282*0.85</f>
      </c>
      <c r="I283" s="124">
        <f t="shared" si="1015"/>
      </c>
      <c r="J283" s="123">
        <v>4.95</v>
      </c>
      <c r="K283" s="126">
        <v>0.15</v>
      </c>
      <c r="L283" s="126">
        <v>0.16</v>
      </c>
      <c r="M283" s="126">
        <v>0.05</v>
      </c>
      <c r="N283" s="123">
        <f t="shared" si="707"/>
      </c>
      <c r="O283" s="127">
        <f t="shared" si="918"/>
      </c>
      <c r="P283" s="126">
        <v>0.02</v>
      </c>
      <c r="Q283" s="124">
        <v>6</v>
      </c>
      <c r="R283" s="123">
        <v>33.5</v>
      </c>
      <c r="S283" s="123">
        <v>26.5</v>
      </c>
      <c r="T283" s="123">
        <v>25</v>
      </c>
      <c r="U283" s="123">
        <v>2.3</v>
      </c>
      <c r="V283" s="124">
        <f t="shared" si="824"/>
      </c>
      <c r="W283" s="124">
        <f t="shared" si="228"/>
      </c>
      <c r="X283" s="123" t="s">
        <v>603</v>
      </c>
      <c r="Y283" s="128">
        <v>5.55136</v>
      </c>
      <c r="Z283" s="124">
        <v>13</v>
      </c>
      <c r="AA283" s="124">
        <f t="shared" si="70"/>
      </c>
      <c r="AB283" s="127">
        <f t="shared" si="620"/>
      </c>
      <c r="AC283" s="123"/>
      <c r="AD283" s="130">
        <f t="shared" si="438"/>
      </c>
      <c r="AE283" s="123">
        <f t="shared" si="872"/>
      </c>
      <c r="AF283" s="123">
        <f t="shared" si="755"/>
      </c>
      <c r="AG283" s="126">
        <v>0.15</v>
      </c>
      <c r="AH283" s="123">
        <f t="shared" si="148"/>
      </c>
      <c r="AI283" s="126">
        <v>0.02</v>
      </c>
      <c r="AJ283" s="123">
        <f t="shared" si="996"/>
      </c>
    </row>
    <row customHeight="true" ht="13.333333333333332" r="284">
      <c r="A284" s="142"/>
      <c r="B284" s="123"/>
      <c r="C284" s="123"/>
      <c r="D284" s="123"/>
      <c r="E284" s="123"/>
      <c r="F284" s="124"/>
      <c r="G284" s="124"/>
      <c r="H284" s="131"/>
      <c r="I284" s="124"/>
      <c r="J284" s="123"/>
      <c r="K284" s="126"/>
      <c r="L284" s="126"/>
      <c r="M284" s="126"/>
      <c r="N284" s="126"/>
      <c r="O284" s="127"/>
      <c r="P284" s="126"/>
      <c r="Q284" s="126"/>
      <c r="R284" s="123"/>
      <c r="S284" s="123"/>
      <c r="T284" s="123"/>
      <c r="U284" s="123"/>
      <c r="V284" s="124"/>
      <c r="W284" s="124"/>
      <c r="X284" s="123"/>
      <c r="Y284" s="128"/>
      <c r="Z284" s="123"/>
      <c r="AA284" s="124"/>
      <c r="AB284" s="127"/>
      <c r="AC284" s="123"/>
      <c r="AD284" s="130"/>
      <c r="AE284" s="126"/>
      <c r="AF284" s="126"/>
      <c r="AG284" s="126"/>
      <c r="AH284" s="126"/>
      <c r="AI284" s="126"/>
      <c r="AJ284" s="126"/>
    </row>
    <row customHeight="true" ht="13.333333333333332" r="285">
      <c r="A285" s="142" t="s">
        <v>666</v>
      </c>
      <c r="B285" s="123">
        <v>8</v>
      </c>
      <c r="C285" s="123" t="s">
        <v>611</v>
      </c>
      <c r="D285" s="123" t="s">
        <v>612</v>
      </c>
      <c r="E285" s="123" t="s">
        <v>602</v>
      </c>
      <c r="F285" s="124">
        <f t="shared" ref="F285:F286" si="543">IF(E285="有",(I285/B285+J285+Z285/B285)/(0.99999-K285-L285-M285-N285),(I285/B285+J285+Z285/B285)/(0.99999-K285-M285-N285))</f>
      </c>
      <c r="G285" s="124">
        <f t="shared" ref="G285:G286" si="361">IF(E285="有",(I285/B285+J285+Z285/B285)/(0.8-K285-L285-M285-N285-O285-P285),(I285/B285+J285+Z285/B285)/(0.8-K285-M285-N285-O285-P285))</f>
      </c>
      <c r="H285" s="131">
        <v>44.99</v>
      </c>
      <c r="I285" s="124">
        <f t="shared" ref="I285:I286" si="1016">108/1.13</f>
      </c>
      <c r="J285" s="123">
        <v>3.95</v>
      </c>
      <c r="K285" s="126">
        <v>0.15</v>
      </c>
      <c r="L285" s="126">
        <v>0.16</v>
      </c>
      <c r="M285" s="126">
        <v>0.05</v>
      </c>
      <c r="N285" s="123">
        <f t="shared" ref="N285:N286" si="708">Q285/H285</f>
      </c>
      <c r="O285" s="127">
        <f t="shared" ref="O285:O286" si="919">0.61/H285</f>
      </c>
      <c r="P285" s="126">
        <v>0.02</v>
      </c>
      <c r="Q285" s="124">
        <v>6</v>
      </c>
      <c r="R285" s="123">
        <v>33.5</v>
      </c>
      <c r="S285" s="123">
        <v>26.5</v>
      </c>
      <c r="T285" s="123">
        <v>25</v>
      </c>
      <c r="U285" s="123">
        <v>2.3</v>
      </c>
      <c r="V285" s="124">
        <f t="shared" ref="V285:V286" si="825">R285*S285*T285/6000</f>
      </c>
      <c r="W285" s="124">
        <f t="shared" ref="W285:W286" si="229">MAX(U285:V285)</f>
      </c>
      <c r="X285" s="123" t="s">
        <v>603</v>
      </c>
      <c r="Y285" s="128">
        <v>5.55136</v>
      </c>
      <c r="Z285" s="124">
        <v>13</v>
      </c>
      <c r="AA285" s="124">
        <f t="shared" ref="AA285:AA286" si="71">H285-SUM(K285:P285)*H285-J285-I285/B285-Z285/B285</f>
      </c>
      <c r="AB285" s="127">
        <f t="shared" ref="AB285:AB286" si="621">AA285/H285</f>
      </c>
      <c r="AC285" s="123"/>
      <c r="AD285" s="130">
        <f t="shared" ref="AD285:AD286" si="439">J285/H285</f>
      </c>
      <c r="AE285" s="123">
        <f t="shared" ref="AE285:AE286" si="873">I285/7.4/H285</f>
      </c>
      <c r="AF285" s="123">
        <f t="shared" ref="AF285:AF286" si="756">Z285/7.4/H285</f>
      </c>
      <c r="AG285" s="126">
        <v>0.15</v>
      </c>
      <c r="AH285" s="123">
        <f t="shared" ref="AH285:AH286" si="149">N285</f>
      </c>
      <c r="AI285" s="126">
        <v>0.02</v>
      </c>
      <c r="AJ285" s="123">
        <f t="shared" ref="AJ285:AJ286" si="997">M285</f>
      </c>
    </row>
    <row customHeight="true" ht="13.333333333333332" r="286">
      <c r="A286" s="142" t="s">
        <v>667</v>
      </c>
      <c r="B286" s="123">
        <v>8</v>
      </c>
      <c r="C286" s="123" t="s">
        <v>611</v>
      </c>
      <c r="D286" s="123" t="s">
        <v>612</v>
      </c>
      <c r="E286" s="123" t="s">
        <v>602</v>
      </c>
      <c r="F286" s="124">
        <f t="shared" si="543"/>
      </c>
      <c r="G286" s="124">
        <f t="shared" si="361"/>
      </c>
      <c r="H286" s="131">
        <f>H285*0.85</f>
      </c>
      <c r="I286" s="124">
        <f t="shared" si="1016"/>
      </c>
      <c r="J286" s="123">
        <v>3.95</v>
      </c>
      <c r="K286" s="126">
        <v>0.15</v>
      </c>
      <c r="L286" s="126">
        <v>0.16</v>
      </c>
      <c r="M286" s="126">
        <v>0.05</v>
      </c>
      <c r="N286" s="123">
        <f t="shared" si="708"/>
      </c>
      <c r="O286" s="127">
        <f t="shared" si="919"/>
      </c>
      <c r="P286" s="126">
        <v>0.02</v>
      </c>
      <c r="Q286" s="124">
        <v>6</v>
      </c>
      <c r="R286" s="123">
        <v>33.5</v>
      </c>
      <c r="S286" s="123">
        <v>26.5</v>
      </c>
      <c r="T286" s="123">
        <v>25</v>
      </c>
      <c r="U286" s="123">
        <v>2.3</v>
      </c>
      <c r="V286" s="124">
        <f t="shared" si="825"/>
      </c>
      <c r="W286" s="124">
        <f t="shared" si="229"/>
      </c>
      <c r="X286" s="123" t="s">
        <v>603</v>
      </c>
      <c r="Y286" s="128">
        <v>5.55136</v>
      </c>
      <c r="Z286" s="124">
        <v>13</v>
      </c>
      <c r="AA286" s="124">
        <f t="shared" si="71"/>
      </c>
      <c r="AB286" s="127">
        <f t="shared" si="621"/>
      </c>
      <c r="AC286" s="123"/>
      <c r="AD286" s="130">
        <f t="shared" si="439"/>
      </c>
      <c r="AE286" s="123">
        <f t="shared" si="873"/>
      </c>
      <c r="AF286" s="123">
        <f t="shared" si="756"/>
      </c>
      <c r="AG286" s="126">
        <v>0.15</v>
      </c>
      <c r="AH286" s="123">
        <f t="shared" si="149"/>
      </c>
      <c r="AI286" s="126">
        <v>0.02</v>
      </c>
      <c r="AJ286" s="123">
        <f t="shared" si="997"/>
      </c>
    </row>
    <row customHeight="true" ht="13.333333333333332" r="287">
      <c r="A287" s="142"/>
      <c r="B287" s="123"/>
      <c r="C287" s="123"/>
      <c r="D287" s="123"/>
      <c r="E287" s="123"/>
      <c r="F287" s="124"/>
      <c r="G287" s="124"/>
      <c r="H287" s="131"/>
      <c r="I287" s="124"/>
      <c r="J287" s="123"/>
      <c r="K287" s="126"/>
      <c r="L287" s="126"/>
      <c r="M287" s="126"/>
      <c r="N287" s="126"/>
      <c r="O287" s="127"/>
      <c r="P287" s="126"/>
      <c r="Q287" s="126"/>
      <c r="R287" s="123"/>
      <c r="S287" s="123"/>
      <c r="T287" s="123"/>
      <c r="U287" s="123"/>
      <c r="V287" s="124"/>
      <c r="W287" s="124"/>
      <c r="X287" s="123"/>
      <c r="Y287" s="128"/>
      <c r="Z287" s="123"/>
      <c r="AA287" s="124"/>
      <c r="AB287" s="127"/>
      <c r="AC287" s="123"/>
      <c r="AD287" s="130"/>
      <c r="AE287" s="126"/>
      <c r="AF287" s="126"/>
      <c r="AG287" s="126"/>
      <c r="AH287" s="126"/>
      <c r="AI287" s="126"/>
      <c r="AJ287" s="126"/>
    </row>
    <row customHeight="true" ht="13.333333333333332" r="288">
      <c r="A288" s="142" t="s">
        <v>666</v>
      </c>
      <c r="B288" s="123">
        <v>9</v>
      </c>
      <c r="C288" s="123" t="s">
        <v>613</v>
      </c>
      <c r="D288" s="123" t="s">
        <v>614</v>
      </c>
      <c r="E288" s="123" t="s">
        <v>602</v>
      </c>
      <c r="F288" s="124">
        <f t="shared" ref="F288:F289" si="544">IF(E288="有",(I288/B288+J288+Z288/B288)/(0.99999-K288-L288-M288-N288),(I288/B288+J288+Z288/B288)/(0.99999-K288-M288-N288))</f>
      </c>
      <c r="G288" s="124">
        <f t="shared" ref="G288:G289" si="362">IF(E288="有",(I288/B288+J288+Z288/B288)/(0.8-K288-L288-M288-N288-O288-P288),(I288/B288+J288+Z288/B288)/(0.8-K288-M288-N288-O288-P288))</f>
      </c>
      <c r="H288" s="131">
        <v>39.99</v>
      </c>
      <c r="I288" s="124">
        <f t="shared" ref="I288:I289" si="1017">108/1.13</f>
      </c>
      <c r="J288" s="123">
        <v>3.04</v>
      </c>
      <c r="K288" s="126">
        <v>0.15</v>
      </c>
      <c r="L288" s="126">
        <v>0.16</v>
      </c>
      <c r="M288" s="126">
        <v>0.05</v>
      </c>
      <c r="N288" s="123">
        <f t="shared" ref="N288:N289" si="709">Q288/H288</f>
      </c>
      <c r="O288" s="127">
        <f t="shared" ref="O288:O289" si="920">0.61/H288</f>
      </c>
      <c r="P288" s="126">
        <v>0.02</v>
      </c>
      <c r="Q288" s="124">
        <v>6</v>
      </c>
      <c r="R288" s="123">
        <v>33.5</v>
      </c>
      <c r="S288" s="123">
        <v>26.5</v>
      </c>
      <c r="T288" s="123">
        <v>25</v>
      </c>
      <c r="U288" s="123">
        <v>2.3</v>
      </c>
      <c r="V288" s="124">
        <f t="shared" ref="V288:V289" si="826">R288*S288*T288/6000</f>
      </c>
      <c r="W288" s="124">
        <f t="shared" ref="W288:W289" si="230">MAX(U288:V288)</f>
      </c>
      <c r="X288" s="123" t="s">
        <v>603</v>
      </c>
      <c r="Y288" s="128">
        <v>6.084</v>
      </c>
      <c r="Z288" s="124">
        <v>13</v>
      </c>
      <c r="AA288" s="124">
        <f t="shared" ref="AA288:AA289" si="72">H288-SUM(K288:P288)*H288-J288-I288/B288-Z288/B288</f>
      </c>
      <c r="AB288" s="127">
        <f t="shared" ref="AB288:AB289" si="622">AA288/H288</f>
      </c>
      <c r="AC288" s="123"/>
      <c r="AD288" s="130">
        <f t="shared" ref="AD288:AD289" si="440">J288/H288</f>
      </c>
      <c r="AE288" s="123">
        <f t="shared" ref="AE288:AE289" si="874">I288/7.4/H288</f>
      </c>
      <c r="AF288" s="123">
        <f t="shared" ref="AF288:AF289" si="757">Z288/7.4/H288</f>
      </c>
      <c r="AG288" s="126">
        <v>0.15</v>
      </c>
      <c r="AH288" s="123">
        <f t="shared" ref="AH288:AH289" si="150">N288</f>
      </c>
      <c r="AI288" s="126">
        <v>0.02</v>
      </c>
      <c r="AJ288" s="123">
        <f t="shared" ref="AJ288:AJ289" si="998">M288</f>
      </c>
    </row>
    <row customHeight="true" ht="13.333333333333332" r="289">
      <c r="A289" s="142" t="s">
        <v>667</v>
      </c>
      <c r="B289" s="123">
        <v>9</v>
      </c>
      <c r="C289" s="123" t="s">
        <v>613</v>
      </c>
      <c r="D289" s="123" t="s">
        <v>614</v>
      </c>
      <c r="E289" s="123" t="s">
        <v>602</v>
      </c>
      <c r="F289" s="124">
        <f t="shared" si="544"/>
      </c>
      <c r="G289" s="124">
        <f t="shared" si="362"/>
      </c>
      <c r="H289" s="131">
        <f>H288*0.85</f>
      </c>
      <c r="I289" s="124">
        <f t="shared" si="1017"/>
      </c>
      <c r="J289" s="123">
        <v>3.04</v>
      </c>
      <c r="K289" s="126">
        <v>0.15</v>
      </c>
      <c r="L289" s="126">
        <v>0.16</v>
      </c>
      <c r="M289" s="126">
        <v>0.05</v>
      </c>
      <c r="N289" s="123">
        <f t="shared" si="709"/>
      </c>
      <c r="O289" s="127">
        <f t="shared" si="920"/>
      </c>
      <c r="P289" s="126">
        <v>0.02</v>
      </c>
      <c r="Q289" s="124">
        <v>6</v>
      </c>
      <c r="R289" s="123">
        <v>33.5</v>
      </c>
      <c r="S289" s="123">
        <v>26.5</v>
      </c>
      <c r="T289" s="123">
        <v>25</v>
      </c>
      <c r="U289" s="123">
        <v>2.3</v>
      </c>
      <c r="V289" s="124">
        <f t="shared" si="826"/>
      </c>
      <c r="W289" s="124">
        <f t="shared" si="230"/>
      </c>
      <c r="X289" s="123" t="s">
        <v>603</v>
      </c>
      <c r="Y289" s="128">
        <v>6.084</v>
      </c>
      <c r="Z289" s="124">
        <v>13</v>
      </c>
      <c r="AA289" s="124">
        <f t="shared" si="72"/>
      </c>
      <c r="AB289" s="127">
        <f t="shared" si="622"/>
      </c>
      <c r="AC289" s="123"/>
      <c r="AD289" s="130">
        <f t="shared" si="440"/>
      </c>
      <c r="AE289" s="123">
        <f t="shared" si="874"/>
      </c>
      <c r="AF289" s="123">
        <f t="shared" si="757"/>
      </c>
      <c r="AG289" s="126">
        <v>0.15</v>
      </c>
      <c r="AH289" s="123">
        <f t="shared" si="150"/>
      </c>
      <c r="AI289" s="126">
        <v>0.02</v>
      </c>
      <c r="AJ289" s="123">
        <f t="shared" si="998"/>
      </c>
    </row>
    <row customHeight="true" ht="13.333333333333332" r="290">
      <c r="F290" s="138"/>
      <c r="G290" s="138"/>
      <c r="I290" s="138"/>
      <c r="O290" s="139"/>
      <c r="Q290" s="132"/>
      <c r="V290" s="138"/>
      <c r="W290" s="138"/>
      <c r="Y290" s="140"/>
      <c r="Z290" s="138"/>
      <c r="AA290" s="138"/>
      <c r="AB290" s="139"/>
      <c r="AD290" s="141"/>
      <c r="AE290" s="132"/>
      <c r="AF290" s="132"/>
    </row>
    <row customHeight="true" ht="13.333333333333332" r="291">
      <c r="A291" s="142" t="s">
        <v>668</v>
      </c>
      <c r="B291" s="123">
        <v>8</v>
      </c>
      <c r="C291" s="123" t="s">
        <v>600</v>
      </c>
      <c r="D291" s="123" t="s">
        <v>601</v>
      </c>
      <c r="E291" s="123" t="s">
        <v>602</v>
      </c>
      <c r="F291" s="124">
        <f t="shared" ref="F291:F292" si="545">IF(E291="有",(I291/B291+J291+Z291/B291)/(0.99999-K291-L291-M291-N291),(I291/B291+J291+Z291/B291)/(0.99999-K291-M291-N291))</f>
      </c>
      <c r="G291" s="124">
        <f t="shared" ref="G291:G292" si="363">IF(E291="有",(I291/B291+J291+Z291/B291)/(0.8-K291-L291-M291-N291-O291-P291),(I291/B291+J291+Z291/B291)/(0.8-K291-M291-N291-O291-P291))</f>
      </c>
      <c r="H291" s="131">
        <v>34.99</v>
      </c>
      <c r="I291" s="124">
        <f t="shared" ref="I291:I292" si="285">61.6/1.13</f>
      </c>
      <c r="J291" s="123">
        <v>3.16</v>
      </c>
      <c r="K291" s="126">
        <v>0.15</v>
      </c>
      <c r="L291" s="126">
        <v>0.16</v>
      </c>
      <c r="M291" s="126">
        <v>0.05</v>
      </c>
      <c r="N291" s="123">
        <f t="shared" ref="N291:N292" si="710">Q291/H291</f>
      </c>
      <c r="O291" s="127">
        <f t="shared" ref="O291:O292" si="921">0.61/H291</f>
      </c>
      <c r="P291" s="126">
        <v>0.02</v>
      </c>
      <c r="Q291" s="124">
        <v>5</v>
      </c>
      <c r="R291" s="123">
        <v>33.5</v>
      </c>
      <c r="S291" s="123">
        <v>26.5</v>
      </c>
      <c r="T291" s="123">
        <v>25</v>
      </c>
      <c r="U291" s="123">
        <v>2.3</v>
      </c>
      <c r="V291" s="124">
        <f t="shared" ref="V291:V292" si="827">R291*S291*T291/6000</f>
      </c>
      <c r="W291" s="124">
        <f t="shared" ref="W291:W292" si="231">MAX(U291:V291)</f>
      </c>
      <c r="X291" s="123" t="s">
        <v>603</v>
      </c>
      <c r="Y291" s="128">
        <v>5.55136</v>
      </c>
      <c r="Z291" s="124">
        <v>6</v>
      </c>
      <c r="AA291" s="124">
        <f t="shared" ref="AA291:AA292" si="73">H291-SUM(K291:P291)*H291-J291-I291/B291-Z291/B291</f>
      </c>
      <c r="AB291" s="127">
        <f t="shared" ref="AB291:AB292" si="623">AA291/H291</f>
      </c>
      <c r="AC291" s="123"/>
      <c r="AD291" s="130">
        <f t="shared" ref="AD291:AD292" si="441">J291/H291</f>
      </c>
      <c r="AE291" s="123">
        <f>I291/7.4/H291</f>
      </c>
      <c r="AF291" s="123">
        <f>Z291/7.4/H291</f>
      </c>
      <c r="AG291" s="126">
        <v>0.15</v>
      </c>
      <c r="AH291" s="123">
        <f t="shared" ref="AH291:AH292" si="151">N291</f>
      </c>
      <c r="AI291" s="126">
        <v>0.02</v>
      </c>
      <c r="AJ291" s="123">
        <f t="shared" ref="AJ291:AJ292" si="999">M291</f>
      </c>
    </row>
    <row customHeight="true" ht="13.333333333333332" r="292">
      <c r="A292" s="142" t="s">
        <v>669</v>
      </c>
      <c r="B292" s="123">
        <v>8</v>
      </c>
      <c r="C292" s="123" t="s">
        <v>600</v>
      </c>
      <c r="D292" s="123" t="s">
        <v>601</v>
      </c>
      <c r="E292" s="123" t="s">
        <v>602</v>
      </c>
      <c r="F292" s="124">
        <f t="shared" si="545"/>
      </c>
      <c r="G292" s="124">
        <f t="shared" si="363"/>
      </c>
      <c r="H292" s="131">
        <f>H291*0.85</f>
      </c>
      <c r="I292" s="124">
        <f t="shared" si="285"/>
      </c>
      <c r="J292" s="123">
        <v>3.16</v>
      </c>
      <c r="K292" s="126">
        <v>0.15</v>
      </c>
      <c r="L292" s="126">
        <v>0.16</v>
      </c>
      <c r="M292" s="126">
        <v>0.05</v>
      </c>
      <c r="N292" s="123">
        <f t="shared" si="710"/>
      </c>
      <c r="O292" s="127">
        <f t="shared" si="921"/>
      </c>
      <c r="P292" s="126">
        <v>0.02</v>
      </c>
      <c r="Q292" s="124">
        <v>5</v>
      </c>
      <c r="R292" s="123">
        <v>33.5</v>
      </c>
      <c r="S292" s="123">
        <v>26.5</v>
      </c>
      <c r="T292" s="123">
        <v>25</v>
      </c>
      <c r="U292" s="123">
        <v>2.3</v>
      </c>
      <c r="V292" s="124">
        <f t="shared" si="827"/>
      </c>
      <c r="W292" s="124">
        <f t="shared" si="231"/>
      </c>
      <c r="X292" s="123" t="s">
        <v>603</v>
      </c>
      <c r="Y292" s="128">
        <v>5.55136</v>
      </c>
      <c r="Z292" s="124">
        <v>6</v>
      </c>
      <c r="AA292" s="124">
        <f t="shared" si="73"/>
      </c>
      <c r="AB292" s="127">
        <f t="shared" si="623"/>
      </c>
      <c r="AC292" s="123"/>
      <c r="AD292" s="130">
        <f t="shared" si="441"/>
      </c>
      <c r="AE292" s="123">
        <f>I292/B292/H292</f>
      </c>
      <c r="AF292" s="123">
        <f>Z292/B292/H292</f>
      </c>
      <c r="AG292" s="123">
        <f>K292</f>
      </c>
      <c r="AH292" s="123">
        <f t="shared" si="151"/>
      </c>
      <c r="AI292" s="126">
        <v>0.02</v>
      </c>
      <c r="AJ292" s="123">
        <f t="shared" si="999"/>
      </c>
    </row>
    <row customHeight="true" ht="13.333333333333332" r="293">
      <c r="A293" s="142"/>
      <c r="B293" s="123"/>
      <c r="C293" s="123"/>
      <c r="D293" s="123"/>
      <c r="E293" s="123"/>
      <c r="F293" s="124"/>
      <c r="G293" s="124"/>
      <c r="H293" s="131"/>
      <c r="I293" s="124"/>
      <c r="J293" s="123"/>
      <c r="K293" s="126"/>
      <c r="L293" s="126"/>
      <c r="M293" s="126"/>
      <c r="N293" s="126"/>
      <c r="O293" s="127"/>
      <c r="P293" s="126"/>
      <c r="Q293" s="124"/>
      <c r="R293" s="123"/>
      <c r="S293" s="123"/>
      <c r="T293" s="123"/>
      <c r="U293" s="123"/>
      <c r="V293" s="124"/>
      <c r="W293" s="124"/>
      <c r="X293" s="123"/>
      <c r="Y293" s="128"/>
      <c r="Z293" s="123"/>
      <c r="AA293" s="124"/>
      <c r="AB293" s="127"/>
      <c r="AC293" s="123"/>
      <c r="AD293" s="130"/>
      <c r="AE293" s="126"/>
      <c r="AF293" s="126"/>
      <c r="AG293" s="126"/>
      <c r="AH293" s="126"/>
      <c r="AI293" s="126"/>
      <c r="AJ293" s="126"/>
    </row>
    <row customHeight="true" ht="13.333333333333332" r="294">
      <c r="A294" s="142" t="s">
        <v>668</v>
      </c>
      <c r="B294" s="123">
        <v>8</v>
      </c>
      <c r="C294" s="123" t="s">
        <v>606</v>
      </c>
      <c r="D294" s="123" t="s">
        <v>607</v>
      </c>
      <c r="E294" s="123" t="s">
        <v>602</v>
      </c>
      <c r="F294" s="124">
        <f t="shared" ref="F294:F295" si="546">IF(E294="有",(I294/B294+J294+Z294/B294)/(0.99999-K294-L294-M294-N294),(I294/B294+J294+Z294/B294)/(0.99999-K294-M294-N294))</f>
      </c>
      <c r="G294" s="124">
        <f t="shared" ref="G294:G295" si="364">IF(E294="有",(I294/B294+J294+Z294/B294)/(0.8-K294-L294-M294-N294-O294-P294),(I294/B294+J294+Z294/B294)/(0.8-K294-M294-N294-O294-P294))</f>
      </c>
      <c r="H294" s="131">
        <v>34.99</v>
      </c>
      <c r="I294" s="124">
        <f t="shared" ref="I294:I295" si="286">61.6/1.13</f>
      </c>
      <c r="J294" s="123">
        <v>4.72</v>
      </c>
      <c r="K294" s="126">
        <v>0.15</v>
      </c>
      <c r="L294" s="126">
        <v>0.16</v>
      </c>
      <c r="M294" s="126">
        <v>0.05</v>
      </c>
      <c r="N294" s="123">
        <f t="shared" ref="N294:N295" si="711">Q294/H294</f>
      </c>
      <c r="O294" s="127">
        <f t="shared" ref="O294:O295" si="922">0.61/H294</f>
      </c>
      <c r="P294" s="126">
        <v>0.02</v>
      </c>
      <c r="Q294" s="124">
        <v>5</v>
      </c>
      <c r="R294" s="123">
        <v>33.5</v>
      </c>
      <c r="S294" s="123">
        <v>26.5</v>
      </c>
      <c r="T294" s="123">
        <v>25</v>
      </c>
      <c r="U294" s="123">
        <v>2.3</v>
      </c>
      <c r="V294" s="124">
        <f t="shared" ref="V294:V295" si="828">R294*S294*T294/6000</f>
      </c>
      <c r="W294" s="124">
        <f t="shared" ref="W294:W295" si="232">MAX(U294:V294)</f>
      </c>
      <c r="X294" s="123" t="s">
        <v>603</v>
      </c>
      <c r="Y294" s="128">
        <v>5.55136</v>
      </c>
      <c r="Z294" s="124">
        <v>6</v>
      </c>
      <c r="AA294" s="124">
        <f t="shared" ref="AA294:AA295" si="74">H294-SUM(K294:P294)*H294-J294-I294/B294-Z294/B294</f>
      </c>
      <c r="AB294" s="127">
        <f t="shared" ref="AB294:AB295" si="624">AA294/H294</f>
      </c>
      <c r="AC294" s="123"/>
      <c r="AD294" s="130">
        <f t="shared" ref="AD294:AD295" si="442">J294/H294</f>
      </c>
      <c r="AE294" s="123">
        <f t="shared" ref="AE294:AE295" si="875">I294/7.4/H294</f>
      </c>
      <c r="AF294" s="123">
        <f t="shared" ref="AF294:AF295" si="758">Z294/7.4/H294</f>
      </c>
      <c r="AG294" s="126">
        <v>0.15</v>
      </c>
      <c r="AH294" s="123">
        <f t="shared" ref="AH294:AH295" si="152">N294</f>
      </c>
      <c r="AI294" s="126">
        <v>0.02</v>
      </c>
      <c r="AJ294" s="123">
        <f t="shared" ref="AJ294:AJ295" si="1000">M294</f>
      </c>
    </row>
    <row customHeight="true" ht="13.333333333333332" r="295">
      <c r="A295" s="142" t="s">
        <v>669</v>
      </c>
      <c r="B295" s="123">
        <v>8</v>
      </c>
      <c r="C295" s="123" t="s">
        <v>606</v>
      </c>
      <c r="D295" s="123" t="s">
        <v>607</v>
      </c>
      <c r="E295" s="123" t="s">
        <v>602</v>
      </c>
      <c r="F295" s="124">
        <f t="shared" si="546"/>
      </c>
      <c r="G295" s="124">
        <f t="shared" si="364"/>
      </c>
      <c r="H295" s="131">
        <f>H294*0.85</f>
      </c>
      <c r="I295" s="124">
        <f t="shared" si="286"/>
      </c>
      <c r="J295" s="123">
        <v>4.72</v>
      </c>
      <c r="K295" s="126">
        <v>0.15</v>
      </c>
      <c r="L295" s="126">
        <v>0.16</v>
      </c>
      <c r="M295" s="126">
        <v>0.05</v>
      </c>
      <c r="N295" s="123">
        <f t="shared" si="711"/>
      </c>
      <c r="O295" s="127">
        <f t="shared" si="922"/>
      </c>
      <c r="P295" s="126">
        <v>0.02</v>
      </c>
      <c r="Q295" s="124">
        <v>5</v>
      </c>
      <c r="R295" s="123">
        <v>33.5</v>
      </c>
      <c r="S295" s="123">
        <v>26.5</v>
      </c>
      <c r="T295" s="123">
        <v>25</v>
      </c>
      <c r="U295" s="123">
        <v>2.3</v>
      </c>
      <c r="V295" s="124">
        <f t="shared" si="828"/>
      </c>
      <c r="W295" s="124">
        <f t="shared" si="232"/>
      </c>
      <c r="X295" s="123" t="s">
        <v>603</v>
      </c>
      <c r="Y295" s="128">
        <v>5.55136</v>
      </c>
      <c r="Z295" s="124">
        <v>6</v>
      </c>
      <c r="AA295" s="124">
        <f t="shared" si="74"/>
      </c>
      <c r="AB295" s="127">
        <f t="shared" si="624"/>
      </c>
      <c r="AC295" s="123"/>
      <c r="AD295" s="130">
        <f t="shared" si="442"/>
      </c>
      <c r="AE295" s="123">
        <f t="shared" si="875"/>
      </c>
      <c r="AF295" s="123">
        <f t="shared" si="758"/>
      </c>
      <c r="AG295" s="126">
        <v>0.15</v>
      </c>
      <c r="AH295" s="123">
        <f t="shared" si="152"/>
      </c>
      <c r="AI295" s="126">
        <v>0.02</v>
      </c>
      <c r="AJ295" s="123">
        <f t="shared" si="1000"/>
      </c>
    </row>
    <row customHeight="true" ht="13.333333333333332" r="296">
      <c r="A296" s="142"/>
      <c r="B296" s="123"/>
      <c r="C296" s="123"/>
      <c r="D296" s="123"/>
      <c r="E296" s="123"/>
      <c r="F296" s="124"/>
      <c r="G296" s="124"/>
      <c r="H296" s="131"/>
      <c r="I296" s="124"/>
      <c r="J296" s="123"/>
      <c r="K296" s="126"/>
      <c r="L296" s="126"/>
      <c r="M296" s="126"/>
      <c r="N296" s="126"/>
      <c r="O296" s="127"/>
      <c r="P296" s="126"/>
      <c r="Q296" s="126"/>
      <c r="R296" s="123"/>
      <c r="S296" s="123"/>
      <c r="T296" s="123"/>
      <c r="U296" s="123"/>
      <c r="V296" s="124"/>
      <c r="W296" s="124"/>
      <c r="X296" s="123"/>
      <c r="Y296" s="128"/>
      <c r="Z296" s="123"/>
      <c r="AA296" s="124"/>
      <c r="AB296" s="127"/>
      <c r="AC296" s="123"/>
      <c r="AD296" s="130"/>
      <c r="AE296" s="126"/>
      <c r="AF296" s="126"/>
      <c r="AG296" s="126"/>
      <c r="AH296" s="126"/>
      <c r="AI296" s="126"/>
      <c r="AJ296" s="126"/>
    </row>
    <row customHeight="true" ht="13.333333333333332" r="297">
      <c r="A297" s="142" t="s">
        <v>668</v>
      </c>
      <c r="B297" s="123">
        <v>8</v>
      </c>
      <c r="C297" s="123" t="s">
        <v>608</v>
      </c>
      <c r="D297" s="123" t="s">
        <v>609</v>
      </c>
      <c r="E297" s="123" t="s">
        <v>602</v>
      </c>
      <c r="F297" s="124">
        <f t="shared" ref="F297:F298" si="547">IF(E297="有",(I297/B297+J297+Z297/B297)/(0.99999-K297-L297-M297-N297),(I297/B297+J297+Z297/B297)/(0.99999-K297-M297-N297))</f>
      </c>
      <c r="G297" s="124">
        <f t="shared" ref="G297:G298" si="365">IF(E297="有",(I297/B297+J297+Z297/B297)/(0.8-K297-L297-M297-N297-O297-P297),(I297/B297+J297+Z297/B297)/(0.8-K297-M297-N297-O297-P297))</f>
      </c>
      <c r="H297" s="131">
        <v>34.99</v>
      </c>
      <c r="I297" s="124">
        <f t="shared" ref="I297:I298" si="287">61.6/1.13</f>
      </c>
      <c r="J297" s="123">
        <v>4.17</v>
      </c>
      <c r="K297" s="126">
        <v>0.15</v>
      </c>
      <c r="L297" s="126">
        <v>0.16</v>
      </c>
      <c r="M297" s="126">
        <v>0.05</v>
      </c>
      <c r="N297" s="123">
        <f t="shared" ref="N297:N298" si="712">Q297/H297</f>
      </c>
      <c r="O297" s="127">
        <f t="shared" ref="O297:O298" si="923">0.61/H297</f>
      </c>
      <c r="P297" s="126">
        <v>0.02</v>
      </c>
      <c r="Q297" s="124">
        <v>5</v>
      </c>
      <c r="R297" s="123">
        <v>33.5</v>
      </c>
      <c r="S297" s="123">
        <v>26.5</v>
      </c>
      <c r="T297" s="123">
        <v>25</v>
      </c>
      <c r="U297" s="123">
        <v>2.3</v>
      </c>
      <c r="V297" s="124">
        <f t="shared" ref="V297:V298" si="829">R297*S297*T297/6000</f>
      </c>
      <c r="W297" s="124">
        <f t="shared" ref="W297:W298" si="233">MAX(U297:V297)</f>
      </c>
      <c r="X297" s="123" t="s">
        <v>603</v>
      </c>
      <c r="Y297" s="128">
        <v>5.55136</v>
      </c>
      <c r="Z297" s="124">
        <v>6</v>
      </c>
      <c r="AA297" s="124">
        <f t="shared" ref="AA297:AA298" si="75">H297-SUM(K297:P297)*H297-J297-I297/B297-Z297/B297</f>
      </c>
      <c r="AB297" s="127">
        <f t="shared" ref="AB297:AB298" si="625">AA297/H297</f>
      </c>
      <c r="AC297" s="123"/>
      <c r="AD297" s="130">
        <f t="shared" ref="AD297:AD298" si="443">J297/H297</f>
      </c>
      <c r="AE297" s="123">
        <f t="shared" ref="AE297:AE298" si="876">I297/7.4/H297</f>
      </c>
      <c r="AF297" s="123">
        <f t="shared" ref="AF297:AF298" si="759">Z297/7.4/H297</f>
      </c>
      <c r="AG297" s="126">
        <v>0.15</v>
      </c>
      <c r="AH297" s="123">
        <f t="shared" ref="AH297:AH298" si="153">N297</f>
      </c>
      <c r="AI297" s="126">
        <v>0.02</v>
      </c>
      <c r="AJ297" s="123">
        <f t="shared" ref="AJ297:AJ298" si="1001">M297</f>
      </c>
    </row>
    <row customHeight="true" ht="13.333333333333332" r="298">
      <c r="A298" s="142" t="s">
        <v>669</v>
      </c>
      <c r="B298" s="123">
        <v>8</v>
      </c>
      <c r="C298" s="123" t="s">
        <v>608</v>
      </c>
      <c r="D298" s="123" t="s">
        <v>609</v>
      </c>
      <c r="E298" s="123" t="s">
        <v>602</v>
      </c>
      <c r="F298" s="124">
        <f t="shared" si="547"/>
      </c>
      <c r="G298" s="124">
        <f t="shared" si="365"/>
      </c>
      <c r="H298" s="131">
        <f>H297*0.85</f>
      </c>
      <c r="I298" s="124">
        <f t="shared" si="287"/>
      </c>
      <c r="J298" s="123">
        <v>4.17</v>
      </c>
      <c r="K298" s="126">
        <v>0.15</v>
      </c>
      <c r="L298" s="126">
        <v>0.16</v>
      </c>
      <c r="M298" s="126">
        <v>0.05</v>
      </c>
      <c r="N298" s="123">
        <f t="shared" si="712"/>
      </c>
      <c r="O298" s="127">
        <f t="shared" si="923"/>
      </c>
      <c r="P298" s="126">
        <v>0.02</v>
      </c>
      <c r="Q298" s="124">
        <v>5</v>
      </c>
      <c r="R298" s="123">
        <v>33.5</v>
      </c>
      <c r="S298" s="123">
        <v>26.5</v>
      </c>
      <c r="T298" s="123">
        <v>25</v>
      </c>
      <c r="U298" s="123">
        <v>2.3</v>
      </c>
      <c r="V298" s="124">
        <f t="shared" si="829"/>
      </c>
      <c r="W298" s="124">
        <f t="shared" si="233"/>
      </c>
      <c r="X298" s="123" t="s">
        <v>603</v>
      </c>
      <c r="Y298" s="128">
        <v>5.55136</v>
      </c>
      <c r="Z298" s="124">
        <v>6</v>
      </c>
      <c r="AA298" s="124">
        <f t="shared" si="75"/>
      </c>
      <c r="AB298" s="127">
        <f t="shared" si="625"/>
      </c>
      <c r="AC298" s="123"/>
      <c r="AD298" s="130">
        <f t="shared" si="443"/>
      </c>
      <c r="AE298" s="123">
        <f t="shared" si="876"/>
      </c>
      <c r="AF298" s="123">
        <f t="shared" si="759"/>
      </c>
      <c r="AG298" s="126">
        <v>0.15</v>
      </c>
      <c r="AH298" s="123">
        <f t="shared" si="153"/>
      </c>
      <c r="AI298" s="126">
        <v>0.02</v>
      </c>
      <c r="AJ298" s="123">
        <f t="shared" si="1001"/>
      </c>
    </row>
    <row customHeight="true" ht="13.333333333333332" r="299">
      <c r="A299" s="142"/>
      <c r="B299" s="123"/>
      <c r="C299" s="123"/>
      <c r="D299" s="123"/>
      <c r="E299" s="123"/>
      <c r="F299" s="124"/>
      <c r="G299" s="124"/>
      <c r="H299" s="131"/>
      <c r="I299" s="124"/>
      <c r="J299" s="123"/>
      <c r="K299" s="126"/>
      <c r="L299" s="126"/>
      <c r="M299" s="126"/>
      <c r="N299" s="126"/>
      <c r="O299" s="127"/>
      <c r="P299" s="126"/>
      <c r="Q299" s="126"/>
      <c r="R299" s="123"/>
      <c r="S299" s="123"/>
      <c r="T299" s="123"/>
      <c r="U299" s="123"/>
      <c r="V299" s="124"/>
      <c r="W299" s="124"/>
      <c r="X299" s="123"/>
      <c r="Y299" s="128"/>
      <c r="Z299" s="123"/>
      <c r="AA299" s="124"/>
      <c r="AB299" s="127"/>
      <c r="AC299" s="123"/>
      <c r="AD299" s="130"/>
      <c r="AE299" s="126"/>
      <c r="AF299" s="126"/>
      <c r="AG299" s="126"/>
      <c r="AH299" s="126"/>
      <c r="AI299" s="126"/>
      <c r="AJ299" s="126"/>
    </row>
    <row customHeight="true" ht="13.333333333333332" r="300">
      <c r="A300" s="142" t="s">
        <v>668</v>
      </c>
      <c r="B300" s="123">
        <v>8</v>
      </c>
      <c r="C300" s="123" t="s">
        <v>611</v>
      </c>
      <c r="D300" s="123" t="s">
        <v>612</v>
      </c>
      <c r="E300" s="123" t="s">
        <v>602</v>
      </c>
      <c r="F300" s="124">
        <f t="shared" ref="F300:F301" si="548">IF(E300="有",(I300/B300+J300+Z300/B300)/(0.99999-K300-L300-M300-N300),(I300/B300+J300+Z300/B300)/(0.99999-K300-M300-N300))</f>
      </c>
      <c r="G300" s="124">
        <f t="shared" ref="G300:G301" si="366">IF(E300="有",(I300/B300+J300+Z300/B300)/(0.8-K300-L300-M300-N300-O300-P300),(I300/B300+J300+Z300/B300)/(0.8-K300-M300-N300-O300-P300))</f>
      </c>
      <c r="H300" s="131">
        <v>34.99</v>
      </c>
      <c r="I300" s="124">
        <f t="shared" ref="I300:I301" si="288">61.6/1.13</f>
      </c>
      <c r="J300" s="123">
        <v>3.85</v>
      </c>
      <c r="K300" s="126">
        <v>0.15</v>
      </c>
      <c r="L300" s="126">
        <v>0.16</v>
      </c>
      <c r="M300" s="126">
        <v>0.05</v>
      </c>
      <c r="N300" s="123">
        <f t="shared" ref="N300:N301" si="713">Q300/H300</f>
      </c>
      <c r="O300" s="127">
        <f t="shared" ref="O300:O301" si="924">0.61/H300</f>
      </c>
      <c r="P300" s="126">
        <v>0.02</v>
      </c>
      <c r="Q300" s="124">
        <v>5</v>
      </c>
      <c r="R300" s="123">
        <v>33.5</v>
      </c>
      <c r="S300" s="123">
        <v>26.5</v>
      </c>
      <c r="T300" s="123">
        <v>25</v>
      </c>
      <c r="U300" s="123">
        <v>2.3</v>
      </c>
      <c r="V300" s="124">
        <f t="shared" ref="V300:V301" si="830">R300*S300*T300/6000</f>
      </c>
      <c r="W300" s="124">
        <f t="shared" ref="W300:W301" si="234">MAX(U300:V300)</f>
      </c>
      <c r="X300" s="123" t="s">
        <v>603</v>
      </c>
      <c r="Y300" s="128">
        <v>5.55136</v>
      </c>
      <c r="Z300" s="124">
        <v>6</v>
      </c>
      <c r="AA300" s="124">
        <f t="shared" ref="AA300:AA301" si="76">H300-SUM(K300:P300)*H300-J300-I300/B300-Z300/B300</f>
      </c>
      <c r="AB300" s="127">
        <f t="shared" ref="AB300:AB301" si="626">AA300/H300</f>
      </c>
      <c r="AC300" s="123"/>
      <c r="AD300" s="130">
        <f t="shared" ref="AD300:AD301" si="444">J300/H300</f>
      </c>
      <c r="AE300" s="123">
        <f t="shared" ref="AE300:AE301" si="877">I300/7.4/H300</f>
      </c>
      <c r="AF300" s="123">
        <f t="shared" ref="AF300:AF301" si="760">Z300/7.4/H300</f>
      </c>
      <c r="AG300" s="126">
        <v>0.15</v>
      </c>
      <c r="AH300" s="123">
        <f t="shared" ref="AH300:AH301" si="154">N300</f>
      </c>
      <c r="AI300" s="126">
        <v>0.02</v>
      </c>
      <c r="AJ300" s="123">
        <f t="shared" ref="AJ300:AJ301" si="1002">M300</f>
      </c>
    </row>
    <row customHeight="true" ht="13.333333333333332" r="301">
      <c r="A301" s="142" t="s">
        <v>669</v>
      </c>
      <c r="B301" s="123">
        <v>8</v>
      </c>
      <c r="C301" s="123" t="s">
        <v>611</v>
      </c>
      <c r="D301" s="123" t="s">
        <v>612</v>
      </c>
      <c r="E301" s="123" t="s">
        <v>602</v>
      </c>
      <c r="F301" s="124">
        <f t="shared" si="548"/>
      </c>
      <c r="G301" s="124">
        <f t="shared" si="366"/>
      </c>
      <c r="H301" s="131">
        <f>H300*0.85</f>
      </c>
      <c r="I301" s="124">
        <f t="shared" si="288"/>
      </c>
      <c r="J301" s="123">
        <v>3.85</v>
      </c>
      <c r="K301" s="126">
        <v>0.15</v>
      </c>
      <c r="L301" s="126">
        <v>0.16</v>
      </c>
      <c r="M301" s="126">
        <v>0.05</v>
      </c>
      <c r="N301" s="123">
        <f t="shared" si="713"/>
      </c>
      <c r="O301" s="127">
        <f t="shared" si="924"/>
      </c>
      <c r="P301" s="126">
        <v>0.02</v>
      </c>
      <c r="Q301" s="124">
        <v>5</v>
      </c>
      <c r="R301" s="123">
        <v>33.5</v>
      </c>
      <c r="S301" s="123">
        <v>26.5</v>
      </c>
      <c r="T301" s="123">
        <v>25</v>
      </c>
      <c r="U301" s="123">
        <v>2.3</v>
      </c>
      <c r="V301" s="124">
        <f t="shared" si="830"/>
      </c>
      <c r="W301" s="124">
        <f t="shared" si="234"/>
      </c>
      <c r="X301" s="123" t="s">
        <v>603</v>
      </c>
      <c r="Y301" s="128">
        <v>5.55136</v>
      </c>
      <c r="Z301" s="124">
        <v>6</v>
      </c>
      <c r="AA301" s="124">
        <f t="shared" si="76"/>
      </c>
      <c r="AB301" s="127">
        <f t="shared" si="626"/>
      </c>
      <c r="AC301" s="123"/>
      <c r="AD301" s="130">
        <f t="shared" si="444"/>
      </c>
      <c r="AE301" s="123">
        <f t="shared" si="877"/>
      </c>
      <c r="AF301" s="123">
        <f t="shared" si="760"/>
      </c>
      <c r="AG301" s="126">
        <v>0.15</v>
      </c>
      <c r="AH301" s="123">
        <f t="shared" si="154"/>
      </c>
      <c r="AI301" s="126">
        <v>0.02</v>
      </c>
      <c r="AJ301" s="123">
        <f t="shared" si="1002"/>
      </c>
    </row>
    <row customHeight="true" ht="13.333333333333332" r="302">
      <c r="A302" s="142"/>
      <c r="B302" s="123"/>
      <c r="C302" s="123"/>
      <c r="D302" s="123"/>
      <c r="E302" s="123"/>
      <c r="F302" s="124"/>
      <c r="G302" s="124"/>
      <c r="H302" s="131"/>
      <c r="I302" s="124"/>
      <c r="J302" s="123"/>
      <c r="K302" s="126"/>
      <c r="L302" s="126"/>
      <c r="M302" s="126"/>
      <c r="N302" s="126"/>
      <c r="O302" s="127"/>
      <c r="P302" s="126"/>
      <c r="Q302" s="126"/>
      <c r="R302" s="123"/>
      <c r="S302" s="123"/>
      <c r="T302" s="123"/>
      <c r="U302" s="123"/>
      <c r="V302" s="124"/>
      <c r="W302" s="124"/>
      <c r="X302" s="123"/>
      <c r="Y302" s="128"/>
      <c r="Z302" s="123"/>
      <c r="AA302" s="124"/>
      <c r="AB302" s="127"/>
      <c r="AC302" s="123"/>
      <c r="AD302" s="130"/>
      <c r="AE302" s="126"/>
      <c r="AF302" s="126"/>
      <c r="AG302" s="126"/>
      <c r="AH302" s="126"/>
      <c r="AI302" s="126"/>
      <c r="AJ302" s="126"/>
    </row>
    <row customHeight="true" ht="13.333333333333332" r="303">
      <c r="A303" s="142" t="s">
        <v>668</v>
      </c>
      <c r="B303" s="123">
        <v>9</v>
      </c>
      <c r="C303" s="123" t="s">
        <v>613</v>
      </c>
      <c r="D303" s="123" t="s">
        <v>614</v>
      </c>
      <c r="E303" s="123" t="s">
        <v>602</v>
      </c>
      <c r="F303" s="124">
        <f t="shared" ref="F303:F304" si="549">IF(E303="有",(I303/B303+J303+Z303/B303)/(0.99999-K303-L303-M303-N303),(I303/B303+J303+Z303/B303)/(0.99999-K303-M303-N303))</f>
      </c>
      <c r="G303" s="124">
        <f t="shared" ref="G303:G304" si="367">IF(E303="有",(I303/B303+J303+Z303/B303)/(0.8-K303-L303-M303-N303-O303-P303),(I303/B303+J303+Z303/B303)/(0.8-K303-M303-N303-O303-P303))</f>
      </c>
      <c r="H303" s="131">
        <v>29.99</v>
      </c>
      <c r="I303" s="124">
        <f t="shared" ref="I303:I304" si="289">61.6/1.13</f>
      </c>
      <c r="J303" s="123">
        <v>2.94</v>
      </c>
      <c r="K303" s="126">
        <v>0.15</v>
      </c>
      <c r="L303" s="126">
        <v>0.16</v>
      </c>
      <c r="M303" s="126">
        <v>0.05</v>
      </c>
      <c r="N303" s="123">
        <f t="shared" ref="N303:N304" si="714">Q303/H303</f>
      </c>
      <c r="O303" s="127">
        <f t="shared" ref="O303:O304" si="925">0.61/H303</f>
      </c>
      <c r="P303" s="126">
        <v>0.02</v>
      </c>
      <c r="Q303" s="124">
        <v>5</v>
      </c>
      <c r="R303" s="123">
        <v>33.5</v>
      </c>
      <c r="S303" s="123">
        <v>26.5</v>
      </c>
      <c r="T303" s="123">
        <v>25</v>
      </c>
      <c r="U303" s="123">
        <v>2.3</v>
      </c>
      <c r="V303" s="124">
        <f t="shared" ref="V303:V304" si="831">R303*S303*T303/6000</f>
      </c>
      <c r="W303" s="124">
        <f t="shared" ref="W303:W304" si="235">MAX(U303:V303)</f>
      </c>
      <c r="X303" s="123" t="s">
        <v>603</v>
      </c>
      <c r="Y303" s="128">
        <v>6.084</v>
      </c>
      <c r="Z303" s="124">
        <v>6</v>
      </c>
      <c r="AA303" s="124">
        <f t="shared" ref="AA303:AA304" si="77">H303-SUM(K303:P303)*H303-J303-I303/B303-Z303/B303</f>
      </c>
      <c r="AB303" s="127">
        <f t="shared" ref="AB303:AB304" si="627">AA303/H303</f>
      </c>
      <c r="AC303" s="123"/>
      <c r="AD303" s="130">
        <f t="shared" ref="AD303:AD304" si="445">J303/H303</f>
      </c>
      <c r="AE303" s="123">
        <f t="shared" ref="AE303:AE304" si="878">I303/7.4/H303</f>
      </c>
      <c r="AF303" s="123">
        <f t="shared" ref="AF303:AF304" si="761">Z303/7.4/H303</f>
      </c>
      <c r="AG303" s="126">
        <v>0.15</v>
      </c>
      <c r="AH303" s="123">
        <f t="shared" ref="AH303:AH304" si="155">N303</f>
      </c>
      <c r="AI303" s="126">
        <v>0.02</v>
      </c>
      <c r="AJ303" s="123">
        <f t="shared" ref="AJ303:AJ304" si="1003">M303</f>
      </c>
    </row>
    <row customHeight="true" ht="13.333333333333332" r="304">
      <c r="A304" s="142" t="s">
        <v>669</v>
      </c>
      <c r="B304" s="123">
        <v>9</v>
      </c>
      <c r="C304" s="123" t="s">
        <v>613</v>
      </c>
      <c r="D304" s="123" t="s">
        <v>614</v>
      </c>
      <c r="E304" s="123" t="s">
        <v>602</v>
      </c>
      <c r="F304" s="124">
        <f t="shared" si="549"/>
      </c>
      <c r="G304" s="124">
        <f t="shared" si="367"/>
      </c>
      <c r="H304" s="131">
        <f>H303*0.85</f>
      </c>
      <c r="I304" s="124">
        <f t="shared" si="289"/>
      </c>
      <c r="J304" s="123">
        <v>2.94</v>
      </c>
      <c r="K304" s="126">
        <v>0.15</v>
      </c>
      <c r="L304" s="126">
        <v>0.16</v>
      </c>
      <c r="M304" s="126">
        <v>0.05</v>
      </c>
      <c r="N304" s="123">
        <f t="shared" si="714"/>
      </c>
      <c r="O304" s="127">
        <f t="shared" si="925"/>
      </c>
      <c r="P304" s="126">
        <v>0.02</v>
      </c>
      <c r="Q304" s="124">
        <v>5</v>
      </c>
      <c r="R304" s="123">
        <v>33.5</v>
      </c>
      <c r="S304" s="123">
        <v>26.5</v>
      </c>
      <c r="T304" s="123">
        <v>25</v>
      </c>
      <c r="U304" s="123">
        <v>2.3</v>
      </c>
      <c r="V304" s="124">
        <f t="shared" si="831"/>
      </c>
      <c r="W304" s="124">
        <f t="shared" si="235"/>
      </c>
      <c r="X304" s="123" t="s">
        <v>603</v>
      </c>
      <c r="Y304" s="128">
        <v>6.084</v>
      </c>
      <c r="Z304" s="124">
        <v>6</v>
      </c>
      <c r="AA304" s="124">
        <f t="shared" si="77"/>
      </c>
      <c r="AB304" s="127">
        <f t="shared" si="627"/>
      </c>
      <c r="AC304" s="123"/>
      <c r="AD304" s="130">
        <f t="shared" si="445"/>
      </c>
      <c r="AE304" s="123">
        <f t="shared" si="878"/>
      </c>
      <c r="AF304" s="123">
        <f t="shared" si="761"/>
      </c>
      <c r="AG304" s="126">
        <v>0.15</v>
      </c>
      <c r="AH304" s="123">
        <f t="shared" si="155"/>
      </c>
      <c r="AI304" s="126">
        <v>0.02</v>
      </c>
      <c r="AJ304" s="123">
        <f t="shared" si="1003"/>
      </c>
    </row>
  </sheetData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RowHeight="16"/>
  <cols>
    <col collapsed="false" customWidth="true" hidden="false" max="18" min="18" style="0" width="9.8"/>
    <col collapsed="false" customWidth="true" hidden="false" max="34" min="34" style="0" width="10.466666666666667"/>
    <col collapsed="false" customWidth="true" hidden="false" max="50" min="50" style="0" width="17.4"/>
    <col collapsed="false" customWidth="true" hidden="false" max="65" min="65" style="0" width="17.4"/>
    <col collapsed="false" customWidth="true" hidden="false" max="2" min="2" style="0" width="12.466666666666667"/>
    <col collapsed="false" customWidth="true" hidden="true" max="2" min="2" style="0" width="12.466666666666667"/>
    <col collapsed="false" customWidth="true" hidden="false" max="19" min="19" style="0" width="10.733333333333333"/>
    <col collapsed="false" customWidth="true" hidden="false" max="35" min="35" style="0" width="11.933333333333334"/>
    <col collapsed="false" customWidth="true" hidden="false" max="51" min="51" style="0" width="17.4"/>
    <col collapsed="false" customWidth="true" hidden="false" max="66" min="66" style="0" width="17.4"/>
    <col collapsed="false" customWidth="true" hidden="false" max="3" min="3" style="0" width="17.4"/>
    <col collapsed="false" customWidth="true" hidden="false" max="20" min="20" style="0" width="9.933333333333334"/>
    <col collapsed="false" customWidth="true" hidden="false" max="36" min="36" style="0" width="17.4"/>
    <col collapsed="false" customWidth="true" hidden="false" max="52" min="52" style="0" width="17.4"/>
    <col collapsed="false" customWidth="true" hidden="false" max="67" min="67" style="0" width="17.4"/>
    <col collapsed="false" customWidth="true" hidden="false" max="4" min="4" style="0" width="38.46666666666667"/>
    <col collapsed="false" customWidth="true" hidden="false" max="29" min="29" style="0" width="10.733333333333333"/>
    <col collapsed="false" customWidth="true" hidden="false" max="45" min="45" style="0" width="17.4"/>
    <col collapsed="false" customWidth="true" hidden="false" max="61" min="61" style="0" width="17.4"/>
    <col collapsed="false" customWidth="true" hidden="false" max="68" min="68" style="0" width="17.4"/>
    <col collapsed="false" customWidth="true" hidden="false" max="13" min="13" style="0" width="14.733333333333333"/>
    <col collapsed="false" customWidth="true" hidden="false" max="30" min="30" style="0" width="13"/>
    <col collapsed="false" customWidth="true" hidden="false" max="46" min="46" style="0" width="17.4"/>
    <col collapsed="false" customWidth="true" hidden="false" max="62" min="62" style="0" width="17.4"/>
    <col collapsed="false" customWidth="true" hidden="false" max="14" min="14" style="0" width="10.866666666666667"/>
    <col collapsed="false" customWidth="true" hidden="false" max="31" min="31" style="0" width="9.8"/>
    <col collapsed="false" customWidth="true" hidden="false" max="47" min="47" style="0" width="17.4"/>
    <col collapsed="false" customWidth="true" hidden="false" max="63" min="63" style="0" width="17.4"/>
    <col collapsed="false" customWidth="true" hidden="false" max="15" min="15" style="0" width="11.266666666666667"/>
    <col collapsed="false" customWidth="true" hidden="false" max="32" min="32" style="0" width="12.333333333333334"/>
    <col collapsed="false" customWidth="true" hidden="false" max="48" min="48" style="0" width="17.4"/>
    <col collapsed="false" customWidth="true" hidden="false" max="64" min="64" style="0" width="17.4"/>
    <col collapsed="false" customWidth="true" hidden="false" max="16" min="16" style="0" width="9.4"/>
    <col collapsed="false" customWidth="true" hidden="false" max="25" min="25" style="0" width="9.8"/>
    <col collapsed="false" customWidth="true" hidden="false" max="41" min="41" style="0" width="17.4"/>
    <col collapsed="false" customWidth="true" hidden="false" max="57" min="57" style="0" width="17.4"/>
    <col collapsed="false" customWidth="true" hidden="false" max="9" min="9" style="0" width="12.333333333333334"/>
    <col collapsed="false" customWidth="true" hidden="false" max="26" min="26" style="0" width="10.333333333333334"/>
    <col collapsed="false" customWidth="true" hidden="false" max="42" min="42" style="0" width="17.4"/>
    <col collapsed="false" customWidth="true" hidden="false" max="58" min="58" style="0" width="17.4"/>
    <col collapsed="false" customWidth="true" hidden="false" max="10" min="10" style="0" width="12.333333333333334"/>
    <col collapsed="false" customWidth="true" hidden="false" max="27" min="27" style="0" width="11.266666666666667"/>
    <col collapsed="false" customWidth="true" hidden="false" max="43" min="43" style="0" width="17.4"/>
    <col collapsed="false" customWidth="true" hidden="false" max="59" min="59" style="0" width="17.4"/>
    <col collapsed="false" customWidth="true" hidden="false" max="11" min="11" style="0" width="15.933333333333334"/>
    <col collapsed="false" customWidth="true" hidden="false" max="28" min="28" style="0" width="11.4"/>
    <col collapsed="false" customWidth="true" hidden="false" max="44" min="44" style="0" width="17.4"/>
    <col collapsed="false" customWidth="true" hidden="false" max="60" min="60" style="0" width="17.4"/>
    <col collapsed="false" customWidth="true" hidden="false" max="12" min="12" style="0" width="13"/>
    <col collapsed="false" customWidth="true" hidden="false" max="21" min="21" style="0" width="8.066666666666666"/>
    <col collapsed="false" customWidth="true" hidden="false" max="37" min="37" style="0" width="17.4"/>
    <col collapsed="false" customWidth="true" hidden="false" max="53" min="53" style="0" width="17.4"/>
    <col collapsed="false" customWidth="true" hidden="false" max="5" min="5" style="0" width="11.933333333333334"/>
    <col collapsed="false" customWidth="true" hidden="false" max="22" min="22" style="0" width="9.266666666666667"/>
    <col collapsed="false" customWidth="true" hidden="false" max="38" min="38" style="0" width="17.4"/>
    <col collapsed="false" customWidth="true" hidden="false" max="54" min="54" style="0" width="17.4"/>
    <col collapsed="false" customWidth="true" hidden="false" max="69" min="69" style="0" width="17.4"/>
    <col collapsed="false" customWidth="true" hidden="false" max="6" min="6" style="0" width="17.133333333333333"/>
    <col collapsed="false" customWidth="true" hidden="false" max="23" min="23" style="0" width="9"/>
    <col collapsed="false" customWidth="true" hidden="false" max="39" min="39" style="0" width="17.4"/>
    <col collapsed="false" customWidth="true" hidden="false" max="55" min="55" style="0" width="17.4"/>
    <col collapsed="false" customWidth="true" hidden="false" max="70" min="70" style="0" width="17.4"/>
    <col collapsed="false" customWidth="true" hidden="false" max="7" min="7" style="0" width="14.333333333333334"/>
    <col collapsed="false" customWidth="true" hidden="false" max="24" min="24" style="0" width="11.266666666666667"/>
    <col collapsed="false" customWidth="true" hidden="false" max="40" min="40" style="0" width="17.4"/>
    <col collapsed="false" customWidth="true" hidden="false" max="56" min="56" style="0" width="17.4"/>
    <col collapsed="false" customWidth="true" hidden="false" max="71" min="71" style="0" width="17.4"/>
    <col collapsed="false" customWidth="true" hidden="false" max="8" min="8" style="0" width="14.333333333333334"/>
    <col collapsed="false" customWidth="true" hidden="false" max="17" min="17" style="0" width="9.533333333333333"/>
    <col collapsed="false" customWidth="true" hidden="false" max="33" min="33" style="0" width="11"/>
    <col collapsed="false" customWidth="true" hidden="false" max="49" min="49" style="0" width="17.4"/>
    <col collapsed="false" customWidth="true" hidden="false" max="1" min="1" style="0" width="9.933333333333334"/>
  </cols>
  <sheetData>
    <row customHeight="true" ht="18.51851851851852" r="1">
      <c r="A1" s="143" t="s">
        <v>670</v>
      </c>
      <c r="B1" s="144" t="s">
        <v>671</v>
      </c>
      <c r="C1" s="144" t="s">
        <v>672</v>
      </c>
      <c r="D1" s="143" t="s">
        <v>673</v>
      </c>
      <c r="E1" s="145" t="s">
        <v>674</v>
      </c>
      <c r="F1" s="146" t="s">
        <v>675</v>
      </c>
      <c r="G1" s="147" t="s">
        <v>676</v>
      </c>
      <c r="H1" s="147" t="s">
        <v>677</v>
      </c>
      <c r="I1" s="147" t="s">
        <v>678</v>
      </c>
      <c r="J1" s="148" t="s">
        <v>679</v>
      </c>
      <c r="K1" s="149" t="s">
        <v>680</v>
      </c>
      <c r="L1" s="150" t="s">
        <v>681</v>
      </c>
      <c r="M1" s="143" t="s">
        <v>682</v>
      </c>
      <c r="N1" s="151" t="s">
        <v>683</v>
      </c>
      <c r="O1" s="152" t="s">
        <v>684</v>
      </c>
      <c r="P1" s="146" t="s">
        <v>685</v>
      </c>
      <c r="Q1" s="153" t="s">
        <v>686</v>
      </c>
      <c r="R1" s="154" t="s">
        <v>687</v>
      </c>
      <c r="S1" s="154" t="s">
        <v>688</v>
      </c>
      <c r="T1" s="154" t="s">
        <v>689</v>
      </c>
      <c r="U1" s="155" t="s">
        <v>690</v>
      </c>
      <c r="V1" s="156" t="s">
        <v>691</v>
      </c>
      <c r="W1" s="156" t="s">
        <v>692</v>
      </c>
      <c r="X1" s="155" t="s">
        <v>693</v>
      </c>
      <c r="Y1" s="155" t="s">
        <v>694</v>
      </c>
      <c r="Z1" s="155" t="s">
        <v>695</v>
      </c>
      <c r="AA1" s="155" t="s">
        <v>696</v>
      </c>
      <c r="AB1" s="155" t="s">
        <v>697</v>
      </c>
      <c r="AC1" s="157" t="s">
        <v>698</v>
      </c>
      <c r="AD1" s="158" t="s">
        <v>699</v>
      </c>
      <c r="AE1" s="157" t="s">
        <v>700</v>
      </c>
      <c r="AF1" s="156" t="s">
        <v>701</v>
      </c>
      <c r="AG1" s="156" t="s">
        <v>702</v>
      </c>
      <c r="AH1" s="149" t="s">
        <v>703</v>
      </c>
      <c r="AI1" s="156" t="s">
        <v>704</v>
      </c>
      <c r="AJ1" s="156" t="s">
        <v>705</v>
      </c>
      <c r="AK1" s="156" t="s">
        <v>706</v>
      </c>
      <c r="AL1" s="156" t="s">
        <v>707</v>
      </c>
      <c r="AM1" s="156" t="s">
        <v>708</v>
      </c>
      <c r="AN1" s="156" t="s">
        <v>709</v>
      </c>
      <c r="AO1" s="156" t="s">
        <v>710</v>
      </c>
      <c r="AP1" s="156" t="s">
        <v>711</v>
      </c>
      <c r="AQ1" s="156" t="s">
        <v>712</v>
      </c>
      <c r="AR1" s="156" t="s">
        <v>713</v>
      </c>
      <c r="AS1" s="156" t="s">
        <v>714</v>
      </c>
      <c r="AT1" s="159" t="s">
        <v>715</v>
      </c>
      <c r="AU1" s="159" t="s">
        <v>716</v>
      </c>
      <c r="AV1" s="159" t="s">
        <v>717</v>
      </c>
      <c r="AW1" s="159" t="s">
        <v>706</v>
      </c>
      <c r="AX1" s="159" t="s">
        <v>707</v>
      </c>
      <c r="AY1" s="159" t="s">
        <v>708</v>
      </c>
      <c r="AZ1" s="156" t="s">
        <v>709</v>
      </c>
      <c r="BA1" s="156" t="s">
        <v>710</v>
      </c>
      <c r="BB1" s="156" t="s">
        <v>711</v>
      </c>
      <c r="BC1" s="156" t="s">
        <v>712</v>
      </c>
      <c r="BD1" s="156" t="s">
        <v>713</v>
      </c>
      <c r="BE1" s="156" t="s">
        <v>714</v>
      </c>
      <c r="BF1" s="159" t="s">
        <v>718</v>
      </c>
      <c r="BG1" s="159" t="s">
        <v>716</v>
      </c>
      <c r="BH1" s="159" t="s">
        <v>717</v>
      </c>
      <c r="BI1" s="159" t="s">
        <v>706</v>
      </c>
      <c r="BJ1" s="159" t="s">
        <v>707</v>
      </c>
      <c r="BK1" s="159" t="s">
        <v>708</v>
      </c>
      <c r="BL1" s="156" t="s">
        <v>709</v>
      </c>
      <c r="BM1" s="156" t="s">
        <v>710</v>
      </c>
      <c r="BN1" s="156" t="s">
        <v>711</v>
      </c>
      <c r="BO1" s="156" t="s">
        <v>712</v>
      </c>
      <c r="BP1" s="156" t="s">
        <v>713</v>
      </c>
      <c r="BQ1" s="156" t="s">
        <v>714</v>
      </c>
      <c r="BR1" s="159" t="s">
        <v>719</v>
      </c>
      <c r="BS1" s="160" t="s">
        <v>720</v>
      </c>
    </row>
    <row customHeight="true" ht="18.51851851851852" r="2">
      <c r="A2" s="161" t="s">
        <v>721</v>
      </c>
      <c r="B2" s="161" t="s">
        <v>722</v>
      </c>
      <c r="C2" s="161" t="s">
        <v>723</v>
      </c>
      <c r="D2" s="162" t="s">
        <v>724</v>
      </c>
      <c r="E2" s="163">
        <v>52.3</v>
      </c>
      <c r="F2" s="163">
        <v>75.99</v>
      </c>
      <c r="G2" s="164">
        <f t="shared" ref="G2:G25" si="0">(F2-Z2)</f>
      </c>
      <c r="H2" s="164">
        <f t="shared" ref="H2:H25" si="64">(F2-Z2)/1.2</f>
      </c>
      <c r="I2" s="164">
        <f t="shared" ref="I2:I25" si="124">E2-N2/Q2-AB2-Y2-O2-Z2-AA2</f>
      </c>
      <c r="J2" s="165">
        <f t="shared" ref="J2:J25" si="205">I2/E2</f>
      </c>
      <c r="K2" s="166">
        <f t="shared" ref="K2:K25" si="258">F2/1.2</f>
      </c>
      <c r="L2" s="167">
        <f t="shared" ref="L2:L25" si="329">(K2-E2)/K2</f>
      </c>
      <c r="M2" s="164">
        <f t="shared" ref="M2:M25" si="374">F2/1.2-E2</f>
      </c>
      <c r="N2" s="166">
        <f t="shared" ref="N2:N25" si="416">AD2+AH2</f>
      </c>
      <c r="O2" s="166">
        <f t="shared" ref="O2:O25" si="449">IFERROR(IF(A2="UK",8.95/P2,IF(A2="DE",7.75/P2,IF(A2="FR",14.25/P2,IF(A2="IT",15.25/P2,IF(A2="ES",19.25/P2,IF(A2="NL",16.75/P2,IF(A2="PL",14.05/P2,IF(A2="SE",18.25/P2,IF(A2="BE",14.25/P2))))))))),0)</f>
      </c>
      <c r="P2" s="161">
        <v>4</v>
      </c>
      <c r="Q2" s="168">
        <v>9</v>
      </c>
      <c r="R2" s="169">
        <f t="shared" ref="R2:R25" si="20">Y2/E2</f>
      </c>
      <c r="S2" s="165">
        <f t="shared" ref="S2:S5" si="84">Y2/H2</f>
      </c>
      <c r="T2" s="169">
        <f t="shared" ref="T2:T25" si="146">Z2/E2</f>
      </c>
      <c r="U2" s="169">
        <v>0.01</v>
      </c>
      <c r="V2" s="169">
        <f t="shared" ref="V2:V25" si="280">N2/(E2*Q2)</f>
      </c>
      <c r="W2" s="169">
        <f t="shared" ref="W2:W25" si="351">O2/E2</f>
      </c>
      <c r="X2" s="170">
        <v>0.158</v>
      </c>
      <c r="Y2" s="171">
        <v>8</v>
      </c>
      <c r="Z2" s="171">
        <f>F2*0</f>
      </c>
      <c r="AA2" s="171">
        <f t="shared" ref="AA2:AA25" si="471">E2*U2</f>
      </c>
      <c r="AB2" s="166">
        <f t="shared" ref="AB2:AB25" si="493">E2*X2</f>
      </c>
      <c r="AC2" s="166">
        <v>138.5</v>
      </c>
      <c r="AD2" s="172">
        <f t="shared" ref="AD2:AD25" si="40">AC2/1.13</f>
      </c>
      <c r="AE2" s="168">
        <f t="shared" ref="AE2:AE25" si="90">AH2/Q2</f>
      </c>
      <c r="AF2" s="169">
        <f t="shared" ref="AF2:AF25" si="165">AD2/(E2*Q2)</f>
      </c>
      <c r="AG2" s="169">
        <f t="shared" ref="AG2:AG25" si="227">AE2/E2</f>
      </c>
      <c r="AH2" s="168">
        <v>35</v>
      </c>
      <c r="AI2" s="165">
        <f t="shared" ref="AI2:AI25" si="302">(K2-E2+AB2)/(K2-Z2)</f>
      </c>
      <c r="AJ2" s="169"/>
      <c r="AK2" s="169"/>
      <c r="AL2" s="169"/>
      <c r="AM2" s="169"/>
      <c r="AN2" s="169"/>
      <c r="AO2" s="169"/>
      <c r="AP2" s="169"/>
      <c r="AQ2" s="169"/>
      <c r="AR2" s="169"/>
      <c r="AS2" s="169"/>
      <c r="AT2" s="173" t="s">
        <v>725</v>
      </c>
      <c r="AU2" s="173" t="s">
        <v>725</v>
      </c>
      <c r="AV2" s="173" t="s">
        <v>725</v>
      </c>
      <c r="AW2" s="173" t="s">
        <v>725</v>
      </c>
      <c r="AX2" s="173" t="s">
        <v>725</v>
      </c>
      <c r="AY2" s="173" t="s">
        <v>725</v>
      </c>
      <c r="AZ2" s="173" t="s">
        <v>725</v>
      </c>
      <c r="BA2" s="173" t="s">
        <v>725</v>
      </c>
      <c r="BB2" s="173" t="s">
        <v>725</v>
      </c>
      <c r="BC2" s="173" t="s">
        <v>725</v>
      </c>
      <c r="BD2" s="173" t="s">
        <v>725</v>
      </c>
      <c r="BE2" s="173" t="s">
        <v>725</v>
      </c>
      <c r="BF2" s="173" t="s">
        <v>725</v>
      </c>
      <c r="BG2" s="173" t="s">
        <v>725</v>
      </c>
      <c r="BH2" s="173" t="s">
        <v>725</v>
      </c>
      <c r="BI2" s="173" t="s">
        <v>725</v>
      </c>
      <c r="BJ2" s="173" t="s">
        <v>725</v>
      </c>
      <c r="BK2" s="173" t="s">
        <v>725</v>
      </c>
      <c r="BL2" s="173" t="s">
        <v>725</v>
      </c>
      <c r="BM2" s="173" t="s">
        <v>725</v>
      </c>
      <c r="BN2" s="173" t="s">
        <v>725</v>
      </c>
      <c r="BO2" s="173" t="s">
        <v>725</v>
      </c>
      <c r="BP2" s="173" t="s">
        <v>725</v>
      </c>
      <c r="BQ2" s="173" t="s">
        <v>725</v>
      </c>
      <c r="BR2" s="174"/>
      <c r="BS2" s="161" t="str">
        <v>#VALUE!</v>
      </c>
    </row>
    <row customHeight="true" ht="18.51851851851852" r="3">
      <c r="A3" s="161" t="s">
        <v>721</v>
      </c>
      <c r="B3" s="161" t="s">
        <v>722</v>
      </c>
      <c r="C3" s="161" t="s">
        <v>723</v>
      </c>
      <c r="D3" s="162" t="s">
        <v>726</v>
      </c>
      <c r="E3" s="163">
        <v>52.3</v>
      </c>
      <c r="F3" s="163">
        <v>75.99</v>
      </c>
      <c r="G3" s="164">
        <f t="shared" si="0"/>
      </c>
      <c r="H3" s="164">
        <f t="shared" si="64"/>
      </c>
      <c r="I3" s="175">
        <f t="shared" si="124"/>
      </c>
      <c r="J3" s="165">
        <f t="shared" si="205"/>
      </c>
      <c r="K3" s="166">
        <f t="shared" si="258"/>
      </c>
      <c r="L3" s="167">
        <f t="shared" si="329"/>
      </c>
      <c r="M3" s="164">
        <f t="shared" si="374"/>
      </c>
      <c r="N3" s="166">
        <f t="shared" si="416"/>
      </c>
      <c r="O3" s="166">
        <f t="shared" si="449"/>
      </c>
      <c r="P3" s="161">
        <v>4</v>
      </c>
      <c r="Q3" s="168">
        <v>9</v>
      </c>
      <c r="R3" s="169">
        <f t="shared" si="20"/>
      </c>
      <c r="S3" s="165">
        <f t="shared" si="84"/>
      </c>
      <c r="T3" s="169">
        <f t="shared" si="146"/>
      </c>
      <c r="U3" s="169">
        <v>0.01</v>
      </c>
      <c r="V3" s="169">
        <f t="shared" si="280"/>
      </c>
      <c r="W3" s="169">
        <f t="shared" si="351"/>
      </c>
      <c r="X3" s="170">
        <v>0.158</v>
      </c>
      <c r="Y3" s="171">
        <v>8</v>
      </c>
      <c r="Z3" s="171">
        <f>F3*0.05</f>
      </c>
      <c r="AA3" s="171">
        <f t="shared" si="471"/>
      </c>
      <c r="AB3" s="166">
        <f t="shared" si="493"/>
      </c>
      <c r="AC3" s="166">
        <v>138.5</v>
      </c>
      <c r="AD3" s="172">
        <f t="shared" si="40"/>
      </c>
      <c r="AE3" s="168">
        <f t="shared" si="90"/>
      </c>
      <c r="AF3" s="169">
        <f t="shared" si="165"/>
      </c>
      <c r="AG3" s="169">
        <f t="shared" si="227"/>
      </c>
      <c r="AH3" s="168">
        <v>35</v>
      </c>
      <c r="AI3" s="165">
        <f t="shared" si="302"/>
      </c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73" t="s">
        <v>725</v>
      </c>
      <c r="AU3" s="173" t="s">
        <v>725</v>
      </c>
      <c r="AV3" s="173" t="s">
        <v>725</v>
      </c>
      <c r="AW3" s="173" t="s">
        <v>725</v>
      </c>
      <c r="AX3" s="173" t="s">
        <v>725</v>
      </c>
      <c r="AY3" s="173" t="s">
        <v>725</v>
      </c>
      <c r="AZ3" s="173" t="s">
        <v>725</v>
      </c>
      <c r="BA3" s="173" t="s">
        <v>725</v>
      </c>
      <c r="BB3" s="173" t="s">
        <v>725</v>
      </c>
      <c r="BC3" s="173" t="s">
        <v>725</v>
      </c>
      <c r="BD3" s="173" t="s">
        <v>725</v>
      </c>
      <c r="BE3" s="173" t="s">
        <v>725</v>
      </c>
      <c r="BF3" s="173" t="s">
        <v>725</v>
      </c>
      <c r="BG3" s="173" t="s">
        <v>725</v>
      </c>
      <c r="BH3" s="173" t="s">
        <v>725</v>
      </c>
      <c r="BI3" s="173" t="s">
        <v>725</v>
      </c>
      <c r="BJ3" s="173" t="s">
        <v>725</v>
      </c>
      <c r="BK3" s="173" t="s">
        <v>725</v>
      </c>
      <c r="BL3" s="173" t="s">
        <v>725</v>
      </c>
      <c r="BM3" s="173" t="s">
        <v>725</v>
      </c>
      <c r="BN3" s="173" t="s">
        <v>725</v>
      </c>
      <c r="BO3" s="173" t="s">
        <v>725</v>
      </c>
      <c r="BP3" s="173" t="s">
        <v>725</v>
      </c>
      <c r="BQ3" s="173" t="s">
        <v>725</v>
      </c>
      <c r="BR3" s="174"/>
      <c r="BS3" s="161" t="str">
        <v>#VALUE!</v>
      </c>
    </row>
    <row customHeight="true" ht="18.51851851851852" r="4">
      <c r="A4" s="161" t="s">
        <v>721</v>
      </c>
      <c r="B4" s="161" t="s">
        <v>722</v>
      </c>
      <c r="C4" s="161" t="s">
        <v>723</v>
      </c>
      <c r="D4" s="162" t="s">
        <v>727</v>
      </c>
      <c r="E4" s="163">
        <v>52.3</v>
      </c>
      <c r="F4" s="163">
        <v>75.99</v>
      </c>
      <c r="G4" s="164">
        <f t="shared" si="0"/>
      </c>
      <c r="H4" s="164">
        <f t="shared" si="64"/>
      </c>
      <c r="I4" s="164">
        <f t="shared" si="124"/>
      </c>
      <c r="J4" s="165">
        <f t="shared" si="205"/>
      </c>
      <c r="K4" s="166">
        <f t="shared" si="258"/>
      </c>
      <c r="L4" s="167">
        <f t="shared" si="329"/>
      </c>
      <c r="M4" s="164">
        <f t="shared" si="374"/>
      </c>
      <c r="N4" s="166">
        <f t="shared" si="416"/>
      </c>
      <c r="O4" s="166">
        <f t="shared" si="449"/>
      </c>
      <c r="P4" s="161">
        <v>4</v>
      </c>
      <c r="Q4" s="168">
        <v>9</v>
      </c>
      <c r="R4" s="169">
        <f t="shared" si="20"/>
      </c>
      <c r="S4" s="165">
        <f t="shared" si="84"/>
      </c>
      <c r="T4" s="169">
        <f t="shared" si="146"/>
      </c>
      <c r="U4" s="169">
        <v>0.01</v>
      </c>
      <c r="V4" s="169">
        <f t="shared" si="280"/>
      </c>
      <c r="W4" s="169">
        <f t="shared" si="351"/>
      </c>
      <c r="X4" s="170">
        <v>0.158</v>
      </c>
      <c r="Y4" s="171">
        <v>8</v>
      </c>
      <c r="Z4" s="171">
        <v>8.75</v>
      </c>
      <c r="AA4" s="171">
        <f t="shared" si="471"/>
      </c>
      <c r="AB4" s="166">
        <f t="shared" si="493"/>
      </c>
      <c r="AC4" s="166">
        <v>138.5</v>
      </c>
      <c r="AD4" s="172">
        <f t="shared" si="40"/>
      </c>
      <c r="AE4" s="168">
        <f t="shared" si="90"/>
      </c>
      <c r="AF4" s="169">
        <f t="shared" si="165"/>
      </c>
      <c r="AG4" s="169">
        <f t="shared" si="227"/>
      </c>
      <c r="AH4" s="168">
        <v>35</v>
      </c>
      <c r="AI4" s="165">
        <f t="shared" si="302"/>
      </c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73" t="s">
        <v>725</v>
      </c>
      <c r="AU4" s="173" t="s">
        <v>725</v>
      </c>
      <c r="AV4" s="173" t="s">
        <v>725</v>
      </c>
      <c r="AW4" s="173" t="s">
        <v>725</v>
      </c>
      <c r="AX4" s="173" t="s">
        <v>725</v>
      </c>
      <c r="AY4" s="173" t="s">
        <v>725</v>
      </c>
      <c r="AZ4" s="173" t="s">
        <v>725</v>
      </c>
      <c r="BA4" s="173" t="s">
        <v>725</v>
      </c>
      <c r="BB4" s="173" t="s">
        <v>725</v>
      </c>
      <c r="BC4" s="173" t="s">
        <v>725</v>
      </c>
      <c r="BD4" s="173" t="s">
        <v>725</v>
      </c>
      <c r="BE4" s="173" t="s">
        <v>725</v>
      </c>
      <c r="BF4" s="173" t="s">
        <v>725</v>
      </c>
      <c r="BG4" s="173" t="s">
        <v>725</v>
      </c>
      <c r="BH4" s="173" t="s">
        <v>725</v>
      </c>
      <c r="BI4" s="173" t="s">
        <v>725</v>
      </c>
      <c r="BJ4" s="173" t="s">
        <v>725</v>
      </c>
      <c r="BK4" s="173" t="s">
        <v>725</v>
      </c>
      <c r="BL4" s="173" t="s">
        <v>725</v>
      </c>
      <c r="BM4" s="173" t="s">
        <v>725</v>
      </c>
      <c r="BN4" s="173" t="s">
        <v>725</v>
      </c>
      <c r="BO4" s="173" t="s">
        <v>725</v>
      </c>
      <c r="BP4" s="173" t="s">
        <v>725</v>
      </c>
      <c r="BQ4" s="173" t="s">
        <v>725</v>
      </c>
      <c r="BR4" s="174"/>
      <c r="BS4" s="161" t="str">
        <v>#VALUE!</v>
      </c>
    </row>
    <row customHeight="true" ht="18.51851851851852" r="5">
      <c r="A5" s="161" t="s">
        <v>721</v>
      </c>
      <c r="B5" s="161" t="s">
        <v>722</v>
      </c>
      <c r="C5" s="161" t="s">
        <v>723</v>
      </c>
      <c r="D5" s="162" t="s">
        <v>728</v>
      </c>
      <c r="E5" s="163">
        <v>52.3</v>
      </c>
      <c r="F5" s="163">
        <v>75.99</v>
      </c>
      <c r="G5" s="164">
        <f t="shared" si="0"/>
      </c>
      <c r="H5" s="164">
        <f t="shared" si="64"/>
      </c>
      <c r="I5" s="164">
        <f t="shared" si="124"/>
      </c>
      <c r="J5" s="165">
        <f t="shared" si="205"/>
      </c>
      <c r="K5" s="166">
        <f t="shared" si="258"/>
      </c>
      <c r="L5" s="167">
        <f t="shared" si="329"/>
      </c>
      <c r="M5" s="164">
        <f t="shared" si="374"/>
      </c>
      <c r="N5" s="166">
        <f t="shared" si="416"/>
      </c>
      <c r="O5" s="166">
        <f t="shared" si="449"/>
      </c>
      <c r="P5" s="161">
        <v>4</v>
      </c>
      <c r="Q5" s="168">
        <v>9</v>
      </c>
      <c r="R5" s="169">
        <f t="shared" si="20"/>
      </c>
      <c r="S5" s="165">
        <f t="shared" si="84"/>
      </c>
      <c r="T5" s="169">
        <f t="shared" si="146"/>
      </c>
      <c r="U5" s="169">
        <v>0.01</v>
      </c>
      <c r="V5" s="169">
        <f t="shared" si="280"/>
      </c>
      <c r="W5" s="169">
        <f t="shared" si="351"/>
      </c>
      <c r="X5" s="170">
        <v>0.158</v>
      </c>
      <c r="Y5" s="171">
        <v>8</v>
      </c>
      <c r="Z5" s="171">
        <f>F5*0.15</f>
      </c>
      <c r="AA5" s="171">
        <f t="shared" si="471"/>
      </c>
      <c r="AB5" s="166">
        <f t="shared" si="493"/>
      </c>
      <c r="AC5" s="166">
        <v>138.5</v>
      </c>
      <c r="AD5" s="172">
        <f t="shared" si="40"/>
      </c>
      <c r="AE5" s="168">
        <f t="shared" si="90"/>
      </c>
      <c r="AF5" s="169">
        <f t="shared" si="165"/>
      </c>
      <c r="AG5" s="169">
        <f t="shared" si="227"/>
      </c>
      <c r="AH5" s="168">
        <v>35</v>
      </c>
      <c r="AI5" s="165">
        <f t="shared" si="302"/>
      </c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73" t="s">
        <v>725</v>
      </c>
      <c r="AU5" s="173" t="s">
        <v>725</v>
      </c>
      <c r="AV5" s="173" t="s">
        <v>725</v>
      </c>
      <c r="AW5" s="173" t="s">
        <v>725</v>
      </c>
      <c r="AX5" s="173" t="s">
        <v>725</v>
      </c>
      <c r="AY5" s="173" t="s">
        <v>725</v>
      </c>
      <c r="AZ5" s="173" t="s">
        <v>725</v>
      </c>
      <c r="BA5" s="173" t="s">
        <v>725</v>
      </c>
      <c r="BB5" s="173" t="s">
        <v>725</v>
      </c>
      <c r="BC5" s="173" t="s">
        <v>725</v>
      </c>
      <c r="BD5" s="173" t="s">
        <v>725</v>
      </c>
      <c r="BE5" s="173" t="s">
        <v>725</v>
      </c>
      <c r="BF5" s="173" t="s">
        <v>725</v>
      </c>
      <c r="BG5" s="173" t="s">
        <v>725</v>
      </c>
      <c r="BH5" s="173" t="s">
        <v>725</v>
      </c>
      <c r="BI5" s="173" t="s">
        <v>725</v>
      </c>
      <c r="BJ5" s="173" t="s">
        <v>725</v>
      </c>
      <c r="BK5" s="173" t="s">
        <v>725</v>
      </c>
      <c r="BL5" s="173" t="s">
        <v>725</v>
      </c>
      <c r="BM5" s="173" t="s">
        <v>725</v>
      </c>
      <c r="BN5" s="173" t="s">
        <v>725</v>
      </c>
      <c r="BO5" s="173" t="s">
        <v>725</v>
      </c>
      <c r="BP5" s="173" t="s">
        <v>725</v>
      </c>
      <c r="BQ5" s="173" t="s">
        <v>725</v>
      </c>
      <c r="BR5" s="174"/>
      <c r="BS5" s="161" t="str">
        <v>#VALUE!</v>
      </c>
    </row>
    <row customHeight="true" ht="18.51851851851852" r="6">
      <c r="A6" s="161" t="s">
        <v>729</v>
      </c>
      <c r="B6" s="161" t="s">
        <v>730</v>
      </c>
      <c r="C6" s="161" t="s">
        <v>731</v>
      </c>
      <c r="D6" s="162" t="s">
        <v>724</v>
      </c>
      <c r="E6" s="176">
        <v>55.85</v>
      </c>
      <c r="F6" s="163">
        <v>79.99</v>
      </c>
      <c r="G6" s="164">
        <f t="shared" si="0"/>
      </c>
      <c r="H6" s="164">
        <f t="shared" si="64"/>
      </c>
      <c r="I6" s="164">
        <f t="shared" si="124"/>
      </c>
      <c r="J6" s="165">
        <f t="shared" si="205"/>
      </c>
      <c r="K6" s="166">
        <f t="shared" si="258"/>
      </c>
      <c r="L6" s="167">
        <f t="shared" si="329"/>
      </c>
      <c r="M6" s="164">
        <f t="shared" si="374"/>
      </c>
      <c r="N6" s="166">
        <f t="shared" si="416"/>
      </c>
      <c r="O6" s="166">
        <f t="shared" si="449"/>
      </c>
      <c r="P6" s="161">
        <v>4</v>
      </c>
      <c r="Q6" s="168">
        <v>8</v>
      </c>
      <c r="R6" s="169">
        <f t="shared" si="20"/>
      </c>
      <c r="S6" s="165">
        <f t="shared" ref="S6:S25" si="515">Y6/F6</f>
      </c>
      <c r="T6" s="169">
        <f t="shared" si="146"/>
      </c>
      <c r="U6" s="169">
        <v>0.01</v>
      </c>
      <c r="V6" s="169">
        <f t="shared" si="280"/>
      </c>
      <c r="W6" s="169">
        <f t="shared" si="351"/>
      </c>
      <c r="X6" s="170">
        <v>0.1695</v>
      </c>
      <c r="Y6" s="171">
        <v>8</v>
      </c>
      <c r="Z6" s="171">
        <v>0</v>
      </c>
      <c r="AA6" s="171">
        <f t="shared" si="471"/>
      </c>
      <c r="AB6" s="166">
        <f t="shared" si="493"/>
      </c>
      <c r="AC6" s="166">
        <v>138.5</v>
      </c>
      <c r="AD6" s="172">
        <f t="shared" si="40"/>
      </c>
      <c r="AE6" s="168">
        <f t="shared" si="90"/>
      </c>
      <c r="AF6" s="169">
        <f t="shared" si="165"/>
      </c>
      <c r="AG6" s="169">
        <f t="shared" si="227"/>
      </c>
      <c r="AH6" s="168">
        <v>30</v>
      </c>
      <c r="AI6" s="165">
        <f t="shared" si="302"/>
      </c>
      <c r="AJ6" s="169"/>
      <c r="AK6" s="169"/>
      <c r="AL6" s="169"/>
      <c r="AM6" s="169"/>
      <c r="AN6" s="173"/>
      <c r="AO6" s="173"/>
      <c r="AP6" s="173"/>
      <c r="AQ6" s="173"/>
      <c r="AR6" s="173"/>
      <c r="AS6" s="173"/>
      <c r="AT6" s="173" t="s">
        <v>725</v>
      </c>
      <c r="AU6" s="173" t="s">
        <v>725</v>
      </c>
      <c r="AV6" s="173" t="s">
        <v>725</v>
      </c>
      <c r="AW6" s="173" t="s">
        <v>725</v>
      </c>
      <c r="AX6" s="173" t="s">
        <v>725</v>
      </c>
      <c r="AY6" s="173" t="s">
        <v>725</v>
      </c>
      <c r="AZ6" s="173" t="s">
        <v>725</v>
      </c>
      <c r="BA6" s="173" t="s">
        <v>725</v>
      </c>
      <c r="BB6" s="173" t="s">
        <v>725</v>
      </c>
      <c r="BC6" s="173" t="s">
        <v>725</v>
      </c>
      <c r="BD6" s="173" t="s">
        <v>725</v>
      </c>
      <c r="BE6" s="173" t="s">
        <v>725</v>
      </c>
      <c r="BF6" s="173" t="s">
        <v>725</v>
      </c>
      <c r="BG6" s="173" t="s">
        <v>725</v>
      </c>
      <c r="BH6" s="173" t="s">
        <v>725</v>
      </c>
      <c r="BI6" s="173" t="s">
        <v>725</v>
      </c>
      <c r="BJ6" s="173" t="s">
        <v>725</v>
      </c>
      <c r="BK6" s="173" t="s">
        <v>725</v>
      </c>
      <c r="BL6" s="173" t="s">
        <v>725</v>
      </c>
      <c r="BM6" s="173" t="s">
        <v>725</v>
      </c>
      <c r="BN6" s="173" t="s">
        <v>725</v>
      </c>
      <c r="BO6" s="173" t="s">
        <v>725</v>
      </c>
      <c r="BP6" s="173" t="s">
        <v>725</v>
      </c>
      <c r="BQ6" s="173" t="s">
        <v>725</v>
      </c>
      <c r="BR6" s="174"/>
      <c r="BS6" s="161" t="str">
        <v>#VALUE!</v>
      </c>
    </row>
    <row customHeight="true" ht="18.51851851851852" r="7">
      <c r="A7" s="161" t="s">
        <v>729</v>
      </c>
      <c r="B7" s="161" t="s">
        <v>730</v>
      </c>
      <c r="C7" s="161" t="s">
        <v>731</v>
      </c>
      <c r="D7" s="162" t="s">
        <v>726</v>
      </c>
      <c r="E7" s="176">
        <v>55.85</v>
      </c>
      <c r="F7" s="163">
        <v>79.99</v>
      </c>
      <c r="G7" s="164">
        <f t="shared" si="0"/>
      </c>
      <c r="H7" s="164">
        <f t="shared" si="64"/>
      </c>
      <c r="I7" s="175">
        <f t="shared" si="124"/>
      </c>
      <c r="J7" s="165">
        <f t="shared" si="205"/>
      </c>
      <c r="K7" s="166">
        <f t="shared" si="258"/>
      </c>
      <c r="L7" s="167">
        <f t="shared" si="329"/>
      </c>
      <c r="M7" s="164">
        <f t="shared" si="374"/>
      </c>
      <c r="N7" s="166">
        <f t="shared" si="416"/>
      </c>
      <c r="O7" s="166">
        <f t="shared" si="449"/>
      </c>
      <c r="P7" s="161">
        <v>4</v>
      </c>
      <c r="Q7" s="168">
        <v>8</v>
      </c>
      <c r="R7" s="169">
        <f t="shared" si="20"/>
      </c>
      <c r="S7" s="165">
        <f t="shared" si="515"/>
      </c>
      <c r="T7" s="169">
        <f t="shared" si="146"/>
      </c>
      <c r="U7" s="169">
        <v>0.01</v>
      </c>
      <c r="V7" s="169">
        <f t="shared" si="280"/>
      </c>
      <c r="W7" s="169">
        <f t="shared" si="351"/>
      </c>
      <c r="X7" s="170">
        <v>0.1695</v>
      </c>
      <c r="Y7" s="171">
        <v>8</v>
      </c>
      <c r="Z7" s="171">
        <f>F7*0.05</f>
      </c>
      <c r="AA7" s="171">
        <f t="shared" si="471"/>
      </c>
      <c r="AB7" s="166">
        <f t="shared" si="493"/>
      </c>
      <c r="AC7" s="166">
        <v>138.5</v>
      </c>
      <c r="AD7" s="172">
        <f t="shared" si="40"/>
      </c>
      <c r="AE7" s="168">
        <f t="shared" si="90"/>
      </c>
      <c r="AF7" s="169">
        <f t="shared" si="165"/>
      </c>
      <c r="AG7" s="169">
        <f t="shared" si="227"/>
      </c>
      <c r="AH7" s="168">
        <v>30</v>
      </c>
      <c r="AI7" s="165">
        <f t="shared" si="302"/>
      </c>
      <c r="AJ7" s="169"/>
      <c r="AK7" s="169"/>
      <c r="AL7" s="169"/>
      <c r="AM7" s="169"/>
      <c r="AN7" s="173"/>
      <c r="AO7" s="173"/>
      <c r="AP7" s="173"/>
      <c r="AQ7" s="173"/>
      <c r="AR7" s="173"/>
      <c r="AS7" s="173"/>
      <c r="AT7" s="173" t="s">
        <v>725</v>
      </c>
      <c r="AU7" s="173" t="s">
        <v>725</v>
      </c>
      <c r="AV7" s="173" t="s">
        <v>725</v>
      </c>
      <c r="AW7" s="173" t="s">
        <v>725</v>
      </c>
      <c r="AX7" s="173" t="s">
        <v>725</v>
      </c>
      <c r="AY7" s="173" t="s">
        <v>725</v>
      </c>
      <c r="AZ7" s="173" t="s">
        <v>725</v>
      </c>
      <c r="BA7" s="173" t="s">
        <v>725</v>
      </c>
      <c r="BB7" s="173" t="s">
        <v>725</v>
      </c>
      <c r="BC7" s="173" t="s">
        <v>725</v>
      </c>
      <c r="BD7" s="173" t="s">
        <v>725</v>
      </c>
      <c r="BE7" s="173" t="s">
        <v>725</v>
      </c>
      <c r="BF7" s="173" t="s">
        <v>725</v>
      </c>
      <c r="BG7" s="173" t="s">
        <v>725</v>
      </c>
      <c r="BH7" s="173" t="s">
        <v>725</v>
      </c>
      <c r="BI7" s="173" t="s">
        <v>725</v>
      </c>
      <c r="BJ7" s="173" t="s">
        <v>725</v>
      </c>
      <c r="BK7" s="173" t="s">
        <v>725</v>
      </c>
      <c r="BL7" s="173" t="s">
        <v>725</v>
      </c>
      <c r="BM7" s="173" t="s">
        <v>725</v>
      </c>
      <c r="BN7" s="173" t="s">
        <v>725</v>
      </c>
      <c r="BO7" s="173" t="s">
        <v>725</v>
      </c>
      <c r="BP7" s="173" t="s">
        <v>725</v>
      </c>
      <c r="BQ7" s="173" t="s">
        <v>725</v>
      </c>
      <c r="BR7" s="174"/>
      <c r="BS7" s="161" t="str">
        <v>#VALUE!</v>
      </c>
    </row>
    <row customHeight="true" ht="18.51851851851852" r="8">
      <c r="A8" s="161" t="s">
        <v>729</v>
      </c>
      <c r="B8" s="161" t="s">
        <v>730</v>
      </c>
      <c r="C8" s="161" t="s">
        <v>731</v>
      </c>
      <c r="D8" s="162" t="s">
        <v>727</v>
      </c>
      <c r="E8" s="176">
        <v>55.85</v>
      </c>
      <c r="F8" s="163">
        <v>79.99</v>
      </c>
      <c r="G8" s="164">
        <f t="shared" si="0"/>
      </c>
      <c r="H8" s="164">
        <f t="shared" si="64"/>
      </c>
      <c r="I8" s="164">
        <f t="shared" si="124"/>
      </c>
      <c r="J8" s="165">
        <f t="shared" si="205"/>
      </c>
      <c r="K8" s="166">
        <f t="shared" si="258"/>
      </c>
      <c r="L8" s="167">
        <f t="shared" si="329"/>
      </c>
      <c r="M8" s="164">
        <f t="shared" si="374"/>
      </c>
      <c r="N8" s="166">
        <f t="shared" si="416"/>
      </c>
      <c r="O8" s="166">
        <f t="shared" si="449"/>
      </c>
      <c r="P8" s="161">
        <v>4</v>
      </c>
      <c r="Q8" s="168">
        <v>8</v>
      </c>
      <c r="R8" s="169">
        <f t="shared" si="20"/>
      </c>
      <c r="S8" s="165">
        <f t="shared" si="515"/>
      </c>
      <c r="T8" s="169">
        <f t="shared" si="146"/>
      </c>
      <c r="U8" s="169">
        <v>0.01</v>
      </c>
      <c r="V8" s="169">
        <f t="shared" si="280"/>
      </c>
      <c r="W8" s="169">
        <f t="shared" si="351"/>
      </c>
      <c r="X8" s="170">
        <v>0.1695</v>
      </c>
      <c r="Y8" s="171">
        <v>8</v>
      </c>
      <c r="Z8" s="171">
        <f>F8*0.1</f>
      </c>
      <c r="AA8" s="171">
        <f t="shared" si="471"/>
      </c>
      <c r="AB8" s="166">
        <f t="shared" si="493"/>
      </c>
      <c r="AC8" s="166">
        <v>138.5</v>
      </c>
      <c r="AD8" s="172">
        <f t="shared" si="40"/>
      </c>
      <c r="AE8" s="168">
        <f t="shared" si="90"/>
      </c>
      <c r="AF8" s="169">
        <f t="shared" si="165"/>
      </c>
      <c r="AG8" s="169">
        <f t="shared" si="227"/>
      </c>
      <c r="AH8" s="168">
        <v>30</v>
      </c>
      <c r="AI8" s="165">
        <f t="shared" si="302"/>
      </c>
      <c r="AJ8" s="169"/>
      <c r="AK8" s="169"/>
      <c r="AL8" s="169"/>
      <c r="AM8" s="169"/>
      <c r="AN8" s="173"/>
      <c r="AO8" s="173"/>
      <c r="AP8" s="173"/>
      <c r="AQ8" s="173"/>
      <c r="AR8" s="173"/>
      <c r="AS8" s="173"/>
      <c r="AT8" s="173" t="s">
        <v>725</v>
      </c>
      <c r="AU8" s="173" t="s">
        <v>725</v>
      </c>
      <c r="AV8" s="173" t="s">
        <v>725</v>
      </c>
      <c r="AW8" s="173" t="s">
        <v>725</v>
      </c>
      <c r="AX8" s="173" t="s">
        <v>725</v>
      </c>
      <c r="AY8" s="173" t="s">
        <v>725</v>
      </c>
      <c r="AZ8" s="173" t="s">
        <v>725</v>
      </c>
      <c r="BA8" s="173" t="s">
        <v>725</v>
      </c>
      <c r="BB8" s="173" t="s">
        <v>725</v>
      </c>
      <c r="BC8" s="173" t="s">
        <v>725</v>
      </c>
      <c r="BD8" s="173" t="s">
        <v>725</v>
      </c>
      <c r="BE8" s="173" t="s">
        <v>725</v>
      </c>
      <c r="BF8" s="173" t="s">
        <v>725</v>
      </c>
      <c r="BG8" s="173" t="s">
        <v>725</v>
      </c>
      <c r="BH8" s="173" t="s">
        <v>725</v>
      </c>
      <c r="BI8" s="173" t="s">
        <v>725</v>
      </c>
      <c r="BJ8" s="173" t="s">
        <v>725</v>
      </c>
      <c r="BK8" s="173" t="s">
        <v>725</v>
      </c>
      <c r="BL8" s="173" t="s">
        <v>725</v>
      </c>
      <c r="BM8" s="173" t="s">
        <v>725</v>
      </c>
      <c r="BN8" s="173" t="s">
        <v>725</v>
      </c>
      <c r="BO8" s="173" t="s">
        <v>725</v>
      </c>
      <c r="BP8" s="173" t="s">
        <v>725</v>
      </c>
      <c r="BQ8" s="173" t="s">
        <v>725</v>
      </c>
      <c r="BR8" s="177"/>
      <c r="BS8" s="161" t="str">
        <v>#VALUE!</v>
      </c>
    </row>
    <row customHeight="true" ht="18.51851851851852" r="9">
      <c r="A9" s="161" t="s">
        <v>729</v>
      </c>
      <c r="B9" s="161" t="s">
        <v>730</v>
      </c>
      <c r="C9" s="161" t="s">
        <v>731</v>
      </c>
      <c r="D9" s="162" t="s">
        <v>728</v>
      </c>
      <c r="E9" s="176">
        <v>55.85</v>
      </c>
      <c r="F9" s="163">
        <v>79.99</v>
      </c>
      <c r="G9" s="164">
        <f t="shared" si="0"/>
      </c>
      <c r="H9" s="164">
        <f t="shared" si="64"/>
      </c>
      <c r="I9" s="164">
        <f t="shared" si="124"/>
      </c>
      <c r="J9" s="165">
        <f t="shared" si="205"/>
      </c>
      <c r="K9" s="166">
        <f t="shared" si="258"/>
      </c>
      <c r="L9" s="167">
        <f t="shared" si="329"/>
      </c>
      <c r="M9" s="164">
        <f t="shared" si="374"/>
      </c>
      <c r="N9" s="166">
        <f t="shared" si="416"/>
      </c>
      <c r="O9" s="166">
        <f t="shared" si="449"/>
      </c>
      <c r="P9" s="161">
        <v>4</v>
      </c>
      <c r="Q9" s="168">
        <v>8</v>
      </c>
      <c r="R9" s="169">
        <f t="shared" si="20"/>
      </c>
      <c r="S9" s="165">
        <f t="shared" si="515"/>
      </c>
      <c r="T9" s="169">
        <f t="shared" si="146"/>
      </c>
      <c r="U9" s="169">
        <v>0.01</v>
      </c>
      <c r="V9" s="169">
        <f t="shared" si="280"/>
      </c>
      <c r="W9" s="169">
        <f t="shared" si="351"/>
      </c>
      <c r="X9" s="170">
        <v>0.1695</v>
      </c>
      <c r="Y9" s="171">
        <v>8</v>
      </c>
      <c r="Z9" s="171">
        <f>F9*0.15</f>
      </c>
      <c r="AA9" s="171">
        <f t="shared" si="471"/>
      </c>
      <c r="AB9" s="166">
        <f t="shared" si="493"/>
      </c>
      <c r="AC9" s="166">
        <v>138.5</v>
      </c>
      <c r="AD9" s="172">
        <f t="shared" si="40"/>
      </c>
      <c r="AE9" s="168">
        <f t="shared" si="90"/>
      </c>
      <c r="AF9" s="169">
        <f t="shared" si="165"/>
      </c>
      <c r="AG9" s="169">
        <f t="shared" si="227"/>
      </c>
      <c r="AH9" s="168">
        <v>30</v>
      </c>
      <c r="AI9" s="165">
        <f t="shared" si="302"/>
      </c>
      <c r="AJ9" s="169"/>
      <c r="AK9" s="169"/>
      <c r="AL9" s="169"/>
      <c r="AM9" s="169"/>
      <c r="AN9" s="173"/>
      <c r="AO9" s="173"/>
      <c r="AP9" s="173"/>
      <c r="AQ9" s="173"/>
      <c r="AR9" s="173"/>
      <c r="AS9" s="173"/>
      <c r="AT9" s="173" t="s">
        <v>725</v>
      </c>
      <c r="AU9" s="173" t="s">
        <v>725</v>
      </c>
      <c r="AV9" s="173" t="s">
        <v>725</v>
      </c>
      <c r="AW9" s="173" t="s">
        <v>725</v>
      </c>
      <c r="AX9" s="173" t="s">
        <v>725</v>
      </c>
      <c r="AY9" s="173" t="s">
        <v>725</v>
      </c>
      <c r="AZ9" s="173" t="s">
        <v>725</v>
      </c>
      <c r="BA9" s="173" t="s">
        <v>725</v>
      </c>
      <c r="BB9" s="173" t="s">
        <v>725</v>
      </c>
      <c r="BC9" s="173" t="s">
        <v>725</v>
      </c>
      <c r="BD9" s="173" t="s">
        <v>725</v>
      </c>
      <c r="BE9" s="173" t="s">
        <v>725</v>
      </c>
      <c r="BF9" s="173" t="s">
        <v>725</v>
      </c>
      <c r="BG9" s="173" t="s">
        <v>725</v>
      </c>
      <c r="BH9" s="173" t="s">
        <v>725</v>
      </c>
      <c r="BI9" s="173" t="s">
        <v>725</v>
      </c>
      <c r="BJ9" s="173" t="s">
        <v>725</v>
      </c>
      <c r="BK9" s="173" t="s">
        <v>725</v>
      </c>
      <c r="BL9" s="173" t="s">
        <v>725</v>
      </c>
      <c r="BM9" s="173" t="s">
        <v>725</v>
      </c>
      <c r="BN9" s="173" t="s">
        <v>725</v>
      </c>
      <c r="BO9" s="173" t="s">
        <v>725</v>
      </c>
      <c r="BP9" s="173" t="s">
        <v>725</v>
      </c>
      <c r="BQ9" s="173" t="s">
        <v>725</v>
      </c>
      <c r="BR9" s="174"/>
      <c r="BS9" s="161" t="str">
        <v>#VALUE!</v>
      </c>
    </row>
    <row customHeight="true" ht="18.51851851851852" r="10">
      <c r="A10" s="161" t="s">
        <v>732</v>
      </c>
      <c r="B10" s="161" t="s">
        <v>730</v>
      </c>
      <c r="C10" s="161" t="s">
        <v>731</v>
      </c>
      <c r="D10" s="162" t="s">
        <v>724</v>
      </c>
      <c r="E10" s="176">
        <v>58</v>
      </c>
      <c r="F10" s="163">
        <v>84.99</v>
      </c>
      <c r="G10" s="164">
        <f t="shared" si="0"/>
      </c>
      <c r="H10" s="164">
        <f t="shared" si="64"/>
      </c>
      <c r="I10" s="164">
        <f t="shared" si="124"/>
      </c>
      <c r="J10" s="165">
        <f t="shared" si="205"/>
      </c>
      <c r="K10" s="166">
        <f t="shared" si="258"/>
      </c>
      <c r="L10" s="167">
        <f t="shared" si="329"/>
      </c>
      <c r="M10" s="164">
        <f t="shared" si="374"/>
      </c>
      <c r="N10" s="166">
        <f t="shared" si="416"/>
      </c>
      <c r="O10" s="166">
        <f t="shared" si="449"/>
      </c>
      <c r="P10" s="161">
        <v>4</v>
      </c>
      <c r="Q10" s="168">
        <v>8</v>
      </c>
      <c r="R10" s="169">
        <f t="shared" si="20"/>
      </c>
      <c r="S10" s="165">
        <f t="shared" si="515"/>
      </c>
      <c r="T10" s="169">
        <f t="shared" si="146"/>
      </c>
      <c r="U10" s="169">
        <v>0.01</v>
      </c>
      <c r="V10" s="169">
        <f t="shared" si="280"/>
      </c>
      <c r="W10" s="169">
        <f t="shared" si="351"/>
      </c>
      <c r="X10" s="170">
        <v>0.198</v>
      </c>
      <c r="Y10" s="171">
        <v>8</v>
      </c>
      <c r="Z10" s="171">
        <v>0</v>
      </c>
      <c r="AA10" s="171">
        <f t="shared" si="471"/>
      </c>
      <c r="AB10" s="166">
        <f t="shared" si="493"/>
      </c>
      <c r="AC10" s="166">
        <v>138.5</v>
      </c>
      <c r="AD10" s="172">
        <f t="shared" si="40"/>
      </c>
      <c r="AE10" s="168">
        <f t="shared" si="90"/>
      </c>
      <c r="AF10" s="169">
        <f t="shared" si="165"/>
      </c>
      <c r="AG10" s="169">
        <f t="shared" si="227"/>
      </c>
      <c r="AH10" s="168">
        <v>30</v>
      </c>
      <c r="AI10" s="165">
        <f t="shared" si="302"/>
      </c>
      <c r="AJ10" s="169"/>
      <c r="AK10" s="169"/>
      <c r="AL10" s="169"/>
      <c r="AM10" s="169"/>
      <c r="AN10" s="173"/>
      <c r="AO10" s="173"/>
      <c r="AP10" s="173"/>
      <c r="AQ10" s="173"/>
      <c r="AR10" s="173"/>
      <c r="AS10" s="173"/>
      <c r="AT10" s="173" t="s">
        <v>725</v>
      </c>
      <c r="AU10" s="173" t="s">
        <v>725</v>
      </c>
      <c r="AV10" s="173" t="s">
        <v>725</v>
      </c>
      <c r="AW10" s="173" t="s">
        <v>725</v>
      </c>
      <c r="AX10" s="173" t="s">
        <v>725</v>
      </c>
      <c r="AY10" s="173" t="s">
        <v>725</v>
      </c>
      <c r="AZ10" s="173" t="s">
        <v>725</v>
      </c>
      <c r="BA10" s="173" t="s">
        <v>725</v>
      </c>
      <c r="BB10" s="173" t="s">
        <v>725</v>
      </c>
      <c r="BC10" s="173" t="s">
        <v>725</v>
      </c>
      <c r="BD10" s="173" t="s">
        <v>725</v>
      </c>
      <c r="BE10" s="173" t="s">
        <v>725</v>
      </c>
      <c r="BF10" s="173" t="s">
        <v>725</v>
      </c>
      <c r="BG10" s="173" t="s">
        <v>725</v>
      </c>
      <c r="BH10" s="173" t="s">
        <v>725</v>
      </c>
      <c r="BI10" s="173" t="s">
        <v>725</v>
      </c>
      <c r="BJ10" s="173" t="s">
        <v>725</v>
      </c>
      <c r="BK10" s="173" t="s">
        <v>725</v>
      </c>
      <c r="BL10" s="173" t="s">
        <v>725</v>
      </c>
      <c r="BM10" s="173" t="s">
        <v>725</v>
      </c>
      <c r="BN10" s="173" t="s">
        <v>725</v>
      </c>
      <c r="BO10" s="173" t="s">
        <v>725</v>
      </c>
      <c r="BP10" s="173" t="s">
        <v>725</v>
      </c>
      <c r="BQ10" s="173" t="s">
        <v>725</v>
      </c>
      <c r="BR10" s="174"/>
      <c r="BS10" s="161" t="str">
        <v>#VALUE!</v>
      </c>
    </row>
    <row customHeight="true" ht="18.51851851851852" r="11">
      <c r="A11" s="161" t="s">
        <v>732</v>
      </c>
      <c r="B11" s="161" t="s">
        <v>730</v>
      </c>
      <c r="C11" s="161" t="s">
        <v>731</v>
      </c>
      <c r="D11" s="162" t="s">
        <v>726</v>
      </c>
      <c r="E11" s="176">
        <v>58</v>
      </c>
      <c r="F11" s="163">
        <v>84.99</v>
      </c>
      <c r="G11" s="164">
        <f t="shared" si="0"/>
      </c>
      <c r="H11" s="164">
        <f t="shared" si="64"/>
      </c>
      <c r="I11" s="175">
        <f t="shared" si="124"/>
      </c>
      <c r="J11" s="165">
        <f t="shared" si="205"/>
      </c>
      <c r="K11" s="166">
        <f t="shared" si="258"/>
      </c>
      <c r="L11" s="167">
        <f t="shared" si="329"/>
      </c>
      <c r="M11" s="164">
        <f t="shared" si="374"/>
      </c>
      <c r="N11" s="166">
        <f t="shared" si="416"/>
      </c>
      <c r="O11" s="166">
        <f t="shared" si="449"/>
      </c>
      <c r="P11" s="161">
        <v>4</v>
      </c>
      <c r="Q11" s="168">
        <v>8</v>
      </c>
      <c r="R11" s="169">
        <f t="shared" si="20"/>
      </c>
      <c r="S11" s="165">
        <f t="shared" si="515"/>
      </c>
      <c r="T11" s="169">
        <f t="shared" si="146"/>
      </c>
      <c r="U11" s="169">
        <v>0.01</v>
      </c>
      <c r="V11" s="169">
        <f t="shared" si="280"/>
      </c>
      <c r="W11" s="169">
        <f t="shared" si="351"/>
      </c>
      <c r="X11" s="170">
        <v>0.198</v>
      </c>
      <c r="Y11" s="171">
        <v>8</v>
      </c>
      <c r="Z11" s="171">
        <f>F11*0.05</f>
      </c>
      <c r="AA11" s="171">
        <f t="shared" si="471"/>
      </c>
      <c r="AB11" s="166">
        <f t="shared" si="493"/>
      </c>
      <c r="AC11" s="166">
        <v>138.5</v>
      </c>
      <c r="AD11" s="172">
        <f t="shared" si="40"/>
      </c>
      <c r="AE11" s="168">
        <f t="shared" si="90"/>
      </c>
      <c r="AF11" s="169">
        <f t="shared" si="165"/>
      </c>
      <c r="AG11" s="169">
        <f t="shared" si="227"/>
      </c>
      <c r="AH11" s="168">
        <v>30</v>
      </c>
      <c r="AI11" s="165">
        <f t="shared" si="302"/>
      </c>
      <c r="AJ11" s="169"/>
      <c r="AK11" s="169"/>
      <c r="AL11" s="169"/>
      <c r="AM11" s="169"/>
      <c r="AN11" s="173"/>
      <c r="AO11" s="173"/>
      <c r="AP11" s="173"/>
      <c r="AQ11" s="173"/>
      <c r="AR11" s="173"/>
      <c r="AS11" s="173"/>
      <c r="AT11" s="173" t="s">
        <v>725</v>
      </c>
      <c r="AU11" s="173" t="s">
        <v>725</v>
      </c>
      <c r="AV11" s="173" t="s">
        <v>725</v>
      </c>
      <c r="AW11" s="173" t="s">
        <v>725</v>
      </c>
      <c r="AX11" s="173" t="s">
        <v>725</v>
      </c>
      <c r="AY11" s="173" t="s">
        <v>725</v>
      </c>
      <c r="AZ11" s="173" t="s">
        <v>725</v>
      </c>
      <c r="BA11" s="173" t="s">
        <v>725</v>
      </c>
      <c r="BB11" s="173" t="s">
        <v>725</v>
      </c>
      <c r="BC11" s="173" t="s">
        <v>725</v>
      </c>
      <c r="BD11" s="173" t="s">
        <v>725</v>
      </c>
      <c r="BE11" s="173" t="s">
        <v>725</v>
      </c>
      <c r="BF11" s="173" t="s">
        <v>725</v>
      </c>
      <c r="BG11" s="173" t="s">
        <v>725</v>
      </c>
      <c r="BH11" s="173" t="s">
        <v>725</v>
      </c>
      <c r="BI11" s="173" t="s">
        <v>725</v>
      </c>
      <c r="BJ11" s="173" t="s">
        <v>725</v>
      </c>
      <c r="BK11" s="173" t="s">
        <v>725</v>
      </c>
      <c r="BL11" s="173" t="s">
        <v>725</v>
      </c>
      <c r="BM11" s="173" t="s">
        <v>725</v>
      </c>
      <c r="BN11" s="173" t="s">
        <v>725</v>
      </c>
      <c r="BO11" s="173" t="s">
        <v>725</v>
      </c>
      <c r="BP11" s="173" t="s">
        <v>725</v>
      </c>
      <c r="BQ11" s="173" t="s">
        <v>725</v>
      </c>
      <c r="BR11" s="174"/>
      <c r="BS11" s="161" t="str">
        <v>#VALUE!</v>
      </c>
    </row>
    <row customHeight="true" ht="18.51851851851852" r="12">
      <c r="A12" s="161" t="s">
        <v>732</v>
      </c>
      <c r="B12" s="161" t="s">
        <v>730</v>
      </c>
      <c r="C12" s="161" t="s">
        <v>731</v>
      </c>
      <c r="D12" s="162" t="s">
        <v>727</v>
      </c>
      <c r="E12" s="176">
        <v>58</v>
      </c>
      <c r="F12" s="163">
        <v>84.99</v>
      </c>
      <c r="G12" s="164">
        <f t="shared" si="0"/>
      </c>
      <c r="H12" s="164">
        <f t="shared" si="64"/>
      </c>
      <c r="I12" s="164">
        <f t="shared" si="124"/>
      </c>
      <c r="J12" s="165">
        <f t="shared" si="205"/>
      </c>
      <c r="K12" s="166">
        <f t="shared" si="258"/>
      </c>
      <c r="L12" s="167">
        <f t="shared" si="329"/>
      </c>
      <c r="M12" s="164">
        <f t="shared" si="374"/>
      </c>
      <c r="N12" s="166">
        <f t="shared" si="416"/>
      </c>
      <c r="O12" s="166">
        <f t="shared" si="449"/>
      </c>
      <c r="P12" s="161">
        <v>4</v>
      </c>
      <c r="Q12" s="168">
        <v>8</v>
      </c>
      <c r="R12" s="169">
        <f t="shared" si="20"/>
      </c>
      <c r="S12" s="165">
        <f t="shared" si="515"/>
      </c>
      <c r="T12" s="169">
        <f t="shared" si="146"/>
      </c>
      <c r="U12" s="169">
        <v>0.01</v>
      </c>
      <c r="V12" s="169">
        <f t="shared" si="280"/>
      </c>
      <c r="W12" s="169">
        <f t="shared" si="351"/>
      </c>
      <c r="X12" s="170">
        <v>0.198</v>
      </c>
      <c r="Y12" s="171">
        <v>8</v>
      </c>
      <c r="Z12" s="171">
        <f>F12*0.1</f>
      </c>
      <c r="AA12" s="171">
        <f t="shared" si="471"/>
      </c>
      <c r="AB12" s="166">
        <f t="shared" si="493"/>
      </c>
      <c r="AC12" s="166">
        <v>138.5</v>
      </c>
      <c r="AD12" s="172">
        <f t="shared" si="40"/>
      </c>
      <c r="AE12" s="168">
        <f t="shared" si="90"/>
      </c>
      <c r="AF12" s="169">
        <f t="shared" si="165"/>
      </c>
      <c r="AG12" s="169">
        <f t="shared" si="227"/>
      </c>
      <c r="AH12" s="168">
        <v>30</v>
      </c>
      <c r="AI12" s="165">
        <f t="shared" si="302"/>
      </c>
      <c r="AJ12" s="169"/>
      <c r="AK12" s="169"/>
      <c r="AL12" s="169"/>
      <c r="AM12" s="169"/>
      <c r="AN12" s="173"/>
      <c r="AO12" s="173"/>
      <c r="AP12" s="173"/>
      <c r="AQ12" s="173"/>
      <c r="AR12" s="173"/>
      <c r="AS12" s="173"/>
      <c r="AT12" s="173" t="s">
        <v>725</v>
      </c>
      <c r="AU12" s="173" t="s">
        <v>725</v>
      </c>
      <c r="AV12" s="173" t="s">
        <v>725</v>
      </c>
      <c r="AW12" s="173" t="s">
        <v>725</v>
      </c>
      <c r="AX12" s="173" t="s">
        <v>725</v>
      </c>
      <c r="AY12" s="173" t="s">
        <v>725</v>
      </c>
      <c r="AZ12" s="173" t="s">
        <v>725</v>
      </c>
      <c r="BA12" s="173" t="s">
        <v>725</v>
      </c>
      <c r="BB12" s="173" t="s">
        <v>725</v>
      </c>
      <c r="BC12" s="173" t="s">
        <v>725</v>
      </c>
      <c r="BD12" s="173" t="s">
        <v>725</v>
      </c>
      <c r="BE12" s="173" t="s">
        <v>725</v>
      </c>
      <c r="BF12" s="173" t="s">
        <v>725</v>
      </c>
      <c r="BG12" s="173" t="s">
        <v>725</v>
      </c>
      <c r="BH12" s="173" t="s">
        <v>725</v>
      </c>
      <c r="BI12" s="173" t="s">
        <v>725</v>
      </c>
      <c r="BJ12" s="173" t="s">
        <v>725</v>
      </c>
      <c r="BK12" s="173" t="s">
        <v>725</v>
      </c>
      <c r="BL12" s="173" t="s">
        <v>725</v>
      </c>
      <c r="BM12" s="173" t="s">
        <v>725</v>
      </c>
      <c r="BN12" s="173" t="s">
        <v>725</v>
      </c>
      <c r="BO12" s="173" t="s">
        <v>725</v>
      </c>
      <c r="BP12" s="173" t="s">
        <v>725</v>
      </c>
      <c r="BQ12" s="173" t="s">
        <v>725</v>
      </c>
      <c r="BR12" s="174"/>
      <c r="BS12" s="161" t="str">
        <v>#VALUE!</v>
      </c>
    </row>
    <row customHeight="true" ht="18.51851851851852" r="13">
      <c r="A13" s="161" t="s">
        <v>732</v>
      </c>
      <c r="B13" s="161" t="s">
        <v>730</v>
      </c>
      <c r="C13" s="161" t="s">
        <v>731</v>
      </c>
      <c r="D13" s="162" t="s">
        <v>728</v>
      </c>
      <c r="E13" s="176">
        <v>58</v>
      </c>
      <c r="F13" s="163">
        <v>84.99</v>
      </c>
      <c r="G13" s="164">
        <f t="shared" si="0"/>
      </c>
      <c r="H13" s="164">
        <f t="shared" si="64"/>
      </c>
      <c r="I13" s="164">
        <f t="shared" si="124"/>
      </c>
      <c r="J13" s="165">
        <f t="shared" si="205"/>
      </c>
      <c r="K13" s="166">
        <f t="shared" si="258"/>
      </c>
      <c r="L13" s="167">
        <f t="shared" si="329"/>
      </c>
      <c r="M13" s="164">
        <f t="shared" si="374"/>
      </c>
      <c r="N13" s="166">
        <f t="shared" si="416"/>
      </c>
      <c r="O13" s="166">
        <f t="shared" si="449"/>
      </c>
      <c r="P13" s="161">
        <v>4</v>
      </c>
      <c r="Q13" s="168">
        <v>8</v>
      </c>
      <c r="R13" s="169">
        <f t="shared" si="20"/>
      </c>
      <c r="S13" s="165">
        <f t="shared" si="515"/>
      </c>
      <c r="T13" s="169">
        <f t="shared" si="146"/>
      </c>
      <c r="U13" s="169">
        <v>0.01</v>
      </c>
      <c r="V13" s="169">
        <f t="shared" si="280"/>
      </c>
      <c r="W13" s="169">
        <f t="shared" si="351"/>
      </c>
      <c r="X13" s="170">
        <v>0.198</v>
      </c>
      <c r="Y13" s="171">
        <v>8</v>
      </c>
      <c r="Z13" s="171">
        <f>F13*0.15</f>
      </c>
      <c r="AA13" s="171">
        <f t="shared" si="471"/>
      </c>
      <c r="AB13" s="166">
        <f t="shared" si="493"/>
      </c>
      <c r="AC13" s="166">
        <v>138.5</v>
      </c>
      <c r="AD13" s="172">
        <f t="shared" si="40"/>
      </c>
      <c r="AE13" s="168">
        <f t="shared" si="90"/>
      </c>
      <c r="AF13" s="169">
        <f t="shared" si="165"/>
      </c>
      <c r="AG13" s="169">
        <f t="shared" si="227"/>
      </c>
      <c r="AH13" s="168">
        <v>30</v>
      </c>
      <c r="AI13" s="165">
        <f t="shared" si="302"/>
      </c>
      <c r="AJ13" s="169"/>
      <c r="AK13" s="169"/>
      <c r="AL13" s="169"/>
      <c r="AM13" s="169"/>
      <c r="AN13" s="173"/>
      <c r="AO13" s="173"/>
      <c r="AP13" s="173"/>
      <c r="AQ13" s="173"/>
      <c r="AR13" s="173"/>
      <c r="AS13" s="173"/>
      <c r="AT13" s="173" t="s">
        <v>725</v>
      </c>
      <c r="AU13" s="173" t="s">
        <v>725</v>
      </c>
      <c r="AV13" s="173" t="s">
        <v>725</v>
      </c>
      <c r="AW13" s="173" t="s">
        <v>725</v>
      </c>
      <c r="AX13" s="173" t="s">
        <v>725</v>
      </c>
      <c r="AY13" s="173" t="s">
        <v>725</v>
      </c>
      <c r="AZ13" s="173" t="s">
        <v>725</v>
      </c>
      <c r="BA13" s="173" t="s">
        <v>725</v>
      </c>
      <c r="BB13" s="173" t="s">
        <v>725</v>
      </c>
      <c r="BC13" s="173" t="s">
        <v>725</v>
      </c>
      <c r="BD13" s="173" t="s">
        <v>725</v>
      </c>
      <c r="BE13" s="173" t="s">
        <v>725</v>
      </c>
      <c r="BF13" s="173" t="s">
        <v>725</v>
      </c>
      <c r="BG13" s="173" t="s">
        <v>725</v>
      </c>
      <c r="BH13" s="173" t="s">
        <v>725</v>
      </c>
      <c r="BI13" s="173" t="s">
        <v>725</v>
      </c>
      <c r="BJ13" s="173" t="s">
        <v>725</v>
      </c>
      <c r="BK13" s="173" t="s">
        <v>725</v>
      </c>
      <c r="BL13" s="173" t="s">
        <v>725</v>
      </c>
      <c r="BM13" s="173" t="s">
        <v>725</v>
      </c>
      <c r="BN13" s="173" t="s">
        <v>725</v>
      </c>
      <c r="BO13" s="173" t="s">
        <v>725</v>
      </c>
      <c r="BP13" s="173" t="s">
        <v>725</v>
      </c>
      <c r="BQ13" s="173" t="s">
        <v>725</v>
      </c>
      <c r="BR13" s="177"/>
      <c r="BS13" s="161" t="str">
        <v>#VALUE!</v>
      </c>
    </row>
    <row customHeight="true" ht="18.51851851851852" r="14">
      <c r="A14" s="161" t="s">
        <v>733</v>
      </c>
      <c r="B14" s="161" t="s">
        <v>730</v>
      </c>
      <c r="C14" s="161" t="s">
        <v>731</v>
      </c>
      <c r="D14" s="162" t="s">
        <v>724</v>
      </c>
      <c r="E14" s="176">
        <v>58.8</v>
      </c>
      <c r="F14" s="163">
        <v>84.99</v>
      </c>
      <c r="G14" s="164">
        <f t="shared" si="0"/>
      </c>
      <c r="H14" s="164">
        <f t="shared" si="64"/>
      </c>
      <c r="I14" s="164">
        <f t="shared" si="124"/>
      </c>
      <c r="J14" s="165">
        <f t="shared" si="205"/>
      </c>
      <c r="K14" s="166">
        <f t="shared" si="258"/>
      </c>
      <c r="L14" s="167">
        <f t="shared" si="329"/>
      </c>
      <c r="M14" s="164">
        <f t="shared" si="374"/>
      </c>
      <c r="N14" s="166">
        <f t="shared" si="416"/>
      </c>
      <c r="O14" s="166">
        <f t="shared" si="449"/>
      </c>
      <c r="P14" s="161">
        <v>4</v>
      </c>
      <c r="Q14" s="168">
        <v>8</v>
      </c>
      <c r="R14" s="169">
        <f t="shared" si="20"/>
      </c>
      <c r="S14" s="165">
        <f t="shared" si="515"/>
      </c>
      <c r="T14" s="169">
        <f t="shared" si="146"/>
      </c>
      <c r="U14" s="169">
        <v>0.01</v>
      </c>
      <c r="V14" s="169">
        <f t="shared" si="280"/>
      </c>
      <c r="W14" s="169">
        <f t="shared" si="351"/>
      </c>
      <c r="X14" s="170">
        <v>0.1846</v>
      </c>
      <c r="Y14" s="171">
        <v>8</v>
      </c>
      <c r="Z14" s="171">
        <v>0</v>
      </c>
      <c r="AA14" s="171">
        <f t="shared" si="471"/>
      </c>
      <c r="AB14" s="166">
        <f t="shared" si="493"/>
      </c>
      <c r="AC14" s="166">
        <v>138.5</v>
      </c>
      <c r="AD14" s="172">
        <f t="shared" si="40"/>
      </c>
      <c r="AE14" s="168">
        <f t="shared" si="90"/>
      </c>
      <c r="AF14" s="169">
        <f t="shared" si="165"/>
      </c>
      <c r="AG14" s="169">
        <f t="shared" si="227"/>
      </c>
      <c r="AH14" s="168">
        <v>30</v>
      </c>
      <c r="AI14" s="165">
        <f t="shared" si="302"/>
      </c>
      <c r="AJ14" s="165"/>
      <c r="AK14" s="165"/>
      <c r="AL14" s="165"/>
      <c r="AM14" s="165"/>
      <c r="AN14" s="173"/>
      <c r="AO14" s="173"/>
      <c r="AP14" s="173"/>
      <c r="AQ14" s="173"/>
      <c r="AR14" s="173"/>
      <c r="AS14" s="173"/>
      <c r="AT14" s="173" t="s">
        <v>725</v>
      </c>
      <c r="AU14" s="173" t="s">
        <v>725</v>
      </c>
      <c r="AV14" s="173" t="s">
        <v>725</v>
      </c>
      <c r="AW14" s="173" t="s">
        <v>725</v>
      </c>
      <c r="AX14" s="173" t="s">
        <v>725</v>
      </c>
      <c r="AY14" s="173" t="s">
        <v>725</v>
      </c>
      <c r="AZ14" s="173" t="s">
        <v>725</v>
      </c>
      <c r="BA14" s="173" t="s">
        <v>725</v>
      </c>
      <c r="BB14" s="173" t="s">
        <v>725</v>
      </c>
      <c r="BC14" s="173" t="s">
        <v>725</v>
      </c>
      <c r="BD14" s="173" t="s">
        <v>725</v>
      </c>
      <c r="BE14" s="173" t="s">
        <v>725</v>
      </c>
      <c r="BF14" s="173" t="s">
        <v>725</v>
      </c>
      <c r="BG14" s="173" t="s">
        <v>725</v>
      </c>
      <c r="BH14" s="173" t="s">
        <v>725</v>
      </c>
      <c r="BI14" s="173" t="s">
        <v>725</v>
      </c>
      <c r="BJ14" s="173" t="s">
        <v>725</v>
      </c>
      <c r="BK14" s="173" t="s">
        <v>725</v>
      </c>
      <c r="BL14" s="173" t="s">
        <v>725</v>
      </c>
      <c r="BM14" s="173" t="s">
        <v>725</v>
      </c>
      <c r="BN14" s="173" t="s">
        <v>725</v>
      </c>
      <c r="BO14" s="173" t="s">
        <v>725</v>
      </c>
      <c r="BP14" s="173" t="s">
        <v>725</v>
      </c>
      <c r="BQ14" s="173" t="s">
        <v>725</v>
      </c>
      <c r="BR14" s="174"/>
      <c r="BS14" s="161" t="str">
        <v>#VALUE!</v>
      </c>
    </row>
    <row customHeight="true" ht="18.51851851851852" r="15">
      <c r="A15" s="161" t="s">
        <v>733</v>
      </c>
      <c r="B15" s="161" t="s">
        <v>730</v>
      </c>
      <c r="C15" s="161" t="s">
        <v>731</v>
      </c>
      <c r="D15" s="162" t="s">
        <v>726</v>
      </c>
      <c r="E15" s="176">
        <v>58.8</v>
      </c>
      <c r="F15" s="163">
        <v>84.99</v>
      </c>
      <c r="G15" s="164">
        <f t="shared" si="0"/>
      </c>
      <c r="H15" s="164">
        <f t="shared" si="64"/>
      </c>
      <c r="I15" s="175">
        <f t="shared" si="124"/>
      </c>
      <c r="J15" s="165">
        <f t="shared" si="205"/>
      </c>
      <c r="K15" s="166">
        <f t="shared" si="258"/>
      </c>
      <c r="L15" s="167">
        <f t="shared" si="329"/>
      </c>
      <c r="M15" s="164">
        <f t="shared" si="374"/>
      </c>
      <c r="N15" s="166">
        <f t="shared" si="416"/>
      </c>
      <c r="O15" s="166">
        <f t="shared" si="449"/>
      </c>
      <c r="P15" s="161">
        <v>4</v>
      </c>
      <c r="Q15" s="168">
        <v>8</v>
      </c>
      <c r="R15" s="169">
        <f t="shared" si="20"/>
      </c>
      <c r="S15" s="165">
        <f t="shared" si="515"/>
      </c>
      <c r="T15" s="169">
        <f t="shared" si="146"/>
      </c>
      <c r="U15" s="169">
        <v>0.01</v>
      </c>
      <c r="V15" s="169">
        <f t="shared" si="280"/>
      </c>
      <c r="W15" s="169">
        <f t="shared" si="351"/>
      </c>
      <c r="X15" s="170">
        <v>0.1846</v>
      </c>
      <c r="Y15" s="171">
        <v>8</v>
      </c>
      <c r="Z15" s="171">
        <f>F15*0.05</f>
      </c>
      <c r="AA15" s="171">
        <f t="shared" si="471"/>
      </c>
      <c r="AB15" s="166">
        <f t="shared" si="493"/>
      </c>
      <c r="AC15" s="166">
        <v>138.5</v>
      </c>
      <c r="AD15" s="172">
        <f t="shared" si="40"/>
      </c>
      <c r="AE15" s="168">
        <f t="shared" si="90"/>
      </c>
      <c r="AF15" s="169">
        <f t="shared" si="165"/>
      </c>
      <c r="AG15" s="169">
        <f t="shared" si="227"/>
      </c>
      <c r="AH15" s="168">
        <v>30</v>
      </c>
      <c r="AI15" s="165">
        <f t="shared" si="302"/>
      </c>
      <c r="AJ15" s="165"/>
      <c r="AK15" s="165"/>
      <c r="AL15" s="165"/>
      <c r="AM15" s="165"/>
      <c r="AN15" s="173"/>
      <c r="AO15" s="173"/>
      <c r="AP15" s="173"/>
      <c r="AQ15" s="173"/>
      <c r="AR15" s="173"/>
      <c r="AS15" s="173"/>
      <c r="AT15" s="173" t="s">
        <v>725</v>
      </c>
      <c r="AU15" s="173" t="s">
        <v>725</v>
      </c>
      <c r="AV15" s="173" t="s">
        <v>725</v>
      </c>
      <c r="AW15" s="173" t="s">
        <v>725</v>
      </c>
      <c r="AX15" s="173" t="s">
        <v>725</v>
      </c>
      <c r="AY15" s="173" t="s">
        <v>725</v>
      </c>
      <c r="AZ15" s="173" t="s">
        <v>725</v>
      </c>
      <c r="BA15" s="173" t="s">
        <v>725</v>
      </c>
      <c r="BB15" s="173" t="s">
        <v>725</v>
      </c>
      <c r="BC15" s="173" t="s">
        <v>725</v>
      </c>
      <c r="BD15" s="173" t="s">
        <v>725</v>
      </c>
      <c r="BE15" s="173" t="s">
        <v>725</v>
      </c>
      <c r="BF15" s="173" t="s">
        <v>725</v>
      </c>
      <c r="BG15" s="173" t="s">
        <v>725</v>
      </c>
      <c r="BH15" s="173" t="s">
        <v>725</v>
      </c>
      <c r="BI15" s="173" t="s">
        <v>725</v>
      </c>
      <c r="BJ15" s="173" t="s">
        <v>725</v>
      </c>
      <c r="BK15" s="173" t="s">
        <v>725</v>
      </c>
      <c r="BL15" s="173" t="s">
        <v>725</v>
      </c>
      <c r="BM15" s="173" t="s">
        <v>725</v>
      </c>
      <c r="BN15" s="173" t="s">
        <v>725</v>
      </c>
      <c r="BO15" s="173" t="s">
        <v>725</v>
      </c>
      <c r="BP15" s="173" t="s">
        <v>725</v>
      </c>
      <c r="BQ15" s="173" t="s">
        <v>725</v>
      </c>
      <c r="BR15" s="174"/>
      <c r="BS15" s="161" t="str">
        <v>#VALUE!</v>
      </c>
    </row>
    <row customHeight="true" ht="18.51851851851852" r="16">
      <c r="A16" s="161" t="s">
        <v>733</v>
      </c>
      <c r="B16" s="161" t="s">
        <v>730</v>
      </c>
      <c r="C16" s="161" t="s">
        <v>731</v>
      </c>
      <c r="D16" s="162" t="s">
        <v>727</v>
      </c>
      <c r="E16" s="176">
        <v>58.8</v>
      </c>
      <c r="F16" s="163">
        <v>84.99</v>
      </c>
      <c r="G16" s="164">
        <f t="shared" si="0"/>
      </c>
      <c r="H16" s="164">
        <f t="shared" si="64"/>
      </c>
      <c r="I16" s="164">
        <f t="shared" si="124"/>
      </c>
      <c r="J16" s="165">
        <f t="shared" si="205"/>
      </c>
      <c r="K16" s="166">
        <f t="shared" si="258"/>
      </c>
      <c r="L16" s="167">
        <f t="shared" si="329"/>
      </c>
      <c r="M16" s="164">
        <f t="shared" si="374"/>
      </c>
      <c r="N16" s="166">
        <f t="shared" si="416"/>
      </c>
      <c r="O16" s="166">
        <f t="shared" si="449"/>
      </c>
      <c r="P16" s="161">
        <v>4</v>
      </c>
      <c r="Q16" s="168">
        <v>8</v>
      </c>
      <c r="R16" s="169">
        <f t="shared" si="20"/>
      </c>
      <c r="S16" s="165">
        <f t="shared" si="515"/>
      </c>
      <c r="T16" s="169">
        <f t="shared" si="146"/>
      </c>
      <c r="U16" s="169">
        <v>0.01</v>
      </c>
      <c r="V16" s="169">
        <f t="shared" si="280"/>
      </c>
      <c r="W16" s="169">
        <f t="shared" si="351"/>
      </c>
      <c r="X16" s="170">
        <v>0.1846</v>
      </c>
      <c r="Y16" s="171">
        <v>8</v>
      </c>
      <c r="Z16" s="171">
        <f>F16*0.1</f>
      </c>
      <c r="AA16" s="171">
        <f t="shared" si="471"/>
      </c>
      <c r="AB16" s="166">
        <f t="shared" si="493"/>
      </c>
      <c r="AC16" s="166">
        <v>138.5</v>
      </c>
      <c r="AD16" s="172">
        <f t="shared" si="40"/>
      </c>
      <c r="AE16" s="168">
        <f t="shared" si="90"/>
      </c>
      <c r="AF16" s="169">
        <f t="shared" si="165"/>
      </c>
      <c r="AG16" s="169">
        <f t="shared" si="227"/>
      </c>
      <c r="AH16" s="168">
        <v>30</v>
      </c>
      <c r="AI16" s="165">
        <f t="shared" si="302"/>
      </c>
      <c r="AJ16" s="165"/>
      <c r="AK16" s="165"/>
      <c r="AL16" s="165"/>
      <c r="AM16" s="165"/>
      <c r="AN16" s="173"/>
      <c r="AO16" s="173"/>
      <c r="AP16" s="173"/>
      <c r="AQ16" s="173"/>
      <c r="AR16" s="173"/>
      <c r="AS16" s="173"/>
      <c r="AT16" s="173" t="s">
        <v>725</v>
      </c>
      <c r="AU16" s="173" t="s">
        <v>725</v>
      </c>
      <c r="AV16" s="173" t="s">
        <v>725</v>
      </c>
      <c r="AW16" s="173" t="s">
        <v>725</v>
      </c>
      <c r="AX16" s="173" t="s">
        <v>725</v>
      </c>
      <c r="AY16" s="173" t="s">
        <v>725</v>
      </c>
      <c r="AZ16" s="173" t="s">
        <v>725</v>
      </c>
      <c r="BA16" s="173" t="s">
        <v>725</v>
      </c>
      <c r="BB16" s="173" t="s">
        <v>725</v>
      </c>
      <c r="BC16" s="173" t="s">
        <v>725</v>
      </c>
      <c r="BD16" s="173" t="s">
        <v>725</v>
      </c>
      <c r="BE16" s="173" t="s">
        <v>725</v>
      </c>
      <c r="BF16" s="173" t="s">
        <v>725</v>
      </c>
      <c r="BG16" s="173" t="s">
        <v>725</v>
      </c>
      <c r="BH16" s="173" t="s">
        <v>725</v>
      </c>
      <c r="BI16" s="173" t="s">
        <v>725</v>
      </c>
      <c r="BJ16" s="173" t="s">
        <v>725</v>
      </c>
      <c r="BK16" s="173" t="s">
        <v>725</v>
      </c>
      <c r="BL16" s="173" t="s">
        <v>725</v>
      </c>
      <c r="BM16" s="173" t="s">
        <v>725</v>
      </c>
      <c r="BN16" s="173" t="s">
        <v>725</v>
      </c>
      <c r="BO16" s="173" t="s">
        <v>725</v>
      </c>
      <c r="BP16" s="173" t="s">
        <v>725</v>
      </c>
      <c r="BQ16" s="173" t="s">
        <v>725</v>
      </c>
      <c r="BR16" s="174"/>
      <c r="BS16" s="161" t="str">
        <v>#VALUE!</v>
      </c>
    </row>
    <row customHeight="true" ht="18.51851851851852" r="17">
      <c r="A17" s="161" t="s">
        <v>733</v>
      </c>
      <c r="B17" s="161" t="s">
        <v>730</v>
      </c>
      <c r="C17" s="161" t="s">
        <v>731</v>
      </c>
      <c r="D17" s="162" t="s">
        <v>728</v>
      </c>
      <c r="E17" s="176">
        <v>58.8</v>
      </c>
      <c r="F17" s="163">
        <v>84.99</v>
      </c>
      <c r="G17" s="164">
        <f t="shared" si="0"/>
      </c>
      <c r="H17" s="164">
        <f t="shared" si="64"/>
      </c>
      <c r="I17" s="164">
        <f t="shared" si="124"/>
      </c>
      <c r="J17" s="165">
        <f t="shared" si="205"/>
      </c>
      <c r="K17" s="166">
        <f t="shared" si="258"/>
      </c>
      <c r="L17" s="167">
        <f t="shared" si="329"/>
      </c>
      <c r="M17" s="164">
        <f t="shared" si="374"/>
      </c>
      <c r="N17" s="166">
        <f t="shared" si="416"/>
      </c>
      <c r="O17" s="166">
        <f t="shared" si="449"/>
      </c>
      <c r="P17" s="161">
        <v>4</v>
      </c>
      <c r="Q17" s="168">
        <v>8</v>
      </c>
      <c r="R17" s="169">
        <f t="shared" si="20"/>
      </c>
      <c r="S17" s="165">
        <f t="shared" si="515"/>
      </c>
      <c r="T17" s="169">
        <f t="shared" si="146"/>
      </c>
      <c r="U17" s="169">
        <v>0.01</v>
      </c>
      <c r="V17" s="169">
        <f t="shared" si="280"/>
      </c>
      <c r="W17" s="169">
        <f t="shared" si="351"/>
      </c>
      <c r="X17" s="170">
        <v>0.1846</v>
      </c>
      <c r="Y17" s="171">
        <v>8</v>
      </c>
      <c r="Z17" s="171">
        <f>F17*0.15</f>
      </c>
      <c r="AA17" s="171">
        <f t="shared" si="471"/>
      </c>
      <c r="AB17" s="166">
        <f t="shared" si="493"/>
      </c>
      <c r="AC17" s="166">
        <v>138.5</v>
      </c>
      <c r="AD17" s="172">
        <f t="shared" si="40"/>
      </c>
      <c r="AE17" s="168">
        <f t="shared" si="90"/>
      </c>
      <c r="AF17" s="169">
        <f t="shared" si="165"/>
      </c>
      <c r="AG17" s="169">
        <f t="shared" si="227"/>
      </c>
      <c r="AH17" s="168">
        <v>30</v>
      </c>
      <c r="AI17" s="165">
        <f t="shared" si="302"/>
      </c>
      <c r="AJ17" s="165"/>
      <c r="AK17" s="165"/>
      <c r="AL17" s="165"/>
      <c r="AM17" s="165"/>
      <c r="AN17" s="173"/>
      <c r="AO17" s="173"/>
      <c r="AP17" s="173"/>
      <c r="AQ17" s="173"/>
      <c r="AR17" s="173"/>
      <c r="AS17" s="173"/>
      <c r="AT17" s="173" t="s">
        <v>725</v>
      </c>
      <c r="AU17" s="173" t="s">
        <v>725</v>
      </c>
      <c r="AV17" s="173" t="s">
        <v>725</v>
      </c>
      <c r="AW17" s="173" t="s">
        <v>725</v>
      </c>
      <c r="AX17" s="173" t="s">
        <v>725</v>
      </c>
      <c r="AY17" s="173" t="s">
        <v>725</v>
      </c>
      <c r="AZ17" s="173" t="s">
        <v>725</v>
      </c>
      <c r="BA17" s="173" t="s">
        <v>725</v>
      </c>
      <c r="BB17" s="173" t="s">
        <v>725</v>
      </c>
      <c r="BC17" s="173" t="s">
        <v>725</v>
      </c>
      <c r="BD17" s="173" t="s">
        <v>725</v>
      </c>
      <c r="BE17" s="173" t="s">
        <v>725</v>
      </c>
      <c r="BF17" s="173" t="s">
        <v>725</v>
      </c>
      <c r="BG17" s="173" t="s">
        <v>725</v>
      </c>
      <c r="BH17" s="173" t="s">
        <v>725</v>
      </c>
      <c r="BI17" s="173" t="s">
        <v>725</v>
      </c>
      <c r="BJ17" s="173" t="s">
        <v>725</v>
      </c>
      <c r="BK17" s="173" t="s">
        <v>725</v>
      </c>
      <c r="BL17" s="173" t="s">
        <v>725</v>
      </c>
      <c r="BM17" s="173" t="s">
        <v>725</v>
      </c>
      <c r="BN17" s="173" t="s">
        <v>725</v>
      </c>
      <c r="BO17" s="173" t="s">
        <v>725</v>
      </c>
      <c r="BP17" s="173" t="s">
        <v>725</v>
      </c>
      <c r="BQ17" s="173" t="s">
        <v>725</v>
      </c>
      <c r="BR17" s="177"/>
      <c r="BS17" s="161" t="str">
        <v>#VALUE!</v>
      </c>
    </row>
    <row customHeight="true" ht="18.51851851851852" r="18">
      <c r="A18" s="161" t="s">
        <v>734</v>
      </c>
      <c r="B18" s="161" t="s">
        <v>730</v>
      </c>
      <c r="C18" s="161" t="s">
        <v>731</v>
      </c>
      <c r="D18" s="162" t="s">
        <v>724</v>
      </c>
      <c r="E18" s="176">
        <v>59.35</v>
      </c>
      <c r="F18" s="163">
        <v>84.99</v>
      </c>
      <c r="G18" s="164">
        <f t="shared" si="0"/>
      </c>
      <c r="H18" s="164">
        <f t="shared" si="64"/>
      </c>
      <c r="I18" s="164">
        <f t="shared" si="124"/>
      </c>
      <c r="J18" s="165">
        <f t="shared" si="205"/>
      </c>
      <c r="K18" s="166">
        <f t="shared" si="258"/>
      </c>
      <c r="L18" s="167">
        <f t="shared" si="329"/>
      </c>
      <c r="M18" s="164">
        <f t="shared" si="374"/>
      </c>
      <c r="N18" s="166">
        <f t="shared" si="416"/>
      </c>
      <c r="O18" s="166">
        <f t="shared" si="449"/>
      </c>
      <c r="P18" s="161">
        <v>4</v>
      </c>
      <c r="Q18" s="168">
        <v>8</v>
      </c>
      <c r="R18" s="169">
        <f t="shared" si="20"/>
      </c>
      <c r="S18" s="165">
        <f t="shared" si="515"/>
      </c>
      <c r="T18" s="169">
        <f t="shared" si="146"/>
      </c>
      <c r="U18" s="169">
        <v>0.01</v>
      </c>
      <c r="V18" s="169">
        <f t="shared" si="280"/>
      </c>
      <c r="W18" s="169">
        <f t="shared" si="351"/>
      </c>
      <c r="X18" s="170">
        <v>0.1646</v>
      </c>
      <c r="Y18" s="171">
        <v>8</v>
      </c>
      <c r="Z18" s="171">
        <v>0</v>
      </c>
      <c r="AA18" s="171">
        <f t="shared" si="471"/>
      </c>
      <c r="AB18" s="166">
        <f t="shared" si="493"/>
      </c>
      <c r="AC18" s="166">
        <v>138.5</v>
      </c>
      <c r="AD18" s="172">
        <f t="shared" si="40"/>
      </c>
      <c r="AE18" s="168">
        <f t="shared" si="90"/>
      </c>
      <c r="AF18" s="169">
        <f t="shared" si="165"/>
      </c>
      <c r="AG18" s="169">
        <f t="shared" si="227"/>
      </c>
      <c r="AH18" s="168">
        <v>30</v>
      </c>
      <c r="AI18" s="165">
        <f t="shared" si="302"/>
      </c>
      <c r="AJ18" s="169"/>
      <c r="AK18" s="169"/>
      <c r="AL18" s="169"/>
      <c r="AM18" s="169"/>
      <c r="AN18" s="173"/>
      <c r="AO18" s="173"/>
      <c r="AP18" s="173"/>
      <c r="AQ18" s="173"/>
      <c r="AR18" s="173"/>
      <c r="AS18" s="173"/>
      <c r="AT18" s="173" t="s">
        <v>725</v>
      </c>
      <c r="AU18" s="173" t="s">
        <v>725</v>
      </c>
      <c r="AV18" s="173" t="s">
        <v>725</v>
      </c>
      <c r="AW18" s="173" t="s">
        <v>725</v>
      </c>
      <c r="AX18" s="173" t="s">
        <v>725</v>
      </c>
      <c r="AY18" s="173" t="s">
        <v>725</v>
      </c>
      <c r="AZ18" s="173" t="s">
        <v>725</v>
      </c>
      <c r="BA18" s="173" t="s">
        <v>725</v>
      </c>
      <c r="BB18" s="173" t="s">
        <v>725</v>
      </c>
      <c r="BC18" s="173" t="s">
        <v>725</v>
      </c>
      <c r="BD18" s="173" t="s">
        <v>725</v>
      </c>
      <c r="BE18" s="173" t="s">
        <v>725</v>
      </c>
      <c r="BF18" s="173" t="s">
        <v>725</v>
      </c>
      <c r="BG18" s="173" t="s">
        <v>725</v>
      </c>
      <c r="BH18" s="173" t="s">
        <v>725</v>
      </c>
      <c r="BI18" s="173" t="s">
        <v>725</v>
      </c>
      <c r="BJ18" s="173" t="s">
        <v>725</v>
      </c>
      <c r="BK18" s="173" t="s">
        <v>725</v>
      </c>
      <c r="BL18" s="173" t="s">
        <v>725</v>
      </c>
      <c r="BM18" s="173" t="s">
        <v>725</v>
      </c>
      <c r="BN18" s="173" t="s">
        <v>725</v>
      </c>
      <c r="BO18" s="173" t="s">
        <v>725</v>
      </c>
      <c r="BP18" s="173" t="s">
        <v>725</v>
      </c>
      <c r="BQ18" s="173" t="s">
        <v>725</v>
      </c>
      <c r="BR18" s="174"/>
      <c r="BS18" s="161" t="str">
        <v>#VALUE!</v>
      </c>
    </row>
    <row customHeight="true" ht="18.51851851851852" r="19">
      <c r="A19" s="161" t="s">
        <v>734</v>
      </c>
      <c r="B19" s="161" t="s">
        <v>730</v>
      </c>
      <c r="C19" s="161" t="s">
        <v>731</v>
      </c>
      <c r="D19" s="162" t="s">
        <v>726</v>
      </c>
      <c r="E19" s="176">
        <v>59.35</v>
      </c>
      <c r="F19" s="163">
        <v>84.99</v>
      </c>
      <c r="G19" s="164">
        <f t="shared" si="0"/>
      </c>
      <c r="H19" s="164">
        <f t="shared" si="64"/>
      </c>
      <c r="I19" s="175">
        <f t="shared" si="124"/>
      </c>
      <c r="J19" s="165">
        <f t="shared" si="205"/>
      </c>
      <c r="K19" s="166">
        <f t="shared" si="258"/>
      </c>
      <c r="L19" s="167">
        <f t="shared" si="329"/>
      </c>
      <c r="M19" s="164">
        <f t="shared" si="374"/>
      </c>
      <c r="N19" s="166">
        <f t="shared" si="416"/>
      </c>
      <c r="O19" s="166">
        <f t="shared" si="449"/>
      </c>
      <c r="P19" s="161">
        <v>4</v>
      </c>
      <c r="Q19" s="168">
        <v>8</v>
      </c>
      <c r="R19" s="169">
        <f t="shared" si="20"/>
      </c>
      <c r="S19" s="165">
        <f t="shared" si="515"/>
      </c>
      <c r="T19" s="169">
        <f t="shared" si="146"/>
      </c>
      <c r="U19" s="169">
        <v>0.01</v>
      </c>
      <c r="V19" s="169">
        <f t="shared" si="280"/>
      </c>
      <c r="W19" s="169">
        <f t="shared" si="351"/>
      </c>
      <c r="X19" s="170">
        <v>0.1646</v>
      </c>
      <c r="Y19" s="171">
        <v>8</v>
      </c>
      <c r="Z19" s="171">
        <f>F19*0.05</f>
      </c>
      <c r="AA19" s="171">
        <f t="shared" si="471"/>
      </c>
      <c r="AB19" s="166">
        <f t="shared" si="493"/>
      </c>
      <c r="AC19" s="166">
        <v>138.5</v>
      </c>
      <c r="AD19" s="172">
        <f t="shared" si="40"/>
      </c>
      <c r="AE19" s="168">
        <f t="shared" si="90"/>
      </c>
      <c r="AF19" s="169">
        <f t="shared" si="165"/>
      </c>
      <c r="AG19" s="169">
        <f t="shared" si="227"/>
      </c>
      <c r="AH19" s="168">
        <v>30</v>
      </c>
      <c r="AI19" s="165">
        <f t="shared" si="302"/>
      </c>
      <c r="AJ19" s="169"/>
      <c r="AK19" s="169"/>
      <c r="AL19" s="169"/>
      <c r="AM19" s="169"/>
      <c r="AN19" s="173"/>
      <c r="AO19" s="173"/>
      <c r="AP19" s="173"/>
      <c r="AQ19" s="173"/>
      <c r="AR19" s="173"/>
      <c r="AS19" s="173"/>
      <c r="AT19" s="173" t="s">
        <v>725</v>
      </c>
      <c r="AU19" s="173" t="s">
        <v>725</v>
      </c>
      <c r="AV19" s="173" t="s">
        <v>725</v>
      </c>
      <c r="AW19" s="173" t="s">
        <v>725</v>
      </c>
      <c r="AX19" s="173" t="s">
        <v>725</v>
      </c>
      <c r="AY19" s="173" t="s">
        <v>725</v>
      </c>
      <c r="AZ19" s="173" t="s">
        <v>725</v>
      </c>
      <c r="BA19" s="173" t="s">
        <v>725</v>
      </c>
      <c r="BB19" s="173" t="s">
        <v>725</v>
      </c>
      <c r="BC19" s="173" t="s">
        <v>725</v>
      </c>
      <c r="BD19" s="173" t="s">
        <v>725</v>
      </c>
      <c r="BE19" s="173" t="s">
        <v>725</v>
      </c>
      <c r="BF19" s="173" t="s">
        <v>725</v>
      </c>
      <c r="BG19" s="173" t="s">
        <v>725</v>
      </c>
      <c r="BH19" s="173" t="s">
        <v>725</v>
      </c>
      <c r="BI19" s="173" t="s">
        <v>725</v>
      </c>
      <c r="BJ19" s="173" t="s">
        <v>725</v>
      </c>
      <c r="BK19" s="173" t="s">
        <v>725</v>
      </c>
      <c r="BL19" s="173" t="s">
        <v>725</v>
      </c>
      <c r="BM19" s="173" t="s">
        <v>725</v>
      </c>
      <c r="BN19" s="173" t="s">
        <v>725</v>
      </c>
      <c r="BO19" s="173" t="s">
        <v>725</v>
      </c>
      <c r="BP19" s="173" t="s">
        <v>725</v>
      </c>
      <c r="BQ19" s="173" t="s">
        <v>725</v>
      </c>
      <c r="BR19" s="174"/>
      <c r="BS19" s="161" t="str">
        <v>#VALUE!</v>
      </c>
    </row>
    <row customHeight="true" ht="18.51851851851852" r="20">
      <c r="A20" s="161" t="s">
        <v>734</v>
      </c>
      <c r="B20" s="161" t="s">
        <v>730</v>
      </c>
      <c r="C20" s="161" t="s">
        <v>731</v>
      </c>
      <c r="D20" s="162" t="s">
        <v>727</v>
      </c>
      <c r="E20" s="176">
        <v>59.35</v>
      </c>
      <c r="F20" s="163">
        <v>84.99</v>
      </c>
      <c r="G20" s="164">
        <f t="shared" si="0"/>
      </c>
      <c r="H20" s="164">
        <f t="shared" si="64"/>
      </c>
      <c r="I20" s="164">
        <f t="shared" si="124"/>
      </c>
      <c r="J20" s="165">
        <f t="shared" si="205"/>
      </c>
      <c r="K20" s="166">
        <f t="shared" si="258"/>
      </c>
      <c r="L20" s="167">
        <f t="shared" si="329"/>
      </c>
      <c r="M20" s="164">
        <f t="shared" si="374"/>
      </c>
      <c r="N20" s="166">
        <f t="shared" si="416"/>
      </c>
      <c r="O20" s="166">
        <f t="shared" si="449"/>
      </c>
      <c r="P20" s="161">
        <v>4</v>
      </c>
      <c r="Q20" s="168">
        <v>8</v>
      </c>
      <c r="R20" s="169">
        <f t="shared" si="20"/>
      </c>
      <c r="S20" s="165">
        <f t="shared" si="515"/>
      </c>
      <c r="T20" s="169">
        <f t="shared" si="146"/>
      </c>
      <c r="U20" s="169">
        <v>0.01</v>
      </c>
      <c r="V20" s="169">
        <f t="shared" si="280"/>
      </c>
      <c r="W20" s="169">
        <f t="shared" si="351"/>
      </c>
      <c r="X20" s="170">
        <v>0.1646</v>
      </c>
      <c r="Y20" s="171">
        <v>8</v>
      </c>
      <c r="Z20" s="171">
        <f>F20*0.1</f>
      </c>
      <c r="AA20" s="171">
        <f t="shared" si="471"/>
      </c>
      <c r="AB20" s="166">
        <f t="shared" si="493"/>
      </c>
      <c r="AC20" s="166">
        <v>138.5</v>
      </c>
      <c r="AD20" s="172">
        <f t="shared" si="40"/>
      </c>
      <c r="AE20" s="168">
        <f t="shared" si="90"/>
      </c>
      <c r="AF20" s="169">
        <f t="shared" si="165"/>
      </c>
      <c r="AG20" s="169">
        <f t="shared" si="227"/>
      </c>
      <c r="AH20" s="168">
        <v>30</v>
      </c>
      <c r="AI20" s="165">
        <f t="shared" si="302"/>
      </c>
      <c r="AJ20" s="169"/>
      <c r="AK20" s="169"/>
      <c r="AL20" s="169"/>
      <c r="AM20" s="169"/>
      <c r="AN20" s="173"/>
      <c r="AO20" s="173"/>
      <c r="AP20" s="173"/>
      <c r="AQ20" s="173"/>
      <c r="AR20" s="173"/>
      <c r="AS20" s="173"/>
      <c r="AT20" s="173" t="s">
        <v>725</v>
      </c>
      <c r="AU20" s="173" t="s">
        <v>725</v>
      </c>
      <c r="AV20" s="173" t="s">
        <v>725</v>
      </c>
      <c r="AW20" s="173" t="s">
        <v>725</v>
      </c>
      <c r="AX20" s="173" t="s">
        <v>725</v>
      </c>
      <c r="AY20" s="173" t="s">
        <v>725</v>
      </c>
      <c r="AZ20" s="173" t="s">
        <v>725</v>
      </c>
      <c r="BA20" s="173" t="s">
        <v>725</v>
      </c>
      <c r="BB20" s="173" t="s">
        <v>725</v>
      </c>
      <c r="BC20" s="173" t="s">
        <v>725</v>
      </c>
      <c r="BD20" s="173" t="s">
        <v>725</v>
      </c>
      <c r="BE20" s="173" t="s">
        <v>725</v>
      </c>
      <c r="BF20" s="173" t="s">
        <v>725</v>
      </c>
      <c r="BG20" s="173" t="s">
        <v>725</v>
      </c>
      <c r="BH20" s="173" t="s">
        <v>725</v>
      </c>
      <c r="BI20" s="173" t="s">
        <v>725</v>
      </c>
      <c r="BJ20" s="173" t="s">
        <v>725</v>
      </c>
      <c r="BK20" s="173" t="s">
        <v>725</v>
      </c>
      <c r="BL20" s="173" t="s">
        <v>725</v>
      </c>
      <c r="BM20" s="173" t="s">
        <v>725</v>
      </c>
      <c r="BN20" s="173" t="s">
        <v>725</v>
      </c>
      <c r="BO20" s="173" t="s">
        <v>725</v>
      </c>
      <c r="BP20" s="173" t="s">
        <v>725</v>
      </c>
      <c r="BQ20" s="173" t="s">
        <v>725</v>
      </c>
      <c r="BR20" s="174"/>
      <c r="BS20" s="161" t="str">
        <v>#VALUE!</v>
      </c>
    </row>
    <row customHeight="true" ht="18.51851851851852" r="21">
      <c r="A21" s="161" t="s">
        <v>734</v>
      </c>
      <c r="B21" s="161" t="s">
        <v>730</v>
      </c>
      <c r="C21" s="161" t="s">
        <v>731</v>
      </c>
      <c r="D21" s="162" t="s">
        <v>728</v>
      </c>
      <c r="E21" s="176">
        <v>59.35</v>
      </c>
      <c r="F21" s="163">
        <v>84.99</v>
      </c>
      <c r="G21" s="164">
        <f t="shared" si="0"/>
      </c>
      <c r="H21" s="164">
        <f t="shared" si="64"/>
      </c>
      <c r="I21" s="164">
        <f t="shared" si="124"/>
      </c>
      <c r="J21" s="165">
        <f t="shared" si="205"/>
      </c>
      <c r="K21" s="166">
        <f t="shared" si="258"/>
      </c>
      <c r="L21" s="167">
        <f t="shared" si="329"/>
      </c>
      <c r="M21" s="164">
        <f t="shared" si="374"/>
      </c>
      <c r="N21" s="166">
        <f t="shared" si="416"/>
      </c>
      <c r="O21" s="166">
        <f t="shared" si="449"/>
      </c>
      <c r="P21" s="161">
        <v>4</v>
      </c>
      <c r="Q21" s="168">
        <v>8</v>
      </c>
      <c r="R21" s="169">
        <f t="shared" si="20"/>
      </c>
      <c r="S21" s="165">
        <f t="shared" si="515"/>
      </c>
      <c r="T21" s="169">
        <f t="shared" si="146"/>
      </c>
      <c r="U21" s="169">
        <v>0.01</v>
      </c>
      <c r="V21" s="169">
        <f t="shared" si="280"/>
      </c>
      <c r="W21" s="169">
        <f t="shared" si="351"/>
      </c>
      <c r="X21" s="170">
        <v>0.1646</v>
      </c>
      <c r="Y21" s="171">
        <v>8</v>
      </c>
      <c r="Z21" s="171">
        <f>F21*0.15</f>
      </c>
      <c r="AA21" s="171">
        <f t="shared" si="471"/>
      </c>
      <c r="AB21" s="166">
        <f t="shared" si="493"/>
      </c>
      <c r="AC21" s="166">
        <v>138.5</v>
      </c>
      <c r="AD21" s="172">
        <f t="shared" si="40"/>
      </c>
      <c r="AE21" s="168">
        <f t="shared" si="90"/>
      </c>
      <c r="AF21" s="169">
        <f t="shared" si="165"/>
      </c>
      <c r="AG21" s="169">
        <f t="shared" si="227"/>
      </c>
      <c r="AH21" s="168">
        <v>30</v>
      </c>
      <c r="AI21" s="165">
        <f t="shared" si="302"/>
      </c>
      <c r="AJ21" s="169"/>
      <c r="AK21" s="169"/>
      <c r="AL21" s="169"/>
      <c r="AM21" s="169"/>
      <c r="AN21" s="173"/>
      <c r="AO21" s="173"/>
      <c r="AP21" s="173"/>
      <c r="AQ21" s="173"/>
      <c r="AR21" s="173"/>
      <c r="AS21" s="173"/>
      <c r="AT21" s="173" t="s">
        <v>725</v>
      </c>
      <c r="AU21" s="173" t="s">
        <v>725</v>
      </c>
      <c r="AV21" s="173" t="s">
        <v>725</v>
      </c>
      <c r="AW21" s="173" t="s">
        <v>725</v>
      </c>
      <c r="AX21" s="173" t="s">
        <v>725</v>
      </c>
      <c r="AY21" s="173" t="s">
        <v>725</v>
      </c>
      <c r="AZ21" s="173" t="s">
        <v>725</v>
      </c>
      <c r="BA21" s="173" t="s">
        <v>725</v>
      </c>
      <c r="BB21" s="173" t="s">
        <v>725</v>
      </c>
      <c r="BC21" s="173" t="s">
        <v>725</v>
      </c>
      <c r="BD21" s="173" t="s">
        <v>725</v>
      </c>
      <c r="BE21" s="173" t="s">
        <v>725</v>
      </c>
      <c r="BF21" s="173" t="s">
        <v>725</v>
      </c>
      <c r="BG21" s="173" t="s">
        <v>725</v>
      </c>
      <c r="BH21" s="173" t="s">
        <v>725</v>
      </c>
      <c r="BI21" s="173" t="s">
        <v>725</v>
      </c>
      <c r="BJ21" s="173" t="s">
        <v>725</v>
      </c>
      <c r="BK21" s="173" t="s">
        <v>725</v>
      </c>
      <c r="BL21" s="173" t="s">
        <v>725</v>
      </c>
      <c r="BM21" s="173" t="s">
        <v>725</v>
      </c>
      <c r="BN21" s="173" t="s">
        <v>725</v>
      </c>
      <c r="BO21" s="173" t="s">
        <v>725</v>
      </c>
      <c r="BP21" s="173" t="s">
        <v>725</v>
      </c>
      <c r="BQ21" s="173" t="s">
        <v>725</v>
      </c>
      <c r="BR21" s="177"/>
      <c r="BS21" s="161" t="str">
        <v>#VALUE!</v>
      </c>
    </row>
    <row customHeight="true" ht="18.51851851851852" r="22">
      <c r="A22" s="161" t="s">
        <v>735</v>
      </c>
      <c r="B22" s="161" t="s">
        <v>730</v>
      </c>
      <c r="C22" s="161" t="s">
        <v>731</v>
      </c>
      <c r="D22" s="178" t="s">
        <v>736</v>
      </c>
      <c r="E22" s="166">
        <v>60</v>
      </c>
      <c r="F22" s="179">
        <v>89.99</v>
      </c>
      <c r="G22" s="164">
        <f t="shared" si="0"/>
      </c>
      <c r="H22" s="164">
        <f t="shared" si="64"/>
      </c>
      <c r="I22" s="164">
        <f t="shared" si="124"/>
      </c>
      <c r="J22" s="165">
        <f t="shared" si="205"/>
      </c>
      <c r="K22" s="166">
        <f t="shared" si="258"/>
      </c>
      <c r="L22" s="167">
        <f t="shared" si="329"/>
      </c>
      <c r="M22" s="164">
        <f t="shared" si="374"/>
      </c>
      <c r="N22" s="166">
        <f t="shared" si="416"/>
      </c>
      <c r="O22" s="166">
        <f t="shared" si="449"/>
      </c>
      <c r="P22" s="161">
        <v>4</v>
      </c>
      <c r="Q22" s="168">
        <v>8</v>
      </c>
      <c r="R22" s="169">
        <f t="shared" si="20"/>
      </c>
      <c r="S22" s="165">
        <f t="shared" si="515"/>
      </c>
      <c r="T22" s="169">
        <f t="shared" si="146"/>
      </c>
      <c r="U22" s="169">
        <v>0.01</v>
      </c>
      <c r="V22" s="169">
        <f t="shared" si="280"/>
      </c>
      <c r="W22" s="169">
        <f t="shared" si="351"/>
      </c>
      <c r="X22" s="170">
        <v>0.158</v>
      </c>
      <c r="Y22" s="171">
        <v>8</v>
      </c>
      <c r="Z22" s="171">
        <f t="shared" ref="Z22:Z25" si="396">F22*0</f>
      </c>
      <c r="AA22" s="171">
        <f t="shared" si="471"/>
      </c>
      <c r="AB22" s="166">
        <f t="shared" si="493"/>
      </c>
      <c r="AC22" s="166">
        <v>138.5</v>
      </c>
      <c r="AD22" s="172">
        <f t="shared" si="40"/>
      </c>
      <c r="AE22" s="168">
        <f t="shared" si="90"/>
      </c>
      <c r="AF22" s="169">
        <f t="shared" si="165"/>
      </c>
      <c r="AG22" s="169">
        <f t="shared" si="227"/>
      </c>
      <c r="AH22" s="168">
        <v>30</v>
      </c>
      <c r="AI22" s="165">
        <f t="shared" si="302"/>
      </c>
      <c r="AJ22" s="173"/>
      <c r="AK22" s="173"/>
      <c r="AL22" s="173"/>
      <c r="AM22" s="173"/>
      <c r="AN22" s="173"/>
      <c r="AO22" s="173"/>
      <c r="AP22" s="173"/>
      <c r="AQ22" s="173"/>
      <c r="AR22" s="173"/>
      <c r="AS22" s="173"/>
      <c r="AT22" s="173" t="s">
        <v>725</v>
      </c>
      <c r="AU22" s="173" t="s">
        <v>725</v>
      </c>
      <c r="AV22" s="173" t="s">
        <v>725</v>
      </c>
      <c r="AW22" s="173" t="s">
        <v>725</v>
      </c>
      <c r="AX22" s="173" t="s">
        <v>725</v>
      </c>
      <c r="AY22" s="173" t="s">
        <v>725</v>
      </c>
      <c r="AZ22" s="173" t="s">
        <v>725</v>
      </c>
      <c r="BA22" s="173" t="s">
        <v>725</v>
      </c>
      <c r="BB22" s="173" t="s">
        <v>725</v>
      </c>
      <c r="BC22" s="173" t="s">
        <v>725</v>
      </c>
      <c r="BD22" s="173" t="s">
        <v>725</v>
      </c>
      <c r="BE22" s="173" t="s">
        <v>725</v>
      </c>
      <c r="BF22" s="173" t="s">
        <v>725</v>
      </c>
      <c r="BG22" s="173" t="s">
        <v>725</v>
      </c>
      <c r="BH22" s="173" t="s">
        <v>725</v>
      </c>
      <c r="BI22" s="173" t="s">
        <v>725</v>
      </c>
      <c r="BJ22" s="173" t="s">
        <v>725</v>
      </c>
      <c r="BK22" s="173" t="s">
        <v>725</v>
      </c>
      <c r="BL22" s="173" t="s">
        <v>725</v>
      </c>
      <c r="BM22" s="173" t="s">
        <v>725</v>
      </c>
      <c r="BN22" s="173" t="s">
        <v>725</v>
      </c>
      <c r="BO22" s="173" t="s">
        <v>725</v>
      </c>
      <c r="BP22" s="173" t="s">
        <v>725</v>
      </c>
      <c r="BQ22" s="173" t="s">
        <v>725</v>
      </c>
      <c r="BR22" s="180">
        <f t="shared" ref="BR22:BR25" si="119">IF(#REF!&lt;E22,1,0)</f>
      </c>
      <c r="BS22" s="161" t="str">
        <v>#VALUE!</v>
      </c>
    </row>
    <row customHeight="true" ht="18.51851851851852" r="23">
      <c r="A23" s="161" t="s">
        <v>737</v>
      </c>
      <c r="B23" s="161" t="s">
        <v>730</v>
      </c>
      <c r="C23" s="161" t="s">
        <v>731</v>
      </c>
      <c r="D23" s="178" t="s">
        <v>738</v>
      </c>
      <c r="E23" s="166">
        <v>60</v>
      </c>
      <c r="F23" s="179">
        <v>89.99</v>
      </c>
      <c r="G23" s="164">
        <f t="shared" si="0"/>
      </c>
      <c r="H23" s="164">
        <f t="shared" si="64"/>
      </c>
      <c r="I23" s="164">
        <f t="shared" si="124"/>
      </c>
      <c r="J23" s="165">
        <f t="shared" si="205"/>
      </c>
      <c r="K23" s="166">
        <f t="shared" si="258"/>
      </c>
      <c r="L23" s="167">
        <f t="shared" si="329"/>
      </c>
      <c r="M23" s="164">
        <f t="shared" si="374"/>
      </c>
      <c r="N23" s="166">
        <f t="shared" si="416"/>
      </c>
      <c r="O23" s="166">
        <f t="shared" si="449"/>
      </c>
      <c r="P23" s="161">
        <v>4</v>
      </c>
      <c r="Q23" s="168">
        <v>8</v>
      </c>
      <c r="R23" s="169">
        <f t="shared" si="20"/>
      </c>
      <c r="S23" s="165">
        <f t="shared" si="515"/>
      </c>
      <c r="T23" s="169">
        <f t="shared" si="146"/>
      </c>
      <c r="U23" s="169">
        <v>0.01</v>
      </c>
      <c r="V23" s="169">
        <f t="shared" si="280"/>
      </c>
      <c r="W23" s="169">
        <f t="shared" si="351"/>
      </c>
      <c r="X23" s="170">
        <v>0.223</v>
      </c>
      <c r="Y23" s="171">
        <v>8</v>
      </c>
      <c r="Z23" s="171">
        <f t="shared" si="396"/>
      </c>
      <c r="AA23" s="171">
        <f t="shared" si="471"/>
      </c>
      <c r="AB23" s="166">
        <f t="shared" si="493"/>
      </c>
      <c r="AC23" s="166">
        <v>138.5</v>
      </c>
      <c r="AD23" s="172">
        <f t="shared" si="40"/>
      </c>
      <c r="AE23" s="168">
        <f t="shared" si="90"/>
      </c>
      <c r="AF23" s="169">
        <f t="shared" si="165"/>
      </c>
      <c r="AG23" s="169">
        <f t="shared" si="227"/>
      </c>
      <c r="AH23" s="168">
        <v>30</v>
      </c>
      <c r="AI23" s="165">
        <f t="shared" si="302"/>
      </c>
      <c r="AJ23" s="173"/>
      <c r="AK23" s="173"/>
      <c r="AL23" s="173"/>
      <c r="AM23" s="173"/>
      <c r="AN23" s="173"/>
      <c r="AO23" s="173"/>
      <c r="AP23" s="173"/>
      <c r="AQ23" s="173"/>
      <c r="AR23" s="173"/>
      <c r="AS23" s="173"/>
      <c r="AT23" s="173" t="s">
        <v>725</v>
      </c>
      <c r="AU23" s="173" t="s">
        <v>725</v>
      </c>
      <c r="AV23" s="173" t="s">
        <v>725</v>
      </c>
      <c r="AW23" s="173" t="s">
        <v>725</v>
      </c>
      <c r="AX23" s="173" t="s">
        <v>725</v>
      </c>
      <c r="AY23" s="173" t="s">
        <v>725</v>
      </c>
      <c r="AZ23" s="173" t="s">
        <v>725</v>
      </c>
      <c r="BA23" s="173" t="s">
        <v>725</v>
      </c>
      <c r="BB23" s="173" t="s">
        <v>725</v>
      </c>
      <c r="BC23" s="173" t="s">
        <v>725</v>
      </c>
      <c r="BD23" s="173" t="s">
        <v>725</v>
      </c>
      <c r="BE23" s="173" t="s">
        <v>725</v>
      </c>
      <c r="BF23" s="173" t="s">
        <v>725</v>
      </c>
      <c r="BG23" s="173" t="s">
        <v>725</v>
      </c>
      <c r="BH23" s="173" t="s">
        <v>725</v>
      </c>
      <c r="BI23" s="173" t="s">
        <v>725</v>
      </c>
      <c r="BJ23" s="173" t="s">
        <v>725</v>
      </c>
      <c r="BK23" s="173" t="s">
        <v>725</v>
      </c>
      <c r="BL23" s="173" t="s">
        <v>725</v>
      </c>
      <c r="BM23" s="173" t="s">
        <v>725</v>
      </c>
      <c r="BN23" s="173" t="s">
        <v>725</v>
      </c>
      <c r="BO23" s="173" t="s">
        <v>725</v>
      </c>
      <c r="BP23" s="173" t="s">
        <v>725</v>
      </c>
      <c r="BQ23" s="173" t="s">
        <v>725</v>
      </c>
      <c r="BR23" s="180">
        <f t="shared" si="119"/>
      </c>
      <c r="BS23" s="161" t="str">
        <v>#VALUE!</v>
      </c>
    </row>
    <row customHeight="true" ht="18.51851851851852" r="24">
      <c r="A24" s="161" t="s">
        <v>739</v>
      </c>
      <c r="B24" s="161" t="s">
        <v>730</v>
      </c>
      <c r="C24" s="161" t="s">
        <v>731</v>
      </c>
      <c r="D24" s="178" t="s">
        <v>740</v>
      </c>
      <c r="E24" s="166">
        <v>60</v>
      </c>
      <c r="F24" s="179">
        <v>89.99</v>
      </c>
      <c r="G24" s="164">
        <f t="shared" si="0"/>
      </c>
      <c r="H24" s="164">
        <f t="shared" si="64"/>
      </c>
      <c r="I24" s="164">
        <f t="shared" si="124"/>
      </c>
      <c r="J24" s="165">
        <f t="shared" si="205"/>
      </c>
      <c r="K24" s="166">
        <f t="shared" si="258"/>
      </c>
      <c r="L24" s="167">
        <f t="shared" si="329"/>
      </c>
      <c r="M24" s="164">
        <f t="shared" si="374"/>
      </c>
      <c r="N24" s="166">
        <f t="shared" si="416"/>
      </c>
      <c r="O24" s="166">
        <f t="shared" si="449"/>
      </c>
      <c r="P24" s="161">
        <v>4</v>
      </c>
      <c r="Q24" s="168">
        <v>8</v>
      </c>
      <c r="R24" s="169">
        <f t="shared" si="20"/>
      </c>
      <c r="S24" s="165">
        <f t="shared" si="515"/>
      </c>
      <c r="T24" s="169">
        <f t="shared" si="146"/>
      </c>
      <c r="U24" s="169">
        <v>0.01</v>
      </c>
      <c r="V24" s="169">
        <f t="shared" si="280"/>
      </c>
      <c r="W24" s="169">
        <f t="shared" si="351"/>
      </c>
      <c r="X24" s="170">
        <v>0.223</v>
      </c>
      <c r="Y24" s="171">
        <v>8</v>
      </c>
      <c r="Z24" s="171">
        <f t="shared" si="396"/>
      </c>
      <c r="AA24" s="171">
        <f t="shared" si="471"/>
      </c>
      <c r="AB24" s="166">
        <f t="shared" si="493"/>
      </c>
      <c r="AC24" s="166">
        <v>138.5</v>
      </c>
      <c r="AD24" s="172">
        <f t="shared" si="40"/>
      </c>
      <c r="AE24" s="168">
        <f t="shared" si="90"/>
      </c>
      <c r="AF24" s="169">
        <f t="shared" si="165"/>
      </c>
      <c r="AG24" s="169">
        <f t="shared" si="227"/>
      </c>
      <c r="AH24" s="168">
        <v>30</v>
      </c>
      <c r="AI24" s="165">
        <f t="shared" si="302"/>
      </c>
      <c r="AJ24" s="173"/>
      <c r="AK24" s="173"/>
      <c r="AL24" s="173"/>
      <c r="AM24" s="173"/>
      <c r="AN24" s="173"/>
      <c r="AO24" s="173"/>
      <c r="AP24" s="173"/>
      <c r="AQ24" s="173"/>
      <c r="AR24" s="173"/>
      <c r="AS24" s="173"/>
      <c r="AT24" s="173" t="s">
        <v>725</v>
      </c>
      <c r="AU24" s="173" t="s">
        <v>725</v>
      </c>
      <c r="AV24" s="173" t="s">
        <v>725</v>
      </c>
      <c r="AW24" s="173" t="s">
        <v>725</v>
      </c>
      <c r="AX24" s="173" t="s">
        <v>725</v>
      </c>
      <c r="AY24" s="173" t="s">
        <v>725</v>
      </c>
      <c r="AZ24" s="173" t="s">
        <v>725</v>
      </c>
      <c r="BA24" s="173" t="s">
        <v>725</v>
      </c>
      <c r="BB24" s="173" t="s">
        <v>725</v>
      </c>
      <c r="BC24" s="173" t="s">
        <v>725</v>
      </c>
      <c r="BD24" s="173" t="s">
        <v>725</v>
      </c>
      <c r="BE24" s="173" t="s">
        <v>725</v>
      </c>
      <c r="BF24" s="173" t="s">
        <v>725</v>
      </c>
      <c r="BG24" s="173" t="s">
        <v>725</v>
      </c>
      <c r="BH24" s="173" t="s">
        <v>725</v>
      </c>
      <c r="BI24" s="173" t="s">
        <v>725</v>
      </c>
      <c r="BJ24" s="173" t="s">
        <v>725</v>
      </c>
      <c r="BK24" s="173" t="s">
        <v>725</v>
      </c>
      <c r="BL24" s="173" t="s">
        <v>725</v>
      </c>
      <c r="BM24" s="173" t="s">
        <v>725</v>
      </c>
      <c r="BN24" s="173" t="s">
        <v>725</v>
      </c>
      <c r="BO24" s="173" t="s">
        <v>725</v>
      </c>
      <c r="BP24" s="173" t="s">
        <v>725</v>
      </c>
      <c r="BQ24" s="173" t="s">
        <v>725</v>
      </c>
      <c r="BR24" s="180">
        <f t="shared" si="119"/>
      </c>
      <c r="BS24" s="161" t="str">
        <v>#VALUE!</v>
      </c>
    </row>
    <row customHeight="true" ht="18.51851851851852" r="25">
      <c r="A25" s="161" t="s">
        <v>741</v>
      </c>
      <c r="B25" s="161" t="s">
        <v>730</v>
      </c>
      <c r="C25" s="161" t="s">
        <v>731</v>
      </c>
      <c r="D25" s="178" t="s">
        <v>742</v>
      </c>
      <c r="E25" s="166">
        <v>60</v>
      </c>
      <c r="F25" s="179">
        <v>89.99</v>
      </c>
      <c r="G25" s="164">
        <f t="shared" si="0"/>
      </c>
      <c r="H25" s="164">
        <f t="shared" si="64"/>
      </c>
      <c r="I25" s="164">
        <f t="shared" si="124"/>
      </c>
      <c r="J25" s="165">
        <f t="shared" si="205"/>
      </c>
      <c r="K25" s="166">
        <f t="shared" si="258"/>
      </c>
      <c r="L25" s="167">
        <f t="shared" si="329"/>
      </c>
      <c r="M25" s="164">
        <f t="shared" si="374"/>
      </c>
      <c r="N25" s="166">
        <f t="shared" si="416"/>
      </c>
      <c r="O25" s="166">
        <f t="shared" si="449"/>
      </c>
      <c r="P25" s="161">
        <v>4</v>
      </c>
      <c r="Q25" s="168">
        <v>8</v>
      </c>
      <c r="R25" s="169">
        <f t="shared" si="20"/>
      </c>
      <c r="S25" s="165">
        <f t="shared" si="515"/>
      </c>
      <c r="T25" s="169">
        <f t="shared" si="146"/>
      </c>
      <c r="U25" s="169">
        <v>0.01</v>
      </c>
      <c r="V25" s="169">
        <f t="shared" si="280"/>
      </c>
      <c r="W25" s="169">
        <f t="shared" si="351"/>
      </c>
      <c r="X25" s="170">
        <v>0.158</v>
      </c>
      <c r="Y25" s="171">
        <v>8</v>
      </c>
      <c r="Z25" s="171">
        <f t="shared" si="396"/>
      </c>
      <c r="AA25" s="171">
        <f t="shared" si="471"/>
      </c>
      <c r="AB25" s="166">
        <f t="shared" si="493"/>
      </c>
      <c r="AC25" s="166">
        <v>138.5</v>
      </c>
      <c r="AD25" s="172">
        <f t="shared" si="40"/>
      </c>
      <c r="AE25" s="168">
        <f t="shared" si="90"/>
      </c>
      <c r="AF25" s="169">
        <f t="shared" si="165"/>
      </c>
      <c r="AG25" s="169">
        <f t="shared" si="227"/>
      </c>
      <c r="AH25" s="168">
        <v>30</v>
      </c>
      <c r="AI25" s="165">
        <f t="shared" si="302"/>
      </c>
      <c r="AJ25" s="169"/>
      <c r="AK25" s="169"/>
      <c r="AL25" s="169"/>
      <c r="AM25" s="169"/>
      <c r="AN25" s="173"/>
      <c r="AO25" s="173"/>
      <c r="AP25" s="173"/>
      <c r="AQ25" s="173"/>
      <c r="AR25" s="173"/>
      <c r="AS25" s="173"/>
      <c r="AT25" s="173" t="s">
        <v>725</v>
      </c>
      <c r="AU25" s="173" t="s">
        <v>725</v>
      </c>
      <c r="AV25" s="173" t="s">
        <v>725</v>
      </c>
      <c r="AW25" s="173" t="s">
        <v>725</v>
      </c>
      <c r="AX25" s="173" t="s">
        <v>725</v>
      </c>
      <c r="AY25" s="173" t="s">
        <v>725</v>
      </c>
      <c r="AZ25" s="173" t="s">
        <v>725</v>
      </c>
      <c r="BA25" s="173" t="s">
        <v>725</v>
      </c>
      <c r="BB25" s="173" t="s">
        <v>725</v>
      </c>
      <c r="BC25" s="173" t="s">
        <v>725</v>
      </c>
      <c r="BD25" s="173" t="s">
        <v>725</v>
      </c>
      <c r="BE25" s="173" t="s">
        <v>725</v>
      </c>
      <c r="BF25" s="173" t="s">
        <v>725</v>
      </c>
      <c r="BG25" s="173" t="s">
        <v>725</v>
      </c>
      <c r="BH25" s="173" t="s">
        <v>725</v>
      </c>
      <c r="BI25" s="173" t="s">
        <v>725</v>
      </c>
      <c r="BJ25" s="173" t="s">
        <v>725</v>
      </c>
      <c r="BK25" s="173" t="s">
        <v>725</v>
      </c>
      <c r="BL25" s="173" t="s">
        <v>725</v>
      </c>
      <c r="BM25" s="173" t="s">
        <v>725</v>
      </c>
      <c r="BN25" s="173" t="s">
        <v>725</v>
      </c>
      <c r="BO25" s="173" t="s">
        <v>725</v>
      </c>
      <c r="BP25" s="173" t="s">
        <v>725</v>
      </c>
      <c r="BQ25" s="173" t="s">
        <v>725</v>
      </c>
      <c r="BR25" s="180">
        <f t="shared" si="119"/>
      </c>
      <c r="BS25" s="161" t="str">
        <v>#VALUE!</v>
      </c>
    </row>
    <row customHeight="true" ht="18.51851851851852" r="26">
      <c r="A26" s="181"/>
      <c r="B26" s="181"/>
      <c r="C26" s="181"/>
      <c r="D26" s="181"/>
      <c r="E26" s="166"/>
      <c r="F26" s="179"/>
      <c r="G26" s="164"/>
      <c r="H26" s="164"/>
      <c r="I26" s="164"/>
      <c r="J26" s="165"/>
      <c r="K26" s="166"/>
      <c r="L26" s="166"/>
      <c r="M26" s="166"/>
      <c r="N26" s="166"/>
      <c r="O26" s="166"/>
      <c r="P26" s="161"/>
      <c r="Q26" s="168"/>
      <c r="R26" s="169"/>
      <c r="S26" s="165"/>
      <c r="T26" s="169"/>
      <c r="U26" s="169"/>
      <c r="V26" s="169"/>
      <c r="W26" s="169"/>
      <c r="X26" s="170"/>
      <c r="Y26" s="171"/>
      <c r="Z26" s="171"/>
      <c r="AA26" s="171"/>
      <c r="AB26" s="166"/>
      <c r="AC26" s="166"/>
      <c r="AD26" s="172"/>
      <c r="AE26" s="168"/>
      <c r="AF26" s="169"/>
      <c r="AG26" s="169"/>
      <c r="AH26" s="168"/>
      <c r="AI26" s="169"/>
      <c r="AJ26" s="169"/>
      <c r="AK26" s="169"/>
      <c r="AL26" s="169"/>
      <c r="AM26" s="169"/>
      <c r="AN26" s="173"/>
      <c r="AO26" s="173"/>
      <c r="AP26" s="173"/>
      <c r="AQ26" s="173"/>
      <c r="AR26" s="173"/>
      <c r="AS26" s="173"/>
      <c r="AT26" s="173"/>
      <c r="AU26" s="173"/>
      <c r="AV26" s="173"/>
      <c r="AW26" s="173"/>
      <c r="AX26" s="173"/>
      <c r="AY26" s="173"/>
      <c r="AZ26" s="173"/>
      <c r="BA26" s="173"/>
      <c r="BB26" s="173"/>
      <c r="BC26" s="173"/>
      <c r="BD26" s="173"/>
      <c r="BE26" s="173"/>
      <c r="BF26" s="173"/>
      <c r="BG26" s="173"/>
      <c r="BH26" s="173"/>
      <c r="BI26" s="173"/>
      <c r="BJ26" s="173"/>
      <c r="BK26" s="173"/>
      <c r="BL26" s="173"/>
      <c r="BM26" s="173"/>
      <c r="BN26" s="173"/>
      <c r="BO26" s="173"/>
      <c r="BP26" s="173"/>
      <c r="BQ26" s="173"/>
      <c r="BR26" s="180"/>
      <c r="BS26" s="161"/>
    </row>
    <row customHeight="true" ht="18.51851851851852" r="27">
      <c r="A27" s="161" t="s">
        <v>721</v>
      </c>
      <c r="B27" s="161" t="s">
        <v>722</v>
      </c>
      <c r="C27" s="161" t="s">
        <v>743</v>
      </c>
      <c r="D27" s="162" t="s">
        <v>744</v>
      </c>
      <c r="E27" s="163">
        <v>13.1</v>
      </c>
      <c r="F27" s="163">
        <v>18.99</v>
      </c>
      <c r="G27" s="182">
        <f t="shared" ref="G27:G67" si="1">(F27-Z27)</f>
      </c>
      <c r="H27" s="164">
        <f t="shared" ref="H27:H50" si="65">(F27-Z27)/1.2</f>
      </c>
      <c r="I27" s="182">
        <f t="shared" ref="I27:I50" si="125">E27-N27/Q27-AB27-Y27-O27-Z27-AA27</f>
      </c>
      <c r="J27" s="165">
        <f t="shared" ref="J27:J50" si="206">I27/E27</f>
      </c>
      <c r="K27" s="166">
        <f t="shared" ref="K27:K50" si="259">F27/1.2</f>
      </c>
      <c r="L27" s="167">
        <f t="shared" ref="L27:L50" si="330">(K27-E27)/K27</f>
      </c>
      <c r="M27" s="164">
        <f t="shared" ref="M27:M50" si="375">F27/1.2-E27</f>
      </c>
      <c r="N27" s="166">
        <f t="shared" ref="N27:N50" si="417">AD27+AH27</f>
      </c>
      <c r="O27" s="166">
        <f t="shared" ref="O27:O50" si="450">IFERROR(IF(A27="UK",8.95/P27,IF(A27="DE",7.75/P27,IF(A27="FR",14.25/P27,IF(A27="IT",15.25/P27,IF(A27="ES",19.25/P27,IF(A27="NL",16.75/P27,IF(A27="PL",14.05/P27,IF(A27="SE",18.25/P27,IF(A27="BE",14.25/P27))))))))),0)</f>
      </c>
      <c r="P27" s="161">
        <v>50</v>
      </c>
      <c r="Q27" s="168">
        <v>9</v>
      </c>
      <c r="R27" s="169">
        <f t="shared" ref="R27:R50" si="21">Y27/E27</f>
      </c>
      <c r="S27" s="165">
        <f t="shared" ref="S27:S30" si="85">Y27/H27</f>
      </c>
      <c r="T27" s="169">
        <f t="shared" ref="T27:T50" si="147">Z27/E27</f>
      </c>
      <c r="U27" s="169">
        <v>0.01</v>
      </c>
      <c r="V27" s="169">
        <f t="shared" ref="V27:V50" si="281">N27/(E27*Q27)</f>
      </c>
      <c r="W27" s="169">
        <f t="shared" ref="W27:W50" si="352">O27/E27</f>
      </c>
      <c r="X27" s="170">
        <v>0.158</v>
      </c>
      <c r="Y27" s="171">
        <v>2</v>
      </c>
      <c r="Z27" s="171">
        <f>F27*0</f>
      </c>
      <c r="AA27" s="171">
        <f t="shared" ref="AA27:AA50" si="472">E27*U27</f>
      </c>
      <c r="AB27" s="166">
        <f t="shared" ref="AB27:AB50" si="494">E27*X27</f>
      </c>
      <c r="AC27" s="166">
        <v>49</v>
      </c>
      <c r="AD27" s="172">
        <f t="shared" ref="AD27:AD50" si="41">AC27/1.13</f>
      </c>
      <c r="AE27" s="168">
        <f t="shared" ref="AE27:AE50" si="91">AH27/Q27</f>
      </c>
      <c r="AF27" s="169">
        <f t="shared" ref="AF27:AF50" si="166">AD27/(E27*Q27)</f>
      </c>
      <c r="AG27" s="169">
        <f t="shared" ref="AG27:AG50" si="228">AE27/E27</f>
      </c>
      <c r="AH27" s="168">
        <v>9</v>
      </c>
      <c r="AI27" s="169">
        <f t="shared" ref="AI27:AI37" si="187">(H27-E27+AB27)/H27</f>
      </c>
      <c r="AJ27" s="169"/>
      <c r="AK27" s="169"/>
      <c r="AL27" s="169"/>
      <c r="AM27" s="169"/>
      <c r="AN27" s="169"/>
      <c r="AO27" s="169"/>
      <c r="AP27" s="169"/>
      <c r="AQ27" s="169"/>
      <c r="AR27" s="169"/>
      <c r="AS27" s="169"/>
      <c r="AT27" s="173" t="s">
        <v>725</v>
      </c>
      <c r="AU27" s="173" t="s">
        <v>725</v>
      </c>
      <c r="AV27" s="173" t="s">
        <v>725</v>
      </c>
      <c r="AW27" s="173" t="s">
        <v>725</v>
      </c>
      <c r="AX27" s="173" t="s">
        <v>725</v>
      </c>
      <c r="AY27" s="173" t="s">
        <v>725</v>
      </c>
      <c r="AZ27" s="173" t="s">
        <v>725</v>
      </c>
      <c r="BA27" s="173" t="s">
        <v>725</v>
      </c>
      <c r="BB27" s="173" t="s">
        <v>725</v>
      </c>
      <c r="BC27" s="173" t="s">
        <v>725</v>
      </c>
      <c r="BD27" s="173" t="s">
        <v>725</v>
      </c>
      <c r="BE27" s="173" t="s">
        <v>725</v>
      </c>
      <c r="BF27" s="173" t="s">
        <v>725</v>
      </c>
      <c r="BG27" s="173" t="s">
        <v>725</v>
      </c>
      <c r="BH27" s="173" t="s">
        <v>725</v>
      </c>
      <c r="BI27" s="173" t="s">
        <v>725</v>
      </c>
      <c r="BJ27" s="173" t="s">
        <v>725</v>
      </c>
      <c r="BK27" s="173" t="s">
        <v>725</v>
      </c>
      <c r="BL27" s="173" t="s">
        <v>725</v>
      </c>
      <c r="BM27" s="173" t="s">
        <v>725</v>
      </c>
      <c r="BN27" s="173" t="s">
        <v>725</v>
      </c>
      <c r="BO27" s="173" t="s">
        <v>725</v>
      </c>
      <c r="BP27" s="173" t="s">
        <v>725</v>
      </c>
      <c r="BQ27" s="173" t="s">
        <v>725</v>
      </c>
      <c r="BR27" s="174"/>
      <c r="BS27" s="161" t="str">
        <v>#VALUE!</v>
      </c>
    </row>
    <row customHeight="true" ht="18.51851851851852" r="28">
      <c r="A28" s="161" t="s">
        <v>721</v>
      </c>
      <c r="B28" s="161" t="s">
        <v>722</v>
      </c>
      <c r="C28" s="161" t="s">
        <v>743</v>
      </c>
      <c r="D28" s="162" t="s">
        <v>745</v>
      </c>
      <c r="E28" s="163">
        <v>13.1</v>
      </c>
      <c r="F28" s="163">
        <v>18.99</v>
      </c>
      <c r="G28" s="164">
        <f t="shared" si="1"/>
      </c>
      <c r="H28" s="164">
        <f t="shared" si="65"/>
      </c>
      <c r="I28" s="164">
        <f t="shared" si="125"/>
      </c>
      <c r="J28" s="165">
        <f t="shared" si="206"/>
      </c>
      <c r="K28" s="166">
        <f t="shared" si="259"/>
      </c>
      <c r="L28" s="167">
        <f t="shared" si="330"/>
      </c>
      <c r="M28" s="164">
        <f t="shared" si="375"/>
      </c>
      <c r="N28" s="166">
        <f t="shared" si="417"/>
      </c>
      <c r="O28" s="166">
        <f t="shared" si="450"/>
      </c>
      <c r="P28" s="161">
        <v>50</v>
      </c>
      <c r="Q28" s="168">
        <v>9</v>
      </c>
      <c r="R28" s="169">
        <f t="shared" si="21"/>
      </c>
      <c r="S28" s="165">
        <f t="shared" si="85"/>
      </c>
      <c r="T28" s="169">
        <f t="shared" si="147"/>
      </c>
      <c r="U28" s="169">
        <v>0.01</v>
      </c>
      <c r="V28" s="169">
        <f t="shared" si="281"/>
      </c>
      <c r="W28" s="169">
        <f t="shared" si="352"/>
      </c>
      <c r="X28" s="170">
        <v>0.158</v>
      </c>
      <c r="Y28" s="171">
        <v>2</v>
      </c>
      <c r="Z28" s="171">
        <f>F28*0.05</f>
      </c>
      <c r="AA28" s="171">
        <f t="shared" si="472"/>
      </c>
      <c r="AB28" s="166">
        <f t="shared" si="494"/>
      </c>
      <c r="AC28" s="166">
        <v>49</v>
      </c>
      <c r="AD28" s="172">
        <f t="shared" si="41"/>
      </c>
      <c r="AE28" s="168">
        <f t="shared" si="91"/>
      </c>
      <c r="AF28" s="169">
        <f t="shared" si="166"/>
      </c>
      <c r="AG28" s="169">
        <f t="shared" si="228"/>
      </c>
      <c r="AH28" s="168">
        <v>9</v>
      </c>
      <c r="AI28" s="169">
        <f t="shared" si="187"/>
      </c>
      <c r="AJ28" s="169"/>
      <c r="AK28" s="169"/>
      <c r="AL28" s="169"/>
      <c r="AM28" s="169"/>
      <c r="AN28" s="169"/>
      <c r="AO28" s="169"/>
      <c r="AP28" s="169"/>
      <c r="AQ28" s="169"/>
      <c r="AR28" s="169"/>
      <c r="AS28" s="169"/>
      <c r="AT28" s="173" t="s">
        <v>725</v>
      </c>
      <c r="AU28" s="173" t="s">
        <v>725</v>
      </c>
      <c r="AV28" s="173" t="s">
        <v>725</v>
      </c>
      <c r="AW28" s="173" t="s">
        <v>725</v>
      </c>
      <c r="AX28" s="173" t="s">
        <v>725</v>
      </c>
      <c r="AY28" s="173" t="s">
        <v>725</v>
      </c>
      <c r="AZ28" s="173" t="s">
        <v>725</v>
      </c>
      <c r="BA28" s="173" t="s">
        <v>725</v>
      </c>
      <c r="BB28" s="173" t="s">
        <v>725</v>
      </c>
      <c r="BC28" s="173" t="s">
        <v>725</v>
      </c>
      <c r="BD28" s="173" t="s">
        <v>725</v>
      </c>
      <c r="BE28" s="173" t="s">
        <v>725</v>
      </c>
      <c r="BF28" s="173" t="s">
        <v>725</v>
      </c>
      <c r="BG28" s="173" t="s">
        <v>725</v>
      </c>
      <c r="BH28" s="173" t="s">
        <v>725</v>
      </c>
      <c r="BI28" s="173" t="s">
        <v>725</v>
      </c>
      <c r="BJ28" s="173" t="s">
        <v>725</v>
      </c>
      <c r="BK28" s="173" t="s">
        <v>725</v>
      </c>
      <c r="BL28" s="173" t="s">
        <v>725</v>
      </c>
      <c r="BM28" s="173" t="s">
        <v>725</v>
      </c>
      <c r="BN28" s="173" t="s">
        <v>725</v>
      </c>
      <c r="BO28" s="173" t="s">
        <v>725</v>
      </c>
      <c r="BP28" s="173" t="s">
        <v>725</v>
      </c>
      <c r="BQ28" s="173" t="s">
        <v>725</v>
      </c>
      <c r="BR28" s="174"/>
      <c r="BS28" s="161" t="str">
        <v>#VALUE!</v>
      </c>
    </row>
    <row customHeight="true" ht="18.51851851851852" r="29">
      <c r="A29" s="161" t="s">
        <v>721</v>
      </c>
      <c r="B29" s="161" t="s">
        <v>722</v>
      </c>
      <c r="C29" s="161" t="s">
        <v>743</v>
      </c>
      <c r="D29" s="162" t="s">
        <v>746</v>
      </c>
      <c r="E29" s="163">
        <v>13.1</v>
      </c>
      <c r="F29" s="163">
        <v>18.99</v>
      </c>
      <c r="G29" s="164">
        <f t="shared" si="1"/>
      </c>
      <c r="H29" s="164">
        <f t="shared" si="65"/>
      </c>
      <c r="I29" s="164">
        <f t="shared" si="125"/>
      </c>
      <c r="J29" s="165">
        <f t="shared" si="206"/>
      </c>
      <c r="K29" s="166">
        <f t="shared" si="259"/>
      </c>
      <c r="L29" s="167">
        <f t="shared" si="330"/>
      </c>
      <c r="M29" s="164">
        <f t="shared" si="375"/>
      </c>
      <c r="N29" s="166">
        <f t="shared" si="417"/>
      </c>
      <c r="O29" s="166">
        <f t="shared" si="450"/>
      </c>
      <c r="P29" s="161">
        <v>50</v>
      </c>
      <c r="Q29" s="168">
        <v>9</v>
      </c>
      <c r="R29" s="169">
        <f t="shared" si="21"/>
      </c>
      <c r="S29" s="165">
        <f t="shared" si="85"/>
      </c>
      <c r="T29" s="169">
        <f t="shared" si="147"/>
      </c>
      <c r="U29" s="169">
        <v>0.01</v>
      </c>
      <c r="V29" s="169">
        <f t="shared" si="281"/>
      </c>
      <c r="W29" s="169">
        <f t="shared" si="352"/>
      </c>
      <c r="X29" s="170">
        <v>0.158</v>
      </c>
      <c r="Y29" s="171">
        <v>2</v>
      </c>
      <c r="Z29" s="171">
        <f>F29*0.1</f>
      </c>
      <c r="AA29" s="171">
        <f t="shared" si="472"/>
      </c>
      <c r="AB29" s="166">
        <f t="shared" si="494"/>
      </c>
      <c r="AC29" s="166">
        <v>49</v>
      </c>
      <c r="AD29" s="172">
        <f t="shared" si="41"/>
      </c>
      <c r="AE29" s="168">
        <f t="shared" si="91"/>
      </c>
      <c r="AF29" s="169">
        <f t="shared" si="166"/>
      </c>
      <c r="AG29" s="169">
        <f t="shared" si="228"/>
      </c>
      <c r="AH29" s="168">
        <v>9</v>
      </c>
      <c r="AI29" s="169">
        <f t="shared" si="187"/>
      </c>
      <c r="AJ29" s="169"/>
      <c r="AK29" s="169"/>
      <c r="AL29" s="169"/>
      <c r="AM29" s="169"/>
      <c r="AN29" s="169"/>
      <c r="AO29" s="169"/>
      <c r="AP29" s="169"/>
      <c r="AQ29" s="169"/>
      <c r="AR29" s="169"/>
      <c r="AS29" s="169"/>
      <c r="AT29" s="173" t="s">
        <v>725</v>
      </c>
      <c r="AU29" s="173" t="s">
        <v>725</v>
      </c>
      <c r="AV29" s="173" t="s">
        <v>725</v>
      </c>
      <c r="AW29" s="173" t="s">
        <v>725</v>
      </c>
      <c r="AX29" s="173" t="s">
        <v>725</v>
      </c>
      <c r="AY29" s="173" t="s">
        <v>725</v>
      </c>
      <c r="AZ29" s="173" t="s">
        <v>725</v>
      </c>
      <c r="BA29" s="173" t="s">
        <v>725</v>
      </c>
      <c r="BB29" s="173" t="s">
        <v>725</v>
      </c>
      <c r="BC29" s="173" t="s">
        <v>725</v>
      </c>
      <c r="BD29" s="173" t="s">
        <v>725</v>
      </c>
      <c r="BE29" s="173" t="s">
        <v>725</v>
      </c>
      <c r="BF29" s="173" t="s">
        <v>725</v>
      </c>
      <c r="BG29" s="173" t="s">
        <v>725</v>
      </c>
      <c r="BH29" s="173" t="s">
        <v>725</v>
      </c>
      <c r="BI29" s="173" t="s">
        <v>725</v>
      </c>
      <c r="BJ29" s="173" t="s">
        <v>725</v>
      </c>
      <c r="BK29" s="173" t="s">
        <v>725</v>
      </c>
      <c r="BL29" s="173" t="s">
        <v>725</v>
      </c>
      <c r="BM29" s="173" t="s">
        <v>725</v>
      </c>
      <c r="BN29" s="173" t="s">
        <v>725</v>
      </c>
      <c r="BO29" s="173" t="s">
        <v>725</v>
      </c>
      <c r="BP29" s="173" t="s">
        <v>725</v>
      </c>
      <c r="BQ29" s="173" t="s">
        <v>725</v>
      </c>
      <c r="BR29" s="174"/>
      <c r="BS29" s="161" t="str">
        <v>#VALUE!</v>
      </c>
    </row>
    <row customHeight="true" ht="18.51851851851852" r="30">
      <c r="A30" s="161" t="s">
        <v>721</v>
      </c>
      <c r="B30" s="161" t="s">
        <v>722</v>
      </c>
      <c r="C30" s="161" t="s">
        <v>743</v>
      </c>
      <c r="D30" s="162" t="s">
        <v>747</v>
      </c>
      <c r="E30" s="163">
        <v>13.1</v>
      </c>
      <c r="F30" s="163">
        <v>18.99</v>
      </c>
      <c r="G30" s="182">
        <f t="shared" si="1"/>
      </c>
      <c r="H30" s="164">
        <f t="shared" si="65"/>
      </c>
      <c r="I30" s="182">
        <f t="shared" si="125"/>
      </c>
      <c r="J30" s="165">
        <f t="shared" si="206"/>
      </c>
      <c r="K30" s="166">
        <f t="shared" si="259"/>
      </c>
      <c r="L30" s="167">
        <f t="shared" si="330"/>
      </c>
      <c r="M30" s="164">
        <f t="shared" si="375"/>
      </c>
      <c r="N30" s="166">
        <f t="shared" si="417"/>
      </c>
      <c r="O30" s="166">
        <f t="shared" si="450"/>
      </c>
      <c r="P30" s="161">
        <v>50</v>
      </c>
      <c r="Q30" s="168">
        <v>9</v>
      </c>
      <c r="R30" s="169">
        <f t="shared" si="21"/>
      </c>
      <c r="S30" s="165">
        <f t="shared" si="85"/>
      </c>
      <c r="T30" s="169">
        <f t="shared" si="147"/>
      </c>
      <c r="U30" s="169">
        <v>0.01</v>
      </c>
      <c r="V30" s="169">
        <f t="shared" si="281"/>
      </c>
      <c r="W30" s="169">
        <f t="shared" si="352"/>
      </c>
      <c r="X30" s="170">
        <v>0.158</v>
      </c>
      <c r="Y30" s="171">
        <v>2</v>
      </c>
      <c r="Z30" s="171">
        <f>F30*0.15</f>
      </c>
      <c r="AA30" s="171">
        <f t="shared" si="472"/>
      </c>
      <c r="AB30" s="166">
        <f t="shared" si="494"/>
      </c>
      <c r="AC30" s="166">
        <v>49</v>
      </c>
      <c r="AD30" s="172">
        <f t="shared" si="41"/>
      </c>
      <c r="AE30" s="168">
        <f t="shared" si="91"/>
      </c>
      <c r="AF30" s="169">
        <f t="shared" si="166"/>
      </c>
      <c r="AG30" s="169">
        <f t="shared" si="228"/>
      </c>
      <c r="AH30" s="168">
        <v>7</v>
      </c>
      <c r="AI30" s="169">
        <f t="shared" si="187"/>
      </c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73" t="s">
        <v>725</v>
      </c>
      <c r="AU30" s="173" t="s">
        <v>725</v>
      </c>
      <c r="AV30" s="173" t="s">
        <v>725</v>
      </c>
      <c r="AW30" s="173" t="s">
        <v>725</v>
      </c>
      <c r="AX30" s="173" t="s">
        <v>725</v>
      </c>
      <c r="AY30" s="173" t="s">
        <v>725</v>
      </c>
      <c r="AZ30" s="173" t="s">
        <v>725</v>
      </c>
      <c r="BA30" s="173" t="s">
        <v>725</v>
      </c>
      <c r="BB30" s="173" t="s">
        <v>725</v>
      </c>
      <c r="BC30" s="173" t="s">
        <v>725</v>
      </c>
      <c r="BD30" s="173" t="s">
        <v>725</v>
      </c>
      <c r="BE30" s="173" t="s">
        <v>725</v>
      </c>
      <c r="BF30" s="173" t="s">
        <v>725</v>
      </c>
      <c r="BG30" s="173" t="s">
        <v>725</v>
      </c>
      <c r="BH30" s="173" t="s">
        <v>725</v>
      </c>
      <c r="BI30" s="173" t="s">
        <v>725</v>
      </c>
      <c r="BJ30" s="173" t="s">
        <v>725</v>
      </c>
      <c r="BK30" s="173" t="s">
        <v>725</v>
      </c>
      <c r="BL30" s="173" t="s">
        <v>725</v>
      </c>
      <c r="BM30" s="173" t="s">
        <v>725</v>
      </c>
      <c r="BN30" s="173" t="s">
        <v>725</v>
      </c>
      <c r="BO30" s="173" t="s">
        <v>725</v>
      </c>
      <c r="BP30" s="173" t="s">
        <v>725</v>
      </c>
      <c r="BQ30" s="173" t="s">
        <v>725</v>
      </c>
      <c r="BR30" s="174"/>
      <c r="BS30" s="161" t="str">
        <v>#VALUE!</v>
      </c>
    </row>
    <row customHeight="true" ht="18.51851851851852" r="31">
      <c r="A31" s="161" t="s">
        <v>729</v>
      </c>
      <c r="B31" s="161" t="s">
        <v>730</v>
      </c>
      <c r="C31" s="161" t="s">
        <v>743</v>
      </c>
      <c r="D31" s="162" t="s">
        <v>744</v>
      </c>
      <c r="E31" s="163">
        <v>13.8</v>
      </c>
      <c r="F31" s="163">
        <v>19.99</v>
      </c>
      <c r="G31" s="182">
        <f t="shared" si="1"/>
      </c>
      <c r="H31" s="164">
        <f t="shared" si="65"/>
      </c>
      <c r="I31" s="182">
        <f t="shared" si="125"/>
      </c>
      <c r="J31" s="165">
        <f t="shared" si="206"/>
      </c>
      <c r="K31" s="166">
        <f t="shared" si="259"/>
      </c>
      <c r="L31" s="167">
        <f t="shared" si="330"/>
      </c>
      <c r="M31" s="164">
        <f t="shared" si="375"/>
      </c>
      <c r="N31" s="166">
        <f t="shared" si="417"/>
      </c>
      <c r="O31" s="166">
        <f t="shared" si="450"/>
      </c>
      <c r="P31" s="161">
        <v>50</v>
      </c>
      <c r="Q31" s="168">
        <v>8</v>
      </c>
      <c r="R31" s="169">
        <f t="shared" si="21"/>
      </c>
      <c r="S31" s="165">
        <f t="shared" ref="S31:S50" si="516">Y31/F31</f>
      </c>
      <c r="T31" s="169">
        <f t="shared" si="147"/>
      </c>
      <c r="U31" s="169">
        <v>0.01</v>
      </c>
      <c r="V31" s="169">
        <f t="shared" si="281"/>
      </c>
      <c r="W31" s="169">
        <f t="shared" si="352"/>
      </c>
      <c r="X31" s="170">
        <v>0.1695</v>
      </c>
      <c r="Y31" s="171">
        <v>2</v>
      </c>
      <c r="Z31" s="171">
        <v>0</v>
      </c>
      <c r="AA31" s="171">
        <f t="shared" si="472"/>
      </c>
      <c r="AB31" s="166">
        <f t="shared" si="494"/>
      </c>
      <c r="AC31" s="166">
        <v>49</v>
      </c>
      <c r="AD31" s="172">
        <f t="shared" si="41"/>
      </c>
      <c r="AE31" s="168">
        <f t="shared" si="91"/>
      </c>
      <c r="AF31" s="169">
        <f t="shared" si="166"/>
      </c>
      <c r="AG31" s="169">
        <f t="shared" si="228"/>
      </c>
      <c r="AH31" s="168">
        <v>7</v>
      </c>
      <c r="AI31" s="169">
        <f t="shared" si="187"/>
      </c>
      <c r="AJ31" s="169"/>
      <c r="AK31" s="169"/>
      <c r="AL31" s="169"/>
      <c r="AM31" s="169"/>
      <c r="AN31" s="173"/>
      <c r="AO31" s="173"/>
      <c r="AP31" s="173"/>
      <c r="AQ31" s="173"/>
      <c r="AR31" s="173"/>
      <c r="AS31" s="173"/>
      <c r="AT31" s="173" t="s">
        <v>725</v>
      </c>
      <c r="AU31" s="173" t="s">
        <v>725</v>
      </c>
      <c r="AV31" s="173" t="s">
        <v>725</v>
      </c>
      <c r="AW31" s="173" t="s">
        <v>725</v>
      </c>
      <c r="AX31" s="173" t="s">
        <v>725</v>
      </c>
      <c r="AY31" s="173" t="s">
        <v>725</v>
      </c>
      <c r="AZ31" s="173" t="s">
        <v>725</v>
      </c>
      <c r="BA31" s="173" t="s">
        <v>725</v>
      </c>
      <c r="BB31" s="173" t="s">
        <v>725</v>
      </c>
      <c r="BC31" s="173" t="s">
        <v>725</v>
      </c>
      <c r="BD31" s="173" t="s">
        <v>725</v>
      </c>
      <c r="BE31" s="173" t="s">
        <v>725</v>
      </c>
      <c r="BF31" s="173" t="s">
        <v>725</v>
      </c>
      <c r="BG31" s="173" t="s">
        <v>725</v>
      </c>
      <c r="BH31" s="173" t="s">
        <v>725</v>
      </c>
      <c r="BI31" s="173" t="s">
        <v>725</v>
      </c>
      <c r="BJ31" s="173" t="s">
        <v>725</v>
      </c>
      <c r="BK31" s="173" t="s">
        <v>725</v>
      </c>
      <c r="BL31" s="173" t="s">
        <v>725</v>
      </c>
      <c r="BM31" s="173" t="s">
        <v>725</v>
      </c>
      <c r="BN31" s="173" t="s">
        <v>725</v>
      </c>
      <c r="BO31" s="173" t="s">
        <v>725</v>
      </c>
      <c r="BP31" s="173" t="s">
        <v>725</v>
      </c>
      <c r="BQ31" s="173" t="s">
        <v>725</v>
      </c>
      <c r="BR31" s="174"/>
      <c r="BS31" s="161" t="str">
        <v>#VALUE!</v>
      </c>
    </row>
    <row customHeight="true" ht="18.51851851851852" r="32">
      <c r="A32" s="161" t="s">
        <v>729</v>
      </c>
      <c r="B32" s="161" t="s">
        <v>730</v>
      </c>
      <c r="C32" s="161" t="s">
        <v>743</v>
      </c>
      <c r="D32" s="162" t="s">
        <v>745</v>
      </c>
      <c r="E32" s="163">
        <v>13.8</v>
      </c>
      <c r="F32" s="163">
        <v>19.99</v>
      </c>
      <c r="G32" s="164">
        <f t="shared" si="1"/>
      </c>
      <c r="H32" s="164">
        <f t="shared" si="65"/>
      </c>
      <c r="I32" s="164">
        <f t="shared" si="125"/>
      </c>
      <c r="J32" s="165">
        <f t="shared" si="206"/>
      </c>
      <c r="K32" s="166">
        <f t="shared" si="259"/>
      </c>
      <c r="L32" s="167">
        <f t="shared" si="330"/>
      </c>
      <c r="M32" s="164">
        <f t="shared" si="375"/>
      </c>
      <c r="N32" s="166">
        <f t="shared" si="417"/>
      </c>
      <c r="O32" s="166">
        <f t="shared" si="450"/>
      </c>
      <c r="P32" s="161">
        <v>50</v>
      </c>
      <c r="Q32" s="168">
        <v>8</v>
      </c>
      <c r="R32" s="169">
        <f t="shared" si="21"/>
      </c>
      <c r="S32" s="165">
        <f t="shared" si="516"/>
      </c>
      <c r="T32" s="169">
        <f t="shared" si="147"/>
      </c>
      <c r="U32" s="169">
        <v>0.01</v>
      </c>
      <c r="V32" s="169">
        <f t="shared" si="281"/>
      </c>
      <c r="W32" s="169">
        <f t="shared" si="352"/>
      </c>
      <c r="X32" s="170">
        <v>0.1695</v>
      </c>
      <c r="Y32" s="171">
        <v>2</v>
      </c>
      <c r="Z32" s="171">
        <f>F32*0.05</f>
      </c>
      <c r="AA32" s="171">
        <f t="shared" si="472"/>
      </c>
      <c r="AB32" s="166">
        <f t="shared" si="494"/>
      </c>
      <c r="AC32" s="166">
        <v>49</v>
      </c>
      <c r="AD32" s="172">
        <f t="shared" si="41"/>
      </c>
      <c r="AE32" s="168">
        <f t="shared" si="91"/>
      </c>
      <c r="AF32" s="169">
        <f t="shared" si="166"/>
      </c>
      <c r="AG32" s="169">
        <f t="shared" si="228"/>
      </c>
      <c r="AH32" s="168">
        <v>7</v>
      </c>
      <c r="AI32" s="169">
        <f t="shared" si="187"/>
      </c>
      <c r="AJ32" s="169"/>
      <c r="AK32" s="169"/>
      <c r="AL32" s="169"/>
      <c r="AM32" s="169"/>
      <c r="AN32" s="173"/>
      <c r="AO32" s="173"/>
      <c r="AP32" s="173"/>
      <c r="AQ32" s="173"/>
      <c r="AR32" s="173"/>
      <c r="AS32" s="173"/>
      <c r="AT32" s="173" t="s">
        <v>725</v>
      </c>
      <c r="AU32" s="173" t="s">
        <v>725</v>
      </c>
      <c r="AV32" s="173" t="s">
        <v>725</v>
      </c>
      <c r="AW32" s="173" t="s">
        <v>725</v>
      </c>
      <c r="AX32" s="173" t="s">
        <v>725</v>
      </c>
      <c r="AY32" s="173" t="s">
        <v>725</v>
      </c>
      <c r="AZ32" s="173" t="s">
        <v>725</v>
      </c>
      <c r="BA32" s="173" t="s">
        <v>725</v>
      </c>
      <c r="BB32" s="173" t="s">
        <v>725</v>
      </c>
      <c r="BC32" s="173" t="s">
        <v>725</v>
      </c>
      <c r="BD32" s="173" t="s">
        <v>725</v>
      </c>
      <c r="BE32" s="173" t="s">
        <v>725</v>
      </c>
      <c r="BF32" s="173" t="s">
        <v>725</v>
      </c>
      <c r="BG32" s="173" t="s">
        <v>725</v>
      </c>
      <c r="BH32" s="173" t="s">
        <v>725</v>
      </c>
      <c r="BI32" s="173" t="s">
        <v>725</v>
      </c>
      <c r="BJ32" s="173" t="s">
        <v>725</v>
      </c>
      <c r="BK32" s="173" t="s">
        <v>725</v>
      </c>
      <c r="BL32" s="173" t="s">
        <v>725</v>
      </c>
      <c r="BM32" s="173" t="s">
        <v>725</v>
      </c>
      <c r="BN32" s="173" t="s">
        <v>725</v>
      </c>
      <c r="BO32" s="173" t="s">
        <v>725</v>
      </c>
      <c r="BP32" s="173" t="s">
        <v>725</v>
      </c>
      <c r="BQ32" s="173" t="s">
        <v>725</v>
      </c>
      <c r="BR32" s="174"/>
      <c r="BS32" s="161" t="str">
        <v>#VALUE!</v>
      </c>
    </row>
    <row customHeight="true" ht="18.51851851851852" r="33">
      <c r="A33" s="161" t="s">
        <v>729</v>
      </c>
      <c r="B33" s="161" t="s">
        <v>730</v>
      </c>
      <c r="C33" s="161" t="s">
        <v>743</v>
      </c>
      <c r="D33" s="162" t="s">
        <v>746</v>
      </c>
      <c r="E33" s="163">
        <v>13.8</v>
      </c>
      <c r="F33" s="163">
        <v>19.99</v>
      </c>
      <c r="G33" s="164">
        <f t="shared" si="1"/>
      </c>
      <c r="H33" s="164">
        <f t="shared" si="65"/>
      </c>
      <c r="I33" s="164">
        <f t="shared" si="125"/>
      </c>
      <c r="J33" s="165">
        <f t="shared" si="206"/>
      </c>
      <c r="K33" s="166">
        <f t="shared" si="259"/>
      </c>
      <c r="L33" s="167">
        <f t="shared" si="330"/>
      </c>
      <c r="M33" s="164">
        <f t="shared" si="375"/>
      </c>
      <c r="N33" s="166">
        <f t="shared" si="417"/>
      </c>
      <c r="O33" s="166">
        <f t="shared" si="450"/>
      </c>
      <c r="P33" s="161">
        <v>50</v>
      </c>
      <c r="Q33" s="168">
        <v>8</v>
      </c>
      <c r="R33" s="169">
        <f t="shared" si="21"/>
      </c>
      <c r="S33" s="165">
        <f t="shared" si="516"/>
      </c>
      <c r="T33" s="169">
        <f t="shared" si="147"/>
      </c>
      <c r="U33" s="169">
        <v>0.01</v>
      </c>
      <c r="V33" s="169">
        <f t="shared" si="281"/>
      </c>
      <c r="W33" s="169">
        <f t="shared" si="352"/>
      </c>
      <c r="X33" s="170">
        <v>0.1695</v>
      </c>
      <c r="Y33" s="171">
        <v>2</v>
      </c>
      <c r="Z33" s="171">
        <f>F33*0.1</f>
      </c>
      <c r="AA33" s="171">
        <f t="shared" si="472"/>
      </c>
      <c r="AB33" s="166">
        <f t="shared" si="494"/>
      </c>
      <c r="AC33" s="166">
        <v>49</v>
      </c>
      <c r="AD33" s="172">
        <f t="shared" si="41"/>
      </c>
      <c r="AE33" s="168">
        <f t="shared" si="91"/>
      </c>
      <c r="AF33" s="169">
        <f t="shared" si="166"/>
      </c>
      <c r="AG33" s="169">
        <f t="shared" si="228"/>
      </c>
      <c r="AH33" s="168">
        <v>7</v>
      </c>
      <c r="AI33" s="169">
        <f t="shared" si="187"/>
      </c>
      <c r="AJ33" s="169"/>
      <c r="AK33" s="169"/>
      <c r="AL33" s="169"/>
      <c r="AM33" s="169"/>
      <c r="AN33" s="173"/>
      <c r="AO33" s="173"/>
      <c r="AP33" s="173"/>
      <c r="AQ33" s="173"/>
      <c r="AR33" s="173"/>
      <c r="AS33" s="173"/>
      <c r="AT33" s="173" t="s">
        <v>725</v>
      </c>
      <c r="AU33" s="173" t="s">
        <v>725</v>
      </c>
      <c r="AV33" s="173" t="s">
        <v>725</v>
      </c>
      <c r="AW33" s="173" t="s">
        <v>725</v>
      </c>
      <c r="AX33" s="173" t="s">
        <v>725</v>
      </c>
      <c r="AY33" s="173" t="s">
        <v>725</v>
      </c>
      <c r="AZ33" s="173" t="s">
        <v>725</v>
      </c>
      <c r="BA33" s="173" t="s">
        <v>725</v>
      </c>
      <c r="BB33" s="173" t="s">
        <v>725</v>
      </c>
      <c r="BC33" s="173" t="s">
        <v>725</v>
      </c>
      <c r="BD33" s="173" t="s">
        <v>725</v>
      </c>
      <c r="BE33" s="173" t="s">
        <v>725</v>
      </c>
      <c r="BF33" s="173" t="s">
        <v>725</v>
      </c>
      <c r="BG33" s="173" t="s">
        <v>725</v>
      </c>
      <c r="BH33" s="173" t="s">
        <v>725</v>
      </c>
      <c r="BI33" s="173" t="s">
        <v>725</v>
      </c>
      <c r="BJ33" s="173" t="s">
        <v>725</v>
      </c>
      <c r="BK33" s="173" t="s">
        <v>725</v>
      </c>
      <c r="BL33" s="173" t="s">
        <v>725</v>
      </c>
      <c r="BM33" s="173" t="s">
        <v>725</v>
      </c>
      <c r="BN33" s="173" t="s">
        <v>725</v>
      </c>
      <c r="BO33" s="173" t="s">
        <v>725</v>
      </c>
      <c r="BP33" s="173" t="s">
        <v>725</v>
      </c>
      <c r="BQ33" s="173" t="s">
        <v>725</v>
      </c>
      <c r="BR33" s="174"/>
      <c r="BS33" s="161" t="str">
        <v>#VALUE!</v>
      </c>
    </row>
    <row customHeight="true" ht="18.51851851851852" r="34">
      <c r="A34" s="161" t="s">
        <v>729</v>
      </c>
      <c r="B34" s="161" t="s">
        <v>730</v>
      </c>
      <c r="C34" s="161" t="s">
        <v>743</v>
      </c>
      <c r="D34" s="162" t="s">
        <v>747</v>
      </c>
      <c r="E34" s="163">
        <v>13.8</v>
      </c>
      <c r="F34" s="163">
        <v>19.99</v>
      </c>
      <c r="G34" s="182">
        <f t="shared" si="1"/>
      </c>
      <c r="H34" s="164">
        <f t="shared" si="65"/>
      </c>
      <c r="I34" s="182">
        <f t="shared" si="125"/>
      </c>
      <c r="J34" s="165">
        <f t="shared" si="206"/>
      </c>
      <c r="K34" s="166">
        <f t="shared" si="259"/>
      </c>
      <c r="L34" s="167">
        <f t="shared" si="330"/>
      </c>
      <c r="M34" s="164">
        <f t="shared" si="375"/>
      </c>
      <c r="N34" s="166">
        <f t="shared" si="417"/>
      </c>
      <c r="O34" s="166">
        <f t="shared" si="450"/>
      </c>
      <c r="P34" s="161">
        <v>50</v>
      </c>
      <c r="Q34" s="168">
        <v>8</v>
      </c>
      <c r="R34" s="169">
        <f t="shared" si="21"/>
      </c>
      <c r="S34" s="165">
        <f t="shared" si="516"/>
      </c>
      <c r="T34" s="169">
        <f t="shared" si="147"/>
      </c>
      <c r="U34" s="169">
        <v>0.01</v>
      </c>
      <c r="V34" s="169">
        <f t="shared" si="281"/>
      </c>
      <c r="W34" s="169">
        <f t="shared" si="352"/>
      </c>
      <c r="X34" s="170">
        <v>0.1695</v>
      </c>
      <c r="Y34" s="171">
        <v>2</v>
      </c>
      <c r="Z34" s="171">
        <f>F34*0.15</f>
      </c>
      <c r="AA34" s="171">
        <f t="shared" si="472"/>
      </c>
      <c r="AB34" s="166">
        <f t="shared" si="494"/>
      </c>
      <c r="AC34" s="166">
        <v>49</v>
      </c>
      <c r="AD34" s="172">
        <f t="shared" si="41"/>
      </c>
      <c r="AE34" s="168">
        <f t="shared" si="91"/>
      </c>
      <c r="AF34" s="169">
        <f t="shared" si="166"/>
      </c>
      <c r="AG34" s="169">
        <f t="shared" si="228"/>
      </c>
      <c r="AH34" s="168">
        <v>7</v>
      </c>
      <c r="AI34" s="169">
        <f t="shared" si="187"/>
      </c>
      <c r="AJ34" s="169"/>
      <c r="AK34" s="169"/>
      <c r="AL34" s="169"/>
      <c r="AM34" s="169"/>
      <c r="AN34" s="173"/>
      <c r="AO34" s="173"/>
      <c r="AP34" s="173"/>
      <c r="AQ34" s="173"/>
      <c r="AR34" s="173"/>
      <c r="AS34" s="173"/>
      <c r="AT34" s="173" t="s">
        <v>725</v>
      </c>
      <c r="AU34" s="173" t="s">
        <v>725</v>
      </c>
      <c r="AV34" s="173" t="s">
        <v>725</v>
      </c>
      <c r="AW34" s="173" t="s">
        <v>725</v>
      </c>
      <c r="AX34" s="173" t="s">
        <v>725</v>
      </c>
      <c r="AY34" s="173" t="s">
        <v>725</v>
      </c>
      <c r="AZ34" s="173" t="s">
        <v>725</v>
      </c>
      <c r="BA34" s="173" t="s">
        <v>725</v>
      </c>
      <c r="BB34" s="173" t="s">
        <v>725</v>
      </c>
      <c r="BC34" s="173" t="s">
        <v>725</v>
      </c>
      <c r="BD34" s="173" t="s">
        <v>725</v>
      </c>
      <c r="BE34" s="173" t="s">
        <v>725</v>
      </c>
      <c r="BF34" s="173" t="s">
        <v>725</v>
      </c>
      <c r="BG34" s="173" t="s">
        <v>725</v>
      </c>
      <c r="BH34" s="173" t="s">
        <v>725</v>
      </c>
      <c r="BI34" s="173" t="s">
        <v>725</v>
      </c>
      <c r="BJ34" s="173" t="s">
        <v>725</v>
      </c>
      <c r="BK34" s="173" t="s">
        <v>725</v>
      </c>
      <c r="BL34" s="173" t="s">
        <v>725</v>
      </c>
      <c r="BM34" s="173" t="s">
        <v>725</v>
      </c>
      <c r="BN34" s="173" t="s">
        <v>725</v>
      </c>
      <c r="BO34" s="173" t="s">
        <v>725</v>
      </c>
      <c r="BP34" s="173" t="s">
        <v>725</v>
      </c>
      <c r="BQ34" s="173" t="s">
        <v>725</v>
      </c>
      <c r="BR34" s="174"/>
      <c r="BS34" s="161" t="str">
        <v>#VALUE!</v>
      </c>
    </row>
    <row customHeight="true" ht="18.51851851851852" r="35">
      <c r="A35" s="161" t="s">
        <v>732</v>
      </c>
      <c r="B35" s="161" t="s">
        <v>730</v>
      </c>
      <c r="C35" s="161" t="s">
        <v>743</v>
      </c>
      <c r="D35" s="162" t="s">
        <v>744</v>
      </c>
      <c r="E35" s="163">
        <v>13.8</v>
      </c>
      <c r="F35" s="163">
        <v>19.99</v>
      </c>
      <c r="G35" s="182">
        <f t="shared" si="1"/>
      </c>
      <c r="H35" s="164">
        <f t="shared" si="65"/>
      </c>
      <c r="I35" s="182">
        <f t="shared" si="125"/>
      </c>
      <c r="J35" s="165">
        <f t="shared" si="206"/>
      </c>
      <c r="K35" s="166">
        <f t="shared" si="259"/>
      </c>
      <c r="L35" s="167">
        <f t="shared" si="330"/>
      </c>
      <c r="M35" s="164">
        <f t="shared" si="375"/>
      </c>
      <c r="N35" s="166">
        <f t="shared" si="417"/>
      </c>
      <c r="O35" s="166">
        <f t="shared" si="450"/>
      </c>
      <c r="P35" s="161">
        <v>50</v>
      </c>
      <c r="Q35" s="168">
        <v>8</v>
      </c>
      <c r="R35" s="169">
        <f t="shared" si="21"/>
      </c>
      <c r="S35" s="165">
        <f t="shared" si="516"/>
      </c>
      <c r="T35" s="169">
        <f t="shared" si="147"/>
      </c>
      <c r="U35" s="169">
        <v>0.01</v>
      </c>
      <c r="V35" s="169">
        <f t="shared" si="281"/>
      </c>
      <c r="W35" s="169">
        <f t="shared" si="352"/>
      </c>
      <c r="X35" s="170">
        <v>0.198</v>
      </c>
      <c r="Y35" s="171">
        <v>2</v>
      </c>
      <c r="Z35" s="171">
        <v>0</v>
      </c>
      <c r="AA35" s="171">
        <f t="shared" si="472"/>
      </c>
      <c r="AB35" s="166">
        <f t="shared" si="494"/>
      </c>
      <c r="AC35" s="166">
        <v>49</v>
      </c>
      <c r="AD35" s="172">
        <f t="shared" si="41"/>
      </c>
      <c r="AE35" s="168">
        <f t="shared" si="91"/>
      </c>
      <c r="AF35" s="169">
        <f t="shared" si="166"/>
      </c>
      <c r="AG35" s="169">
        <f t="shared" si="228"/>
      </c>
      <c r="AH35" s="168">
        <v>7</v>
      </c>
      <c r="AI35" s="169">
        <f t="shared" si="187"/>
      </c>
      <c r="AJ35" s="169"/>
      <c r="AK35" s="169"/>
      <c r="AL35" s="169"/>
      <c r="AM35" s="169"/>
      <c r="AN35" s="173"/>
      <c r="AO35" s="173"/>
      <c r="AP35" s="173"/>
      <c r="AQ35" s="173"/>
      <c r="AR35" s="173"/>
      <c r="AS35" s="173"/>
      <c r="AT35" s="173" t="s">
        <v>725</v>
      </c>
      <c r="AU35" s="173" t="s">
        <v>725</v>
      </c>
      <c r="AV35" s="173" t="s">
        <v>725</v>
      </c>
      <c r="AW35" s="173" t="s">
        <v>725</v>
      </c>
      <c r="AX35" s="173" t="s">
        <v>725</v>
      </c>
      <c r="AY35" s="173" t="s">
        <v>725</v>
      </c>
      <c r="AZ35" s="173" t="s">
        <v>725</v>
      </c>
      <c r="BA35" s="173" t="s">
        <v>725</v>
      </c>
      <c r="BB35" s="173" t="s">
        <v>725</v>
      </c>
      <c r="BC35" s="173" t="s">
        <v>725</v>
      </c>
      <c r="BD35" s="173" t="s">
        <v>725</v>
      </c>
      <c r="BE35" s="173" t="s">
        <v>725</v>
      </c>
      <c r="BF35" s="173" t="s">
        <v>725</v>
      </c>
      <c r="BG35" s="173" t="s">
        <v>725</v>
      </c>
      <c r="BH35" s="173" t="s">
        <v>725</v>
      </c>
      <c r="BI35" s="173" t="s">
        <v>725</v>
      </c>
      <c r="BJ35" s="173" t="s">
        <v>725</v>
      </c>
      <c r="BK35" s="173" t="s">
        <v>725</v>
      </c>
      <c r="BL35" s="173" t="s">
        <v>725</v>
      </c>
      <c r="BM35" s="173" t="s">
        <v>725</v>
      </c>
      <c r="BN35" s="173" t="s">
        <v>725</v>
      </c>
      <c r="BO35" s="173" t="s">
        <v>725</v>
      </c>
      <c r="BP35" s="173" t="s">
        <v>725</v>
      </c>
      <c r="BQ35" s="173" t="s">
        <v>725</v>
      </c>
      <c r="BR35" s="174"/>
      <c r="BS35" s="161" t="str">
        <v>#VALUE!</v>
      </c>
    </row>
    <row customHeight="true" ht="18.51851851851852" r="36">
      <c r="A36" s="161" t="s">
        <v>732</v>
      </c>
      <c r="B36" s="161" t="s">
        <v>730</v>
      </c>
      <c r="C36" s="161" t="s">
        <v>743</v>
      </c>
      <c r="D36" s="162" t="s">
        <v>745</v>
      </c>
      <c r="E36" s="163">
        <v>13.8</v>
      </c>
      <c r="F36" s="163">
        <v>19.99</v>
      </c>
      <c r="G36" s="164">
        <f t="shared" si="1"/>
      </c>
      <c r="H36" s="164">
        <f t="shared" si="65"/>
      </c>
      <c r="I36" s="164">
        <f t="shared" si="125"/>
      </c>
      <c r="J36" s="165">
        <f t="shared" si="206"/>
      </c>
      <c r="K36" s="166">
        <f t="shared" si="259"/>
      </c>
      <c r="L36" s="167">
        <f t="shared" si="330"/>
      </c>
      <c r="M36" s="164">
        <f t="shared" si="375"/>
      </c>
      <c r="N36" s="166">
        <f t="shared" si="417"/>
      </c>
      <c r="O36" s="166">
        <f t="shared" si="450"/>
      </c>
      <c r="P36" s="161">
        <v>50</v>
      </c>
      <c r="Q36" s="168">
        <v>8</v>
      </c>
      <c r="R36" s="169">
        <f t="shared" si="21"/>
      </c>
      <c r="S36" s="165">
        <f t="shared" si="516"/>
      </c>
      <c r="T36" s="169">
        <f t="shared" si="147"/>
      </c>
      <c r="U36" s="169">
        <v>0.01</v>
      </c>
      <c r="V36" s="169">
        <f t="shared" si="281"/>
      </c>
      <c r="W36" s="169">
        <f t="shared" si="352"/>
      </c>
      <c r="X36" s="170">
        <v>0.198</v>
      </c>
      <c r="Y36" s="171">
        <v>2</v>
      </c>
      <c r="Z36" s="171">
        <f>F36*0.05</f>
      </c>
      <c r="AA36" s="171">
        <f t="shared" si="472"/>
      </c>
      <c r="AB36" s="166">
        <f t="shared" si="494"/>
      </c>
      <c r="AC36" s="166">
        <v>49</v>
      </c>
      <c r="AD36" s="172">
        <f t="shared" si="41"/>
      </c>
      <c r="AE36" s="168">
        <f t="shared" si="91"/>
      </c>
      <c r="AF36" s="169">
        <f t="shared" si="166"/>
      </c>
      <c r="AG36" s="169">
        <f t="shared" si="228"/>
      </c>
      <c r="AH36" s="168">
        <v>7</v>
      </c>
      <c r="AI36" s="169">
        <f t="shared" si="187"/>
      </c>
      <c r="AJ36" s="169"/>
      <c r="AK36" s="169"/>
      <c r="AL36" s="169"/>
      <c r="AM36" s="169"/>
      <c r="AN36" s="173"/>
      <c r="AO36" s="173"/>
      <c r="AP36" s="173"/>
      <c r="AQ36" s="173"/>
      <c r="AR36" s="173"/>
      <c r="AS36" s="173"/>
      <c r="AT36" s="173" t="s">
        <v>725</v>
      </c>
      <c r="AU36" s="173" t="s">
        <v>725</v>
      </c>
      <c r="AV36" s="173" t="s">
        <v>725</v>
      </c>
      <c r="AW36" s="173" t="s">
        <v>725</v>
      </c>
      <c r="AX36" s="173" t="s">
        <v>725</v>
      </c>
      <c r="AY36" s="173" t="s">
        <v>725</v>
      </c>
      <c r="AZ36" s="173" t="s">
        <v>725</v>
      </c>
      <c r="BA36" s="173" t="s">
        <v>725</v>
      </c>
      <c r="BB36" s="173" t="s">
        <v>725</v>
      </c>
      <c r="BC36" s="173" t="s">
        <v>725</v>
      </c>
      <c r="BD36" s="173" t="s">
        <v>725</v>
      </c>
      <c r="BE36" s="173" t="s">
        <v>725</v>
      </c>
      <c r="BF36" s="173" t="s">
        <v>725</v>
      </c>
      <c r="BG36" s="173" t="s">
        <v>725</v>
      </c>
      <c r="BH36" s="173" t="s">
        <v>725</v>
      </c>
      <c r="BI36" s="173" t="s">
        <v>725</v>
      </c>
      <c r="BJ36" s="173" t="s">
        <v>725</v>
      </c>
      <c r="BK36" s="173" t="s">
        <v>725</v>
      </c>
      <c r="BL36" s="173" t="s">
        <v>725</v>
      </c>
      <c r="BM36" s="173" t="s">
        <v>725</v>
      </c>
      <c r="BN36" s="173" t="s">
        <v>725</v>
      </c>
      <c r="BO36" s="173" t="s">
        <v>725</v>
      </c>
      <c r="BP36" s="173" t="s">
        <v>725</v>
      </c>
      <c r="BQ36" s="173" t="s">
        <v>725</v>
      </c>
      <c r="BR36" s="174"/>
      <c r="BS36" s="161" t="str">
        <v>#VALUE!</v>
      </c>
    </row>
    <row customHeight="true" ht="18.51851851851852" r="37">
      <c r="A37" s="161" t="s">
        <v>732</v>
      </c>
      <c r="B37" s="161" t="s">
        <v>730</v>
      </c>
      <c r="C37" s="161" t="s">
        <v>743</v>
      </c>
      <c r="D37" s="162" t="s">
        <v>746</v>
      </c>
      <c r="E37" s="163">
        <v>13.8</v>
      </c>
      <c r="F37" s="163">
        <v>19.99</v>
      </c>
      <c r="G37" s="164">
        <f t="shared" si="1"/>
      </c>
      <c r="H37" s="164">
        <f t="shared" si="65"/>
      </c>
      <c r="I37" s="164">
        <f t="shared" si="125"/>
      </c>
      <c r="J37" s="165">
        <f t="shared" si="206"/>
      </c>
      <c r="K37" s="166">
        <f t="shared" si="259"/>
      </c>
      <c r="L37" s="167">
        <f t="shared" si="330"/>
      </c>
      <c r="M37" s="164">
        <f t="shared" si="375"/>
      </c>
      <c r="N37" s="166">
        <f t="shared" si="417"/>
      </c>
      <c r="O37" s="166">
        <f t="shared" si="450"/>
      </c>
      <c r="P37" s="161">
        <v>50</v>
      </c>
      <c r="Q37" s="168">
        <v>8</v>
      </c>
      <c r="R37" s="169">
        <f t="shared" si="21"/>
      </c>
      <c r="S37" s="165">
        <f t="shared" si="516"/>
      </c>
      <c r="T37" s="169">
        <f t="shared" si="147"/>
      </c>
      <c r="U37" s="169">
        <v>0.01</v>
      </c>
      <c r="V37" s="169">
        <f t="shared" si="281"/>
      </c>
      <c r="W37" s="169">
        <f t="shared" si="352"/>
      </c>
      <c r="X37" s="170">
        <v>0.198</v>
      </c>
      <c r="Y37" s="171">
        <v>2</v>
      </c>
      <c r="Z37" s="171">
        <f>F37*0.1</f>
      </c>
      <c r="AA37" s="171">
        <f t="shared" si="472"/>
      </c>
      <c r="AB37" s="166">
        <f t="shared" si="494"/>
      </c>
      <c r="AC37" s="166">
        <v>49</v>
      </c>
      <c r="AD37" s="172">
        <f t="shared" si="41"/>
      </c>
      <c r="AE37" s="168">
        <f t="shared" si="91"/>
      </c>
      <c r="AF37" s="169">
        <f t="shared" si="166"/>
      </c>
      <c r="AG37" s="169">
        <f t="shared" si="228"/>
      </c>
      <c r="AH37" s="168">
        <v>7</v>
      </c>
      <c r="AI37" s="169">
        <f t="shared" si="187"/>
      </c>
      <c r="AJ37" s="169"/>
      <c r="AK37" s="169"/>
      <c r="AL37" s="169"/>
      <c r="AM37" s="169"/>
      <c r="AN37" s="173"/>
      <c r="AO37" s="173"/>
      <c r="AP37" s="173"/>
      <c r="AQ37" s="173"/>
      <c r="AR37" s="173"/>
      <c r="AS37" s="173"/>
      <c r="AT37" s="173" t="s">
        <v>725</v>
      </c>
      <c r="AU37" s="173" t="s">
        <v>725</v>
      </c>
      <c r="AV37" s="173" t="s">
        <v>725</v>
      </c>
      <c r="AW37" s="173" t="s">
        <v>725</v>
      </c>
      <c r="AX37" s="173" t="s">
        <v>725</v>
      </c>
      <c r="AY37" s="173" t="s">
        <v>725</v>
      </c>
      <c r="AZ37" s="173" t="s">
        <v>725</v>
      </c>
      <c r="BA37" s="173" t="s">
        <v>725</v>
      </c>
      <c r="BB37" s="173" t="s">
        <v>725</v>
      </c>
      <c r="BC37" s="173" t="s">
        <v>725</v>
      </c>
      <c r="BD37" s="173" t="s">
        <v>725</v>
      </c>
      <c r="BE37" s="173" t="s">
        <v>725</v>
      </c>
      <c r="BF37" s="173" t="s">
        <v>725</v>
      </c>
      <c r="BG37" s="173" t="s">
        <v>725</v>
      </c>
      <c r="BH37" s="173" t="s">
        <v>725</v>
      </c>
      <c r="BI37" s="173" t="s">
        <v>725</v>
      </c>
      <c r="BJ37" s="173" t="s">
        <v>725</v>
      </c>
      <c r="BK37" s="173" t="s">
        <v>725</v>
      </c>
      <c r="BL37" s="173" t="s">
        <v>725</v>
      </c>
      <c r="BM37" s="173" t="s">
        <v>725</v>
      </c>
      <c r="BN37" s="173" t="s">
        <v>725</v>
      </c>
      <c r="BO37" s="173" t="s">
        <v>725</v>
      </c>
      <c r="BP37" s="173" t="s">
        <v>725</v>
      </c>
      <c r="BQ37" s="173" t="s">
        <v>725</v>
      </c>
      <c r="BR37" s="174"/>
      <c r="BS37" s="161" t="str">
        <v>#VALUE!</v>
      </c>
    </row>
    <row customHeight="true" ht="18.51851851851852" r="38">
      <c r="A38" s="161" t="s">
        <v>732</v>
      </c>
      <c r="B38" s="161" t="s">
        <v>730</v>
      </c>
      <c r="C38" s="161" t="s">
        <v>743</v>
      </c>
      <c r="D38" s="162" t="s">
        <v>747</v>
      </c>
      <c r="E38" s="163">
        <v>13.8</v>
      </c>
      <c r="F38" s="163">
        <v>19.99</v>
      </c>
      <c r="G38" s="182">
        <f t="shared" si="1"/>
      </c>
      <c r="H38" s="164">
        <f t="shared" si="65"/>
      </c>
      <c r="I38" s="182">
        <f t="shared" si="125"/>
      </c>
      <c r="J38" s="165">
        <f t="shared" si="206"/>
      </c>
      <c r="K38" s="166">
        <f t="shared" si="259"/>
      </c>
      <c r="L38" s="167">
        <f t="shared" si="330"/>
      </c>
      <c r="M38" s="164">
        <f t="shared" si="375"/>
      </c>
      <c r="N38" s="166">
        <f t="shared" si="417"/>
      </c>
      <c r="O38" s="166">
        <f t="shared" si="450"/>
      </c>
      <c r="P38" s="161">
        <v>50</v>
      </c>
      <c r="Q38" s="168">
        <v>8</v>
      </c>
      <c r="R38" s="169">
        <f t="shared" si="21"/>
      </c>
      <c r="S38" s="165">
        <f t="shared" si="516"/>
      </c>
      <c r="T38" s="169">
        <f t="shared" si="147"/>
      </c>
      <c r="U38" s="169">
        <v>0.01</v>
      </c>
      <c r="V38" s="169">
        <f t="shared" si="281"/>
      </c>
      <c r="W38" s="169">
        <f t="shared" si="352"/>
      </c>
      <c r="X38" s="170">
        <v>0.198</v>
      </c>
      <c r="Y38" s="171">
        <v>2</v>
      </c>
      <c r="Z38" s="171">
        <f>F38*0.15</f>
      </c>
      <c r="AA38" s="171">
        <f t="shared" si="472"/>
      </c>
      <c r="AB38" s="166">
        <f t="shared" si="494"/>
      </c>
      <c r="AC38" s="166">
        <v>49</v>
      </c>
      <c r="AD38" s="172">
        <f t="shared" si="41"/>
      </c>
      <c r="AE38" s="168">
        <f t="shared" si="91"/>
      </c>
      <c r="AF38" s="169">
        <f t="shared" si="166"/>
      </c>
      <c r="AG38" s="169">
        <f t="shared" si="228"/>
      </c>
      <c r="AH38" s="168">
        <v>7</v>
      </c>
      <c r="AI38" s="169">
        <f t="shared" ref="AI38:AI50" si="303">(K38-E38+AB38)/(K38-Z38)</f>
      </c>
      <c r="AJ38" s="169"/>
      <c r="AK38" s="169"/>
      <c r="AL38" s="169"/>
      <c r="AM38" s="169"/>
      <c r="AN38" s="173"/>
      <c r="AO38" s="173"/>
      <c r="AP38" s="173"/>
      <c r="AQ38" s="173"/>
      <c r="AR38" s="173"/>
      <c r="AS38" s="173"/>
      <c r="AT38" s="173" t="s">
        <v>725</v>
      </c>
      <c r="AU38" s="173" t="s">
        <v>725</v>
      </c>
      <c r="AV38" s="173" t="s">
        <v>725</v>
      </c>
      <c r="AW38" s="173" t="s">
        <v>725</v>
      </c>
      <c r="AX38" s="173" t="s">
        <v>725</v>
      </c>
      <c r="AY38" s="173" t="s">
        <v>725</v>
      </c>
      <c r="AZ38" s="173" t="s">
        <v>725</v>
      </c>
      <c r="BA38" s="173" t="s">
        <v>725</v>
      </c>
      <c r="BB38" s="173" t="s">
        <v>725</v>
      </c>
      <c r="BC38" s="173" t="s">
        <v>725</v>
      </c>
      <c r="BD38" s="173" t="s">
        <v>725</v>
      </c>
      <c r="BE38" s="173" t="s">
        <v>725</v>
      </c>
      <c r="BF38" s="173" t="s">
        <v>725</v>
      </c>
      <c r="BG38" s="173" t="s">
        <v>725</v>
      </c>
      <c r="BH38" s="173" t="s">
        <v>725</v>
      </c>
      <c r="BI38" s="173" t="s">
        <v>725</v>
      </c>
      <c r="BJ38" s="173" t="s">
        <v>725</v>
      </c>
      <c r="BK38" s="173" t="s">
        <v>725</v>
      </c>
      <c r="BL38" s="173" t="s">
        <v>725</v>
      </c>
      <c r="BM38" s="173" t="s">
        <v>725</v>
      </c>
      <c r="BN38" s="173" t="s">
        <v>725</v>
      </c>
      <c r="BO38" s="173" t="s">
        <v>725</v>
      </c>
      <c r="BP38" s="173" t="s">
        <v>725</v>
      </c>
      <c r="BQ38" s="173" t="s">
        <v>725</v>
      </c>
      <c r="BR38" s="174"/>
      <c r="BS38" s="161" t="str">
        <v>#VALUE!</v>
      </c>
    </row>
    <row customHeight="true" ht="18.51851851851852" r="39">
      <c r="A39" s="161" t="s">
        <v>733</v>
      </c>
      <c r="B39" s="161" t="s">
        <v>730</v>
      </c>
      <c r="C39" s="161" t="s">
        <v>743</v>
      </c>
      <c r="D39" s="162" t="s">
        <v>744</v>
      </c>
      <c r="E39" s="163">
        <v>13.8</v>
      </c>
      <c r="F39" s="163">
        <v>19.99</v>
      </c>
      <c r="G39" s="182">
        <f t="shared" si="1"/>
      </c>
      <c r="H39" s="164">
        <f t="shared" si="65"/>
      </c>
      <c r="I39" s="182">
        <f t="shared" si="125"/>
      </c>
      <c r="J39" s="165">
        <f t="shared" si="206"/>
      </c>
      <c r="K39" s="166">
        <f t="shared" si="259"/>
      </c>
      <c r="L39" s="167">
        <f t="shared" si="330"/>
      </c>
      <c r="M39" s="164">
        <f t="shared" si="375"/>
      </c>
      <c r="N39" s="166">
        <f t="shared" si="417"/>
      </c>
      <c r="O39" s="166">
        <f t="shared" si="450"/>
      </c>
      <c r="P39" s="161">
        <v>50</v>
      </c>
      <c r="Q39" s="168">
        <v>8</v>
      </c>
      <c r="R39" s="169">
        <f t="shared" si="21"/>
      </c>
      <c r="S39" s="165">
        <f t="shared" si="516"/>
      </c>
      <c r="T39" s="169">
        <f t="shared" si="147"/>
      </c>
      <c r="U39" s="169">
        <v>0.01</v>
      </c>
      <c r="V39" s="169">
        <f t="shared" si="281"/>
      </c>
      <c r="W39" s="169">
        <f t="shared" si="352"/>
      </c>
      <c r="X39" s="170">
        <v>0.1846</v>
      </c>
      <c r="Y39" s="171">
        <v>2</v>
      </c>
      <c r="Z39" s="171">
        <v>0</v>
      </c>
      <c r="AA39" s="171">
        <f t="shared" si="472"/>
      </c>
      <c r="AB39" s="166">
        <f t="shared" si="494"/>
      </c>
      <c r="AC39" s="166">
        <v>49</v>
      </c>
      <c r="AD39" s="172">
        <f t="shared" si="41"/>
      </c>
      <c r="AE39" s="168">
        <f t="shared" si="91"/>
      </c>
      <c r="AF39" s="169">
        <f t="shared" si="166"/>
      </c>
      <c r="AG39" s="169">
        <f t="shared" si="228"/>
      </c>
      <c r="AH39" s="168">
        <v>7</v>
      </c>
      <c r="AI39" s="165">
        <f t="shared" si="303"/>
      </c>
      <c r="AJ39" s="165"/>
      <c r="AK39" s="165"/>
      <c r="AL39" s="165"/>
      <c r="AM39" s="165"/>
      <c r="AN39" s="173"/>
      <c r="AO39" s="173"/>
      <c r="AP39" s="173"/>
      <c r="AQ39" s="173"/>
      <c r="AR39" s="173"/>
      <c r="AS39" s="173"/>
      <c r="AT39" s="173" t="s">
        <v>725</v>
      </c>
      <c r="AU39" s="173" t="s">
        <v>725</v>
      </c>
      <c r="AV39" s="173" t="s">
        <v>725</v>
      </c>
      <c r="AW39" s="173" t="s">
        <v>725</v>
      </c>
      <c r="AX39" s="173" t="s">
        <v>725</v>
      </c>
      <c r="AY39" s="173" t="s">
        <v>725</v>
      </c>
      <c r="AZ39" s="173" t="s">
        <v>725</v>
      </c>
      <c r="BA39" s="173" t="s">
        <v>725</v>
      </c>
      <c r="BB39" s="173" t="s">
        <v>725</v>
      </c>
      <c r="BC39" s="173" t="s">
        <v>725</v>
      </c>
      <c r="BD39" s="173" t="s">
        <v>725</v>
      </c>
      <c r="BE39" s="173" t="s">
        <v>725</v>
      </c>
      <c r="BF39" s="173" t="s">
        <v>725</v>
      </c>
      <c r="BG39" s="173" t="s">
        <v>725</v>
      </c>
      <c r="BH39" s="173" t="s">
        <v>725</v>
      </c>
      <c r="BI39" s="173" t="s">
        <v>725</v>
      </c>
      <c r="BJ39" s="173" t="s">
        <v>725</v>
      </c>
      <c r="BK39" s="173" t="s">
        <v>725</v>
      </c>
      <c r="BL39" s="173" t="s">
        <v>725</v>
      </c>
      <c r="BM39" s="173" t="s">
        <v>725</v>
      </c>
      <c r="BN39" s="173" t="s">
        <v>725</v>
      </c>
      <c r="BO39" s="173" t="s">
        <v>725</v>
      </c>
      <c r="BP39" s="173" t="s">
        <v>725</v>
      </c>
      <c r="BQ39" s="173" t="s">
        <v>725</v>
      </c>
      <c r="BR39" s="174"/>
      <c r="BS39" s="161" t="str">
        <v>#VALUE!</v>
      </c>
    </row>
    <row customHeight="true" ht="18.51851851851852" r="40">
      <c r="A40" s="161" t="s">
        <v>733</v>
      </c>
      <c r="B40" s="161" t="s">
        <v>730</v>
      </c>
      <c r="C40" s="161" t="s">
        <v>743</v>
      </c>
      <c r="D40" s="162" t="s">
        <v>745</v>
      </c>
      <c r="E40" s="163">
        <v>13.8</v>
      </c>
      <c r="F40" s="163">
        <v>19.99</v>
      </c>
      <c r="G40" s="164">
        <f t="shared" si="1"/>
      </c>
      <c r="H40" s="164">
        <f t="shared" si="65"/>
      </c>
      <c r="I40" s="164">
        <f t="shared" si="125"/>
      </c>
      <c r="J40" s="165">
        <f t="shared" si="206"/>
      </c>
      <c r="K40" s="166">
        <f t="shared" si="259"/>
      </c>
      <c r="L40" s="167">
        <f t="shared" si="330"/>
      </c>
      <c r="M40" s="164">
        <f t="shared" si="375"/>
      </c>
      <c r="N40" s="166">
        <f t="shared" si="417"/>
      </c>
      <c r="O40" s="166">
        <f t="shared" si="450"/>
      </c>
      <c r="P40" s="161">
        <v>50</v>
      </c>
      <c r="Q40" s="168">
        <v>8</v>
      </c>
      <c r="R40" s="169">
        <f t="shared" si="21"/>
      </c>
      <c r="S40" s="165">
        <f t="shared" si="516"/>
      </c>
      <c r="T40" s="169">
        <f t="shared" si="147"/>
      </c>
      <c r="U40" s="169">
        <v>0.01</v>
      </c>
      <c r="V40" s="169">
        <f t="shared" si="281"/>
      </c>
      <c r="W40" s="169">
        <f t="shared" si="352"/>
      </c>
      <c r="X40" s="170">
        <v>0.1846</v>
      </c>
      <c r="Y40" s="171">
        <v>2</v>
      </c>
      <c r="Z40" s="171">
        <f>F40*0.05</f>
      </c>
      <c r="AA40" s="171">
        <f t="shared" si="472"/>
      </c>
      <c r="AB40" s="166">
        <f t="shared" si="494"/>
      </c>
      <c r="AC40" s="166">
        <v>49</v>
      </c>
      <c r="AD40" s="172">
        <f t="shared" si="41"/>
      </c>
      <c r="AE40" s="168">
        <f t="shared" si="91"/>
      </c>
      <c r="AF40" s="169">
        <f t="shared" si="166"/>
      </c>
      <c r="AG40" s="169">
        <f t="shared" si="228"/>
      </c>
      <c r="AH40" s="168">
        <v>7</v>
      </c>
      <c r="AI40" s="165">
        <f t="shared" si="303"/>
      </c>
      <c r="AJ40" s="165"/>
      <c r="AK40" s="165"/>
      <c r="AL40" s="165"/>
      <c r="AM40" s="165"/>
      <c r="AN40" s="173"/>
      <c r="AO40" s="173"/>
      <c r="AP40" s="173"/>
      <c r="AQ40" s="173"/>
      <c r="AR40" s="173"/>
      <c r="AS40" s="173"/>
      <c r="AT40" s="173" t="s">
        <v>725</v>
      </c>
      <c r="AU40" s="173" t="s">
        <v>725</v>
      </c>
      <c r="AV40" s="173" t="s">
        <v>725</v>
      </c>
      <c r="AW40" s="173" t="s">
        <v>725</v>
      </c>
      <c r="AX40" s="173" t="s">
        <v>725</v>
      </c>
      <c r="AY40" s="173" t="s">
        <v>725</v>
      </c>
      <c r="AZ40" s="173" t="s">
        <v>725</v>
      </c>
      <c r="BA40" s="173" t="s">
        <v>725</v>
      </c>
      <c r="BB40" s="173" t="s">
        <v>725</v>
      </c>
      <c r="BC40" s="173" t="s">
        <v>725</v>
      </c>
      <c r="BD40" s="173" t="s">
        <v>725</v>
      </c>
      <c r="BE40" s="173" t="s">
        <v>725</v>
      </c>
      <c r="BF40" s="173" t="s">
        <v>725</v>
      </c>
      <c r="BG40" s="173" t="s">
        <v>725</v>
      </c>
      <c r="BH40" s="173" t="s">
        <v>725</v>
      </c>
      <c r="BI40" s="173" t="s">
        <v>725</v>
      </c>
      <c r="BJ40" s="173" t="s">
        <v>725</v>
      </c>
      <c r="BK40" s="173" t="s">
        <v>725</v>
      </c>
      <c r="BL40" s="173" t="s">
        <v>725</v>
      </c>
      <c r="BM40" s="173" t="s">
        <v>725</v>
      </c>
      <c r="BN40" s="173" t="s">
        <v>725</v>
      </c>
      <c r="BO40" s="173" t="s">
        <v>725</v>
      </c>
      <c r="BP40" s="173" t="s">
        <v>725</v>
      </c>
      <c r="BQ40" s="173" t="s">
        <v>725</v>
      </c>
      <c r="BR40" s="174"/>
      <c r="BS40" s="161" t="str">
        <v>#VALUE!</v>
      </c>
    </row>
    <row customHeight="true" ht="18.51851851851852" r="41">
      <c r="A41" s="161" t="s">
        <v>733</v>
      </c>
      <c r="B41" s="161" t="s">
        <v>730</v>
      </c>
      <c r="C41" s="161" t="s">
        <v>743</v>
      </c>
      <c r="D41" s="162" t="s">
        <v>746</v>
      </c>
      <c r="E41" s="163">
        <v>13.8</v>
      </c>
      <c r="F41" s="163">
        <v>19.99</v>
      </c>
      <c r="G41" s="164">
        <f t="shared" si="1"/>
      </c>
      <c r="H41" s="164">
        <f t="shared" si="65"/>
      </c>
      <c r="I41" s="164">
        <f t="shared" si="125"/>
      </c>
      <c r="J41" s="165">
        <f t="shared" si="206"/>
      </c>
      <c r="K41" s="166">
        <f t="shared" si="259"/>
      </c>
      <c r="L41" s="167">
        <f t="shared" si="330"/>
      </c>
      <c r="M41" s="164">
        <f t="shared" si="375"/>
      </c>
      <c r="N41" s="166">
        <f t="shared" si="417"/>
      </c>
      <c r="O41" s="166">
        <f t="shared" si="450"/>
      </c>
      <c r="P41" s="161">
        <v>50</v>
      </c>
      <c r="Q41" s="168">
        <v>8</v>
      </c>
      <c r="R41" s="169">
        <f t="shared" si="21"/>
      </c>
      <c r="S41" s="165">
        <f t="shared" si="516"/>
      </c>
      <c r="T41" s="169">
        <f t="shared" si="147"/>
      </c>
      <c r="U41" s="169">
        <v>0.01</v>
      </c>
      <c r="V41" s="169">
        <f t="shared" si="281"/>
      </c>
      <c r="W41" s="169">
        <f t="shared" si="352"/>
      </c>
      <c r="X41" s="170">
        <v>0.1846</v>
      </c>
      <c r="Y41" s="171">
        <v>2</v>
      </c>
      <c r="Z41" s="171">
        <f>F41*0.1</f>
      </c>
      <c r="AA41" s="171">
        <f t="shared" si="472"/>
      </c>
      <c r="AB41" s="166">
        <f t="shared" si="494"/>
      </c>
      <c r="AC41" s="166">
        <v>49</v>
      </c>
      <c r="AD41" s="172">
        <f t="shared" si="41"/>
      </c>
      <c r="AE41" s="168">
        <f t="shared" si="91"/>
      </c>
      <c r="AF41" s="169">
        <f t="shared" si="166"/>
      </c>
      <c r="AG41" s="169">
        <f t="shared" si="228"/>
      </c>
      <c r="AH41" s="168">
        <v>7</v>
      </c>
      <c r="AI41" s="165">
        <f t="shared" si="303"/>
      </c>
      <c r="AJ41" s="165"/>
      <c r="AK41" s="165"/>
      <c r="AL41" s="165"/>
      <c r="AM41" s="165"/>
      <c r="AN41" s="173"/>
      <c r="AO41" s="173"/>
      <c r="AP41" s="173"/>
      <c r="AQ41" s="173"/>
      <c r="AR41" s="173"/>
      <c r="AS41" s="173"/>
      <c r="AT41" s="173" t="s">
        <v>725</v>
      </c>
      <c r="AU41" s="173" t="s">
        <v>725</v>
      </c>
      <c r="AV41" s="173" t="s">
        <v>725</v>
      </c>
      <c r="AW41" s="173" t="s">
        <v>725</v>
      </c>
      <c r="AX41" s="173" t="s">
        <v>725</v>
      </c>
      <c r="AY41" s="173" t="s">
        <v>725</v>
      </c>
      <c r="AZ41" s="173" t="s">
        <v>725</v>
      </c>
      <c r="BA41" s="173" t="s">
        <v>725</v>
      </c>
      <c r="BB41" s="173" t="s">
        <v>725</v>
      </c>
      <c r="BC41" s="173" t="s">
        <v>725</v>
      </c>
      <c r="BD41" s="173" t="s">
        <v>725</v>
      </c>
      <c r="BE41" s="173" t="s">
        <v>725</v>
      </c>
      <c r="BF41" s="173" t="s">
        <v>725</v>
      </c>
      <c r="BG41" s="173" t="s">
        <v>725</v>
      </c>
      <c r="BH41" s="173" t="s">
        <v>725</v>
      </c>
      <c r="BI41" s="173" t="s">
        <v>725</v>
      </c>
      <c r="BJ41" s="173" t="s">
        <v>725</v>
      </c>
      <c r="BK41" s="173" t="s">
        <v>725</v>
      </c>
      <c r="BL41" s="173" t="s">
        <v>725</v>
      </c>
      <c r="BM41" s="173" t="s">
        <v>725</v>
      </c>
      <c r="BN41" s="173" t="s">
        <v>725</v>
      </c>
      <c r="BO41" s="173" t="s">
        <v>725</v>
      </c>
      <c r="BP41" s="173" t="s">
        <v>725</v>
      </c>
      <c r="BQ41" s="173" t="s">
        <v>725</v>
      </c>
      <c r="BR41" s="174"/>
      <c r="BS41" s="161" t="str">
        <v>#VALUE!</v>
      </c>
    </row>
    <row customHeight="true" ht="18.51851851851852" r="42">
      <c r="A42" s="161" t="s">
        <v>733</v>
      </c>
      <c r="B42" s="161" t="s">
        <v>730</v>
      </c>
      <c r="C42" s="161" t="s">
        <v>743</v>
      </c>
      <c r="D42" s="162" t="s">
        <v>747</v>
      </c>
      <c r="E42" s="163">
        <v>13.8</v>
      </c>
      <c r="F42" s="163">
        <v>19.99</v>
      </c>
      <c r="G42" s="182">
        <f t="shared" si="1"/>
      </c>
      <c r="H42" s="164">
        <f t="shared" si="65"/>
      </c>
      <c r="I42" s="182">
        <f t="shared" si="125"/>
      </c>
      <c r="J42" s="165">
        <f t="shared" si="206"/>
      </c>
      <c r="K42" s="166">
        <f t="shared" si="259"/>
      </c>
      <c r="L42" s="167">
        <f t="shared" si="330"/>
      </c>
      <c r="M42" s="164">
        <f t="shared" si="375"/>
      </c>
      <c r="N42" s="166">
        <f t="shared" si="417"/>
      </c>
      <c r="O42" s="166">
        <f t="shared" si="450"/>
      </c>
      <c r="P42" s="161">
        <v>50</v>
      </c>
      <c r="Q42" s="168">
        <v>8</v>
      </c>
      <c r="R42" s="169">
        <f t="shared" si="21"/>
      </c>
      <c r="S42" s="165">
        <f t="shared" si="516"/>
      </c>
      <c r="T42" s="169">
        <f t="shared" si="147"/>
      </c>
      <c r="U42" s="169">
        <v>0.01</v>
      </c>
      <c r="V42" s="169">
        <f t="shared" si="281"/>
      </c>
      <c r="W42" s="169">
        <f t="shared" si="352"/>
      </c>
      <c r="X42" s="170">
        <v>0.1846</v>
      </c>
      <c r="Y42" s="171">
        <v>2</v>
      </c>
      <c r="Z42" s="171">
        <f>F42*0.15</f>
      </c>
      <c r="AA42" s="171">
        <f t="shared" si="472"/>
      </c>
      <c r="AB42" s="166">
        <f t="shared" si="494"/>
      </c>
      <c r="AC42" s="166">
        <v>49</v>
      </c>
      <c r="AD42" s="172">
        <f t="shared" si="41"/>
      </c>
      <c r="AE42" s="168">
        <f t="shared" si="91"/>
      </c>
      <c r="AF42" s="169">
        <f t="shared" si="166"/>
      </c>
      <c r="AG42" s="169">
        <f t="shared" si="228"/>
      </c>
      <c r="AH42" s="168">
        <v>7</v>
      </c>
      <c r="AI42" s="165">
        <f t="shared" si="303"/>
      </c>
      <c r="AJ42" s="165"/>
      <c r="AK42" s="165"/>
      <c r="AL42" s="165"/>
      <c r="AM42" s="165"/>
      <c r="AN42" s="173"/>
      <c r="AO42" s="173"/>
      <c r="AP42" s="173"/>
      <c r="AQ42" s="173"/>
      <c r="AR42" s="173"/>
      <c r="AS42" s="173"/>
      <c r="AT42" s="173" t="s">
        <v>725</v>
      </c>
      <c r="AU42" s="173" t="s">
        <v>725</v>
      </c>
      <c r="AV42" s="173" t="s">
        <v>725</v>
      </c>
      <c r="AW42" s="173" t="s">
        <v>725</v>
      </c>
      <c r="AX42" s="173" t="s">
        <v>725</v>
      </c>
      <c r="AY42" s="173" t="s">
        <v>725</v>
      </c>
      <c r="AZ42" s="173" t="s">
        <v>725</v>
      </c>
      <c r="BA42" s="173" t="s">
        <v>725</v>
      </c>
      <c r="BB42" s="173" t="s">
        <v>725</v>
      </c>
      <c r="BC42" s="173" t="s">
        <v>725</v>
      </c>
      <c r="BD42" s="173" t="s">
        <v>725</v>
      </c>
      <c r="BE42" s="173" t="s">
        <v>725</v>
      </c>
      <c r="BF42" s="173" t="s">
        <v>725</v>
      </c>
      <c r="BG42" s="173" t="s">
        <v>725</v>
      </c>
      <c r="BH42" s="173" t="s">
        <v>725</v>
      </c>
      <c r="BI42" s="173" t="s">
        <v>725</v>
      </c>
      <c r="BJ42" s="173" t="s">
        <v>725</v>
      </c>
      <c r="BK42" s="173" t="s">
        <v>725</v>
      </c>
      <c r="BL42" s="173" t="s">
        <v>725</v>
      </c>
      <c r="BM42" s="173" t="s">
        <v>725</v>
      </c>
      <c r="BN42" s="173" t="s">
        <v>725</v>
      </c>
      <c r="BO42" s="173" t="s">
        <v>725</v>
      </c>
      <c r="BP42" s="173" t="s">
        <v>725</v>
      </c>
      <c r="BQ42" s="173" t="s">
        <v>725</v>
      </c>
      <c r="BR42" s="174"/>
      <c r="BS42" s="161" t="str">
        <v>#VALUE!</v>
      </c>
    </row>
    <row customHeight="true" ht="18.51851851851852" r="43">
      <c r="A43" s="161" t="s">
        <v>734</v>
      </c>
      <c r="B43" s="161" t="s">
        <v>730</v>
      </c>
      <c r="C43" s="161" t="s">
        <v>743</v>
      </c>
      <c r="D43" s="162" t="s">
        <v>744</v>
      </c>
      <c r="E43" s="163">
        <v>13.8</v>
      </c>
      <c r="F43" s="163">
        <v>19.99</v>
      </c>
      <c r="G43" s="164">
        <f t="shared" si="1"/>
      </c>
      <c r="H43" s="164">
        <f t="shared" si="65"/>
      </c>
      <c r="I43" s="164">
        <f t="shared" si="125"/>
      </c>
      <c r="J43" s="165">
        <f t="shared" si="206"/>
      </c>
      <c r="K43" s="166">
        <f t="shared" si="259"/>
      </c>
      <c r="L43" s="167">
        <f t="shared" si="330"/>
      </c>
      <c r="M43" s="164">
        <f t="shared" si="375"/>
      </c>
      <c r="N43" s="166">
        <f t="shared" si="417"/>
      </c>
      <c r="O43" s="166">
        <f t="shared" si="450"/>
      </c>
      <c r="P43" s="161">
        <v>50</v>
      </c>
      <c r="Q43" s="168">
        <v>8</v>
      </c>
      <c r="R43" s="169">
        <f t="shared" si="21"/>
      </c>
      <c r="S43" s="165">
        <f t="shared" si="516"/>
      </c>
      <c r="T43" s="169">
        <f t="shared" si="147"/>
      </c>
      <c r="U43" s="169">
        <v>0.01</v>
      </c>
      <c r="V43" s="169">
        <f t="shared" si="281"/>
      </c>
      <c r="W43" s="169">
        <f t="shared" si="352"/>
      </c>
      <c r="X43" s="170">
        <v>0.1646</v>
      </c>
      <c r="Y43" s="171">
        <v>2</v>
      </c>
      <c r="Z43" s="171">
        <v>0</v>
      </c>
      <c r="AA43" s="171">
        <f t="shared" si="472"/>
      </c>
      <c r="AB43" s="166">
        <f t="shared" si="494"/>
      </c>
      <c r="AC43" s="166">
        <v>49</v>
      </c>
      <c r="AD43" s="172">
        <f t="shared" si="41"/>
      </c>
      <c r="AE43" s="168">
        <f t="shared" si="91"/>
      </c>
      <c r="AF43" s="169">
        <f t="shared" si="166"/>
      </c>
      <c r="AG43" s="169">
        <f t="shared" si="228"/>
      </c>
      <c r="AH43" s="168">
        <v>7</v>
      </c>
      <c r="AI43" s="169">
        <f t="shared" si="303"/>
      </c>
      <c r="AJ43" s="169"/>
      <c r="AK43" s="169"/>
      <c r="AL43" s="169"/>
      <c r="AM43" s="169"/>
      <c r="AN43" s="173"/>
      <c r="AO43" s="173"/>
      <c r="AP43" s="173"/>
      <c r="AQ43" s="173"/>
      <c r="AR43" s="173"/>
      <c r="AS43" s="173"/>
      <c r="AT43" s="173" t="s">
        <v>725</v>
      </c>
      <c r="AU43" s="173" t="s">
        <v>725</v>
      </c>
      <c r="AV43" s="173" t="s">
        <v>725</v>
      </c>
      <c r="AW43" s="173" t="s">
        <v>725</v>
      </c>
      <c r="AX43" s="173" t="s">
        <v>725</v>
      </c>
      <c r="AY43" s="173" t="s">
        <v>725</v>
      </c>
      <c r="AZ43" s="173" t="s">
        <v>725</v>
      </c>
      <c r="BA43" s="173" t="s">
        <v>725</v>
      </c>
      <c r="BB43" s="173" t="s">
        <v>725</v>
      </c>
      <c r="BC43" s="173" t="s">
        <v>725</v>
      </c>
      <c r="BD43" s="173" t="s">
        <v>725</v>
      </c>
      <c r="BE43" s="173" t="s">
        <v>725</v>
      </c>
      <c r="BF43" s="173" t="s">
        <v>725</v>
      </c>
      <c r="BG43" s="173" t="s">
        <v>725</v>
      </c>
      <c r="BH43" s="173" t="s">
        <v>725</v>
      </c>
      <c r="BI43" s="173" t="s">
        <v>725</v>
      </c>
      <c r="BJ43" s="173" t="s">
        <v>725</v>
      </c>
      <c r="BK43" s="173" t="s">
        <v>725</v>
      </c>
      <c r="BL43" s="173" t="s">
        <v>725</v>
      </c>
      <c r="BM43" s="173" t="s">
        <v>725</v>
      </c>
      <c r="BN43" s="173" t="s">
        <v>725</v>
      </c>
      <c r="BO43" s="173" t="s">
        <v>725</v>
      </c>
      <c r="BP43" s="173" t="s">
        <v>725</v>
      </c>
      <c r="BQ43" s="173" t="s">
        <v>725</v>
      </c>
      <c r="BR43" s="174"/>
      <c r="BS43" s="161" t="str">
        <v>#VALUE!</v>
      </c>
    </row>
    <row customHeight="true" ht="18.51851851851852" r="44">
      <c r="A44" s="161" t="s">
        <v>734</v>
      </c>
      <c r="B44" s="161" t="s">
        <v>730</v>
      </c>
      <c r="C44" s="161" t="s">
        <v>743</v>
      </c>
      <c r="D44" s="162" t="s">
        <v>745</v>
      </c>
      <c r="E44" s="163">
        <v>13.8</v>
      </c>
      <c r="F44" s="163">
        <v>19.99</v>
      </c>
      <c r="G44" s="164">
        <f t="shared" si="1"/>
      </c>
      <c r="H44" s="164">
        <f t="shared" si="65"/>
      </c>
      <c r="I44" s="164">
        <f t="shared" si="125"/>
      </c>
      <c r="J44" s="165">
        <f t="shared" si="206"/>
      </c>
      <c r="K44" s="166">
        <f t="shared" si="259"/>
      </c>
      <c r="L44" s="167">
        <f t="shared" si="330"/>
      </c>
      <c r="M44" s="164">
        <f t="shared" si="375"/>
      </c>
      <c r="N44" s="166">
        <f t="shared" si="417"/>
      </c>
      <c r="O44" s="166">
        <f t="shared" si="450"/>
      </c>
      <c r="P44" s="161">
        <v>50</v>
      </c>
      <c r="Q44" s="168">
        <v>8</v>
      </c>
      <c r="R44" s="169">
        <f t="shared" si="21"/>
      </c>
      <c r="S44" s="165">
        <f t="shared" si="516"/>
      </c>
      <c r="T44" s="169">
        <f t="shared" si="147"/>
      </c>
      <c r="U44" s="169">
        <v>0.01</v>
      </c>
      <c r="V44" s="169">
        <f t="shared" si="281"/>
      </c>
      <c r="W44" s="169">
        <f t="shared" si="352"/>
      </c>
      <c r="X44" s="170">
        <v>0.1646</v>
      </c>
      <c r="Y44" s="171">
        <v>2</v>
      </c>
      <c r="Z44" s="171">
        <f>F44*0.05</f>
      </c>
      <c r="AA44" s="171">
        <f t="shared" si="472"/>
      </c>
      <c r="AB44" s="166">
        <f t="shared" si="494"/>
      </c>
      <c r="AC44" s="166">
        <v>49</v>
      </c>
      <c r="AD44" s="172">
        <f t="shared" si="41"/>
      </c>
      <c r="AE44" s="168">
        <f t="shared" si="91"/>
      </c>
      <c r="AF44" s="169">
        <f t="shared" si="166"/>
      </c>
      <c r="AG44" s="169">
        <f t="shared" si="228"/>
      </c>
      <c r="AH44" s="168">
        <v>7</v>
      </c>
      <c r="AI44" s="169">
        <f t="shared" si="303"/>
      </c>
      <c r="AJ44" s="169"/>
      <c r="AK44" s="169"/>
      <c r="AL44" s="169"/>
      <c r="AM44" s="169"/>
      <c r="AN44" s="173"/>
      <c r="AO44" s="173"/>
      <c r="AP44" s="173"/>
      <c r="AQ44" s="173"/>
      <c r="AR44" s="173"/>
      <c r="AS44" s="173"/>
      <c r="AT44" s="173" t="s">
        <v>725</v>
      </c>
      <c r="AU44" s="173" t="s">
        <v>725</v>
      </c>
      <c r="AV44" s="173" t="s">
        <v>725</v>
      </c>
      <c r="AW44" s="173" t="s">
        <v>725</v>
      </c>
      <c r="AX44" s="173" t="s">
        <v>725</v>
      </c>
      <c r="AY44" s="173" t="s">
        <v>725</v>
      </c>
      <c r="AZ44" s="173" t="s">
        <v>725</v>
      </c>
      <c r="BA44" s="173" t="s">
        <v>725</v>
      </c>
      <c r="BB44" s="173" t="s">
        <v>725</v>
      </c>
      <c r="BC44" s="173" t="s">
        <v>725</v>
      </c>
      <c r="BD44" s="173" t="s">
        <v>725</v>
      </c>
      <c r="BE44" s="173" t="s">
        <v>725</v>
      </c>
      <c r="BF44" s="173" t="s">
        <v>725</v>
      </c>
      <c r="BG44" s="173" t="s">
        <v>725</v>
      </c>
      <c r="BH44" s="173" t="s">
        <v>725</v>
      </c>
      <c r="BI44" s="173" t="s">
        <v>725</v>
      </c>
      <c r="BJ44" s="173" t="s">
        <v>725</v>
      </c>
      <c r="BK44" s="173" t="s">
        <v>725</v>
      </c>
      <c r="BL44" s="173" t="s">
        <v>725</v>
      </c>
      <c r="BM44" s="173" t="s">
        <v>725</v>
      </c>
      <c r="BN44" s="173" t="s">
        <v>725</v>
      </c>
      <c r="BO44" s="173" t="s">
        <v>725</v>
      </c>
      <c r="BP44" s="173" t="s">
        <v>725</v>
      </c>
      <c r="BQ44" s="173" t="s">
        <v>725</v>
      </c>
      <c r="BR44" s="174"/>
      <c r="BS44" s="161" t="str">
        <v>#VALUE!</v>
      </c>
    </row>
    <row customHeight="true" ht="18.51851851851852" r="45">
      <c r="A45" s="161" t="s">
        <v>734</v>
      </c>
      <c r="B45" s="161" t="s">
        <v>730</v>
      </c>
      <c r="C45" s="161" t="s">
        <v>743</v>
      </c>
      <c r="D45" s="162" t="s">
        <v>746</v>
      </c>
      <c r="E45" s="163">
        <v>13.8</v>
      </c>
      <c r="F45" s="163">
        <v>19.99</v>
      </c>
      <c r="G45" s="164">
        <f t="shared" si="1"/>
      </c>
      <c r="H45" s="164">
        <f t="shared" si="65"/>
      </c>
      <c r="I45" s="164">
        <f t="shared" si="125"/>
      </c>
      <c r="J45" s="165">
        <f t="shared" si="206"/>
      </c>
      <c r="K45" s="166">
        <f t="shared" si="259"/>
      </c>
      <c r="L45" s="167">
        <f t="shared" si="330"/>
      </c>
      <c r="M45" s="164">
        <f t="shared" si="375"/>
      </c>
      <c r="N45" s="166">
        <f t="shared" si="417"/>
      </c>
      <c r="O45" s="166">
        <f t="shared" si="450"/>
      </c>
      <c r="P45" s="161">
        <v>50</v>
      </c>
      <c r="Q45" s="168">
        <v>8</v>
      </c>
      <c r="R45" s="169">
        <f t="shared" si="21"/>
      </c>
      <c r="S45" s="165">
        <f t="shared" si="516"/>
      </c>
      <c r="T45" s="169">
        <f t="shared" si="147"/>
      </c>
      <c r="U45" s="169">
        <v>0.01</v>
      </c>
      <c r="V45" s="169">
        <f t="shared" si="281"/>
      </c>
      <c r="W45" s="169">
        <f t="shared" si="352"/>
      </c>
      <c r="X45" s="170">
        <v>0.1646</v>
      </c>
      <c r="Y45" s="171">
        <v>2</v>
      </c>
      <c r="Z45" s="171">
        <f>F45*0.1</f>
      </c>
      <c r="AA45" s="171">
        <f t="shared" si="472"/>
      </c>
      <c r="AB45" s="166">
        <f t="shared" si="494"/>
      </c>
      <c r="AC45" s="166">
        <v>49</v>
      </c>
      <c r="AD45" s="172">
        <f t="shared" si="41"/>
      </c>
      <c r="AE45" s="168">
        <f t="shared" si="91"/>
      </c>
      <c r="AF45" s="169">
        <f t="shared" si="166"/>
      </c>
      <c r="AG45" s="169">
        <f t="shared" si="228"/>
      </c>
      <c r="AH45" s="168">
        <v>7</v>
      </c>
      <c r="AI45" s="169">
        <f t="shared" si="303"/>
      </c>
      <c r="AJ45" s="169"/>
      <c r="AK45" s="169"/>
      <c r="AL45" s="169"/>
      <c r="AM45" s="169"/>
      <c r="AN45" s="173"/>
      <c r="AO45" s="173"/>
      <c r="AP45" s="173"/>
      <c r="AQ45" s="173"/>
      <c r="AR45" s="173"/>
      <c r="AS45" s="173"/>
      <c r="AT45" s="173" t="s">
        <v>725</v>
      </c>
      <c r="AU45" s="173" t="s">
        <v>725</v>
      </c>
      <c r="AV45" s="173" t="s">
        <v>725</v>
      </c>
      <c r="AW45" s="173" t="s">
        <v>725</v>
      </c>
      <c r="AX45" s="173" t="s">
        <v>725</v>
      </c>
      <c r="AY45" s="173" t="s">
        <v>725</v>
      </c>
      <c r="AZ45" s="173" t="s">
        <v>725</v>
      </c>
      <c r="BA45" s="173" t="s">
        <v>725</v>
      </c>
      <c r="BB45" s="173" t="s">
        <v>725</v>
      </c>
      <c r="BC45" s="173" t="s">
        <v>725</v>
      </c>
      <c r="BD45" s="173" t="s">
        <v>725</v>
      </c>
      <c r="BE45" s="173" t="s">
        <v>725</v>
      </c>
      <c r="BF45" s="173" t="s">
        <v>725</v>
      </c>
      <c r="BG45" s="173" t="s">
        <v>725</v>
      </c>
      <c r="BH45" s="173" t="s">
        <v>725</v>
      </c>
      <c r="BI45" s="173" t="s">
        <v>725</v>
      </c>
      <c r="BJ45" s="173" t="s">
        <v>725</v>
      </c>
      <c r="BK45" s="173" t="s">
        <v>725</v>
      </c>
      <c r="BL45" s="173" t="s">
        <v>725</v>
      </c>
      <c r="BM45" s="173" t="s">
        <v>725</v>
      </c>
      <c r="BN45" s="173" t="s">
        <v>725</v>
      </c>
      <c r="BO45" s="173" t="s">
        <v>725</v>
      </c>
      <c r="BP45" s="173" t="s">
        <v>725</v>
      </c>
      <c r="BQ45" s="173" t="s">
        <v>725</v>
      </c>
      <c r="BR45" s="174"/>
      <c r="BS45" s="161" t="str">
        <v>#VALUE!</v>
      </c>
    </row>
    <row customHeight="true" ht="18.51851851851852" r="46">
      <c r="A46" s="161" t="s">
        <v>734</v>
      </c>
      <c r="B46" s="161" t="s">
        <v>730</v>
      </c>
      <c r="C46" s="161" t="s">
        <v>743</v>
      </c>
      <c r="D46" s="162" t="s">
        <v>747</v>
      </c>
      <c r="E46" s="163">
        <v>13.8</v>
      </c>
      <c r="F46" s="163">
        <v>19.99</v>
      </c>
      <c r="G46" s="182">
        <f t="shared" si="1"/>
      </c>
      <c r="H46" s="164">
        <f t="shared" si="65"/>
      </c>
      <c r="I46" s="182">
        <f t="shared" si="125"/>
      </c>
      <c r="J46" s="165">
        <f t="shared" si="206"/>
      </c>
      <c r="K46" s="166">
        <f t="shared" si="259"/>
      </c>
      <c r="L46" s="167">
        <f t="shared" si="330"/>
      </c>
      <c r="M46" s="164">
        <f t="shared" si="375"/>
      </c>
      <c r="N46" s="166">
        <f t="shared" si="417"/>
      </c>
      <c r="O46" s="166">
        <f t="shared" si="450"/>
      </c>
      <c r="P46" s="161">
        <v>50</v>
      </c>
      <c r="Q46" s="168">
        <v>8</v>
      </c>
      <c r="R46" s="169">
        <f t="shared" si="21"/>
      </c>
      <c r="S46" s="165">
        <f t="shared" si="516"/>
      </c>
      <c r="T46" s="169">
        <f t="shared" si="147"/>
      </c>
      <c r="U46" s="169">
        <v>0.01</v>
      </c>
      <c r="V46" s="169">
        <f t="shared" si="281"/>
      </c>
      <c r="W46" s="169">
        <f t="shared" si="352"/>
      </c>
      <c r="X46" s="170">
        <v>0.1646</v>
      </c>
      <c r="Y46" s="171">
        <v>2</v>
      </c>
      <c r="Z46" s="171">
        <f>F46*0.15</f>
      </c>
      <c r="AA46" s="171">
        <f t="shared" si="472"/>
      </c>
      <c r="AB46" s="166">
        <f t="shared" si="494"/>
      </c>
      <c r="AC46" s="166">
        <v>49</v>
      </c>
      <c r="AD46" s="172">
        <f t="shared" si="41"/>
      </c>
      <c r="AE46" s="168">
        <f t="shared" si="91"/>
      </c>
      <c r="AF46" s="169">
        <f t="shared" si="166"/>
      </c>
      <c r="AG46" s="169">
        <f t="shared" si="228"/>
      </c>
      <c r="AH46" s="168">
        <v>7</v>
      </c>
      <c r="AI46" s="169">
        <f t="shared" si="303"/>
      </c>
      <c r="AJ46" s="169"/>
      <c r="AK46" s="169"/>
      <c r="AL46" s="169"/>
      <c r="AM46" s="169"/>
      <c r="AN46" s="173"/>
      <c r="AO46" s="173"/>
      <c r="AP46" s="173"/>
      <c r="AQ46" s="173"/>
      <c r="AR46" s="173"/>
      <c r="AS46" s="173"/>
      <c r="AT46" s="173" t="s">
        <v>725</v>
      </c>
      <c r="AU46" s="173" t="s">
        <v>725</v>
      </c>
      <c r="AV46" s="173" t="s">
        <v>725</v>
      </c>
      <c r="AW46" s="173" t="s">
        <v>725</v>
      </c>
      <c r="AX46" s="173" t="s">
        <v>725</v>
      </c>
      <c r="AY46" s="173" t="s">
        <v>725</v>
      </c>
      <c r="AZ46" s="173" t="s">
        <v>725</v>
      </c>
      <c r="BA46" s="173" t="s">
        <v>725</v>
      </c>
      <c r="BB46" s="173" t="s">
        <v>725</v>
      </c>
      <c r="BC46" s="173" t="s">
        <v>725</v>
      </c>
      <c r="BD46" s="173" t="s">
        <v>725</v>
      </c>
      <c r="BE46" s="173" t="s">
        <v>725</v>
      </c>
      <c r="BF46" s="173" t="s">
        <v>725</v>
      </c>
      <c r="BG46" s="173" t="s">
        <v>725</v>
      </c>
      <c r="BH46" s="173" t="s">
        <v>725</v>
      </c>
      <c r="BI46" s="173" t="s">
        <v>725</v>
      </c>
      <c r="BJ46" s="173" t="s">
        <v>725</v>
      </c>
      <c r="BK46" s="173" t="s">
        <v>725</v>
      </c>
      <c r="BL46" s="173" t="s">
        <v>725</v>
      </c>
      <c r="BM46" s="173" t="s">
        <v>725</v>
      </c>
      <c r="BN46" s="173" t="s">
        <v>725</v>
      </c>
      <c r="BO46" s="173" t="s">
        <v>725</v>
      </c>
      <c r="BP46" s="173" t="s">
        <v>725</v>
      </c>
      <c r="BQ46" s="173" t="s">
        <v>725</v>
      </c>
      <c r="BR46" s="174"/>
      <c r="BS46" s="161" t="str">
        <v>#VALUE!</v>
      </c>
    </row>
    <row customHeight="true" ht="18.51851851851852" r="47">
      <c r="A47" s="161" t="s">
        <v>735</v>
      </c>
      <c r="B47" s="161" t="s">
        <v>730</v>
      </c>
      <c r="C47" s="161" t="s">
        <v>743</v>
      </c>
      <c r="D47" s="178" t="s">
        <v>748</v>
      </c>
      <c r="E47" s="163">
        <v>20.5</v>
      </c>
      <c r="F47" s="163">
        <v>29.99</v>
      </c>
      <c r="G47" s="164">
        <f t="shared" si="1"/>
      </c>
      <c r="H47" s="164">
        <f t="shared" si="65"/>
      </c>
      <c r="I47" s="164">
        <f t="shared" si="125"/>
      </c>
      <c r="J47" s="165">
        <f t="shared" si="206"/>
      </c>
      <c r="K47" s="166">
        <f t="shared" si="259"/>
      </c>
      <c r="L47" s="167">
        <f t="shared" si="330"/>
      </c>
      <c r="M47" s="164">
        <f t="shared" si="375"/>
      </c>
      <c r="N47" s="166">
        <f t="shared" si="417"/>
      </c>
      <c r="O47" s="166">
        <f t="shared" si="450"/>
      </c>
      <c r="P47" s="161">
        <v>50</v>
      </c>
      <c r="Q47" s="168">
        <v>8</v>
      </c>
      <c r="R47" s="169">
        <f t="shared" si="21"/>
      </c>
      <c r="S47" s="165">
        <f t="shared" si="516"/>
      </c>
      <c r="T47" s="169">
        <f t="shared" si="147"/>
      </c>
      <c r="U47" s="169">
        <v>0.01</v>
      </c>
      <c r="V47" s="169">
        <f t="shared" si="281"/>
      </c>
      <c r="W47" s="169">
        <f t="shared" si="352"/>
      </c>
      <c r="X47" s="170">
        <v>0.158</v>
      </c>
      <c r="Y47" s="171">
        <v>0</v>
      </c>
      <c r="Z47" s="171">
        <f t="shared" ref="Z47:Z50" si="397">F47*0</f>
      </c>
      <c r="AA47" s="171">
        <f t="shared" si="472"/>
      </c>
      <c r="AB47" s="166">
        <f t="shared" si="494"/>
      </c>
      <c r="AC47" s="166">
        <v>49</v>
      </c>
      <c r="AD47" s="172">
        <f t="shared" si="41"/>
      </c>
      <c r="AE47" s="168">
        <f t="shared" si="91"/>
      </c>
      <c r="AF47" s="169">
        <f t="shared" si="166"/>
      </c>
      <c r="AG47" s="169">
        <f t="shared" si="228"/>
      </c>
      <c r="AH47" s="168">
        <v>7</v>
      </c>
      <c r="AI47" s="169">
        <f t="shared" si="303"/>
      </c>
      <c r="AJ47" s="173"/>
      <c r="AK47" s="173"/>
      <c r="AL47" s="173"/>
      <c r="AM47" s="173"/>
      <c r="AN47" s="173"/>
      <c r="AO47" s="173"/>
      <c r="AP47" s="173"/>
      <c r="AQ47" s="173"/>
      <c r="AR47" s="173"/>
      <c r="AS47" s="173"/>
      <c r="AT47" s="173" t="s">
        <v>725</v>
      </c>
      <c r="AU47" s="173" t="s">
        <v>725</v>
      </c>
      <c r="AV47" s="173" t="s">
        <v>725</v>
      </c>
      <c r="AW47" s="173" t="s">
        <v>725</v>
      </c>
      <c r="AX47" s="173" t="s">
        <v>725</v>
      </c>
      <c r="AY47" s="173" t="s">
        <v>725</v>
      </c>
      <c r="AZ47" s="173" t="s">
        <v>725</v>
      </c>
      <c r="BA47" s="173" t="s">
        <v>725</v>
      </c>
      <c r="BB47" s="173" t="s">
        <v>725</v>
      </c>
      <c r="BC47" s="173" t="s">
        <v>725</v>
      </c>
      <c r="BD47" s="173" t="s">
        <v>725</v>
      </c>
      <c r="BE47" s="173" t="s">
        <v>725</v>
      </c>
      <c r="BF47" s="173" t="s">
        <v>725</v>
      </c>
      <c r="BG47" s="173" t="s">
        <v>725</v>
      </c>
      <c r="BH47" s="173" t="s">
        <v>725</v>
      </c>
      <c r="BI47" s="173" t="s">
        <v>725</v>
      </c>
      <c r="BJ47" s="173" t="s">
        <v>725</v>
      </c>
      <c r="BK47" s="173" t="s">
        <v>725</v>
      </c>
      <c r="BL47" s="173" t="s">
        <v>725</v>
      </c>
      <c r="BM47" s="173" t="s">
        <v>725</v>
      </c>
      <c r="BN47" s="173" t="s">
        <v>725</v>
      </c>
      <c r="BO47" s="173" t="s">
        <v>725</v>
      </c>
      <c r="BP47" s="173" t="s">
        <v>725</v>
      </c>
      <c r="BQ47" s="173" t="s">
        <v>725</v>
      </c>
      <c r="BR47" s="180">
        <f t="shared" ref="BR47:BR50" si="233">IF(E47&lt;#REF!,1,0)</f>
      </c>
      <c r="BS47" s="161" t="str">
        <v>#VALUE!</v>
      </c>
    </row>
    <row customHeight="true" ht="18.51851851851852" r="48">
      <c r="A48" s="161" t="s">
        <v>737</v>
      </c>
      <c r="B48" s="161" t="s">
        <v>730</v>
      </c>
      <c r="C48" s="161" t="s">
        <v>743</v>
      </c>
      <c r="D48" s="178" t="s">
        <v>749</v>
      </c>
      <c r="E48" s="163">
        <v>20.5</v>
      </c>
      <c r="F48" s="163">
        <v>29.99</v>
      </c>
      <c r="G48" s="164">
        <f t="shared" si="1"/>
      </c>
      <c r="H48" s="164">
        <f t="shared" si="65"/>
      </c>
      <c r="I48" s="164">
        <f t="shared" si="125"/>
      </c>
      <c r="J48" s="165">
        <f t="shared" si="206"/>
      </c>
      <c r="K48" s="166">
        <f t="shared" si="259"/>
      </c>
      <c r="L48" s="167">
        <f t="shared" si="330"/>
      </c>
      <c r="M48" s="164">
        <f t="shared" si="375"/>
      </c>
      <c r="N48" s="166">
        <f t="shared" si="417"/>
      </c>
      <c r="O48" s="166">
        <f t="shared" si="450"/>
      </c>
      <c r="P48" s="161">
        <v>50</v>
      </c>
      <c r="Q48" s="168">
        <v>8</v>
      </c>
      <c r="R48" s="169">
        <f t="shared" si="21"/>
      </c>
      <c r="S48" s="165">
        <f t="shared" si="516"/>
      </c>
      <c r="T48" s="169">
        <f t="shared" si="147"/>
      </c>
      <c r="U48" s="169">
        <v>0.01</v>
      </c>
      <c r="V48" s="169">
        <f t="shared" si="281"/>
      </c>
      <c r="W48" s="169">
        <f t="shared" si="352"/>
      </c>
      <c r="X48" s="170">
        <v>0.223</v>
      </c>
      <c r="Y48" s="171">
        <v>0</v>
      </c>
      <c r="Z48" s="171">
        <f t="shared" si="397"/>
      </c>
      <c r="AA48" s="171">
        <f t="shared" si="472"/>
      </c>
      <c r="AB48" s="166">
        <f t="shared" si="494"/>
      </c>
      <c r="AC48" s="166">
        <v>49</v>
      </c>
      <c r="AD48" s="172">
        <f t="shared" si="41"/>
      </c>
      <c r="AE48" s="168">
        <f t="shared" si="91"/>
      </c>
      <c r="AF48" s="169">
        <f t="shared" si="166"/>
      </c>
      <c r="AG48" s="169">
        <f t="shared" si="228"/>
      </c>
      <c r="AH48" s="168">
        <v>7</v>
      </c>
      <c r="AI48" s="169">
        <f t="shared" si="303"/>
      </c>
      <c r="AJ48" s="173"/>
      <c r="AK48" s="173"/>
      <c r="AL48" s="173"/>
      <c r="AM48" s="173"/>
      <c r="AN48" s="173"/>
      <c r="AO48" s="173"/>
      <c r="AP48" s="173"/>
      <c r="AQ48" s="173"/>
      <c r="AR48" s="173"/>
      <c r="AS48" s="173"/>
      <c r="AT48" s="173" t="s">
        <v>725</v>
      </c>
      <c r="AU48" s="173" t="s">
        <v>725</v>
      </c>
      <c r="AV48" s="173" t="s">
        <v>725</v>
      </c>
      <c r="AW48" s="173" t="s">
        <v>725</v>
      </c>
      <c r="AX48" s="173" t="s">
        <v>725</v>
      </c>
      <c r="AY48" s="173" t="s">
        <v>725</v>
      </c>
      <c r="AZ48" s="173" t="s">
        <v>725</v>
      </c>
      <c r="BA48" s="173" t="s">
        <v>725</v>
      </c>
      <c r="BB48" s="173" t="s">
        <v>725</v>
      </c>
      <c r="BC48" s="173" t="s">
        <v>725</v>
      </c>
      <c r="BD48" s="173" t="s">
        <v>725</v>
      </c>
      <c r="BE48" s="173" t="s">
        <v>725</v>
      </c>
      <c r="BF48" s="173" t="s">
        <v>725</v>
      </c>
      <c r="BG48" s="173" t="s">
        <v>725</v>
      </c>
      <c r="BH48" s="173" t="s">
        <v>725</v>
      </c>
      <c r="BI48" s="173" t="s">
        <v>725</v>
      </c>
      <c r="BJ48" s="173" t="s">
        <v>725</v>
      </c>
      <c r="BK48" s="173" t="s">
        <v>725</v>
      </c>
      <c r="BL48" s="173" t="s">
        <v>725</v>
      </c>
      <c r="BM48" s="173" t="s">
        <v>725</v>
      </c>
      <c r="BN48" s="173" t="s">
        <v>725</v>
      </c>
      <c r="BO48" s="173" t="s">
        <v>725</v>
      </c>
      <c r="BP48" s="173" t="s">
        <v>725</v>
      </c>
      <c r="BQ48" s="173" t="s">
        <v>725</v>
      </c>
      <c r="BR48" s="180">
        <f t="shared" si="233"/>
      </c>
      <c r="BS48" s="161" t="str">
        <v>#VALUE!</v>
      </c>
    </row>
    <row customHeight="true" ht="18.51851851851852" r="49">
      <c r="A49" s="161" t="s">
        <v>739</v>
      </c>
      <c r="B49" s="161" t="s">
        <v>730</v>
      </c>
      <c r="C49" s="161" t="s">
        <v>743</v>
      </c>
      <c r="D49" s="178" t="s">
        <v>750</v>
      </c>
      <c r="E49" s="163">
        <v>20.5</v>
      </c>
      <c r="F49" s="163">
        <v>29.99</v>
      </c>
      <c r="G49" s="164">
        <f t="shared" si="1"/>
      </c>
      <c r="H49" s="164">
        <f t="shared" si="65"/>
      </c>
      <c r="I49" s="164">
        <f t="shared" si="125"/>
      </c>
      <c r="J49" s="165">
        <f t="shared" si="206"/>
      </c>
      <c r="K49" s="166">
        <f t="shared" si="259"/>
      </c>
      <c r="L49" s="167">
        <f t="shared" si="330"/>
      </c>
      <c r="M49" s="164">
        <f t="shared" si="375"/>
      </c>
      <c r="N49" s="166">
        <f t="shared" si="417"/>
      </c>
      <c r="O49" s="166">
        <f t="shared" si="450"/>
      </c>
      <c r="P49" s="161">
        <v>50</v>
      </c>
      <c r="Q49" s="168">
        <v>8</v>
      </c>
      <c r="R49" s="169">
        <f t="shared" si="21"/>
      </c>
      <c r="S49" s="165">
        <f t="shared" si="516"/>
      </c>
      <c r="T49" s="169">
        <f t="shared" si="147"/>
      </c>
      <c r="U49" s="169">
        <v>0.01</v>
      </c>
      <c r="V49" s="169">
        <f t="shared" si="281"/>
      </c>
      <c r="W49" s="169">
        <f t="shared" si="352"/>
      </c>
      <c r="X49" s="170">
        <v>0.223</v>
      </c>
      <c r="Y49" s="171">
        <v>0</v>
      </c>
      <c r="Z49" s="171">
        <f t="shared" si="397"/>
      </c>
      <c r="AA49" s="171">
        <f t="shared" si="472"/>
      </c>
      <c r="AB49" s="166">
        <f t="shared" si="494"/>
      </c>
      <c r="AC49" s="166">
        <v>49</v>
      </c>
      <c r="AD49" s="172">
        <f t="shared" si="41"/>
      </c>
      <c r="AE49" s="168">
        <f t="shared" si="91"/>
      </c>
      <c r="AF49" s="169">
        <f t="shared" si="166"/>
      </c>
      <c r="AG49" s="169">
        <f t="shared" si="228"/>
      </c>
      <c r="AH49" s="168">
        <v>7</v>
      </c>
      <c r="AI49" s="169">
        <f t="shared" si="303"/>
      </c>
      <c r="AJ49" s="173"/>
      <c r="AK49" s="173"/>
      <c r="AL49" s="173"/>
      <c r="AM49" s="173"/>
      <c r="AN49" s="173"/>
      <c r="AO49" s="173"/>
      <c r="AP49" s="173"/>
      <c r="AQ49" s="173"/>
      <c r="AR49" s="173"/>
      <c r="AS49" s="173"/>
      <c r="AT49" s="173" t="s">
        <v>725</v>
      </c>
      <c r="AU49" s="173" t="s">
        <v>725</v>
      </c>
      <c r="AV49" s="173" t="s">
        <v>725</v>
      </c>
      <c r="AW49" s="173" t="s">
        <v>725</v>
      </c>
      <c r="AX49" s="173" t="s">
        <v>725</v>
      </c>
      <c r="AY49" s="173" t="s">
        <v>725</v>
      </c>
      <c r="AZ49" s="173" t="s">
        <v>725</v>
      </c>
      <c r="BA49" s="173" t="s">
        <v>725</v>
      </c>
      <c r="BB49" s="173" t="s">
        <v>725</v>
      </c>
      <c r="BC49" s="173" t="s">
        <v>725</v>
      </c>
      <c r="BD49" s="173" t="s">
        <v>725</v>
      </c>
      <c r="BE49" s="173" t="s">
        <v>725</v>
      </c>
      <c r="BF49" s="173" t="s">
        <v>725</v>
      </c>
      <c r="BG49" s="173" t="s">
        <v>725</v>
      </c>
      <c r="BH49" s="173" t="s">
        <v>725</v>
      </c>
      <c r="BI49" s="173" t="s">
        <v>725</v>
      </c>
      <c r="BJ49" s="173" t="s">
        <v>725</v>
      </c>
      <c r="BK49" s="173" t="s">
        <v>725</v>
      </c>
      <c r="BL49" s="173" t="s">
        <v>725</v>
      </c>
      <c r="BM49" s="173" t="s">
        <v>725</v>
      </c>
      <c r="BN49" s="173" t="s">
        <v>725</v>
      </c>
      <c r="BO49" s="173" t="s">
        <v>725</v>
      </c>
      <c r="BP49" s="173" t="s">
        <v>725</v>
      </c>
      <c r="BQ49" s="173" t="s">
        <v>725</v>
      </c>
      <c r="BR49" s="180">
        <f t="shared" si="233"/>
      </c>
      <c r="BS49" s="161" t="str">
        <v>#VALUE!</v>
      </c>
    </row>
    <row customHeight="true" ht="18.51851851851852" r="50">
      <c r="A50" s="161" t="s">
        <v>741</v>
      </c>
      <c r="B50" s="161" t="s">
        <v>730</v>
      </c>
      <c r="C50" s="161" t="s">
        <v>743</v>
      </c>
      <c r="D50" s="178" t="s">
        <v>751</v>
      </c>
      <c r="E50" s="163">
        <v>20.5</v>
      </c>
      <c r="F50" s="163">
        <v>29.99</v>
      </c>
      <c r="G50" s="164">
        <f t="shared" si="1"/>
      </c>
      <c r="H50" s="164">
        <f t="shared" si="65"/>
      </c>
      <c r="I50" s="164">
        <f t="shared" si="125"/>
      </c>
      <c r="J50" s="165">
        <f t="shared" si="206"/>
      </c>
      <c r="K50" s="166">
        <f t="shared" si="259"/>
      </c>
      <c r="L50" s="167">
        <f t="shared" si="330"/>
      </c>
      <c r="M50" s="164">
        <f t="shared" si="375"/>
      </c>
      <c r="N50" s="166">
        <f t="shared" si="417"/>
      </c>
      <c r="O50" s="166">
        <f t="shared" si="450"/>
      </c>
      <c r="P50" s="161">
        <v>50</v>
      </c>
      <c r="Q50" s="168">
        <v>8</v>
      </c>
      <c r="R50" s="169">
        <f t="shared" si="21"/>
      </c>
      <c r="S50" s="165">
        <f t="shared" si="516"/>
      </c>
      <c r="T50" s="169">
        <f t="shared" si="147"/>
      </c>
      <c r="U50" s="169">
        <v>0.01</v>
      </c>
      <c r="V50" s="169">
        <f t="shared" si="281"/>
      </c>
      <c r="W50" s="169">
        <f t="shared" si="352"/>
      </c>
      <c r="X50" s="170">
        <v>0.158</v>
      </c>
      <c r="Y50" s="171">
        <v>0</v>
      </c>
      <c r="Z50" s="171">
        <f t="shared" si="397"/>
      </c>
      <c r="AA50" s="171">
        <f t="shared" si="472"/>
      </c>
      <c r="AB50" s="166">
        <f t="shared" si="494"/>
      </c>
      <c r="AC50" s="166">
        <v>49</v>
      </c>
      <c r="AD50" s="172">
        <f t="shared" si="41"/>
      </c>
      <c r="AE50" s="168">
        <f t="shared" si="91"/>
      </c>
      <c r="AF50" s="169">
        <f t="shared" si="166"/>
      </c>
      <c r="AG50" s="169">
        <f t="shared" si="228"/>
      </c>
      <c r="AH50" s="168">
        <v>7</v>
      </c>
      <c r="AI50" s="169">
        <f t="shared" si="303"/>
      </c>
      <c r="AJ50" s="169"/>
      <c r="AK50" s="169"/>
      <c r="AL50" s="169"/>
      <c r="AM50" s="169"/>
      <c r="AN50" s="173"/>
      <c r="AO50" s="173"/>
      <c r="AP50" s="173"/>
      <c r="AQ50" s="173"/>
      <c r="AR50" s="173"/>
      <c r="AS50" s="173"/>
      <c r="AT50" s="173" t="s">
        <v>725</v>
      </c>
      <c r="AU50" s="173" t="s">
        <v>725</v>
      </c>
      <c r="AV50" s="173" t="s">
        <v>725</v>
      </c>
      <c r="AW50" s="173" t="s">
        <v>725</v>
      </c>
      <c r="AX50" s="173" t="s">
        <v>725</v>
      </c>
      <c r="AY50" s="173" t="s">
        <v>725</v>
      </c>
      <c r="AZ50" s="173" t="s">
        <v>725</v>
      </c>
      <c r="BA50" s="173" t="s">
        <v>725</v>
      </c>
      <c r="BB50" s="173" t="s">
        <v>725</v>
      </c>
      <c r="BC50" s="173" t="s">
        <v>725</v>
      </c>
      <c r="BD50" s="173" t="s">
        <v>725</v>
      </c>
      <c r="BE50" s="173" t="s">
        <v>725</v>
      </c>
      <c r="BF50" s="173" t="s">
        <v>725</v>
      </c>
      <c r="BG50" s="173" t="s">
        <v>725</v>
      </c>
      <c r="BH50" s="173" t="s">
        <v>725</v>
      </c>
      <c r="BI50" s="173" t="s">
        <v>725</v>
      </c>
      <c r="BJ50" s="173" t="s">
        <v>725</v>
      </c>
      <c r="BK50" s="173" t="s">
        <v>725</v>
      </c>
      <c r="BL50" s="173" t="s">
        <v>725</v>
      </c>
      <c r="BM50" s="173" t="s">
        <v>725</v>
      </c>
      <c r="BN50" s="173" t="s">
        <v>725</v>
      </c>
      <c r="BO50" s="173" t="s">
        <v>725</v>
      </c>
      <c r="BP50" s="173" t="s">
        <v>725</v>
      </c>
      <c r="BQ50" s="173" t="s">
        <v>725</v>
      </c>
      <c r="BR50" s="180">
        <f t="shared" si="233"/>
      </c>
      <c r="BS50" s="161" t="str">
        <v>#VALUE!</v>
      </c>
    </row>
    <row customHeight="true" ht="18.51851851851852" r="51">
      <c r="A51" s="181"/>
      <c r="B51" s="181"/>
      <c r="C51" s="181"/>
      <c r="D51" s="181"/>
      <c r="E51" s="166"/>
      <c r="F51" s="179"/>
      <c r="G51" s="164">
        <f t="shared" si="1"/>
      </c>
      <c r="H51" s="164"/>
      <c r="I51" s="164"/>
      <c r="J51" s="165"/>
      <c r="K51" s="166"/>
      <c r="L51" s="166"/>
      <c r="M51" s="166"/>
      <c r="N51" s="166"/>
      <c r="O51" s="166"/>
      <c r="P51" s="161"/>
      <c r="Q51" s="168"/>
      <c r="R51" s="169"/>
      <c r="S51" s="165"/>
      <c r="T51" s="169"/>
      <c r="U51" s="169"/>
      <c r="V51" s="169"/>
      <c r="W51" s="169"/>
      <c r="X51" s="170"/>
      <c r="Y51" s="171"/>
      <c r="Z51" s="171"/>
      <c r="AA51" s="171"/>
      <c r="AB51" s="166"/>
      <c r="AC51" s="166"/>
      <c r="AD51" s="172"/>
      <c r="AE51" s="168"/>
      <c r="AF51" s="169"/>
      <c r="AG51" s="169"/>
      <c r="AH51" s="168"/>
      <c r="AI51" s="169"/>
      <c r="AJ51" s="169"/>
      <c r="AK51" s="169"/>
      <c r="AL51" s="169"/>
      <c r="AM51" s="169"/>
      <c r="AN51" s="173"/>
      <c r="AO51" s="173"/>
      <c r="AP51" s="173"/>
      <c r="AQ51" s="173"/>
      <c r="AR51" s="173"/>
      <c r="AS51" s="173"/>
      <c r="AT51" s="173"/>
      <c r="AU51" s="173"/>
      <c r="AV51" s="173"/>
      <c r="AW51" s="173"/>
      <c r="AX51" s="173"/>
      <c r="AY51" s="173"/>
      <c r="AZ51" s="173"/>
      <c r="BA51" s="173"/>
      <c r="BB51" s="173"/>
      <c r="BC51" s="173"/>
      <c r="BD51" s="173"/>
      <c r="BE51" s="173"/>
      <c r="BF51" s="173"/>
      <c r="BG51" s="173"/>
      <c r="BH51" s="173"/>
      <c r="BI51" s="173"/>
      <c r="BJ51" s="173"/>
      <c r="BK51" s="173"/>
      <c r="BL51" s="173"/>
      <c r="BM51" s="173"/>
      <c r="BN51" s="173"/>
      <c r="BO51" s="173"/>
      <c r="BP51" s="173"/>
      <c r="BQ51" s="173"/>
      <c r="BR51" s="180"/>
      <c r="BS51" s="161"/>
    </row>
    <row customHeight="true" ht="18.51851851851852" r="52">
      <c r="A52" s="161" t="s">
        <v>729</v>
      </c>
      <c r="B52" s="161" t="s">
        <v>730</v>
      </c>
      <c r="C52" s="161" t="s">
        <v>752</v>
      </c>
      <c r="D52" s="162" t="s">
        <v>753</v>
      </c>
      <c r="E52" s="176">
        <v>24</v>
      </c>
      <c r="F52" s="163">
        <v>34.99</v>
      </c>
      <c r="G52" s="164">
        <f t="shared" si="1"/>
      </c>
      <c r="H52" s="164">
        <f t="shared" ref="H52:H67" si="66">(F52-Z52)/1.2</f>
      </c>
      <c r="I52" s="164">
        <f t="shared" ref="I52:I67" si="126">E52-N52/Q52-AB52-Y52-O52-Z52-AA52</f>
      </c>
      <c r="J52" s="165">
        <f t="shared" ref="J52:J67" si="207">I52/E52</f>
      </c>
      <c r="K52" s="166">
        <f t="shared" ref="K52:K67" si="260">F52/1.2</f>
      </c>
      <c r="L52" s="167">
        <f t="shared" ref="L52:L67" si="331">(K52-E52)/K52</f>
      </c>
      <c r="M52" s="164">
        <f t="shared" ref="M52:M67" si="376">F52/1.2-E52</f>
      </c>
      <c r="N52" s="166">
        <f t="shared" ref="N52:N67" si="418">AD52+AH52</f>
      </c>
      <c r="O52" s="166">
        <f t="shared" ref="O52:O67" si="451">IFERROR(IF(A52="UK",8.95/P52,IF(A52="DE",7.75/P52,IF(A52="FR",14.25/P52,IF(A52="IT",15.25/P52,IF(A52="ES",19.25/P52,IF(A52="NL",16.75/P52,IF(A52="PL",14.05/P52,IF(A52="SE",18.25/P52,IF(A52="BE",14.25/P52))))))))),0)</f>
      </c>
      <c r="P52" s="161">
        <v>20</v>
      </c>
      <c r="Q52" s="168">
        <v>8</v>
      </c>
      <c r="R52" s="169">
        <f t="shared" ref="R52:R67" si="22">Y52/E52</f>
      </c>
      <c r="S52" s="165">
        <f t="shared" ref="S52:S67" si="517">Y52/F52</f>
      </c>
      <c r="T52" s="169">
        <f t="shared" ref="T52:T67" si="148">Z52/E52</f>
      </c>
      <c r="U52" s="169">
        <v>0.01</v>
      </c>
      <c r="V52" s="169">
        <f t="shared" ref="V52:V67" si="282">N52/(E52*Q52)</f>
      </c>
      <c r="W52" s="169">
        <f t="shared" ref="W52:W67" si="353">O52/E52</f>
      </c>
      <c r="X52" s="170">
        <v>0.1695</v>
      </c>
      <c r="Y52" s="171">
        <v>2</v>
      </c>
      <c r="Z52" s="171">
        <v>0</v>
      </c>
      <c r="AA52" s="171">
        <f t="shared" ref="AA52:AA67" si="473">E52*U52</f>
      </c>
      <c r="AB52" s="166">
        <f t="shared" ref="AB52:AB67" si="495">E52*X52</f>
      </c>
      <c r="AC52" s="166">
        <v>100.1</v>
      </c>
      <c r="AD52" s="172">
        <f t="shared" ref="AD52:AD67" si="42">AC52/1.13</f>
      </c>
      <c r="AE52" s="168">
        <f t="shared" ref="AE52:AE67" si="92">AH52/Q52</f>
      </c>
      <c r="AF52" s="169">
        <f t="shared" ref="AF52:AF67" si="167">AD52/(E52*Q52)</f>
      </c>
      <c r="AG52" s="169">
        <f t="shared" ref="AG52:AG67" si="312">AE52/Q52/E52</f>
      </c>
      <c r="AH52" s="168">
        <v>8</v>
      </c>
      <c r="AI52" s="169">
        <f t="shared" ref="AI52:AI56" si="188">(H52-E52+AB52)/H52</f>
      </c>
      <c r="AJ52" s="169"/>
      <c r="AK52" s="169"/>
      <c r="AL52" s="169"/>
      <c r="AM52" s="169"/>
      <c r="AN52" s="173"/>
      <c r="AO52" s="173"/>
      <c r="AP52" s="173"/>
      <c r="AQ52" s="173"/>
      <c r="AR52" s="173"/>
      <c r="AS52" s="173"/>
      <c r="AT52" s="173" t="s">
        <v>725</v>
      </c>
      <c r="AU52" s="173" t="s">
        <v>725</v>
      </c>
      <c r="AV52" s="173" t="s">
        <v>725</v>
      </c>
      <c r="AW52" s="173" t="s">
        <v>725</v>
      </c>
      <c r="AX52" s="173" t="s">
        <v>725</v>
      </c>
      <c r="AY52" s="173" t="s">
        <v>725</v>
      </c>
      <c r="AZ52" s="173" t="s">
        <v>725</v>
      </c>
      <c r="BA52" s="173" t="s">
        <v>725</v>
      </c>
      <c r="BB52" s="173" t="s">
        <v>725</v>
      </c>
      <c r="BC52" s="173" t="s">
        <v>725</v>
      </c>
      <c r="BD52" s="173" t="s">
        <v>725</v>
      </c>
      <c r="BE52" s="173" t="s">
        <v>725</v>
      </c>
      <c r="BF52" s="173" t="s">
        <v>725</v>
      </c>
      <c r="BG52" s="173" t="s">
        <v>725</v>
      </c>
      <c r="BH52" s="173" t="s">
        <v>725</v>
      </c>
      <c r="BI52" s="173" t="s">
        <v>725</v>
      </c>
      <c r="BJ52" s="173" t="s">
        <v>725</v>
      </c>
      <c r="BK52" s="173" t="s">
        <v>725</v>
      </c>
      <c r="BL52" s="173" t="s">
        <v>725</v>
      </c>
      <c r="BM52" s="173" t="s">
        <v>725</v>
      </c>
      <c r="BN52" s="173" t="s">
        <v>725</v>
      </c>
      <c r="BO52" s="173" t="s">
        <v>725</v>
      </c>
      <c r="BP52" s="173" t="s">
        <v>725</v>
      </c>
      <c r="BQ52" s="173" t="s">
        <v>725</v>
      </c>
      <c r="BR52" s="174"/>
      <c r="BS52" s="161" t="str">
        <v>#VALUE!</v>
      </c>
    </row>
    <row customHeight="true" ht="18.51851851851852" r="53">
      <c r="A53" s="161" t="s">
        <v>729</v>
      </c>
      <c r="B53" s="161" t="s">
        <v>730</v>
      </c>
      <c r="C53" s="161" t="s">
        <v>752</v>
      </c>
      <c r="D53" s="162" t="s">
        <v>754</v>
      </c>
      <c r="E53" s="176">
        <v>24</v>
      </c>
      <c r="F53" s="163">
        <v>34.99</v>
      </c>
      <c r="G53" s="164">
        <f t="shared" si="1"/>
      </c>
      <c r="H53" s="164">
        <f t="shared" si="66"/>
      </c>
      <c r="I53" s="175">
        <f t="shared" si="126"/>
      </c>
      <c r="J53" s="165">
        <f t="shared" si="207"/>
      </c>
      <c r="K53" s="166">
        <f t="shared" si="260"/>
      </c>
      <c r="L53" s="167">
        <f t="shared" si="331"/>
      </c>
      <c r="M53" s="164">
        <f t="shared" si="376"/>
      </c>
      <c r="N53" s="166">
        <f t="shared" si="418"/>
      </c>
      <c r="O53" s="166">
        <f t="shared" si="451"/>
      </c>
      <c r="P53" s="161">
        <v>20</v>
      </c>
      <c r="Q53" s="168">
        <v>8</v>
      </c>
      <c r="R53" s="169">
        <f t="shared" si="22"/>
      </c>
      <c r="S53" s="165">
        <f t="shared" si="517"/>
      </c>
      <c r="T53" s="169">
        <f t="shared" si="148"/>
      </c>
      <c r="U53" s="169">
        <v>0.01</v>
      </c>
      <c r="V53" s="169">
        <f t="shared" si="282"/>
      </c>
      <c r="W53" s="169">
        <f t="shared" si="353"/>
      </c>
      <c r="X53" s="170">
        <v>0.1695</v>
      </c>
      <c r="Y53" s="171">
        <v>2</v>
      </c>
      <c r="Z53" s="171">
        <f>F53*0.1</f>
      </c>
      <c r="AA53" s="171">
        <f t="shared" si="473"/>
      </c>
      <c r="AB53" s="166">
        <f t="shared" si="495"/>
      </c>
      <c r="AC53" s="166">
        <v>100.1</v>
      </c>
      <c r="AD53" s="172">
        <f t="shared" si="42"/>
      </c>
      <c r="AE53" s="168">
        <f t="shared" si="92"/>
      </c>
      <c r="AF53" s="169">
        <f t="shared" si="167"/>
      </c>
      <c r="AG53" s="169">
        <f t="shared" si="312"/>
      </c>
      <c r="AH53" s="168">
        <v>8</v>
      </c>
      <c r="AI53" s="169">
        <f t="shared" si="188"/>
      </c>
      <c r="AJ53" s="169"/>
      <c r="AK53" s="169"/>
      <c r="AL53" s="169"/>
      <c r="AM53" s="169"/>
      <c r="AN53" s="173"/>
      <c r="AO53" s="173"/>
      <c r="AP53" s="173"/>
      <c r="AQ53" s="173"/>
      <c r="AR53" s="173"/>
      <c r="AS53" s="173"/>
      <c r="AT53" s="173" t="s">
        <v>725</v>
      </c>
      <c r="AU53" s="173" t="s">
        <v>725</v>
      </c>
      <c r="AV53" s="173" t="s">
        <v>725</v>
      </c>
      <c r="AW53" s="173" t="s">
        <v>725</v>
      </c>
      <c r="AX53" s="173" t="s">
        <v>725</v>
      </c>
      <c r="AY53" s="173" t="s">
        <v>725</v>
      </c>
      <c r="AZ53" s="173" t="s">
        <v>725</v>
      </c>
      <c r="BA53" s="173" t="s">
        <v>725</v>
      </c>
      <c r="BB53" s="173" t="s">
        <v>725</v>
      </c>
      <c r="BC53" s="173" t="s">
        <v>725</v>
      </c>
      <c r="BD53" s="173" t="s">
        <v>725</v>
      </c>
      <c r="BE53" s="173" t="s">
        <v>725</v>
      </c>
      <c r="BF53" s="173" t="s">
        <v>725</v>
      </c>
      <c r="BG53" s="173" t="s">
        <v>725</v>
      </c>
      <c r="BH53" s="173" t="s">
        <v>725</v>
      </c>
      <c r="BI53" s="173" t="s">
        <v>725</v>
      </c>
      <c r="BJ53" s="173" t="s">
        <v>725</v>
      </c>
      <c r="BK53" s="173" t="s">
        <v>725</v>
      </c>
      <c r="BL53" s="173" t="s">
        <v>725</v>
      </c>
      <c r="BM53" s="173" t="s">
        <v>725</v>
      </c>
      <c r="BN53" s="173" t="s">
        <v>725</v>
      </c>
      <c r="BO53" s="173" t="s">
        <v>725</v>
      </c>
      <c r="BP53" s="173" t="s">
        <v>725</v>
      </c>
      <c r="BQ53" s="173" t="s">
        <v>725</v>
      </c>
      <c r="BR53" s="174"/>
      <c r="BS53" s="161" t="str">
        <v>#VALUE!</v>
      </c>
    </row>
    <row customHeight="true" ht="18.51851851851852" r="54">
      <c r="A54" s="161" t="s">
        <v>729</v>
      </c>
      <c r="B54" s="161" t="s">
        <v>730</v>
      </c>
      <c r="C54" s="161" t="s">
        <v>752</v>
      </c>
      <c r="D54" s="162" t="s">
        <v>755</v>
      </c>
      <c r="E54" s="176">
        <v>24</v>
      </c>
      <c r="F54" s="163">
        <v>34.99</v>
      </c>
      <c r="G54" s="164">
        <f t="shared" si="1"/>
      </c>
      <c r="H54" s="164">
        <f t="shared" si="66"/>
      </c>
      <c r="I54" s="164">
        <f t="shared" si="126"/>
      </c>
      <c r="J54" s="165">
        <f t="shared" si="207"/>
      </c>
      <c r="K54" s="166">
        <f t="shared" si="260"/>
      </c>
      <c r="L54" s="167">
        <f t="shared" si="331"/>
      </c>
      <c r="M54" s="164">
        <f t="shared" si="376"/>
      </c>
      <c r="N54" s="166">
        <f t="shared" si="418"/>
      </c>
      <c r="O54" s="166">
        <f t="shared" si="451"/>
      </c>
      <c r="P54" s="161">
        <v>20</v>
      </c>
      <c r="Q54" s="168">
        <v>8</v>
      </c>
      <c r="R54" s="169">
        <f t="shared" si="22"/>
      </c>
      <c r="S54" s="165">
        <f t="shared" si="517"/>
      </c>
      <c r="T54" s="169">
        <f t="shared" si="148"/>
      </c>
      <c r="U54" s="169">
        <v>0.01</v>
      </c>
      <c r="V54" s="169">
        <f t="shared" si="282"/>
      </c>
      <c r="W54" s="169">
        <f t="shared" si="353"/>
      </c>
      <c r="X54" s="170">
        <v>0.1695</v>
      </c>
      <c r="Y54" s="171">
        <v>2</v>
      </c>
      <c r="Z54" s="171">
        <f>F54*0.15</f>
      </c>
      <c r="AA54" s="171">
        <f t="shared" si="473"/>
      </c>
      <c r="AB54" s="166">
        <f t="shared" si="495"/>
      </c>
      <c r="AC54" s="166">
        <v>100.1</v>
      </c>
      <c r="AD54" s="172">
        <f t="shared" si="42"/>
      </c>
      <c r="AE54" s="168">
        <f t="shared" si="92"/>
      </c>
      <c r="AF54" s="169">
        <f t="shared" si="167"/>
      </c>
      <c r="AG54" s="169">
        <f t="shared" si="312"/>
      </c>
      <c r="AH54" s="168">
        <v>8</v>
      </c>
      <c r="AI54" s="169">
        <f t="shared" si="188"/>
      </c>
      <c r="AJ54" s="169"/>
      <c r="AK54" s="169"/>
      <c r="AL54" s="169"/>
      <c r="AM54" s="169"/>
      <c r="AN54" s="173"/>
      <c r="AO54" s="173"/>
      <c r="AP54" s="173"/>
      <c r="AQ54" s="173"/>
      <c r="AR54" s="173"/>
      <c r="AS54" s="173"/>
      <c r="AT54" s="173" t="s">
        <v>725</v>
      </c>
      <c r="AU54" s="173" t="s">
        <v>725</v>
      </c>
      <c r="AV54" s="173" t="s">
        <v>725</v>
      </c>
      <c r="AW54" s="173" t="s">
        <v>725</v>
      </c>
      <c r="AX54" s="173" t="s">
        <v>725</v>
      </c>
      <c r="AY54" s="173" t="s">
        <v>725</v>
      </c>
      <c r="AZ54" s="173" t="s">
        <v>725</v>
      </c>
      <c r="BA54" s="173" t="s">
        <v>725</v>
      </c>
      <c r="BB54" s="173" t="s">
        <v>725</v>
      </c>
      <c r="BC54" s="173" t="s">
        <v>725</v>
      </c>
      <c r="BD54" s="173" t="s">
        <v>725</v>
      </c>
      <c r="BE54" s="173" t="s">
        <v>725</v>
      </c>
      <c r="BF54" s="173" t="s">
        <v>725</v>
      </c>
      <c r="BG54" s="173" t="s">
        <v>725</v>
      </c>
      <c r="BH54" s="173" t="s">
        <v>725</v>
      </c>
      <c r="BI54" s="173" t="s">
        <v>725</v>
      </c>
      <c r="BJ54" s="173" t="s">
        <v>725</v>
      </c>
      <c r="BK54" s="173" t="s">
        <v>725</v>
      </c>
      <c r="BL54" s="173" t="s">
        <v>725</v>
      </c>
      <c r="BM54" s="173" t="s">
        <v>725</v>
      </c>
      <c r="BN54" s="173" t="s">
        <v>725</v>
      </c>
      <c r="BO54" s="173" t="s">
        <v>725</v>
      </c>
      <c r="BP54" s="173" t="s">
        <v>725</v>
      </c>
      <c r="BQ54" s="173" t="s">
        <v>725</v>
      </c>
      <c r="BR54" s="174"/>
      <c r="BS54" s="161" t="str">
        <v>#VALUE!</v>
      </c>
    </row>
    <row customHeight="true" ht="18.51851851851852" r="55">
      <c r="A55" s="161" t="s">
        <v>732</v>
      </c>
      <c r="B55" s="161" t="s">
        <v>730</v>
      </c>
      <c r="C55" s="161" t="s">
        <v>752</v>
      </c>
      <c r="D55" s="162" t="s">
        <v>753</v>
      </c>
      <c r="E55" s="176">
        <v>24</v>
      </c>
      <c r="F55" s="163">
        <v>34.99</v>
      </c>
      <c r="G55" s="164">
        <f t="shared" si="1"/>
      </c>
      <c r="H55" s="164">
        <f t="shared" si="66"/>
      </c>
      <c r="I55" s="164">
        <f t="shared" si="126"/>
      </c>
      <c r="J55" s="165">
        <f t="shared" si="207"/>
      </c>
      <c r="K55" s="166">
        <f t="shared" si="260"/>
      </c>
      <c r="L55" s="167">
        <f t="shared" si="331"/>
      </c>
      <c r="M55" s="164">
        <f t="shared" si="376"/>
      </c>
      <c r="N55" s="166">
        <f t="shared" si="418"/>
      </c>
      <c r="O55" s="166">
        <f t="shared" si="451"/>
      </c>
      <c r="P55" s="161">
        <v>20</v>
      </c>
      <c r="Q55" s="168">
        <v>8</v>
      </c>
      <c r="R55" s="169">
        <f t="shared" si="22"/>
      </c>
      <c r="S55" s="165">
        <f t="shared" si="517"/>
      </c>
      <c r="T55" s="169">
        <f t="shared" si="148"/>
      </c>
      <c r="U55" s="169">
        <v>0.01</v>
      </c>
      <c r="V55" s="169">
        <f t="shared" si="282"/>
      </c>
      <c r="W55" s="169">
        <f t="shared" si="353"/>
      </c>
      <c r="X55" s="170">
        <v>0.198</v>
      </c>
      <c r="Y55" s="171">
        <v>2</v>
      </c>
      <c r="Z55" s="171">
        <v>0</v>
      </c>
      <c r="AA55" s="171">
        <f t="shared" si="473"/>
      </c>
      <c r="AB55" s="166">
        <f t="shared" si="495"/>
      </c>
      <c r="AC55" s="166">
        <v>100.1</v>
      </c>
      <c r="AD55" s="172">
        <f t="shared" si="42"/>
      </c>
      <c r="AE55" s="168">
        <f t="shared" si="92"/>
      </c>
      <c r="AF55" s="169">
        <f t="shared" si="167"/>
      </c>
      <c r="AG55" s="169">
        <f t="shared" si="312"/>
      </c>
      <c r="AH55" s="168">
        <v>8</v>
      </c>
      <c r="AI55" s="169">
        <f t="shared" si="188"/>
      </c>
      <c r="AJ55" s="169"/>
      <c r="AK55" s="169"/>
      <c r="AL55" s="169"/>
      <c r="AM55" s="169"/>
      <c r="AN55" s="173"/>
      <c r="AO55" s="173"/>
      <c r="AP55" s="173"/>
      <c r="AQ55" s="173"/>
      <c r="AR55" s="173"/>
      <c r="AS55" s="173"/>
      <c r="AT55" s="173" t="s">
        <v>725</v>
      </c>
      <c r="AU55" s="173" t="s">
        <v>725</v>
      </c>
      <c r="AV55" s="173" t="s">
        <v>725</v>
      </c>
      <c r="AW55" s="173" t="s">
        <v>725</v>
      </c>
      <c r="AX55" s="173" t="s">
        <v>725</v>
      </c>
      <c r="AY55" s="173" t="s">
        <v>725</v>
      </c>
      <c r="AZ55" s="173" t="s">
        <v>725</v>
      </c>
      <c r="BA55" s="173" t="s">
        <v>725</v>
      </c>
      <c r="BB55" s="173" t="s">
        <v>725</v>
      </c>
      <c r="BC55" s="173" t="s">
        <v>725</v>
      </c>
      <c r="BD55" s="173" t="s">
        <v>725</v>
      </c>
      <c r="BE55" s="173" t="s">
        <v>725</v>
      </c>
      <c r="BF55" s="173" t="s">
        <v>725</v>
      </c>
      <c r="BG55" s="173" t="s">
        <v>725</v>
      </c>
      <c r="BH55" s="173" t="s">
        <v>725</v>
      </c>
      <c r="BI55" s="173" t="s">
        <v>725</v>
      </c>
      <c r="BJ55" s="173" t="s">
        <v>725</v>
      </c>
      <c r="BK55" s="173" t="s">
        <v>725</v>
      </c>
      <c r="BL55" s="173" t="s">
        <v>725</v>
      </c>
      <c r="BM55" s="173" t="s">
        <v>725</v>
      </c>
      <c r="BN55" s="173" t="s">
        <v>725</v>
      </c>
      <c r="BO55" s="173" t="s">
        <v>725</v>
      </c>
      <c r="BP55" s="173" t="s">
        <v>725</v>
      </c>
      <c r="BQ55" s="173" t="s">
        <v>725</v>
      </c>
      <c r="BR55" s="174"/>
      <c r="BS55" s="161" t="str">
        <v>#VALUE!</v>
      </c>
    </row>
    <row customHeight="true" ht="18.51851851851852" r="56">
      <c r="A56" s="161" t="s">
        <v>732</v>
      </c>
      <c r="B56" s="161" t="s">
        <v>730</v>
      </c>
      <c r="C56" s="161" t="s">
        <v>752</v>
      </c>
      <c r="D56" s="162" t="s">
        <v>754</v>
      </c>
      <c r="E56" s="176">
        <v>24</v>
      </c>
      <c r="F56" s="163">
        <v>34.99</v>
      </c>
      <c r="G56" s="164">
        <f t="shared" si="1"/>
      </c>
      <c r="H56" s="164">
        <f t="shared" si="66"/>
      </c>
      <c r="I56" s="175">
        <f t="shared" si="126"/>
      </c>
      <c r="J56" s="165">
        <f t="shared" si="207"/>
      </c>
      <c r="K56" s="166">
        <f t="shared" si="260"/>
      </c>
      <c r="L56" s="167">
        <f t="shared" si="331"/>
      </c>
      <c r="M56" s="164">
        <f t="shared" si="376"/>
      </c>
      <c r="N56" s="166">
        <f t="shared" si="418"/>
      </c>
      <c r="O56" s="166">
        <f t="shared" si="451"/>
      </c>
      <c r="P56" s="161">
        <v>20</v>
      </c>
      <c r="Q56" s="168">
        <v>8</v>
      </c>
      <c r="R56" s="169">
        <f t="shared" si="22"/>
      </c>
      <c r="S56" s="165">
        <f t="shared" si="517"/>
      </c>
      <c r="T56" s="169">
        <f t="shared" si="148"/>
      </c>
      <c r="U56" s="169">
        <v>0.01</v>
      </c>
      <c r="V56" s="169">
        <f t="shared" si="282"/>
      </c>
      <c r="W56" s="169">
        <f t="shared" si="353"/>
      </c>
      <c r="X56" s="170">
        <v>0.198</v>
      </c>
      <c r="Y56" s="171">
        <v>2</v>
      </c>
      <c r="Z56" s="171">
        <f>F56*0.1</f>
      </c>
      <c r="AA56" s="171">
        <f t="shared" si="473"/>
      </c>
      <c r="AB56" s="166">
        <f t="shared" si="495"/>
      </c>
      <c r="AC56" s="166">
        <v>100.1</v>
      </c>
      <c r="AD56" s="172">
        <f t="shared" si="42"/>
      </c>
      <c r="AE56" s="168">
        <f t="shared" si="92"/>
      </c>
      <c r="AF56" s="169">
        <f t="shared" si="167"/>
      </c>
      <c r="AG56" s="169">
        <f t="shared" si="312"/>
      </c>
      <c r="AH56" s="168">
        <v>8</v>
      </c>
      <c r="AI56" s="169">
        <f t="shared" si="188"/>
      </c>
      <c r="AJ56" s="169"/>
      <c r="AK56" s="169"/>
      <c r="AL56" s="169"/>
      <c r="AM56" s="169"/>
      <c r="AN56" s="173"/>
      <c r="AO56" s="173"/>
      <c r="AP56" s="173"/>
      <c r="AQ56" s="173"/>
      <c r="AR56" s="173"/>
      <c r="AS56" s="173"/>
      <c r="AT56" s="173" t="s">
        <v>725</v>
      </c>
      <c r="AU56" s="173" t="s">
        <v>725</v>
      </c>
      <c r="AV56" s="173" t="s">
        <v>725</v>
      </c>
      <c r="AW56" s="173" t="s">
        <v>725</v>
      </c>
      <c r="AX56" s="173" t="s">
        <v>725</v>
      </c>
      <c r="AY56" s="173" t="s">
        <v>725</v>
      </c>
      <c r="AZ56" s="173" t="s">
        <v>725</v>
      </c>
      <c r="BA56" s="173" t="s">
        <v>725</v>
      </c>
      <c r="BB56" s="173" t="s">
        <v>725</v>
      </c>
      <c r="BC56" s="173" t="s">
        <v>725</v>
      </c>
      <c r="BD56" s="173" t="s">
        <v>725</v>
      </c>
      <c r="BE56" s="173" t="s">
        <v>725</v>
      </c>
      <c r="BF56" s="173" t="s">
        <v>725</v>
      </c>
      <c r="BG56" s="173" t="s">
        <v>725</v>
      </c>
      <c r="BH56" s="173" t="s">
        <v>725</v>
      </c>
      <c r="BI56" s="173" t="s">
        <v>725</v>
      </c>
      <c r="BJ56" s="173" t="s">
        <v>725</v>
      </c>
      <c r="BK56" s="173" t="s">
        <v>725</v>
      </c>
      <c r="BL56" s="173" t="s">
        <v>725</v>
      </c>
      <c r="BM56" s="173" t="s">
        <v>725</v>
      </c>
      <c r="BN56" s="173" t="s">
        <v>725</v>
      </c>
      <c r="BO56" s="173" t="s">
        <v>725</v>
      </c>
      <c r="BP56" s="173" t="s">
        <v>725</v>
      </c>
      <c r="BQ56" s="173" t="s">
        <v>725</v>
      </c>
      <c r="BR56" s="174"/>
      <c r="BS56" s="161" t="str">
        <v>#VALUE!</v>
      </c>
    </row>
    <row customHeight="true" ht="18.51851851851852" r="57">
      <c r="A57" s="161" t="s">
        <v>732</v>
      </c>
      <c r="B57" s="161" t="s">
        <v>730</v>
      </c>
      <c r="C57" s="161" t="s">
        <v>752</v>
      </c>
      <c r="D57" s="162" t="s">
        <v>755</v>
      </c>
      <c r="E57" s="176">
        <v>24</v>
      </c>
      <c r="F57" s="163">
        <v>34.99</v>
      </c>
      <c r="G57" s="164">
        <f t="shared" si="1"/>
      </c>
      <c r="H57" s="164">
        <f t="shared" si="66"/>
      </c>
      <c r="I57" s="164">
        <f t="shared" si="126"/>
      </c>
      <c r="J57" s="165">
        <f t="shared" si="207"/>
      </c>
      <c r="K57" s="166">
        <f t="shared" si="260"/>
      </c>
      <c r="L57" s="167">
        <f t="shared" si="331"/>
      </c>
      <c r="M57" s="164">
        <f t="shared" si="376"/>
      </c>
      <c r="N57" s="166">
        <f t="shared" si="418"/>
      </c>
      <c r="O57" s="166">
        <f t="shared" si="451"/>
      </c>
      <c r="P57" s="161">
        <v>20</v>
      </c>
      <c r="Q57" s="168">
        <v>8</v>
      </c>
      <c r="R57" s="169">
        <f t="shared" si="22"/>
      </c>
      <c r="S57" s="165">
        <f t="shared" si="517"/>
      </c>
      <c r="T57" s="169">
        <f t="shared" si="148"/>
      </c>
      <c r="U57" s="169">
        <v>0.01</v>
      </c>
      <c r="V57" s="169">
        <f t="shared" si="282"/>
      </c>
      <c r="W57" s="169">
        <f t="shared" si="353"/>
      </c>
      <c r="X57" s="170">
        <v>0.198</v>
      </c>
      <c r="Y57" s="171">
        <v>2</v>
      </c>
      <c r="Z57" s="171">
        <f>F57*0.15</f>
      </c>
      <c r="AA57" s="171">
        <f t="shared" si="473"/>
      </c>
      <c r="AB57" s="166">
        <f t="shared" si="495"/>
      </c>
      <c r="AC57" s="166">
        <v>100.1</v>
      </c>
      <c r="AD57" s="172">
        <f t="shared" si="42"/>
      </c>
      <c r="AE57" s="168">
        <f t="shared" si="92"/>
      </c>
      <c r="AF57" s="169">
        <f t="shared" si="167"/>
      </c>
      <c r="AG57" s="169">
        <f t="shared" si="312"/>
      </c>
      <c r="AH57" s="168">
        <v>8</v>
      </c>
      <c r="AI57" s="169">
        <f t="shared" ref="AI57:AI67" si="304">(K57-E57+AB57)/(K57-Z57)</f>
      </c>
      <c r="AJ57" s="169"/>
      <c r="AK57" s="169"/>
      <c r="AL57" s="169"/>
      <c r="AM57" s="169"/>
      <c r="AN57" s="173"/>
      <c r="AO57" s="173"/>
      <c r="AP57" s="173"/>
      <c r="AQ57" s="173"/>
      <c r="AR57" s="173"/>
      <c r="AS57" s="173"/>
      <c r="AT57" s="173" t="s">
        <v>725</v>
      </c>
      <c r="AU57" s="173" t="s">
        <v>725</v>
      </c>
      <c r="AV57" s="173" t="s">
        <v>725</v>
      </c>
      <c r="AW57" s="173" t="s">
        <v>725</v>
      </c>
      <c r="AX57" s="173" t="s">
        <v>725</v>
      </c>
      <c r="AY57" s="173" t="s">
        <v>725</v>
      </c>
      <c r="AZ57" s="173" t="s">
        <v>725</v>
      </c>
      <c r="BA57" s="173" t="s">
        <v>725</v>
      </c>
      <c r="BB57" s="173" t="s">
        <v>725</v>
      </c>
      <c r="BC57" s="173" t="s">
        <v>725</v>
      </c>
      <c r="BD57" s="173" t="s">
        <v>725</v>
      </c>
      <c r="BE57" s="173" t="s">
        <v>725</v>
      </c>
      <c r="BF57" s="173" t="s">
        <v>725</v>
      </c>
      <c r="BG57" s="173" t="s">
        <v>725</v>
      </c>
      <c r="BH57" s="173" t="s">
        <v>725</v>
      </c>
      <c r="BI57" s="173" t="s">
        <v>725</v>
      </c>
      <c r="BJ57" s="173" t="s">
        <v>725</v>
      </c>
      <c r="BK57" s="173" t="s">
        <v>725</v>
      </c>
      <c r="BL57" s="173" t="s">
        <v>725</v>
      </c>
      <c r="BM57" s="173" t="s">
        <v>725</v>
      </c>
      <c r="BN57" s="173" t="s">
        <v>725</v>
      </c>
      <c r="BO57" s="173" t="s">
        <v>725</v>
      </c>
      <c r="BP57" s="173" t="s">
        <v>725</v>
      </c>
      <c r="BQ57" s="173" t="s">
        <v>725</v>
      </c>
      <c r="BR57" s="174"/>
      <c r="BS57" s="161" t="str">
        <v>#VALUE!</v>
      </c>
    </row>
    <row customHeight="true" ht="18.51851851851852" r="58">
      <c r="A58" s="161" t="s">
        <v>733</v>
      </c>
      <c r="B58" s="161" t="s">
        <v>730</v>
      </c>
      <c r="C58" s="161" t="s">
        <v>752</v>
      </c>
      <c r="D58" s="162" t="s">
        <v>753</v>
      </c>
      <c r="E58" s="176">
        <v>24</v>
      </c>
      <c r="F58" s="163">
        <v>34.99</v>
      </c>
      <c r="G58" s="164">
        <f t="shared" si="1"/>
      </c>
      <c r="H58" s="164">
        <f t="shared" si="66"/>
      </c>
      <c r="I58" s="164">
        <f t="shared" si="126"/>
      </c>
      <c r="J58" s="165">
        <f t="shared" si="207"/>
      </c>
      <c r="K58" s="166">
        <f t="shared" si="260"/>
      </c>
      <c r="L58" s="167">
        <f t="shared" si="331"/>
      </c>
      <c r="M58" s="164">
        <f t="shared" si="376"/>
      </c>
      <c r="N58" s="166">
        <f t="shared" si="418"/>
      </c>
      <c r="O58" s="166">
        <f t="shared" si="451"/>
      </c>
      <c r="P58" s="161">
        <v>20</v>
      </c>
      <c r="Q58" s="168">
        <v>8</v>
      </c>
      <c r="R58" s="169">
        <f t="shared" si="22"/>
      </c>
      <c r="S58" s="165">
        <f t="shared" si="517"/>
      </c>
      <c r="T58" s="169">
        <f t="shared" si="148"/>
      </c>
      <c r="U58" s="169">
        <v>0.01</v>
      </c>
      <c r="V58" s="169">
        <f t="shared" si="282"/>
      </c>
      <c r="W58" s="169">
        <f t="shared" si="353"/>
      </c>
      <c r="X58" s="170">
        <v>0.1846</v>
      </c>
      <c r="Y58" s="171">
        <v>2</v>
      </c>
      <c r="Z58" s="171">
        <v>0</v>
      </c>
      <c r="AA58" s="171">
        <f t="shared" si="473"/>
      </c>
      <c r="AB58" s="166">
        <f t="shared" si="495"/>
      </c>
      <c r="AC58" s="166">
        <v>100.1</v>
      </c>
      <c r="AD58" s="172">
        <f t="shared" si="42"/>
      </c>
      <c r="AE58" s="168">
        <f t="shared" si="92"/>
      </c>
      <c r="AF58" s="169">
        <f t="shared" si="167"/>
      </c>
      <c r="AG58" s="169">
        <f t="shared" si="312"/>
      </c>
      <c r="AH58" s="168">
        <v>8</v>
      </c>
      <c r="AI58" s="165">
        <f t="shared" si="304"/>
      </c>
      <c r="AJ58" s="165"/>
      <c r="AK58" s="165"/>
      <c r="AL58" s="165"/>
      <c r="AM58" s="165"/>
      <c r="AN58" s="173"/>
      <c r="AO58" s="173"/>
      <c r="AP58" s="173"/>
      <c r="AQ58" s="173"/>
      <c r="AR58" s="173"/>
      <c r="AS58" s="173"/>
      <c r="AT58" s="173" t="s">
        <v>725</v>
      </c>
      <c r="AU58" s="173" t="s">
        <v>725</v>
      </c>
      <c r="AV58" s="173" t="s">
        <v>725</v>
      </c>
      <c r="AW58" s="173" t="s">
        <v>725</v>
      </c>
      <c r="AX58" s="173" t="s">
        <v>725</v>
      </c>
      <c r="AY58" s="173" t="s">
        <v>725</v>
      </c>
      <c r="AZ58" s="173" t="s">
        <v>725</v>
      </c>
      <c r="BA58" s="173" t="s">
        <v>725</v>
      </c>
      <c r="BB58" s="173" t="s">
        <v>725</v>
      </c>
      <c r="BC58" s="173" t="s">
        <v>725</v>
      </c>
      <c r="BD58" s="173" t="s">
        <v>725</v>
      </c>
      <c r="BE58" s="173" t="s">
        <v>725</v>
      </c>
      <c r="BF58" s="173" t="s">
        <v>725</v>
      </c>
      <c r="BG58" s="173" t="s">
        <v>725</v>
      </c>
      <c r="BH58" s="173" t="s">
        <v>725</v>
      </c>
      <c r="BI58" s="173" t="s">
        <v>725</v>
      </c>
      <c r="BJ58" s="173" t="s">
        <v>725</v>
      </c>
      <c r="BK58" s="173" t="s">
        <v>725</v>
      </c>
      <c r="BL58" s="173" t="s">
        <v>725</v>
      </c>
      <c r="BM58" s="173" t="s">
        <v>725</v>
      </c>
      <c r="BN58" s="173" t="s">
        <v>725</v>
      </c>
      <c r="BO58" s="173" t="s">
        <v>725</v>
      </c>
      <c r="BP58" s="173" t="s">
        <v>725</v>
      </c>
      <c r="BQ58" s="173" t="s">
        <v>725</v>
      </c>
      <c r="BR58" s="174"/>
      <c r="BS58" s="161" t="str">
        <v>#VALUE!</v>
      </c>
    </row>
    <row customHeight="true" ht="18.51851851851852" r="59">
      <c r="A59" s="161" t="s">
        <v>733</v>
      </c>
      <c r="B59" s="161" t="s">
        <v>730</v>
      </c>
      <c r="C59" s="161" t="s">
        <v>752</v>
      </c>
      <c r="D59" s="162" t="s">
        <v>754</v>
      </c>
      <c r="E59" s="176">
        <v>24</v>
      </c>
      <c r="F59" s="163">
        <v>34.99</v>
      </c>
      <c r="G59" s="164">
        <f t="shared" si="1"/>
      </c>
      <c r="H59" s="164">
        <f t="shared" si="66"/>
      </c>
      <c r="I59" s="175">
        <f t="shared" si="126"/>
      </c>
      <c r="J59" s="165">
        <f t="shared" si="207"/>
      </c>
      <c r="K59" s="166">
        <f t="shared" si="260"/>
      </c>
      <c r="L59" s="167">
        <f t="shared" si="331"/>
      </c>
      <c r="M59" s="164">
        <f t="shared" si="376"/>
      </c>
      <c r="N59" s="166">
        <f t="shared" si="418"/>
      </c>
      <c r="O59" s="166">
        <f t="shared" si="451"/>
      </c>
      <c r="P59" s="161">
        <v>20</v>
      </c>
      <c r="Q59" s="168">
        <v>8</v>
      </c>
      <c r="R59" s="169">
        <f t="shared" si="22"/>
      </c>
      <c r="S59" s="165">
        <f t="shared" si="517"/>
      </c>
      <c r="T59" s="169">
        <f t="shared" si="148"/>
      </c>
      <c r="U59" s="169">
        <v>0.01</v>
      </c>
      <c r="V59" s="169">
        <f t="shared" si="282"/>
      </c>
      <c r="W59" s="169">
        <f t="shared" si="353"/>
      </c>
      <c r="X59" s="170">
        <v>0.1846</v>
      </c>
      <c r="Y59" s="171">
        <v>2</v>
      </c>
      <c r="Z59" s="171">
        <f>F59*0.1</f>
      </c>
      <c r="AA59" s="171">
        <f t="shared" si="473"/>
      </c>
      <c r="AB59" s="166">
        <f t="shared" si="495"/>
      </c>
      <c r="AC59" s="166">
        <v>100.1</v>
      </c>
      <c r="AD59" s="172">
        <f t="shared" si="42"/>
      </c>
      <c r="AE59" s="168">
        <f t="shared" si="92"/>
      </c>
      <c r="AF59" s="169">
        <f t="shared" si="167"/>
      </c>
      <c r="AG59" s="169">
        <f t="shared" si="312"/>
      </c>
      <c r="AH59" s="168">
        <v>8</v>
      </c>
      <c r="AI59" s="165">
        <f t="shared" si="304"/>
      </c>
      <c r="AJ59" s="165"/>
      <c r="AK59" s="165"/>
      <c r="AL59" s="165"/>
      <c r="AM59" s="165"/>
      <c r="AN59" s="173"/>
      <c r="AO59" s="173"/>
      <c r="AP59" s="173"/>
      <c r="AQ59" s="173"/>
      <c r="AR59" s="173"/>
      <c r="AS59" s="173"/>
      <c r="AT59" s="173" t="s">
        <v>725</v>
      </c>
      <c r="AU59" s="173" t="s">
        <v>725</v>
      </c>
      <c r="AV59" s="173" t="s">
        <v>725</v>
      </c>
      <c r="AW59" s="173" t="s">
        <v>725</v>
      </c>
      <c r="AX59" s="173" t="s">
        <v>725</v>
      </c>
      <c r="AY59" s="173" t="s">
        <v>725</v>
      </c>
      <c r="AZ59" s="173" t="s">
        <v>725</v>
      </c>
      <c r="BA59" s="173" t="s">
        <v>725</v>
      </c>
      <c r="BB59" s="173" t="s">
        <v>725</v>
      </c>
      <c r="BC59" s="173" t="s">
        <v>725</v>
      </c>
      <c r="BD59" s="173" t="s">
        <v>725</v>
      </c>
      <c r="BE59" s="173" t="s">
        <v>725</v>
      </c>
      <c r="BF59" s="173" t="s">
        <v>725</v>
      </c>
      <c r="BG59" s="173" t="s">
        <v>725</v>
      </c>
      <c r="BH59" s="173" t="s">
        <v>725</v>
      </c>
      <c r="BI59" s="173" t="s">
        <v>725</v>
      </c>
      <c r="BJ59" s="173" t="s">
        <v>725</v>
      </c>
      <c r="BK59" s="173" t="s">
        <v>725</v>
      </c>
      <c r="BL59" s="173" t="s">
        <v>725</v>
      </c>
      <c r="BM59" s="173" t="s">
        <v>725</v>
      </c>
      <c r="BN59" s="173" t="s">
        <v>725</v>
      </c>
      <c r="BO59" s="173" t="s">
        <v>725</v>
      </c>
      <c r="BP59" s="173" t="s">
        <v>725</v>
      </c>
      <c r="BQ59" s="173" t="s">
        <v>725</v>
      </c>
      <c r="BR59" s="174"/>
      <c r="BS59" s="161" t="str">
        <v>#VALUE!</v>
      </c>
    </row>
    <row customHeight="true" ht="18.51851851851852" r="60">
      <c r="A60" s="161" t="s">
        <v>733</v>
      </c>
      <c r="B60" s="161" t="s">
        <v>730</v>
      </c>
      <c r="C60" s="161" t="s">
        <v>752</v>
      </c>
      <c r="D60" s="162" t="s">
        <v>755</v>
      </c>
      <c r="E60" s="176">
        <v>24</v>
      </c>
      <c r="F60" s="163">
        <v>34.99</v>
      </c>
      <c r="G60" s="164">
        <f t="shared" si="1"/>
      </c>
      <c r="H60" s="164">
        <f t="shared" si="66"/>
      </c>
      <c r="I60" s="164">
        <f t="shared" si="126"/>
      </c>
      <c r="J60" s="165">
        <f t="shared" si="207"/>
      </c>
      <c r="K60" s="166">
        <f t="shared" si="260"/>
      </c>
      <c r="L60" s="167">
        <f t="shared" si="331"/>
      </c>
      <c r="M60" s="164">
        <f t="shared" si="376"/>
      </c>
      <c r="N60" s="166">
        <f t="shared" si="418"/>
      </c>
      <c r="O60" s="166">
        <f t="shared" si="451"/>
      </c>
      <c r="P60" s="161">
        <v>20</v>
      </c>
      <c r="Q60" s="168">
        <v>8</v>
      </c>
      <c r="R60" s="169">
        <f t="shared" si="22"/>
      </c>
      <c r="S60" s="165">
        <f t="shared" si="517"/>
      </c>
      <c r="T60" s="169">
        <f t="shared" si="148"/>
      </c>
      <c r="U60" s="169">
        <v>0.01</v>
      </c>
      <c r="V60" s="169">
        <f t="shared" si="282"/>
      </c>
      <c r="W60" s="169">
        <f t="shared" si="353"/>
      </c>
      <c r="X60" s="170">
        <v>0.1846</v>
      </c>
      <c r="Y60" s="171">
        <v>2</v>
      </c>
      <c r="Z60" s="171">
        <f>F60*0.15</f>
      </c>
      <c r="AA60" s="171">
        <f t="shared" si="473"/>
      </c>
      <c r="AB60" s="166">
        <f t="shared" si="495"/>
      </c>
      <c r="AC60" s="166">
        <v>100.1</v>
      </c>
      <c r="AD60" s="172">
        <f t="shared" si="42"/>
      </c>
      <c r="AE60" s="168">
        <f t="shared" si="92"/>
      </c>
      <c r="AF60" s="169">
        <f t="shared" si="167"/>
      </c>
      <c r="AG60" s="169">
        <f t="shared" si="312"/>
      </c>
      <c r="AH60" s="168">
        <v>8</v>
      </c>
      <c r="AI60" s="165">
        <f t="shared" si="304"/>
      </c>
      <c r="AJ60" s="165"/>
      <c r="AK60" s="165"/>
      <c r="AL60" s="165"/>
      <c r="AM60" s="165"/>
      <c r="AN60" s="173"/>
      <c r="AO60" s="173"/>
      <c r="AP60" s="173"/>
      <c r="AQ60" s="173"/>
      <c r="AR60" s="173"/>
      <c r="AS60" s="173"/>
      <c r="AT60" s="173" t="s">
        <v>725</v>
      </c>
      <c r="AU60" s="173" t="s">
        <v>725</v>
      </c>
      <c r="AV60" s="173" t="s">
        <v>725</v>
      </c>
      <c r="AW60" s="173" t="s">
        <v>725</v>
      </c>
      <c r="AX60" s="173" t="s">
        <v>725</v>
      </c>
      <c r="AY60" s="173" t="s">
        <v>725</v>
      </c>
      <c r="AZ60" s="173" t="s">
        <v>725</v>
      </c>
      <c r="BA60" s="173" t="s">
        <v>725</v>
      </c>
      <c r="BB60" s="173" t="s">
        <v>725</v>
      </c>
      <c r="BC60" s="173" t="s">
        <v>725</v>
      </c>
      <c r="BD60" s="173" t="s">
        <v>725</v>
      </c>
      <c r="BE60" s="173" t="s">
        <v>725</v>
      </c>
      <c r="BF60" s="173" t="s">
        <v>725</v>
      </c>
      <c r="BG60" s="173" t="s">
        <v>725</v>
      </c>
      <c r="BH60" s="173" t="s">
        <v>725</v>
      </c>
      <c r="BI60" s="173" t="s">
        <v>725</v>
      </c>
      <c r="BJ60" s="173" t="s">
        <v>725</v>
      </c>
      <c r="BK60" s="173" t="s">
        <v>725</v>
      </c>
      <c r="BL60" s="173" t="s">
        <v>725</v>
      </c>
      <c r="BM60" s="173" t="s">
        <v>725</v>
      </c>
      <c r="BN60" s="173" t="s">
        <v>725</v>
      </c>
      <c r="BO60" s="173" t="s">
        <v>725</v>
      </c>
      <c r="BP60" s="173" t="s">
        <v>725</v>
      </c>
      <c r="BQ60" s="173" t="s">
        <v>725</v>
      </c>
      <c r="BR60" s="174"/>
      <c r="BS60" s="161" t="str">
        <v>#VALUE!</v>
      </c>
    </row>
    <row customHeight="true" ht="18.51851851851852" r="61">
      <c r="A61" s="161" t="s">
        <v>734</v>
      </c>
      <c r="B61" s="161" t="s">
        <v>730</v>
      </c>
      <c r="C61" s="161" t="s">
        <v>752</v>
      </c>
      <c r="D61" s="162" t="s">
        <v>753</v>
      </c>
      <c r="E61" s="176">
        <v>24</v>
      </c>
      <c r="F61" s="163">
        <v>34.99</v>
      </c>
      <c r="G61" s="164">
        <f t="shared" si="1"/>
      </c>
      <c r="H61" s="164">
        <f t="shared" si="66"/>
      </c>
      <c r="I61" s="164">
        <f t="shared" si="126"/>
      </c>
      <c r="J61" s="165">
        <f t="shared" si="207"/>
      </c>
      <c r="K61" s="166">
        <f t="shared" si="260"/>
      </c>
      <c r="L61" s="167">
        <f t="shared" si="331"/>
      </c>
      <c r="M61" s="164">
        <f t="shared" si="376"/>
      </c>
      <c r="N61" s="166">
        <f t="shared" si="418"/>
      </c>
      <c r="O61" s="166">
        <f t="shared" si="451"/>
      </c>
      <c r="P61" s="161">
        <v>20</v>
      </c>
      <c r="Q61" s="168">
        <v>8</v>
      </c>
      <c r="R61" s="169">
        <f t="shared" si="22"/>
      </c>
      <c r="S61" s="165">
        <f t="shared" si="517"/>
      </c>
      <c r="T61" s="169">
        <f t="shared" si="148"/>
      </c>
      <c r="U61" s="169">
        <v>0.01</v>
      </c>
      <c r="V61" s="169">
        <f t="shared" si="282"/>
      </c>
      <c r="W61" s="169">
        <f t="shared" si="353"/>
      </c>
      <c r="X61" s="170">
        <v>0.1646</v>
      </c>
      <c r="Y61" s="171">
        <v>2</v>
      </c>
      <c r="Z61" s="171">
        <v>0</v>
      </c>
      <c r="AA61" s="171">
        <f t="shared" si="473"/>
      </c>
      <c r="AB61" s="166">
        <f t="shared" si="495"/>
      </c>
      <c r="AC61" s="166">
        <v>100.1</v>
      </c>
      <c r="AD61" s="172">
        <f t="shared" si="42"/>
      </c>
      <c r="AE61" s="168">
        <f t="shared" si="92"/>
      </c>
      <c r="AF61" s="169">
        <f t="shared" si="167"/>
      </c>
      <c r="AG61" s="169">
        <f t="shared" si="312"/>
      </c>
      <c r="AH61" s="168">
        <v>8</v>
      </c>
      <c r="AI61" s="169">
        <f t="shared" si="304"/>
      </c>
      <c r="AJ61" s="169"/>
      <c r="AK61" s="169"/>
      <c r="AL61" s="169"/>
      <c r="AM61" s="169"/>
      <c r="AN61" s="173"/>
      <c r="AO61" s="173"/>
      <c r="AP61" s="173"/>
      <c r="AQ61" s="173"/>
      <c r="AR61" s="173"/>
      <c r="AS61" s="173"/>
      <c r="AT61" s="173" t="s">
        <v>725</v>
      </c>
      <c r="AU61" s="173" t="s">
        <v>725</v>
      </c>
      <c r="AV61" s="173" t="s">
        <v>725</v>
      </c>
      <c r="AW61" s="173" t="s">
        <v>725</v>
      </c>
      <c r="AX61" s="173" t="s">
        <v>725</v>
      </c>
      <c r="AY61" s="173" t="s">
        <v>725</v>
      </c>
      <c r="AZ61" s="173" t="s">
        <v>725</v>
      </c>
      <c r="BA61" s="173" t="s">
        <v>725</v>
      </c>
      <c r="BB61" s="173" t="s">
        <v>725</v>
      </c>
      <c r="BC61" s="173" t="s">
        <v>725</v>
      </c>
      <c r="BD61" s="173" t="s">
        <v>725</v>
      </c>
      <c r="BE61" s="173" t="s">
        <v>725</v>
      </c>
      <c r="BF61" s="173" t="s">
        <v>725</v>
      </c>
      <c r="BG61" s="173" t="s">
        <v>725</v>
      </c>
      <c r="BH61" s="173" t="s">
        <v>725</v>
      </c>
      <c r="BI61" s="173" t="s">
        <v>725</v>
      </c>
      <c r="BJ61" s="173" t="s">
        <v>725</v>
      </c>
      <c r="BK61" s="173" t="s">
        <v>725</v>
      </c>
      <c r="BL61" s="173" t="s">
        <v>725</v>
      </c>
      <c r="BM61" s="173" t="s">
        <v>725</v>
      </c>
      <c r="BN61" s="173" t="s">
        <v>725</v>
      </c>
      <c r="BO61" s="173" t="s">
        <v>725</v>
      </c>
      <c r="BP61" s="173" t="s">
        <v>725</v>
      </c>
      <c r="BQ61" s="173" t="s">
        <v>725</v>
      </c>
      <c r="BR61" s="174"/>
      <c r="BS61" s="161" t="str">
        <v>#VALUE!</v>
      </c>
    </row>
    <row customHeight="true" ht="18.51851851851852" r="62">
      <c r="A62" s="161" t="s">
        <v>734</v>
      </c>
      <c r="B62" s="161" t="s">
        <v>730</v>
      </c>
      <c r="C62" s="161" t="s">
        <v>752</v>
      </c>
      <c r="D62" s="162" t="s">
        <v>754</v>
      </c>
      <c r="E62" s="176">
        <v>24</v>
      </c>
      <c r="F62" s="163">
        <v>34.99</v>
      </c>
      <c r="G62" s="164">
        <f t="shared" si="1"/>
      </c>
      <c r="H62" s="164">
        <f t="shared" si="66"/>
      </c>
      <c r="I62" s="175">
        <f t="shared" si="126"/>
      </c>
      <c r="J62" s="165">
        <f t="shared" si="207"/>
      </c>
      <c r="K62" s="166">
        <f t="shared" si="260"/>
      </c>
      <c r="L62" s="167">
        <f t="shared" si="331"/>
      </c>
      <c r="M62" s="164">
        <f t="shared" si="376"/>
      </c>
      <c r="N62" s="166">
        <f t="shared" si="418"/>
      </c>
      <c r="O62" s="166">
        <f t="shared" si="451"/>
      </c>
      <c r="P62" s="161">
        <v>20</v>
      </c>
      <c r="Q62" s="168">
        <v>8</v>
      </c>
      <c r="R62" s="169">
        <f t="shared" si="22"/>
      </c>
      <c r="S62" s="165">
        <f t="shared" si="517"/>
      </c>
      <c r="T62" s="169">
        <f t="shared" si="148"/>
      </c>
      <c r="U62" s="169">
        <v>0.01</v>
      </c>
      <c r="V62" s="169">
        <f t="shared" si="282"/>
      </c>
      <c r="W62" s="169">
        <f t="shared" si="353"/>
      </c>
      <c r="X62" s="170">
        <v>0.1646</v>
      </c>
      <c r="Y62" s="171">
        <v>2</v>
      </c>
      <c r="Z62" s="171">
        <f>F62*0.1</f>
      </c>
      <c r="AA62" s="171">
        <f t="shared" si="473"/>
      </c>
      <c r="AB62" s="166">
        <f t="shared" si="495"/>
      </c>
      <c r="AC62" s="166">
        <v>100.1</v>
      </c>
      <c r="AD62" s="172">
        <f t="shared" si="42"/>
      </c>
      <c r="AE62" s="168">
        <f t="shared" si="92"/>
      </c>
      <c r="AF62" s="169">
        <f t="shared" si="167"/>
      </c>
      <c r="AG62" s="169">
        <f t="shared" si="312"/>
      </c>
      <c r="AH62" s="168">
        <v>8</v>
      </c>
      <c r="AI62" s="169">
        <f t="shared" si="304"/>
      </c>
      <c r="AJ62" s="169"/>
      <c r="AK62" s="169"/>
      <c r="AL62" s="169"/>
      <c r="AM62" s="169"/>
      <c r="AN62" s="173"/>
      <c r="AO62" s="173"/>
      <c r="AP62" s="173"/>
      <c r="AQ62" s="173"/>
      <c r="AR62" s="173"/>
      <c r="AS62" s="173"/>
      <c r="AT62" s="173" t="s">
        <v>725</v>
      </c>
      <c r="AU62" s="173" t="s">
        <v>725</v>
      </c>
      <c r="AV62" s="173" t="s">
        <v>725</v>
      </c>
      <c r="AW62" s="173" t="s">
        <v>725</v>
      </c>
      <c r="AX62" s="173" t="s">
        <v>725</v>
      </c>
      <c r="AY62" s="173" t="s">
        <v>725</v>
      </c>
      <c r="AZ62" s="173" t="s">
        <v>725</v>
      </c>
      <c r="BA62" s="173" t="s">
        <v>725</v>
      </c>
      <c r="BB62" s="173" t="s">
        <v>725</v>
      </c>
      <c r="BC62" s="173" t="s">
        <v>725</v>
      </c>
      <c r="BD62" s="173" t="s">
        <v>725</v>
      </c>
      <c r="BE62" s="173" t="s">
        <v>725</v>
      </c>
      <c r="BF62" s="173" t="s">
        <v>725</v>
      </c>
      <c r="BG62" s="173" t="s">
        <v>725</v>
      </c>
      <c r="BH62" s="173" t="s">
        <v>725</v>
      </c>
      <c r="BI62" s="173" t="s">
        <v>725</v>
      </c>
      <c r="BJ62" s="173" t="s">
        <v>725</v>
      </c>
      <c r="BK62" s="173" t="s">
        <v>725</v>
      </c>
      <c r="BL62" s="173" t="s">
        <v>725</v>
      </c>
      <c r="BM62" s="173" t="s">
        <v>725</v>
      </c>
      <c r="BN62" s="173" t="s">
        <v>725</v>
      </c>
      <c r="BO62" s="173" t="s">
        <v>725</v>
      </c>
      <c r="BP62" s="173" t="s">
        <v>725</v>
      </c>
      <c r="BQ62" s="173" t="s">
        <v>725</v>
      </c>
      <c r="BR62" s="174"/>
      <c r="BS62" s="161" t="str">
        <v>#VALUE!</v>
      </c>
    </row>
    <row customHeight="true" ht="18.51851851851852" r="63">
      <c r="A63" s="161" t="s">
        <v>734</v>
      </c>
      <c r="B63" s="161" t="s">
        <v>730</v>
      </c>
      <c r="C63" s="161" t="s">
        <v>752</v>
      </c>
      <c r="D63" s="162" t="s">
        <v>755</v>
      </c>
      <c r="E63" s="176">
        <v>24</v>
      </c>
      <c r="F63" s="163">
        <v>34.99</v>
      </c>
      <c r="G63" s="164">
        <f t="shared" si="1"/>
      </c>
      <c r="H63" s="164">
        <f t="shared" si="66"/>
      </c>
      <c r="I63" s="164">
        <f t="shared" si="126"/>
      </c>
      <c r="J63" s="165">
        <f t="shared" si="207"/>
      </c>
      <c r="K63" s="166">
        <f t="shared" si="260"/>
      </c>
      <c r="L63" s="167">
        <f t="shared" si="331"/>
      </c>
      <c r="M63" s="164">
        <f t="shared" si="376"/>
      </c>
      <c r="N63" s="166">
        <f t="shared" si="418"/>
      </c>
      <c r="O63" s="166">
        <f t="shared" si="451"/>
      </c>
      <c r="P63" s="161">
        <v>20</v>
      </c>
      <c r="Q63" s="168">
        <v>8</v>
      </c>
      <c r="R63" s="169">
        <f t="shared" si="22"/>
      </c>
      <c r="S63" s="165">
        <f t="shared" si="517"/>
      </c>
      <c r="T63" s="169">
        <f t="shared" si="148"/>
      </c>
      <c r="U63" s="169">
        <v>0.01</v>
      </c>
      <c r="V63" s="169">
        <f t="shared" si="282"/>
      </c>
      <c r="W63" s="169">
        <f t="shared" si="353"/>
      </c>
      <c r="X63" s="170">
        <v>0.1646</v>
      </c>
      <c r="Y63" s="171">
        <v>2</v>
      </c>
      <c r="Z63" s="171">
        <f>F63*0.15</f>
      </c>
      <c r="AA63" s="171">
        <f t="shared" si="473"/>
      </c>
      <c r="AB63" s="166">
        <f t="shared" si="495"/>
      </c>
      <c r="AC63" s="166">
        <v>100.1</v>
      </c>
      <c r="AD63" s="172">
        <f t="shared" si="42"/>
      </c>
      <c r="AE63" s="168">
        <f t="shared" si="92"/>
      </c>
      <c r="AF63" s="169">
        <f t="shared" si="167"/>
      </c>
      <c r="AG63" s="169">
        <f t="shared" si="312"/>
      </c>
      <c r="AH63" s="168">
        <v>8</v>
      </c>
      <c r="AI63" s="169">
        <f t="shared" si="304"/>
      </c>
      <c r="AJ63" s="169"/>
      <c r="AK63" s="169"/>
      <c r="AL63" s="169"/>
      <c r="AM63" s="169"/>
      <c r="AN63" s="173"/>
      <c r="AO63" s="173"/>
      <c r="AP63" s="173"/>
      <c r="AQ63" s="173"/>
      <c r="AR63" s="173"/>
      <c r="AS63" s="173"/>
      <c r="AT63" s="173" t="s">
        <v>725</v>
      </c>
      <c r="AU63" s="173" t="s">
        <v>725</v>
      </c>
      <c r="AV63" s="173" t="s">
        <v>725</v>
      </c>
      <c r="AW63" s="173" t="s">
        <v>725</v>
      </c>
      <c r="AX63" s="173" t="s">
        <v>725</v>
      </c>
      <c r="AY63" s="173" t="s">
        <v>725</v>
      </c>
      <c r="AZ63" s="173" t="s">
        <v>725</v>
      </c>
      <c r="BA63" s="173" t="s">
        <v>725</v>
      </c>
      <c r="BB63" s="173" t="s">
        <v>725</v>
      </c>
      <c r="BC63" s="173" t="s">
        <v>725</v>
      </c>
      <c r="BD63" s="173" t="s">
        <v>725</v>
      </c>
      <c r="BE63" s="173" t="s">
        <v>725</v>
      </c>
      <c r="BF63" s="173" t="s">
        <v>725</v>
      </c>
      <c r="BG63" s="173" t="s">
        <v>725</v>
      </c>
      <c r="BH63" s="173" t="s">
        <v>725</v>
      </c>
      <c r="BI63" s="173" t="s">
        <v>725</v>
      </c>
      <c r="BJ63" s="173" t="s">
        <v>725</v>
      </c>
      <c r="BK63" s="173" t="s">
        <v>725</v>
      </c>
      <c r="BL63" s="173" t="s">
        <v>725</v>
      </c>
      <c r="BM63" s="173" t="s">
        <v>725</v>
      </c>
      <c r="BN63" s="173" t="s">
        <v>725</v>
      </c>
      <c r="BO63" s="173" t="s">
        <v>725</v>
      </c>
      <c r="BP63" s="173" t="s">
        <v>725</v>
      </c>
      <c r="BQ63" s="173" t="s">
        <v>725</v>
      </c>
      <c r="BR63" s="174"/>
      <c r="BS63" s="161" t="str">
        <v>#VALUE!</v>
      </c>
    </row>
    <row customHeight="true" ht="18.51851851851852" r="64">
      <c r="A64" s="161" t="s">
        <v>735</v>
      </c>
      <c r="B64" s="161" t="s">
        <v>730</v>
      </c>
      <c r="C64" s="161" t="s">
        <v>752</v>
      </c>
      <c r="D64" s="178" t="s">
        <v>756</v>
      </c>
      <c r="E64" s="176">
        <v>37.8</v>
      </c>
      <c r="F64" s="163">
        <v>54.99</v>
      </c>
      <c r="G64" s="164">
        <f t="shared" si="1"/>
      </c>
      <c r="H64" s="164">
        <f t="shared" si="66"/>
      </c>
      <c r="I64" s="164">
        <f t="shared" si="126"/>
      </c>
      <c r="J64" s="165">
        <f t="shared" si="207"/>
      </c>
      <c r="K64" s="166">
        <f t="shared" si="260"/>
      </c>
      <c r="L64" s="167">
        <f t="shared" si="331"/>
      </c>
      <c r="M64" s="164">
        <f t="shared" si="376"/>
      </c>
      <c r="N64" s="166">
        <f t="shared" si="418"/>
      </c>
      <c r="O64" s="166">
        <f t="shared" si="451"/>
      </c>
      <c r="P64" s="161">
        <v>20</v>
      </c>
      <c r="Q64" s="168">
        <v>8</v>
      </c>
      <c r="R64" s="169">
        <f t="shared" si="22"/>
      </c>
      <c r="S64" s="165">
        <f t="shared" si="517"/>
      </c>
      <c r="T64" s="169">
        <f t="shared" si="148"/>
      </c>
      <c r="U64" s="169">
        <v>0.01</v>
      </c>
      <c r="V64" s="169">
        <f t="shared" si="282"/>
      </c>
      <c r="W64" s="169">
        <f t="shared" si="353"/>
      </c>
      <c r="X64" s="170">
        <v>0.158</v>
      </c>
      <c r="Y64" s="171">
        <v>0</v>
      </c>
      <c r="Z64" s="171">
        <f t="shared" ref="Z64:Z67" si="398">F64*0</f>
      </c>
      <c r="AA64" s="171">
        <f t="shared" si="473"/>
      </c>
      <c r="AB64" s="166">
        <f t="shared" si="495"/>
      </c>
      <c r="AC64" s="166">
        <v>100.1</v>
      </c>
      <c r="AD64" s="172">
        <f t="shared" si="42"/>
      </c>
      <c r="AE64" s="168">
        <f t="shared" si="92"/>
      </c>
      <c r="AF64" s="169">
        <f t="shared" si="167"/>
      </c>
      <c r="AG64" s="169">
        <f t="shared" si="312"/>
      </c>
      <c r="AH64" s="168">
        <v>8</v>
      </c>
      <c r="AI64" s="169">
        <f t="shared" si="304"/>
      </c>
      <c r="AJ64" s="173"/>
      <c r="AK64" s="173"/>
      <c r="AL64" s="173"/>
      <c r="AM64" s="173"/>
      <c r="AN64" s="173"/>
      <c r="AO64" s="173"/>
      <c r="AP64" s="173"/>
      <c r="AQ64" s="173"/>
      <c r="AR64" s="173"/>
      <c r="AS64" s="173"/>
      <c r="AT64" s="173" t="s">
        <v>725</v>
      </c>
      <c r="AU64" s="173" t="s">
        <v>725</v>
      </c>
      <c r="AV64" s="173" t="s">
        <v>725</v>
      </c>
      <c r="AW64" s="173" t="s">
        <v>725</v>
      </c>
      <c r="AX64" s="173" t="s">
        <v>725</v>
      </c>
      <c r="AY64" s="173" t="s">
        <v>725</v>
      </c>
      <c r="AZ64" s="173" t="s">
        <v>725</v>
      </c>
      <c r="BA64" s="173" t="s">
        <v>725</v>
      </c>
      <c r="BB64" s="173" t="s">
        <v>725</v>
      </c>
      <c r="BC64" s="173" t="s">
        <v>725</v>
      </c>
      <c r="BD64" s="173" t="s">
        <v>725</v>
      </c>
      <c r="BE64" s="173" t="s">
        <v>725</v>
      </c>
      <c r="BF64" s="173" t="s">
        <v>725</v>
      </c>
      <c r="BG64" s="173" t="s">
        <v>725</v>
      </c>
      <c r="BH64" s="173" t="s">
        <v>725</v>
      </c>
      <c r="BI64" s="173" t="s">
        <v>725</v>
      </c>
      <c r="BJ64" s="173" t="s">
        <v>725</v>
      </c>
      <c r="BK64" s="173" t="s">
        <v>725</v>
      </c>
      <c r="BL64" s="173" t="s">
        <v>725</v>
      </c>
      <c r="BM64" s="173" t="s">
        <v>725</v>
      </c>
      <c r="BN64" s="173" t="s">
        <v>725</v>
      </c>
      <c r="BO64" s="173" t="s">
        <v>725</v>
      </c>
      <c r="BP64" s="173" t="s">
        <v>725</v>
      </c>
      <c r="BQ64" s="173" t="s">
        <v>725</v>
      </c>
      <c r="BR64" s="180">
        <f t="shared" ref="BR64:BR67" si="234">IF(E64&lt;#REF!,1,0)</f>
      </c>
      <c r="BS64" s="161" t="str">
        <v>#VALUE!</v>
      </c>
    </row>
    <row customHeight="true" ht="18.51851851851852" r="65">
      <c r="A65" s="161" t="s">
        <v>737</v>
      </c>
      <c r="B65" s="161" t="s">
        <v>730</v>
      </c>
      <c r="C65" s="161" t="s">
        <v>752</v>
      </c>
      <c r="D65" s="178" t="s">
        <v>757</v>
      </c>
      <c r="E65" s="176">
        <v>37.8</v>
      </c>
      <c r="F65" s="163">
        <v>54.99</v>
      </c>
      <c r="G65" s="164">
        <f t="shared" si="1"/>
      </c>
      <c r="H65" s="164">
        <f t="shared" si="66"/>
      </c>
      <c r="I65" s="164">
        <f t="shared" si="126"/>
      </c>
      <c r="J65" s="165">
        <f t="shared" si="207"/>
      </c>
      <c r="K65" s="166">
        <f t="shared" si="260"/>
      </c>
      <c r="L65" s="167">
        <f t="shared" si="331"/>
      </c>
      <c r="M65" s="164">
        <f t="shared" si="376"/>
      </c>
      <c r="N65" s="166">
        <f t="shared" si="418"/>
      </c>
      <c r="O65" s="166">
        <f t="shared" si="451"/>
      </c>
      <c r="P65" s="161">
        <v>20</v>
      </c>
      <c r="Q65" s="168">
        <v>8</v>
      </c>
      <c r="R65" s="169">
        <f t="shared" si="22"/>
      </c>
      <c r="S65" s="165">
        <f t="shared" si="517"/>
      </c>
      <c r="T65" s="169">
        <f t="shared" si="148"/>
      </c>
      <c r="U65" s="169">
        <v>0.01</v>
      </c>
      <c r="V65" s="169">
        <f t="shared" si="282"/>
      </c>
      <c r="W65" s="169">
        <f t="shared" si="353"/>
      </c>
      <c r="X65" s="170">
        <v>0.223</v>
      </c>
      <c r="Y65" s="171">
        <v>0</v>
      </c>
      <c r="Z65" s="171">
        <f t="shared" si="398"/>
      </c>
      <c r="AA65" s="171">
        <f t="shared" si="473"/>
      </c>
      <c r="AB65" s="166">
        <f t="shared" si="495"/>
      </c>
      <c r="AC65" s="166">
        <v>100.1</v>
      </c>
      <c r="AD65" s="172">
        <f t="shared" si="42"/>
      </c>
      <c r="AE65" s="168">
        <f t="shared" si="92"/>
      </c>
      <c r="AF65" s="169">
        <f t="shared" si="167"/>
      </c>
      <c r="AG65" s="169">
        <f t="shared" si="312"/>
      </c>
      <c r="AH65" s="168">
        <v>8</v>
      </c>
      <c r="AI65" s="169">
        <f t="shared" si="304"/>
      </c>
      <c r="AJ65" s="173"/>
      <c r="AK65" s="173"/>
      <c r="AL65" s="173"/>
      <c r="AM65" s="173"/>
      <c r="AN65" s="173"/>
      <c r="AO65" s="173"/>
      <c r="AP65" s="173"/>
      <c r="AQ65" s="173"/>
      <c r="AR65" s="173"/>
      <c r="AS65" s="173"/>
      <c r="AT65" s="173" t="s">
        <v>725</v>
      </c>
      <c r="AU65" s="173" t="s">
        <v>725</v>
      </c>
      <c r="AV65" s="173" t="s">
        <v>725</v>
      </c>
      <c r="AW65" s="173" t="s">
        <v>725</v>
      </c>
      <c r="AX65" s="173" t="s">
        <v>725</v>
      </c>
      <c r="AY65" s="173" t="s">
        <v>725</v>
      </c>
      <c r="AZ65" s="173" t="s">
        <v>725</v>
      </c>
      <c r="BA65" s="173" t="s">
        <v>725</v>
      </c>
      <c r="BB65" s="173" t="s">
        <v>725</v>
      </c>
      <c r="BC65" s="173" t="s">
        <v>725</v>
      </c>
      <c r="BD65" s="173" t="s">
        <v>725</v>
      </c>
      <c r="BE65" s="173" t="s">
        <v>725</v>
      </c>
      <c r="BF65" s="173" t="s">
        <v>725</v>
      </c>
      <c r="BG65" s="173" t="s">
        <v>725</v>
      </c>
      <c r="BH65" s="173" t="s">
        <v>725</v>
      </c>
      <c r="BI65" s="173" t="s">
        <v>725</v>
      </c>
      <c r="BJ65" s="173" t="s">
        <v>725</v>
      </c>
      <c r="BK65" s="173" t="s">
        <v>725</v>
      </c>
      <c r="BL65" s="173" t="s">
        <v>725</v>
      </c>
      <c r="BM65" s="173" t="s">
        <v>725</v>
      </c>
      <c r="BN65" s="173" t="s">
        <v>725</v>
      </c>
      <c r="BO65" s="173" t="s">
        <v>725</v>
      </c>
      <c r="BP65" s="173" t="s">
        <v>725</v>
      </c>
      <c r="BQ65" s="173" t="s">
        <v>725</v>
      </c>
      <c r="BR65" s="180">
        <f t="shared" si="234"/>
      </c>
      <c r="BS65" s="161" t="str">
        <v>#VALUE!</v>
      </c>
    </row>
    <row customHeight="true" ht="18.51851851851852" r="66">
      <c r="A66" s="161" t="s">
        <v>739</v>
      </c>
      <c r="B66" s="161" t="s">
        <v>730</v>
      </c>
      <c r="C66" s="161" t="s">
        <v>752</v>
      </c>
      <c r="D66" s="178" t="s">
        <v>758</v>
      </c>
      <c r="E66" s="176">
        <v>37.8</v>
      </c>
      <c r="F66" s="163">
        <v>54.99</v>
      </c>
      <c r="G66" s="164">
        <f t="shared" si="1"/>
      </c>
      <c r="H66" s="164">
        <f t="shared" si="66"/>
      </c>
      <c r="I66" s="164">
        <f t="shared" si="126"/>
      </c>
      <c r="J66" s="165">
        <f t="shared" si="207"/>
      </c>
      <c r="K66" s="166">
        <f t="shared" si="260"/>
      </c>
      <c r="L66" s="167">
        <f t="shared" si="331"/>
      </c>
      <c r="M66" s="164">
        <f t="shared" si="376"/>
      </c>
      <c r="N66" s="166">
        <f t="shared" si="418"/>
      </c>
      <c r="O66" s="166">
        <f t="shared" si="451"/>
      </c>
      <c r="P66" s="161">
        <v>20</v>
      </c>
      <c r="Q66" s="168">
        <v>8</v>
      </c>
      <c r="R66" s="169">
        <f t="shared" si="22"/>
      </c>
      <c r="S66" s="165">
        <f t="shared" si="517"/>
      </c>
      <c r="T66" s="169">
        <f t="shared" si="148"/>
      </c>
      <c r="U66" s="169">
        <v>0.01</v>
      </c>
      <c r="V66" s="169">
        <f t="shared" si="282"/>
      </c>
      <c r="W66" s="169">
        <f t="shared" si="353"/>
      </c>
      <c r="X66" s="170">
        <v>0.223</v>
      </c>
      <c r="Y66" s="171">
        <v>0</v>
      </c>
      <c r="Z66" s="171">
        <f t="shared" si="398"/>
      </c>
      <c r="AA66" s="171">
        <f t="shared" si="473"/>
      </c>
      <c r="AB66" s="166">
        <f t="shared" si="495"/>
      </c>
      <c r="AC66" s="166">
        <v>100.1</v>
      </c>
      <c r="AD66" s="172">
        <f t="shared" si="42"/>
      </c>
      <c r="AE66" s="168">
        <f t="shared" si="92"/>
      </c>
      <c r="AF66" s="169">
        <f t="shared" si="167"/>
      </c>
      <c r="AG66" s="169">
        <f t="shared" si="312"/>
      </c>
      <c r="AH66" s="168">
        <v>8</v>
      </c>
      <c r="AI66" s="169">
        <f t="shared" si="304"/>
      </c>
      <c r="AJ66" s="173"/>
      <c r="AK66" s="173"/>
      <c r="AL66" s="173"/>
      <c r="AM66" s="173"/>
      <c r="AN66" s="173"/>
      <c r="AO66" s="173"/>
      <c r="AP66" s="173"/>
      <c r="AQ66" s="173"/>
      <c r="AR66" s="173"/>
      <c r="AS66" s="173"/>
      <c r="AT66" s="173" t="s">
        <v>725</v>
      </c>
      <c r="AU66" s="173" t="s">
        <v>725</v>
      </c>
      <c r="AV66" s="173" t="s">
        <v>725</v>
      </c>
      <c r="AW66" s="173" t="s">
        <v>725</v>
      </c>
      <c r="AX66" s="173" t="s">
        <v>725</v>
      </c>
      <c r="AY66" s="173" t="s">
        <v>725</v>
      </c>
      <c r="AZ66" s="173" t="s">
        <v>725</v>
      </c>
      <c r="BA66" s="173" t="s">
        <v>725</v>
      </c>
      <c r="BB66" s="173" t="s">
        <v>725</v>
      </c>
      <c r="BC66" s="173" t="s">
        <v>725</v>
      </c>
      <c r="BD66" s="173" t="s">
        <v>725</v>
      </c>
      <c r="BE66" s="173" t="s">
        <v>725</v>
      </c>
      <c r="BF66" s="173" t="s">
        <v>725</v>
      </c>
      <c r="BG66" s="173" t="s">
        <v>725</v>
      </c>
      <c r="BH66" s="173" t="s">
        <v>725</v>
      </c>
      <c r="BI66" s="173" t="s">
        <v>725</v>
      </c>
      <c r="BJ66" s="173" t="s">
        <v>725</v>
      </c>
      <c r="BK66" s="173" t="s">
        <v>725</v>
      </c>
      <c r="BL66" s="173" t="s">
        <v>725</v>
      </c>
      <c r="BM66" s="173" t="s">
        <v>725</v>
      </c>
      <c r="BN66" s="173" t="s">
        <v>725</v>
      </c>
      <c r="BO66" s="173" t="s">
        <v>725</v>
      </c>
      <c r="BP66" s="173" t="s">
        <v>725</v>
      </c>
      <c r="BQ66" s="173" t="s">
        <v>725</v>
      </c>
      <c r="BR66" s="180">
        <f t="shared" si="234"/>
      </c>
      <c r="BS66" s="161" t="str">
        <v>#VALUE!</v>
      </c>
    </row>
    <row customHeight="true" ht="18.51851851851852" r="67">
      <c r="A67" s="161" t="s">
        <v>741</v>
      </c>
      <c r="B67" s="161" t="s">
        <v>730</v>
      </c>
      <c r="C67" s="161" t="s">
        <v>752</v>
      </c>
      <c r="D67" s="178" t="s">
        <v>759</v>
      </c>
      <c r="E67" s="176">
        <v>37.8</v>
      </c>
      <c r="F67" s="163">
        <v>54.99</v>
      </c>
      <c r="G67" s="164">
        <f t="shared" si="1"/>
      </c>
      <c r="H67" s="164">
        <f t="shared" si="66"/>
      </c>
      <c r="I67" s="164">
        <f t="shared" si="126"/>
      </c>
      <c r="J67" s="165">
        <f t="shared" si="207"/>
      </c>
      <c r="K67" s="166">
        <f t="shared" si="260"/>
      </c>
      <c r="L67" s="167">
        <f t="shared" si="331"/>
      </c>
      <c r="M67" s="164">
        <f t="shared" si="376"/>
      </c>
      <c r="N67" s="166">
        <f t="shared" si="418"/>
      </c>
      <c r="O67" s="166">
        <f t="shared" si="451"/>
      </c>
      <c r="P67" s="161">
        <v>20</v>
      </c>
      <c r="Q67" s="168">
        <v>8</v>
      </c>
      <c r="R67" s="169">
        <f t="shared" si="22"/>
      </c>
      <c r="S67" s="165">
        <f t="shared" si="517"/>
      </c>
      <c r="T67" s="169">
        <f t="shared" si="148"/>
      </c>
      <c r="U67" s="169">
        <v>0.01</v>
      </c>
      <c r="V67" s="169">
        <f t="shared" si="282"/>
      </c>
      <c r="W67" s="169">
        <f t="shared" si="353"/>
      </c>
      <c r="X67" s="170">
        <v>0.158</v>
      </c>
      <c r="Y67" s="171">
        <v>0</v>
      </c>
      <c r="Z67" s="171">
        <f t="shared" si="398"/>
      </c>
      <c r="AA67" s="171">
        <f t="shared" si="473"/>
      </c>
      <c r="AB67" s="166">
        <f t="shared" si="495"/>
      </c>
      <c r="AC67" s="166">
        <v>100.1</v>
      </c>
      <c r="AD67" s="172">
        <f t="shared" si="42"/>
      </c>
      <c r="AE67" s="168">
        <f t="shared" si="92"/>
      </c>
      <c r="AF67" s="169">
        <f t="shared" si="167"/>
      </c>
      <c r="AG67" s="169">
        <f t="shared" si="312"/>
      </c>
      <c r="AH67" s="168">
        <v>8</v>
      </c>
      <c r="AI67" s="169">
        <f t="shared" si="304"/>
      </c>
      <c r="AJ67" s="169"/>
      <c r="AK67" s="169"/>
      <c r="AL67" s="169"/>
      <c r="AM67" s="169"/>
      <c r="AN67" s="173"/>
      <c r="AO67" s="173"/>
      <c r="AP67" s="173"/>
      <c r="AQ67" s="173"/>
      <c r="AR67" s="173"/>
      <c r="AS67" s="173"/>
      <c r="AT67" s="173" t="s">
        <v>725</v>
      </c>
      <c r="AU67" s="173" t="s">
        <v>725</v>
      </c>
      <c r="AV67" s="173" t="s">
        <v>725</v>
      </c>
      <c r="AW67" s="173" t="s">
        <v>725</v>
      </c>
      <c r="AX67" s="173" t="s">
        <v>725</v>
      </c>
      <c r="AY67" s="173" t="s">
        <v>725</v>
      </c>
      <c r="AZ67" s="173" t="s">
        <v>725</v>
      </c>
      <c r="BA67" s="173" t="s">
        <v>725</v>
      </c>
      <c r="BB67" s="173" t="s">
        <v>725</v>
      </c>
      <c r="BC67" s="173" t="s">
        <v>725</v>
      </c>
      <c r="BD67" s="173" t="s">
        <v>725</v>
      </c>
      <c r="BE67" s="173" t="s">
        <v>725</v>
      </c>
      <c r="BF67" s="173" t="s">
        <v>725</v>
      </c>
      <c r="BG67" s="173" t="s">
        <v>725</v>
      </c>
      <c r="BH67" s="173" t="s">
        <v>725</v>
      </c>
      <c r="BI67" s="173" t="s">
        <v>725</v>
      </c>
      <c r="BJ67" s="173" t="s">
        <v>725</v>
      </c>
      <c r="BK67" s="173" t="s">
        <v>725</v>
      </c>
      <c r="BL67" s="173" t="s">
        <v>725</v>
      </c>
      <c r="BM67" s="173" t="s">
        <v>725</v>
      </c>
      <c r="BN67" s="173" t="s">
        <v>725</v>
      </c>
      <c r="BO67" s="173" t="s">
        <v>725</v>
      </c>
      <c r="BP67" s="173" t="s">
        <v>725</v>
      </c>
      <c r="BQ67" s="173" t="s">
        <v>725</v>
      </c>
      <c r="BR67" s="180">
        <f t="shared" si="234"/>
      </c>
      <c r="BS67" s="161" t="str">
        <v>#VALUE!</v>
      </c>
    </row>
    <row customHeight="true" ht="18.51851851851852" r="68">
      <c r="A68" s="181"/>
      <c r="B68" s="181"/>
      <c r="C68" s="181"/>
      <c r="D68" s="181"/>
      <c r="E68" s="166"/>
      <c r="F68" s="179"/>
      <c r="G68" s="164"/>
      <c r="H68" s="164"/>
      <c r="I68" s="164"/>
      <c r="J68" s="165"/>
      <c r="K68" s="166"/>
      <c r="L68" s="166"/>
      <c r="M68" s="166"/>
      <c r="N68" s="166"/>
      <c r="O68" s="166"/>
      <c r="P68" s="161"/>
      <c r="Q68" s="168"/>
      <c r="R68" s="169"/>
      <c r="S68" s="165"/>
      <c r="T68" s="169"/>
      <c r="U68" s="169"/>
      <c r="V68" s="169"/>
      <c r="W68" s="169"/>
      <c r="X68" s="170"/>
      <c r="Y68" s="171"/>
      <c r="Z68" s="171"/>
      <c r="AA68" s="171"/>
      <c r="AB68" s="166"/>
      <c r="AC68" s="166"/>
      <c r="AD68" s="172"/>
      <c r="AE68" s="168"/>
      <c r="AF68" s="169"/>
      <c r="AG68" s="169"/>
      <c r="AH68" s="168"/>
      <c r="AI68" s="169"/>
      <c r="AJ68" s="169"/>
      <c r="AK68" s="169"/>
      <c r="AL68" s="169"/>
      <c r="AM68" s="169"/>
      <c r="AN68" s="173"/>
      <c r="AO68" s="173"/>
      <c r="AP68" s="173"/>
      <c r="AQ68" s="173"/>
      <c r="AR68" s="173"/>
      <c r="AS68" s="173"/>
      <c r="AT68" s="173"/>
      <c r="AU68" s="173"/>
      <c r="AV68" s="173"/>
      <c r="AW68" s="173"/>
      <c r="AX68" s="173"/>
      <c r="AY68" s="173"/>
      <c r="AZ68" s="173"/>
      <c r="BA68" s="173"/>
      <c r="BB68" s="173"/>
      <c r="BC68" s="173"/>
      <c r="BD68" s="173"/>
      <c r="BE68" s="173"/>
      <c r="BF68" s="173"/>
      <c r="BG68" s="173"/>
      <c r="BH68" s="173"/>
      <c r="BI68" s="173"/>
      <c r="BJ68" s="173"/>
      <c r="BK68" s="173"/>
      <c r="BL68" s="173"/>
      <c r="BM68" s="173"/>
      <c r="BN68" s="173"/>
      <c r="BO68" s="173"/>
      <c r="BP68" s="173"/>
      <c r="BQ68" s="173"/>
      <c r="BR68" s="180"/>
      <c r="BS68" s="161"/>
    </row>
    <row customHeight="true" ht="18.51851851851852" r="69">
      <c r="A69" s="161" t="s">
        <v>721</v>
      </c>
      <c r="B69" s="161" t="s">
        <v>730</v>
      </c>
      <c r="C69" s="183" t="s">
        <v>760</v>
      </c>
      <c r="D69" s="162" t="s">
        <v>761</v>
      </c>
      <c r="E69" s="184">
        <v>51.5</v>
      </c>
      <c r="F69" s="185">
        <v>74.99</v>
      </c>
      <c r="G69" s="164">
        <f t="shared" ref="G69:G87" si="2">(F69-Z69)</f>
      </c>
      <c r="H69" s="164">
        <f t="shared" ref="H69:H87" si="67">(F69-Z69)/1.2</f>
      </c>
      <c r="I69" s="164">
        <f t="shared" ref="I69:I87" si="127">E69-N69/Q69-AB69-Y69-O69-Z69-AA69</f>
      </c>
      <c r="J69" s="165">
        <f t="shared" ref="J69:J87" si="208">I69/E69</f>
      </c>
      <c r="K69" s="166">
        <f t="shared" ref="K69:K87" si="261">F69/1.2</f>
      </c>
      <c r="L69" s="167">
        <f t="shared" ref="L69:L87" si="332">(K69-E69)/K69</f>
      </c>
      <c r="M69" s="164">
        <f t="shared" ref="M69:M87" si="377">F69/1.2-E69</f>
      </c>
      <c r="N69" s="166">
        <f>AD69+AH70</f>
      </c>
      <c r="O69" s="166">
        <f t="shared" ref="O69:O87" si="452">IFERROR(IF(A69="UK",8.95/P69,IF(A69="DE",7.75/P69,IF(A69="FR",14.25/P69,IF(A69="IT",15.25/P69,IF(A69="ES",19.25/P69,IF(A69="NL",16.75/P69,IF(A69="PL",14.05/P69,IF(A69="SE",18.25/P69,IF(A69="BE",14.25/P69))))))))),0)</f>
      </c>
      <c r="P69" s="161">
        <v>12</v>
      </c>
      <c r="Q69" s="168">
        <v>9</v>
      </c>
      <c r="R69" s="169">
        <f t="shared" ref="R69:R87" si="23">Y69/E69</f>
      </c>
      <c r="S69" s="165">
        <f t="shared" ref="S69:S87" si="518">Y69/F69</f>
      </c>
      <c r="T69" s="169">
        <f t="shared" ref="T69:T87" si="149">Z69/E69</f>
      </c>
      <c r="U69" s="169">
        <v>0.01</v>
      </c>
      <c r="V69" s="169">
        <f t="shared" ref="V69:V87" si="283">N69/(E69*Q69)</f>
      </c>
      <c r="W69" s="169">
        <f t="shared" ref="W69:W87" si="354">O69/E69</f>
      </c>
      <c r="X69" s="170">
        <v>0.158</v>
      </c>
      <c r="Y69" s="171">
        <v>8</v>
      </c>
      <c r="Z69" s="171">
        <v>0</v>
      </c>
      <c r="AA69" s="171">
        <f t="shared" ref="AA69:AA87" si="474">E69*U69</f>
      </c>
      <c r="AB69" s="166">
        <f t="shared" ref="AB69:AB87" si="496">E69*X69</f>
      </c>
      <c r="AC69" s="166">
        <v>208</v>
      </c>
      <c r="AD69" s="172">
        <f t="shared" ref="AD69:AD87" si="43">AC69/1.13</f>
      </c>
      <c r="AE69" s="168">
        <f>AH70/Q69</f>
      </c>
      <c r="AF69" s="169">
        <f t="shared" ref="AF69:AF87" si="168">AD69/(E69*Q69)</f>
      </c>
      <c r="AG69" s="169">
        <f t="shared" ref="AG69:AG87" si="313">AE69/Q69/E69</f>
      </c>
      <c r="AH69" s="168">
        <v>18</v>
      </c>
      <c r="AI69" s="169">
        <f t="shared" ref="AI69:AI76" si="189">(H69-E69+AB69)/H69</f>
      </c>
      <c r="AJ69" s="169"/>
      <c r="AK69" s="169"/>
      <c r="AL69" s="169"/>
      <c r="AM69" s="169"/>
      <c r="AN69" s="173"/>
      <c r="AO69" s="173"/>
      <c r="AP69" s="173"/>
      <c r="AQ69" s="173"/>
      <c r="AR69" s="173"/>
      <c r="AS69" s="173"/>
      <c r="AT69" s="173" t="s">
        <v>725</v>
      </c>
      <c r="AU69" s="173" t="s">
        <v>725</v>
      </c>
      <c r="AV69" s="173" t="s">
        <v>725</v>
      </c>
      <c r="AW69" s="173" t="s">
        <v>725</v>
      </c>
      <c r="AX69" s="173" t="s">
        <v>725</v>
      </c>
      <c r="AY69" s="173" t="s">
        <v>725</v>
      </c>
      <c r="AZ69" s="173" t="s">
        <v>725</v>
      </c>
      <c r="BA69" s="173" t="s">
        <v>725</v>
      </c>
      <c r="BB69" s="173" t="s">
        <v>725</v>
      </c>
      <c r="BC69" s="173" t="s">
        <v>725</v>
      </c>
      <c r="BD69" s="173" t="s">
        <v>725</v>
      </c>
      <c r="BE69" s="173" t="s">
        <v>725</v>
      </c>
      <c r="BF69" s="173" t="s">
        <v>725</v>
      </c>
      <c r="BG69" s="173" t="s">
        <v>725</v>
      </c>
      <c r="BH69" s="173" t="s">
        <v>725</v>
      </c>
      <c r="BI69" s="173" t="s">
        <v>725</v>
      </c>
      <c r="BJ69" s="173" t="s">
        <v>725</v>
      </c>
      <c r="BK69" s="173" t="s">
        <v>725</v>
      </c>
      <c r="BL69" s="173" t="s">
        <v>725</v>
      </c>
      <c r="BM69" s="173" t="s">
        <v>725</v>
      </c>
      <c r="BN69" s="173" t="s">
        <v>725</v>
      </c>
      <c r="BO69" s="173" t="s">
        <v>725</v>
      </c>
      <c r="BP69" s="173" t="s">
        <v>725</v>
      </c>
      <c r="BQ69" s="173" t="s">
        <v>725</v>
      </c>
      <c r="BR69" s="174"/>
      <c r="BS69" s="161" t="str">
        <v>#VALUE!</v>
      </c>
    </row>
    <row customHeight="true" ht="18.51851851851852" r="70">
      <c r="A70" s="161" t="s">
        <v>721</v>
      </c>
      <c r="B70" s="161" t="s">
        <v>730</v>
      </c>
      <c r="C70" s="183" t="s">
        <v>760</v>
      </c>
      <c r="D70" s="162" t="s">
        <v>762</v>
      </c>
      <c r="E70" s="184">
        <v>51.5</v>
      </c>
      <c r="F70" s="185">
        <v>74.99</v>
      </c>
      <c r="G70" s="164">
        <f t="shared" si="2"/>
      </c>
      <c r="H70" s="164">
        <f t="shared" si="67"/>
      </c>
      <c r="I70" s="175">
        <f t="shared" si="127"/>
      </c>
      <c r="J70" s="165">
        <f t="shared" si="208"/>
      </c>
      <c r="K70" s="166">
        <f t="shared" si="261"/>
      </c>
      <c r="L70" s="167">
        <f t="shared" si="332"/>
      </c>
      <c r="M70" s="164">
        <f t="shared" si="377"/>
      </c>
      <c r="N70" s="166">
        <f t="shared" ref="N70:N71" si="419">AD70+AH70</f>
      </c>
      <c r="O70" s="166">
        <f t="shared" si="452"/>
      </c>
      <c r="P70" s="161">
        <v>12</v>
      </c>
      <c r="Q70" s="168">
        <v>9</v>
      </c>
      <c r="R70" s="169">
        <f t="shared" si="23"/>
      </c>
      <c r="S70" s="165">
        <f t="shared" si="518"/>
      </c>
      <c r="T70" s="169">
        <f t="shared" si="149"/>
      </c>
      <c r="U70" s="169">
        <v>0.01</v>
      </c>
      <c r="V70" s="169">
        <f t="shared" si="283"/>
      </c>
      <c r="W70" s="169">
        <f t="shared" si="354"/>
      </c>
      <c r="X70" s="170">
        <v>0.158</v>
      </c>
      <c r="Y70" s="171">
        <v>8</v>
      </c>
      <c r="Z70" s="171">
        <f>F70*0.1</f>
      </c>
      <c r="AA70" s="171">
        <f t="shared" si="474"/>
      </c>
      <c r="AB70" s="166">
        <f t="shared" si="496"/>
      </c>
      <c r="AC70" s="166">
        <v>208</v>
      </c>
      <c r="AD70" s="172">
        <f t="shared" si="43"/>
      </c>
      <c r="AE70" s="168">
        <f t="shared" ref="AE70:AE71" si="93">AH70/Q70</f>
      </c>
      <c r="AF70" s="169">
        <f t="shared" si="168"/>
      </c>
      <c r="AG70" s="169">
        <f t="shared" si="313"/>
      </c>
      <c r="AH70" s="168">
        <v>18</v>
      </c>
      <c r="AI70" s="169">
        <f t="shared" si="189"/>
      </c>
      <c r="AJ70" s="169"/>
      <c r="AK70" s="169"/>
      <c r="AL70" s="169"/>
      <c r="AM70" s="169"/>
      <c r="AN70" s="173"/>
      <c r="AO70" s="173"/>
      <c r="AP70" s="173"/>
      <c r="AQ70" s="173"/>
      <c r="AR70" s="173"/>
      <c r="AS70" s="173"/>
      <c r="AT70" s="173" t="s">
        <v>725</v>
      </c>
      <c r="AU70" s="173" t="s">
        <v>725</v>
      </c>
      <c r="AV70" s="173" t="s">
        <v>725</v>
      </c>
      <c r="AW70" s="173" t="s">
        <v>725</v>
      </c>
      <c r="AX70" s="173" t="s">
        <v>725</v>
      </c>
      <c r="AY70" s="173" t="s">
        <v>725</v>
      </c>
      <c r="AZ70" s="173" t="s">
        <v>725</v>
      </c>
      <c r="BA70" s="173" t="s">
        <v>725</v>
      </c>
      <c r="BB70" s="173" t="s">
        <v>725</v>
      </c>
      <c r="BC70" s="173" t="s">
        <v>725</v>
      </c>
      <c r="BD70" s="173" t="s">
        <v>725</v>
      </c>
      <c r="BE70" s="173" t="s">
        <v>725</v>
      </c>
      <c r="BF70" s="173" t="s">
        <v>725</v>
      </c>
      <c r="BG70" s="173" t="s">
        <v>725</v>
      </c>
      <c r="BH70" s="173" t="s">
        <v>725</v>
      </c>
      <c r="BI70" s="173" t="s">
        <v>725</v>
      </c>
      <c r="BJ70" s="173" t="s">
        <v>725</v>
      </c>
      <c r="BK70" s="173" t="s">
        <v>725</v>
      </c>
      <c r="BL70" s="173" t="s">
        <v>725</v>
      </c>
      <c r="BM70" s="173" t="s">
        <v>725</v>
      </c>
      <c r="BN70" s="173" t="s">
        <v>725</v>
      </c>
      <c r="BO70" s="173" t="s">
        <v>725</v>
      </c>
      <c r="BP70" s="173" t="s">
        <v>725</v>
      </c>
      <c r="BQ70" s="173" t="s">
        <v>725</v>
      </c>
      <c r="BR70" s="174"/>
      <c r="BS70" s="161" t="str">
        <v>#VALUE!</v>
      </c>
    </row>
    <row customHeight="true" ht="18.51851851851852" r="71">
      <c r="A71" s="161" t="s">
        <v>721</v>
      </c>
      <c r="B71" s="161" t="s">
        <v>730</v>
      </c>
      <c r="C71" s="183" t="s">
        <v>760</v>
      </c>
      <c r="D71" s="162" t="s">
        <v>763</v>
      </c>
      <c r="E71" s="184">
        <v>51.5</v>
      </c>
      <c r="F71" s="185">
        <v>74.99</v>
      </c>
      <c r="G71" s="164">
        <f t="shared" si="2"/>
      </c>
      <c r="H71" s="164">
        <f t="shared" si="67"/>
      </c>
      <c r="I71" s="164">
        <f t="shared" si="127"/>
      </c>
      <c r="J71" s="165">
        <f t="shared" si="208"/>
      </c>
      <c r="K71" s="166">
        <f t="shared" si="261"/>
      </c>
      <c r="L71" s="167">
        <f t="shared" si="332"/>
      </c>
      <c r="M71" s="164">
        <f t="shared" si="377"/>
      </c>
      <c r="N71" s="166">
        <f t="shared" si="419"/>
      </c>
      <c r="O71" s="166">
        <f t="shared" si="452"/>
      </c>
      <c r="P71" s="161">
        <v>12</v>
      </c>
      <c r="Q71" s="168">
        <v>9</v>
      </c>
      <c r="R71" s="169">
        <f t="shared" si="23"/>
      </c>
      <c r="S71" s="165">
        <f t="shared" si="518"/>
      </c>
      <c r="T71" s="169">
        <f t="shared" si="149"/>
      </c>
      <c r="U71" s="169">
        <v>0.01</v>
      </c>
      <c r="V71" s="169">
        <f t="shared" si="283"/>
      </c>
      <c r="W71" s="169">
        <f t="shared" si="354"/>
      </c>
      <c r="X71" s="170">
        <v>0.158</v>
      </c>
      <c r="Y71" s="171">
        <v>8</v>
      </c>
      <c r="Z71" s="171">
        <f>F71*0.15</f>
      </c>
      <c r="AA71" s="171">
        <f t="shared" si="474"/>
      </c>
      <c r="AB71" s="166">
        <f t="shared" si="496"/>
      </c>
      <c r="AC71" s="166">
        <v>208</v>
      </c>
      <c r="AD71" s="172">
        <f t="shared" si="43"/>
      </c>
      <c r="AE71" s="168">
        <f t="shared" si="93"/>
      </c>
      <c r="AF71" s="169">
        <f t="shared" si="168"/>
      </c>
      <c r="AG71" s="169">
        <f t="shared" si="313"/>
      </c>
      <c r="AH71" s="168">
        <v>18</v>
      </c>
      <c r="AI71" s="169">
        <f t="shared" si="189"/>
      </c>
      <c r="AJ71" s="169"/>
      <c r="AK71" s="169"/>
      <c r="AL71" s="169"/>
      <c r="AM71" s="169"/>
      <c r="AN71" s="173"/>
      <c r="AO71" s="173"/>
      <c r="AP71" s="173"/>
      <c r="AQ71" s="173"/>
      <c r="AR71" s="173"/>
      <c r="AS71" s="173"/>
      <c r="AT71" s="173" t="s">
        <v>725</v>
      </c>
      <c r="AU71" s="173" t="s">
        <v>725</v>
      </c>
      <c r="AV71" s="173" t="s">
        <v>725</v>
      </c>
      <c r="AW71" s="173" t="s">
        <v>725</v>
      </c>
      <c r="AX71" s="173" t="s">
        <v>725</v>
      </c>
      <c r="AY71" s="173" t="s">
        <v>725</v>
      </c>
      <c r="AZ71" s="173" t="s">
        <v>725</v>
      </c>
      <c r="BA71" s="173" t="s">
        <v>725</v>
      </c>
      <c r="BB71" s="173" t="s">
        <v>725</v>
      </c>
      <c r="BC71" s="173" t="s">
        <v>725</v>
      </c>
      <c r="BD71" s="173" t="s">
        <v>725</v>
      </c>
      <c r="BE71" s="173" t="s">
        <v>725</v>
      </c>
      <c r="BF71" s="173" t="s">
        <v>725</v>
      </c>
      <c r="BG71" s="173" t="s">
        <v>725</v>
      </c>
      <c r="BH71" s="173" t="s">
        <v>725</v>
      </c>
      <c r="BI71" s="173" t="s">
        <v>725</v>
      </c>
      <c r="BJ71" s="173" t="s">
        <v>725</v>
      </c>
      <c r="BK71" s="173" t="s">
        <v>725</v>
      </c>
      <c r="BL71" s="173" t="s">
        <v>725</v>
      </c>
      <c r="BM71" s="173" t="s">
        <v>725</v>
      </c>
      <c r="BN71" s="173" t="s">
        <v>725</v>
      </c>
      <c r="BO71" s="173" t="s">
        <v>725</v>
      </c>
      <c r="BP71" s="173" t="s">
        <v>725</v>
      </c>
      <c r="BQ71" s="173" t="s">
        <v>725</v>
      </c>
      <c r="BR71" s="174"/>
      <c r="BS71" s="161" t="str">
        <v>#VALUE!</v>
      </c>
    </row>
    <row customHeight="true" ht="18.51851851851852" r="72">
      <c r="A72" s="161" t="s">
        <v>729</v>
      </c>
      <c r="B72" s="161" t="s">
        <v>730</v>
      </c>
      <c r="C72" s="183" t="s">
        <v>760</v>
      </c>
      <c r="D72" s="162" t="s">
        <v>761</v>
      </c>
      <c r="E72" s="184">
        <v>56.5</v>
      </c>
      <c r="F72" s="185">
        <v>81.99</v>
      </c>
      <c r="G72" s="164">
        <f t="shared" si="2"/>
      </c>
      <c r="H72" s="164">
        <f t="shared" si="67"/>
      </c>
      <c r="I72" s="164">
        <f t="shared" si="127"/>
      </c>
      <c r="J72" s="165">
        <f t="shared" si="208"/>
      </c>
      <c r="K72" s="166">
        <f t="shared" si="261"/>
      </c>
      <c r="L72" s="167">
        <f t="shared" si="332"/>
      </c>
      <c r="M72" s="164">
        <f t="shared" si="377"/>
      </c>
      <c r="N72" s="166">
        <f>AD72+AH73</f>
      </c>
      <c r="O72" s="166">
        <f t="shared" si="452"/>
      </c>
      <c r="P72" s="161">
        <v>12</v>
      </c>
      <c r="Q72" s="168">
        <v>8</v>
      </c>
      <c r="R72" s="169">
        <f t="shared" si="23"/>
      </c>
      <c r="S72" s="165">
        <f t="shared" si="518"/>
      </c>
      <c r="T72" s="169">
        <f t="shared" si="149"/>
      </c>
      <c r="U72" s="169">
        <v>0.01</v>
      </c>
      <c r="V72" s="169">
        <f t="shared" si="283"/>
      </c>
      <c r="W72" s="169">
        <f t="shared" si="354"/>
      </c>
      <c r="X72" s="170">
        <v>0.1695</v>
      </c>
      <c r="Y72" s="171">
        <v>8</v>
      </c>
      <c r="Z72" s="171">
        <v>0</v>
      </c>
      <c r="AA72" s="171">
        <f t="shared" si="474"/>
      </c>
      <c r="AB72" s="166">
        <f t="shared" si="496"/>
      </c>
      <c r="AC72" s="166">
        <v>208</v>
      </c>
      <c r="AD72" s="172">
        <f t="shared" si="43"/>
      </c>
      <c r="AE72" s="168">
        <f>AH73/Q72</f>
      </c>
      <c r="AF72" s="169">
        <f t="shared" si="168"/>
      </c>
      <c r="AG72" s="169">
        <f t="shared" si="313"/>
      </c>
      <c r="AH72" s="168">
        <v>13</v>
      </c>
      <c r="AI72" s="169">
        <f t="shared" si="189"/>
      </c>
      <c r="AJ72" s="169"/>
      <c r="AK72" s="169"/>
      <c r="AL72" s="169"/>
      <c r="AM72" s="169"/>
      <c r="AN72" s="173"/>
      <c r="AO72" s="173"/>
      <c r="AP72" s="173"/>
      <c r="AQ72" s="173"/>
      <c r="AR72" s="173"/>
      <c r="AS72" s="173"/>
      <c r="AT72" s="173" t="s">
        <v>725</v>
      </c>
      <c r="AU72" s="173" t="s">
        <v>725</v>
      </c>
      <c r="AV72" s="173" t="s">
        <v>725</v>
      </c>
      <c r="AW72" s="173" t="s">
        <v>725</v>
      </c>
      <c r="AX72" s="173" t="s">
        <v>725</v>
      </c>
      <c r="AY72" s="173" t="s">
        <v>725</v>
      </c>
      <c r="AZ72" s="173" t="s">
        <v>725</v>
      </c>
      <c r="BA72" s="173" t="s">
        <v>725</v>
      </c>
      <c r="BB72" s="173" t="s">
        <v>725</v>
      </c>
      <c r="BC72" s="173" t="s">
        <v>725</v>
      </c>
      <c r="BD72" s="173" t="s">
        <v>725</v>
      </c>
      <c r="BE72" s="173" t="s">
        <v>725</v>
      </c>
      <c r="BF72" s="173" t="s">
        <v>725</v>
      </c>
      <c r="BG72" s="173" t="s">
        <v>725</v>
      </c>
      <c r="BH72" s="173" t="s">
        <v>725</v>
      </c>
      <c r="BI72" s="173" t="s">
        <v>725</v>
      </c>
      <c r="BJ72" s="173" t="s">
        <v>725</v>
      </c>
      <c r="BK72" s="173" t="s">
        <v>725</v>
      </c>
      <c r="BL72" s="173" t="s">
        <v>725</v>
      </c>
      <c r="BM72" s="173" t="s">
        <v>725</v>
      </c>
      <c r="BN72" s="173" t="s">
        <v>725</v>
      </c>
      <c r="BO72" s="173" t="s">
        <v>725</v>
      </c>
      <c r="BP72" s="173" t="s">
        <v>725</v>
      </c>
      <c r="BQ72" s="173" t="s">
        <v>725</v>
      </c>
      <c r="BR72" s="174"/>
      <c r="BS72" s="161" t="str">
        <v>#VALUE!</v>
      </c>
    </row>
    <row customHeight="true" ht="18.51851851851852" r="73">
      <c r="A73" s="161" t="s">
        <v>729</v>
      </c>
      <c r="B73" s="161" t="s">
        <v>730</v>
      </c>
      <c r="C73" s="183" t="s">
        <v>760</v>
      </c>
      <c r="D73" s="162" t="s">
        <v>762</v>
      </c>
      <c r="E73" s="184">
        <v>56.5</v>
      </c>
      <c r="F73" s="185">
        <v>81.99</v>
      </c>
      <c r="G73" s="164">
        <f t="shared" si="2"/>
      </c>
      <c r="H73" s="164">
        <f t="shared" si="67"/>
      </c>
      <c r="I73" s="175">
        <f t="shared" si="127"/>
      </c>
      <c r="J73" s="165">
        <f t="shared" si="208"/>
      </c>
      <c r="K73" s="166">
        <f t="shared" si="261"/>
      </c>
      <c r="L73" s="167">
        <f t="shared" si="332"/>
      </c>
      <c r="M73" s="164">
        <f t="shared" si="377"/>
      </c>
      <c r="N73" s="166">
        <f t="shared" ref="N73:N87" si="420">AD73+AH73</f>
      </c>
      <c r="O73" s="166">
        <f t="shared" si="452"/>
      </c>
      <c r="P73" s="161">
        <v>12</v>
      </c>
      <c r="Q73" s="168">
        <v>8</v>
      </c>
      <c r="R73" s="169">
        <f t="shared" si="23"/>
      </c>
      <c r="S73" s="165">
        <f t="shared" si="518"/>
      </c>
      <c r="T73" s="169">
        <f t="shared" si="149"/>
      </c>
      <c r="U73" s="169">
        <v>0.01</v>
      </c>
      <c r="V73" s="169">
        <f t="shared" si="283"/>
      </c>
      <c r="W73" s="169">
        <f t="shared" si="354"/>
      </c>
      <c r="X73" s="170">
        <v>0.1695</v>
      </c>
      <c r="Y73" s="171">
        <v>8</v>
      </c>
      <c r="Z73" s="171">
        <f>F73*0.1</f>
      </c>
      <c r="AA73" s="171">
        <f t="shared" si="474"/>
      </c>
      <c r="AB73" s="166">
        <f t="shared" si="496"/>
      </c>
      <c r="AC73" s="166">
        <v>208</v>
      </c>
      <c r="AD73" s="172">
        <f t="shared" si="43"/>
      </c>
      <c r="AE73" s="168">
        <f t="shared" ref="AE73:AE87" si="94">AH73/Q73</f>
      </c>
      <c r="AF73" s="169">
        <f t="shared" si="168"/>
      </c>
      <c r="AG73" s="169">
        <f t="shared" si="313"/>
      </c>
      <c r="AH73" s="168">
        <v>13</v>
      </c>
      <c r="AI73" s="169">
        <f t="shared" si="189"/>
      </c>
      <c r="AJ73" s="169"/>
      <c r="AK73" s="169"/>
      <c r="AL73" s="169"/>
      <c r="AM73" s="169"/>
      <c r="AN73" s="173"/>
      <c r="AO73" s="173"/>
      <c r="AP73" s="173"/>
      <c r="AQ73" s="173"/>
      <c r="AR73" s="173"/>
      <c r="AS73" s="173"/>
      <c r="AT73" s="173" t="s">
        <v>725</v>
      </c>
      <c r="AU73" s="173" t="s">
        <v>725</v>
      </c>
      <c r="AV73" s="173" t="s">
        <v>725</v>
      </c>
      <c r="AW73" s="173" t="s">
        <v>725</v>
      </c>
      <c r="AX73" s="173" t="s">
        <v>725</v>
      </c>
      <c r="AY73" s="173" t="s">
        <v>725</v>
      </c>
      <c r="AZ73" s="173" t="s">
        <v>725</v>
      </c>
      <c r="BA73" s="173" t="s">
        <v>725</v>
      </c>
      <c r="BB73" s="173" t="s">
        <v>725</v>
      </c>
      <c r="BC73" s="173" t="s">
        <v>725</v>
      </c>
      <c r="BD73" s="173" t="s">
        <v>725</v>
      </c>
      <c r="BE73" s="173" t="s">
        <v>725</v>
      </c>
      <c r="BF73" s="173" t="s">
        <v>725</v>
      </c>
      <c r="BG73" s="173" t="s">
        <v>725</v>
      </c>
      <c r="BH73" s="173" t="s">
        <v>725</v>
      </c>
      <c r="BI73" s="173" t="s">
        <v>725</v>
      </c>
      <c r="BJ73" s="173" t="s">
        <v>725</v>
      </c>
      <c r="BK73" s="173" t="s">
        <v>725</v>
      </c>
      <c r="BL73" s="173" t="s">
        <v>725</v>
      </c>
      <c r="BM73" s="173" t="s">
        <v>725</v>
      </c>
      <c r="BN73" s="173" t="s">
        <v>725</v>
      </c>
      <c r="BO73" s="173" t="s">
        <v>725</v>
      </c>
      <c r="BP73" s="173" t="s">
        <v>725</v>
      </c>
      <c r="BQ73" s="173" t="s">
        <v>725</v>
      </c>
      <c r="BR73" s="174"/>
      <c r="BS73" s="161" t="str">
        <v>#VALUE!</v>
      </c>
    </row>
    <row customHeight="true" ht="18.51851851851852" r="74">
      <c r="A74" s="161" t="s">
        <v>729</v>
      </c>
      <c r="B74" s="161" t="s">
        <v>730</v>
      </c>
      <c r="C74" s="183" t="s">
        <v>760</v>
      </c>
      <c r="D74" s="162" t="s">
        <v>763</v>
      </c>
      <c r="E74" s="184">
        <v>56.5</v>
      </c>
      <c r="F74" s="185">
        <v>81.99</v>
      </c>
      <c r="G74" s="164">
        <f t="shared" si="2"/>
      </c>
      <c r="H74" s="164">
        <f t="shared" si="67"/>
      </c>
      <c r="I74" s="164">
        <f t="shared" si="127"/>
      </c>
      <c r="J74" s="165">
        <f t="shared" si="208"/>
      </c>
      <c r="K74" s="166">
        <f t="shared" si="261"/>
      </c>
      <c r="L74" s="167">
        <f t="shared" si="332"/>
      </c>
      <c r="M74" s="164">
        <f t="shared" si="377"/>
      </c>
      <c r="N74" s="166">
        <f t="shared" si="420"/>
      </c>
      <c r="O74" s="166">
        <f t="shared" si="452"/>
      </c>
      <c r="P74" s="161">
        <v>12</v>
      </c>
      <c r="Q74" s="168">
        <v>8</v>
      </c>
      <c r="R74" s="169">
        <f t="shared" si="23"/>
      </c>
      <c r="S74" s="165">
        <f t="shared" si="518"/>
      </c>
      <c r="T74" s="169">
        <f t="shared" si="149"/>
      </c>
      <c r="U74" s="169">
        <v>0.01</v>
      </c>
      <c r="V74" s="169">
        <f t="shared" si="283"/>
      </c>
      <c r="W74" s="169">
        <f t="shared" si="354"/>
      </c>
      <c r="X74" s="170">
        <v>0.1695</v>
      </c>
      <c r="Y74" s="171">
        <v>8</v>
      </c>
      <c r="Z74" s="171">
        <f>F74*0.15</f>
      </c>
      <c r="AA74" s="171">
        <f t="shared" si="474"/>
      </c>
      <c r="AB74" s="166">
        <f t="shared" si="496"/>
      </c>
      <c r="AC74" s="166">
        <v>208</v>
      </c>
      <c r="AD74" s="172">
        <f t="shared" si="43"/>
      </c>
      <c r="AE74" s="168">
        <f t="shared" si="94"/>
      </c>
      <c r="AF74" s="169">
        <f t="shared" si="168"/>
      </c>
      <c r="AG74" s="169">
        <f t="shared" si="313"/>
      </c>
      <c r="AH74" s="168">
        <v>13</v>
      </c>
      <c r="AI74" s="169">
        <f t="shared" si="189"/>
      </c>
      <c r="AJ74" s="169"/>
      <c r="AK74" s="169"/>
      <c r="AL74" s="169"/>
      <c r="AM74" s="169"/>
      <c r="AN74" s="173"/>
      <c r="AO74" s="173"/>
      <c r="AP74" s="173"/>
      <c r="AQ74" s="173"/>
      <c r="AR74" s="173"/>
      <c r="AS74" s="173"/>
      <c r="AT74" s="173" t="s">
        <v>725</v>
      </c>
      <c r="AU74" s="173" t="s">
        <v>725</v>
      </c>
      <c r="AV74" s="173" t="s">
        <v>725</v>
      </c>
      <c r="AW74" s="173" t="s">
        <v>725</v>
      </c>
      <c r="AX74" s="173" t="s">
        <v>725</v>
      </c>
      <c r="AY74" s="173" t="s">
        <v>725</v>
      </c>
      <c r="AZ74" s="173" t="s">
        <v>725</v>
      </c>
      <c r="BA74" s="173" t="s">
        <v>725</v>
      </c>
      <c r="BB74" s="173" t="s">
        <v>725</v>
      </c>
      <c r="BC74" s="173" t="s">
        <v>725</v>
      </c>
      <c r="BD74" s="173" t="s">
        <v>725</v>
      </c>
      <c r="BE74" s="173" t="s">
        <v>725</v>
      </c>
      <c r="BF74" s="173" t="s">
        <v>725</v>
      </c>
      <c r="BG74" s="173" t="s">
        <v>725</v>
      </c>
      <c r="BH74" s="173" t="s">
        <v>725</v>
      </c>
      <c r="BI74" s="173" t="s">
        <v>725</v>
      </c>
      <c r="BJ74" s="173" t="s">
        <v>725</v>
      </c>
      <c r="BK74" s="173" t="s">
        <v>725</v>
      </c>
      <c r="BL74" s="173" t="s">
        <v>725</v>
      </c>
      <c r="BM74" s="173" t="s">
        <v>725</v>
      </c>
      <c r="BN74" s="173" t="s">
        <v>725</v>
      </c>
      <c r="BO74" s="173" t="s">
        <v>725</v>
      </c>
      <c r="BP74" s="173" t="s">
        <v>725</v>
      </c>
      <c r="BQ74" s="173" t="s">
        <v>725</v>
      </c>
      <c r="BR74" s="174"/>
      <c r="BS74" s="161" t="str">
        <v>#VALUE!</v>
      </c>
    </row>
    <row customHeight="true" ht="18.51851851851852" r="75">
      <c r="A75" s="161" t="s">
        <v>732</v>
      </c>
      <c r="B75" s="161" t="s">
        <v>730</v>
      </c>
      <c r="C75" s="183" t="s">
        <v>760</v>
      </c>
      <c r="D75" s="162" t="s">
        <v>761</v>
      </c>
      <c r="E75" s="184">
        <v>56.5</v>
      </c>
      <c r="F75" s="185">
        <v>81.99</v>
      </c>
      <c r="G75" s="164">
        <f t="shared" si="2"/>
      </c>
      <c r="H75" s="164">
        <f t="shared" si="67"/>
      </c>
      <c r="I75" s="164">
        <f t="shared" si="127"/>
      </c>
      <c r="J75" s="165">
        <f t="shared" si="208"/>
      </c>
      <c r="K75" s="166">
        <f t="shared" si="261"/>
      </c>
      <c r="L75" s="167">
        <f t="shared" si="332"/>
      </c>
      <c r="M75" s="164">
        <f t="shared" si="377"/>
      </c>
      <c r="N75" s="166">
        <f t="shared" si="420"/>
      </c>
      <c r="O75" s="166">
        <f t="shared" si="452"/>
      </c>
      <c r="P75" s="161">
        <v>12</v>
      </c>
      <c r="Q75" s="168">
        <v>8</v>
      </c>
      <c r="R75" s="169">
        <f t="shared" si="23"/>
      </c>
      <c r="S75" s="165">
        <f t="shared" si="518"/>
      </c>
      <c r="T75" s="169">
        <f t="shared" si="149"/>
      </c>
      <c r="U75" s="169">
        <v>0.01</v>
      </c>
      <c r="V75" s="169">
        <f t="shared" si="283"/>
      </c>
      <c r="W75" s="169">
        <f t="shared" si="354"/>
      </c>
      <c r="X75" s="170">
        <v>0.198</v>
      </c>
      <c r="Y75" s="171">
        <v>8</v>
      </c>
      <c r="Z75" s="171">
        <v>0</v>
      </c>
      <c r="AA75" s="171">
        <f t="shared" si="474"/>
      </c>
      <c r="AB75" s="166">
        <f t="shared" si="496"/>
      </c>
      <c r="AC75" s="166">
        <v>208</v>
      </c>
      <c r="AD75" s="172">
        <f t="shared" si="43"/>
      </c>
      <c r="AE75" s="168">
        <f t="shared" si="94"/>
      </c>
      <c r="AF75" s="169">
        <f t="shared" si="168"/>
      </c>
      <c r="AG75" s="169">
        <f t="shared" si="313"/>
      </c>
      <c r="AH75" s="168">
        <v>13</v>
      </c>
      <c r="AI75" s="169">
        <f t="shared" si="189"/>
      </c>
      <c r="AJ75" s="169"/>
      <c r="AK75" s="169"/>
      <c r="AL75" s="169"/>
      <c r="AM75" s="169"/>
      <c r="AN75" s="173"/>
      <c r="AO75" s="173"/>
      <c r="AP75" s="173"/>
      <c r="AQ75" s="173"/>
      <c r="AR75" s="173"/>
      <c r="AS75" s="173"/>
      <c r="AT75" s="173" t="s">
        <v>725</v>
      </c>
      <c r="AU75" s="173" t="s">
        <v>725</v>
      </c>
      <c r="AV75" s="173" t="s">
        <v>725</v>
      </c>
      <c r="AW75" s="173" t="s">
        <v>725</v>
      </c>
      <c r="AX75" s="173" t="s">
        <v>725</v>
      </c>
      <c r="AY75" s="173" t="s">
        <v>725</v>
      </c>
      <c r="AZ75" s="173" t="s">
        <v>725</v>
      </c>
      <c r="BA75" s="173" t="s">
        <v>725</v>
      </c>
      <c r="BB75" s="173" t="s">
        <v>725</v>
      </c>
      <c r="BC75" s="173" t="s">
        <v>725</v>
      </c>
      <c r="BD75" s="173" t="s">
        <v>725</v>
      </c>
      <c r="BE75" s="173" t="s">
        <v>725</v>
      </c>
      <c r="BF75" s="173" t="s">
        <v>725</v>
      </c>
      <c r="BG75" s="173" t="s">
        <v>725</v>
      </c>
      <c r="BH75" s="173" t="s">
        <v>725</v>
      </c>
      <c r="BI75" s="173" t="s">
        <v>725</v>
      </c>
      <c r="BJ75" s="173" t="s">
        <v>725</v>
      </c>
      <c r="BK75" s="173" t="s">
        <v>725</v>
      </c>
      <c r="BL75" s="173" t="s">
        <v>725</v>
      </c>
      <c r="BM75" s="173" t="s">
        <v>725</v>
      </c>
      <c r="BN75" s="173" t="s">
        <v>725</v>
      </c>
      <c r="BO75" s="173" t="s">
        <v>725</v>
      </c>
      <c r="BP75" s="173" t="s">
        <v>725</v>
      </c>
      <c r="BQ75" s="173" t="s">
        <v>725</v>
      </c>
      <c r="BR75" s="174"/>
      <c r="BS75" s="161" t="str">
        <v>#VALUE!</v>
      </c>
    </row>
    <row customHeight="true" ht="18.51851851851852" r="76">
      <c r="A76" s="161" t="s">
        <v>732</v>
      </c>
      <c r="B76" s="161" t="s">
        <v>730</v>
      </c>
      <c r="C76" s="183" t="s">
        <v>760</v>
      </c>
      <c r="D76" s="162" t="s">
        <v>762</v>
      </c>
      <c r="E76" s="184">
        <v>56.5</v>
      </c>
      <c r="F76" s="185">
        <v>81.99</v>
      </c>
      <c r="G76" s="164">
        <f t="shared" si="2"/>
      </c>
      <c r="H76" s="164">
        <f t="shared" si="67"/>
      </c>
      <c r="I76" s="175">
        <f t="shared" si="127"/>
      </c>
      <c r="J76" s="165">
        <f t="shared" si="208"/>
      </c>
      <c r="K76" s="166">
        <f t="shared" si="261"/>
      </c>
      <c r="L76" s="167">
        <f t="shared" si="332"/>
      </c>
      <c r="M76" s="164">
        <f t="shared" si="377"/>
      </c>
      <c r="N76" s="166">
        <f t="shared" si="420"/>
      </c>
      <c r="O76" s="166">
        <f t="shared" si="452"/>
      </c>
      <c r="P76" s="161">
        <v>12</v>
      </c>
      <c r="Q76" s="168">
        <v>8</v>
      </c>
      <c r="R76" s="169">
        <f t="shared" si="23"/>
      </c>
      <c r="S76" s="165">
        <f t="shared" si="518"/>
      </c>
      <c r="T76" s="169">
        <f t="shared" si="149"/>
      </c>
      <c r="U76" s="169">
        <v>0.01</v>
      </c>
      <c r="V76" s="169">
        <f t="shared" si="283"/>
      </c>
      <c r="W76" s="169">
        <f t="shared" si="354"/>
      </c>
      <c r="X76" s="170">
        <v>0.198</v>
      </c>
      <c r="Y76" s="171">
        <v>8</v>
      </c>
      <c r="Z76" s="171">
        <f>F76*0.1</f>
      </c>
      <c r="AA76" s="171">
        <f t="shared" si="474"/>
      </c>
      <c r="AB76" s="166">
        <f t="shared" si="496"/>
      </c>
      <c r="AC76" s="166">
        <v>208</v>
      </c>
      <c r="AD76" s="172">
        <f t="shared" si="43"/>
      </c>
      <c r="AE76" s="168">
        <f t="shared" si="94"/>
      </c>
      <c r="AF76" s="169">
        <f t="shared" si="168"/>
      </c>
      <c r="AG76" s="169">
        <f t="shared" si="313"/>
      </c>
      <c r="AH76" s="168">
        <v>13</v>
      </c>
      <c r="AI76" s="169">
        <f t="shared" si="189"/>
      </c>
      <c r="AJ76" s="169"/>
      <c r="AK76" s="169"/>
      <c r="AL76" s="169"/>
      <c r="AM76" s="169"/>
      <c r="AN76" s="173"/>
      <c r="AO76" s="173"/>
      <c r="AP76" s="173"/>
      <c r="AQ76" s="173"/>
      <c r="AR76" s="173"/>
      <c r="AS76" s="173"/>
      <c r="AT76" s="173" t="s">
        <v>725</v>
      </c>
      <c r="AU76" s="173" t="s">
        <v>725</v>
      </c>
      <c r="AV76" s="173" t="s">
        <v>725</v>
      </c>
      <c r="AW76" s="173" t="s">
        <v>725</v>
      </c>
      <c r="AX76" s="173" t="s">
        <v>725</v>
      </c>
      <c r="AY76" s="173" t="s">
        <v>725</v>
      </c>
      <c r="AZ76" s="173" t="s">
        <v>725</v>
      </c>
      <c r="BA76" s="173" t="s">
        <v>725</v>
      </c>
      <c r="BB76" s="173" t="s">
        <v>725</v>
      </c>
      <c r="BC76" s="173" t="s">
        <v>725</v>
      </c>
      <c r="BD76" s="173" t="s">
        <v>725</v>
      </c>
      <c r="BE76" s="173" t="s">
        <v>725</v>
      </c>
      <c r="BF76" s="173" t="s">
        <v>725</v>
      </c>
      <c r="BG76" s="173" t="s">
        <v>725</v>
      </c>
      <c r="BH76" s="173" t="s">
        <v>725</v>
      </c>
      <c r="BI76" s="173" t="s">
        <v>725</v>
      </c>
      <c r="BJ76" s="173" t="s">
        <v>725</v>
      </c>
      <c r="BK76" s="173" t="s">
        <v>725</v>
      </c>
      <c r="BL76" s="173" t="s">
        <v>725</v>
      </c>
      <c r="BM76" s="173" t="s">
        <v>725</v>
      </c>
      <c r="BN76" s="173" t="s">
        <v>725</v>
      </c>
      <c r="BO76" s="173" t="s">
        <v>725</v>
      </c>
      <c r="BP76" s="173" t="s">
        <v>725</v>
      </c>
      <c r="BQ76" s="173" t="s">
        <v>725</v>
      </c>
      <c r="BR76" s="174"/>
      <c r="BS76" s="161" t="str">
        <v>#VALUE!</v>
      </c>
    </row>
    <row customHeight="true" ht="18.51851851851852" r="77">
      <c r="A77" s="161" t="s">
        <v>732</v>
      </c>
      <c r="B77" s="161" t="s">
        <v>730</v>
      </c>
      <c r="C77" s="183" t="s">
        <v>760</v>
      </c>
      <c r="D77" s="162" t="s">
        <v>763</v>
      </c>
      <c r="E77" s="184">
        <v>56.5</v>
      </c>
      <c r="F77" s="185">
        <v>81.99</v>
      </c>
      <c r="G77" s="164">
        <f t="shared" si="2"/>
      </c>
      <c r="H77" s="164">
        <f t="shared" si="67"/>
      </c>
      <c r="I77" s="164">
        <f t="shared" si="127"/>
      </c>
      <c r="J77" s="165">
        <f t="shared" si="208"/>
      </c>
      <c r="K77" s="166">
        <f t="shared" si="261"/>
      </c>
      <c r="L77" s="167">
        <f t="shared" si="332"/>
      </c>
      <c r="M77" s="164">
        <f t="shared" si="377"/>
      </c>
      <c r="N77" s="166">
        <f t="shared" si="420"/>
      </c>
      <c r="O77" s="166">
        <f t="shared" si="452"/>
      </c>
      <c r="P77" s="161">
        <v>12</v>
      </c>
      <c r="Q77" s="168">
        <v>8</v>
      </c>
      <c r="R77" s="169">
        <f t="shared" si="23"/>
      </c>
      <c r="S77" s="165">
        <f t="shared" si="518"/>
      </c>
      <c r="T77" s="169">
        <f t="shared" si="149"/>
      </c>
      <c r="U77" s="169">
        <v>0.01</v>
      </c>
      <c r="V77" s="169">
        <f t="shared" si="283"/>
      </c>
      <c r="W77" s="169">
        <f t="shared" si="354"/>
      </c>
      <c r="X77" s="170">
        <v>0.198</v>
      </c>
      <c r="Y77" s="171">
        <v>8</v>
      </c>
      <c r="Z77" s="171">
        <f>F77*0.15</f>
      </c>
      <c r="AA77" s="171">
        <f t="shared" si="474"/>
      </c>
      <c r="AB77" s="166">
        <f t="shared" si="496"/>
      </c>
      <c r="AC77" s="166">
        <v>208</v>
      </c>
      <c r="AD77" s="172">
        <f t="shared" si="43"/>
      </c>
      <c r="AE77" s="168">
        <f t="shared" si="94"/>
      </c>
      <c r="AF77" s="169">
        <f t="shared" si="168"/>
      </c>
      <c r="AG77" s="169">
        <f t="shared" si="313"/>
      </c>
      <c r="AH77" s="168">
        <v>13</v>
      </c>
      <c r="AI77" s="169">
        <f t="shared" ref="AI77:AI87" si="305">(K77-E77+AB77)/(K77-Z77)</f>
      </c>
      <c r="AJ77" s="169"/>
      <c r="AK77" s="169"/>
      <c r="AL77" s="169"/>
      <c r="AM77" s="169"/>
      <c r="AN77" s="173"/>
      <c r="AO77" s="173"/>
      <c r="AP77" s="173"/>
      <c r="AQ77" s="173"/>
      <c r="AR77" s="173"/>
      <c r="AS77" s="173"/>
      <c r="AT77" s="173" t="s">
        <v>725</v>
      </c>
      <c r="AU77" s="173" t="s">
        <v>725</v>
      </c>
      <c r="AV77" s="173" t="s">
        <v>725</v>
      </c>
      <c r="AW77" s="173" t="s">
        <v>725</v>
      </c>
      <c r="AX77" s="173" t="s">
        <v>725</v>
      </c>
      <c r="AY77" s="173" t="s">
        <v>725</v>
      </c>
      <c r="AZ77" s="173" t="s">
        <v>725</v>
      </c>
      <c r="BA77" s="173" t="s">
        <v>725</v>
      </c>
      <c r="BB77" s="173" t="s">
        <v>725</v>
      </c>
      <c r="BC77" s="173" t="s">
        <v>725</v>
      </c>
      <c r="BD77" s="173" t="s">
        <v>725</v>
      </c>
      <c r="BE77" s="173" t="s">
        <v>725</v>
      </c>
      <c r="BF77" s="173" t="s">
        <v>725</v>
      </c>
      <c r="BG77" s="173" t="s">
        <v>725</v>
      </c>
      <c r="BH77" s="173" t="s">
        <v>725</v>
      </c>
      <c r="BI77" s="173" t="s">
        <v>725</v>
      </c>
      <c r="BJ77" s="173" t="s">
        <v>725</v>
      </c>
      <c r="BK77" s="173" t="s">
        <v>725</v>
      </c>
      <c r="BL77" s="173" t="s">
        <v>725</v>
      </c>
      <c r="BM77" s="173" t="s">
        <v>725</v>
      </c>
      <c r="BN77" s="173" t="s">
        <v>725</v>
      </c>
      <c r="BO77" s="173" t="s">
        <v>725</v>
      </c>
      <c r="BP77" s="173" t="s">
        <v>725</v>
      </c>
      <c r="BQ77" s="173" t="s">
        <v>725</v>
      </c>
      <c r="BR77" s="174"/>
      <c r="BS77" s="161" t="str">
        <v>#VALUE!</v>
      </c>
    </row>
    <row customHeight="true" ht="18.51851851851852" r="78">
      <c r="A78" s="161" t="s">
        <v>733</v>
      </c>
      <c r="B78" s="161" t="s">
        <v>730</v>
      </c>
      <c r="C78" s="183" t="s">
        <v>760</v>
      </c>
      <c r="D78" s="162" t="s">
        <v>761</v>
      </c>
      <c r="E78" s="184">
        <v>56.5</v>
      </c>
      <c r="F78" s="185">
        <v>81.99</v>
      </c>
      <c r="G78" s="164">
        <f t="shared" si="2"/>
      </c>
      <c r="H78" s="164">
        <f t="shared" si="67"/>
      </c>
      <c r="I78" s="164">
        <f t="shared" si="127"/>
      </c>
      <c r="J78" s="165">
        <f t="shared" si="208"/>
      </c>
      <c r="K78" s="166">
        <f t="shared" si="261"/>
      </c>
      <c r="L78" s="167">
        <f t="shared" si="332"/>
      </c>
      <c r="M78" s="164">
        <f t="shared" si="377"/>
      </c>
      <c r="N78" s="166">
        <f t="shared" si="420"/>
      </c>
      <c r="O78" s="166">
        <f t="shared" si="452"/>
      </c>
      <c r="P78" s="161">
        <v>12</v>
      </c>
      <c r="Q78" s="168">
        <v>8</v>
      </c>
      <c r="R78" s="169">
        <f t="shared" si="23"/>
      </c>
      <c r="S78" s="165">
        <f t="shared" si="518"/>
      </c>
      <c r="T78" s="169">
        <f t="shared" si="149"/>
      </c>
      <c r="U78" s="169">
        <v>0.01</v>
      </c>
      <c r="V78" s="169">
        <f t="shared" si="283"/>
      </c>
      <c r="W78" s="169">
        <f t="shared" si="354"/>
      </c>
      <c r="X78" s="170">
        <v>0.1846</v>
      </c>
      <c r="Y78" s="171">
        <v>8</v>
      </c>
      <c r="Z78" s="171">
        <v>0</v>
      </c>
      <c r="AA78" s="171">
        <f t="shared" si="474"/>
      </c>
      <c r="AB78" s="166">
        <f t="shared" si="496"/>
      </c>
      <c r="AC78" s="166">
        <v>208</v>
      </c>
      <c r="AD78" s="172">
        <f t="shared" si="43"/>
      </c>
      <c r="AE78" s="168">
        <f t="shared" si="94"/>
      </c>
      <c r="AF78" s="169">
        <f t="shared" si="168"/>
      </c>
      <c r="AG78" s="169">
        <f t="shared" si="313"/>
      </c>
      <c r="AH78" s="168">
        <v>13</v>
      </c>
      <c r="AI78" s="165">
        <f t="shared" si="305"/>
      </c>
      <c r="AJ78" s="165"/>
      <c r="AK78" s="165"/>
      <c r="AL78" s="165"/>
      <c r="AM78" s="165"/>
      <c r="AN78" s="173"/>
      <c r="AO78" s="173"/>
      <c r="AP78" s="173"/>
      <c r="AQ78" s="173"/>
      <c r="AR78" s="173"/>
      <c r="AS78" s="173"/>
      <c r="AT78" s="173" t="s">
        <v>725</v>
      </c>
      <c r="AU78" s="173" t="s">
        <v>725</v>
      </c>
      <c r="AV78" s="173" t="s">
        <v>725</v>
      </c>
      <c r="AW78" s="173" t="s">
        <v>725</v>
      </c>
      <c r="AX78" s="173" t="s">
        <v>725</v>
      </c>
      <c r="AY78" s="173" t="s">
        <v>725</v>
      </c>
      <c r="AZ78" s="173" t="s">
        <v>725</v>
      </c>
      <c r="BA78" s="173" t="s">
        <v>725</v>
      </c>
      <c r="BB78" s="173" t="s">
        <v>725</v>
      </c>
      <c r="BC78" s="173" t="s">
        <v>725</v>
      </c>
      <c r="BD78" s="173" t="s">
        <v>725</v>
      </c>
      <c r="BE78" s="173" t="s">
        <v>725</v>
      </c>
      <c r="BF78" s="173" t="s">
        <v>725</v>
      </c>
      <c r="BG78" s="173" t="s">
        <v>725</v>
      </c>
      <c r="BH78" s="173" t="s">
        <v>725</v>
      </c>
      <c r="BI78" s="173" t="s">
        <v>725</v>
      </c>
      <c r="BJ78" s="173" t="s">
        <v>725</v>
      </c>
      <c r="BK78" s="173" t="s">
        <v>725</v>
      </c>
      <c r="BL78" s="173" t="s">
        <v>725</v>
      </c>
      <c r="BM78" s="173" t="s">
        <v>725</v>
      </c>
      <c r="BN78" s="173" t="s">
        <v>725</v>
      </c>
      <c r="BO78" s="173" t="s">
        <v>725</v>
      </c>
      <c r="BP78" s="173" t="s">
        <v>725</v>
      </c>
      <c r="BQ78" s="173" t="s">
        <v>725</v>
      </c>
      <c r="BR78" s="174"/>
      <c r="BS78" s="161" t="str">
        <v>#VALUE!</v>
      </c>
    </row>
    <row customHeight="true" ht="18.51851851851852" r="79">
      <c r="A79" s="161" t="s">
        <v>733</v>
      </c>
      <c r="B79" s="161" t="s">
        <v>730</v>
      </c>
      <c r="C79" s="183" t="s">
        <v>760</v>
      </c>
      <c r="D79" s="162" t="s">
        <v>762</v>
      </c>
      <c r="E79" s="184">
        <v>56.5</v>
      </c>
      <c r="F79" s="185">
        <v>81.99</v>
      </c>
      <c r="G79" s="164">
        <f t="shared" si="2"/>
      </c>
      <c r="H79" s="164">
        <f t="shared" si="67"/>
      </c>
      <c r="I79" s="175">
        <f t="shared" si="127"/>
      </c>
      <c r="J79" s="165">
        <f t="shared" si="208"/>
      </c>
      <c r="K79" s="166">
        <f t="shared" si="261"/>
      </c>
      <c r="L79" s="167">
        <f t="shared" si="332"/>
      </c>
      <c r="M79" s="164">
        <f t="shared" si="377"/>
      </c>
      <c r="N79" s="166">
        <f t="shared" si="420"/>
      </c>
      <c r="O79" s="166">
        <f t="shared" si="452"/>
      </c>
      <c r="P79" s="161">
        <v>12</v>
      </c>
      <c r="Q79" s="168">
        <v>8</v>
      </c>
      <c r="R79" s="169">
        <f t="shared" si="23"/>
      </c>
      <c r="S79" s="165">
        <f t="shared" si="518"/>
      </c>
      <c r="T79" s="169">
        <f t="shared" si="149"/>
      </c>
      <c r="U79" s="169">
        <v>0.01</v>
      </c>
      <c r="V79" s="169">
        <f t="shared" si="283"/>
      </c>
      <c r="W79" s="169">
        <f t="shared" si="354"/>
      </c>
      <c r="X79" s="170">
        <v>0.1846</v>
      </c>
      <c r="Y79" s="171">
        <v>8</v>
      </c>
      <c r="Z79" s="171">
        <f>F79*0.1</f>
      </c>
      <c r="AA79" s="171">
        <f t="shared" si="474"/>
      </c>
      <c r="AB79" s="166">
        <f t="shared" si="496"/>
      </c>
      <c r="AC79" s="166">
        <v>208</v>
      </c>
      <c r="AD79" s="172">
        <f t="shared" si="43"/>
      </c>
      <c r="AE79" s="168">
        <f t="shared" si="94"/>
      </c>
      <c r="AF79" s="169">
        <f t="shared" si="168"/>
      </c>
      <c r="AG79" s="169">
        <f t="shared" si="313"/>
      </c>
      <c r="AH79" s="168">
        <v>13</v>
      </c>
      <c r="AI79" s="165">
        <f t="shared" si="305"/>
      </c>
      <c r="AJ79" s="165"/>
      <c r="AK79" s="165"/>
      <c r="AL79" s="165"/>
      <c r="AM79" s="165"/>
      <c r="AN79" s="173"/>
      <c r="AO79" s="173"/>
      <c r="AP79" s="173"/>
      <c r="AQ79" s="173"/>
      <c r="AR79" s="173"/>
      <c r="AS79" s="173"/>
      <c r="AT79" s="173" t="s">
        <v>725</v>
      </c>
      <c r="AU79" s="173" t="s">
        <v>725</v>
      </c>
      <c r="AV79" s="173" t="s">
        <v>725</v>
      </c>
      <c r="AW79" s="173" t="s">
        <v>725</v>
      </c>
      <c r="AX79" s="173" t="s">
        <v>725</v>
      </c>
      <c r="AY79" s="173" t="s">
        <v>725</v>
      </c>
      <c r="AZ79" s="173" t="s">
        <v>725</v>
      </c>
      <c r="BA79" s="173" t="s">
        <v>725</v>
      </c>
      <c r="BB79" s="173" t="s">
        <v>725</v>
      </c>
      <c r="BC79" s="173" t="s">
        <v>725</v>
      </c>
      <c r="BD79" s="173" t="s">
        <v>725</v>
      </c>
      <c r="BE79" s="173" t="s">
        <v>725</v>
      </c>
      <c r="BF79" s="173" t="s">
        <v>725</v>
      </c>
      <c r="BG79" s="173" t="s">
        <v>725</v>
      </c>
      <c r="BH79" s="173" t="s">
        <v>725</v>
      </c>
      <c r="BI79" s="173" t="s">
        <v>725</v>
      </c>
      <c r="BJ79" s="173" t="s">
        <v>725</v>
      </c>
      <c r="BK79" s="173" t="s">
        <v>725</v>
      </c>
      <c r="BL79" s="173" t="s">
        <v>725</v>
      </c>
      <c r="BM79" s="173" t="s">
        <v>725</v>
      </c>
      <c r="BN79" s="173" t="s">
        <v>725</v>
      </c>
      <c r="BO79" s="173" t="s">
        <v>725</v>
      </c>
      <c r="BP79" s="173" t="s">
        <v>725</v>
      </c>
      <c r="BQ79" s="173" t="s">
        <v>725</v>
      </c>
      <c r="BR79" s="174"/>
      <c r="BS79" s="161" t="str">
        <v>#VALUE!</v>
      </c>
    </row>
    <row customHeight="true" ht="18.51851851851852" r="80">
      <c r="A80" s="161" t="s">
        <v>733</v>
      </c>
      <c r="B80" s="161" t="s">
        <v>730</v>
      </c>
      <c r="C80" s="183" t="s">
        <v>760</v>
      </c>
      <c r="D80" s="162" t="s">
        <v>763</v>
      </c>
      <c r="E80" s="184">
        <v>56.5</v>
      </c>
      <c r="F80" s="185">
        <v>81.99</v>
      </c>
      <c r="G80" s="164">
        <f t="shared" si="2"/>
      </c>
      <c r="H80" s="164">
        <f t="shared" si="67"/>
      </c>
      <c r="I80" s="164">
        <f t="shared" si="127"/>
      </c>
      <c r="J80" s="165">
        <f t="shared" si="208"/>
      </c>
      <c r="K80" s="166">
        <f t="shared" si="261"/>
      </c>
      <c r="L80" s="167">
        <f t="shared" si="332"/>
      </c>
      <c r="M80" s="164">
        <f t="shared" si="377"/>
      </c>
      <c r="N80" s="166">
        <f t="shared" si="420"/>
      </c>
      <c r="O80" s="166">
        <f t="shared" si="452"/>
      </c>
      <c r="P80" s="161">
        <v>12</v>
      </c>
      <c r="Q80" s="168">
        <v>8</v>
      </c>
      <c r="R80" s="169">
        <f t="shared" si="23"/>
      </c>
      <c r="S80" s="165">
        <f t="shared" si="518"/>
      </c>
      <c r="T80" s="169">
        <f t="shared" si="149"/>
      </c>
      <c r="U80" s="169">
        <v>0.01</v>
      </c>
      <c r="V80" s="169">
        <f t="shared" si="283"/>
      </c>
      <c r="W80" s="169">
        <f t="shared" si="354"/>
      </c>
      <c r="X80" s="170">
        <v>0.1846</v>
      </c>
      <c r="Y80" s="171">
        <v>8</v>
      </c>
      <c r="Z80" s="171">
        <f>F80*0.15</f>
      </c>
      <c r="AA80" s="171">
        <f t="shared" si="474"/>
      </c>
      <c r="AB80" s="166">
        <f t="shared" si="496"/>
      </c>
      <c r="AC80" s="166">
        <v>208</v>
      </c>
      <c r="AD80" s="172">
        <f t="shared" si="43"/>
      </c>
      <c r="AE80" s="168">
        <f t="shared" si="94"/>
      </c>
      <c r="AF80" s="169">
        <f t="shared" si="168"/>
      </c>
      <c r="AG80" s="169">
        <f t="shared" si="313"/>
      </c>
      <c r="AH80" s="168">
        <v>13</v>
      </c>
      <c r="AI80" s="165">
        <f t="shared" si="305"/>
      </c>
      <c r="AJ80" s="165"/>
      <c r="AK80" s="165"/>
      <c r="AL80" s="165"/>
      <c r="AM80" s="165"/>
      <c r="AN80" s="173"/>
      <c r="AO80" s="173"/>
      <c r="AP80" s="173"/>
      <c r="AQ80" s="173"/>
      <c r="AR80" s="173"/>
      <c r="AS80" s="173"/>
      <c r="AT80" s="173" t="s">
        <v>725</v>
      </c>
      <c r="AU80" s="173" t="s">
        <v>725</v>
      </c>
      <c r="AV80" s="173" t="s">
        <v>725</v>
      </c>
      <c r="AW80" s="173" t="s">
        <v>725</v>
      </c>
      <c r="AX80" s="173" t="s">
        <v>725</v>
      </c>
      <c r="AY80" s="173" t="s">
        <v>725</v>
      </c>
      <c r="AZ80" s="173" t="s">
        <v>725</v>
      </c>
      <c r="BA80" s="173" t="s">
        <v>725</v>
      </c>
      <c r="BB80" s="173" t="s">
        <v>725</v>
      </c>
      <c r="BC80" s="173" t="s">
        <v>725</v>
      </c>
      <c r="BD80" s="173" t="s">
        <v>725</v>
      </c>
      <c r="BE80" s="173" t="s">
        <v>725</v>
      </c>
      <c r="BF80" s="173" t="s">
        <v>725</v>
      </c>
      <c r="BG80" s="173" t="s">
        <v>725</v>
      </c>
      <c r="BH80" s="173" t="s">
        <v>725</v>
      </c>
      <c r="BI80" s="173" t="s">
        <v>725</v>
      </c>
      <c r="BJ80" s="173" t="s">
        <v>725</v>
      </c>
      <c r="BK80" s="173" t="s">
        <v>725</v>
      </c>
      <c r="BL80" s="173" t="s">
        <v>725</v>
      </c>
      <c r="BM80" s="173" t="s">
        <v>725</v>
      </c>
      <c r="BN80" s="173" t="s">
        <v>725</v>
      </c>
      <c r="BO80" s="173" t="s">
        <v>725</v>
      </c>
      <c r="BP80" s="173" t="s">
        <v>725</v>
      </c>
      <c r="BQ80" s="173" t="s">
        <v>725</v>
      </c>
      <c r="BR80" s="174"/>
      <c r="BS80" s="161" t="str">
        <v>#VALUE!</v>
      </c>
    </row>
    <row customHeight="true" ht="18.51851851851852" r="81">
      <c r="A81" s="161" t="s">
        <v>734</v>
      </c>
      <c r="B81" s="161" t="s">
        <v>730</v>
      </c>
      <c r="C81" s="183" t="s">
        <v>760</v>
      </c>
      <c r="D81" s="162" t="s">
        <v>761</v>
      </c>
      <c r="E81" s="184">
        <v>56.5</v>
      </c>
      <c r="F81" s="185">
        <v>81.99</v>
      </c>
      <c r="G81" s="164">
        <f t="shared" si="2"/>
      </c>
      <c r="H81" s="164">
        <f t="shared" si="67"/>
      </c>
      <c r="I81" s="164">
        <f t="shared" si="127"/>
      </c>
      <c r="J81" s="165">
        <f t="shared" si="208"/>
      </c>
      <c r="K81" s="166">
        <f t="shared" si="261"/>
      </c>
      <c r="L81" s="167">
        <f t="shared" si="332"/>
      </c>
      <c r="M81" s="164">
        <f t="shared" si="377"/>
      </c>
      <c r="N81" s="166">
        <f t="shared" si="420"/>
      </c>
      <c r="O81" s="166">
        <f t="shared" si="452"/>
      </c>
      <c r="P81" s="161">
        <v>12</v>
      </c>
      <c r="Q81" s="168">
        <v>8</v>
      </c>
      <c r="R81" s="169">
        <f t="shared" si="23"/>
      </c>
      <c r="S81" s="165">
        <f t="shared" si="518"/>
      </c>
      <c r="T81" s="169">
        <f t="shared" si="149"/>
      </c>
      <c r="U81" s="169">
        <v>0.01</v>
      </c>
      <c r="V81" s="169">
        <f t="shared" si="283"/>
      </c>
      <c r="W81" s="169">
        <f t="shared" si="354"/>
      </c>
      <c r="X81" s="170">
        <v>0.1646</v>
      </c>
      <c r="Y81" s="171">
        <v>8</v>
      </c>
      <c r="Z81" s="171">
        <v>0</v>
      </c>
      <c r="AA81" s="171">
        <f t="shared" si="474"/>
      </c>
      <c r="AB81" s="166">
        <f t="shared" si="496"/>
      </c>
      <c r="AC81" s="166">
        <v>208</v>
      </c>
      <c r="AD81" s="172">
        <f t="shared" si="43"/>
      </c>
      <c r="AE81" s="168">
        <f t="shared" si="94"/>
      </c>
      <c r="AF81" s="169">
        <f t="shared" si="168"/>
      </c>
      <c r="AG81" s="169">
        <f t="shared" si="313"/>
      </c>
      <c r="AH81" s="168">
        <v>13</v>
      </c>
      <c r="AI81" s="169">
        <f t="shared" si="305"/>
      </c>
      <c r="AJ81" s="169"/>
      <c r="AK81" s="169"/>
      <c r="AL81" s="169"/>
      <c r="AM81" s="169"/>
      <c r="AN81" s="173"/>
      <c r="AO81" s="173"/>
      <c r="AP81" s="173"/>
      <c r="AQ81" s="173"/>
      <c r="AR81" s="173"/>
      <c r="AS81" s="173"/>
      <c r="AT81" s="173" t="s">
        <v>725</v>
      </c>
      <c r="AU81" s="173" t="s">
        <v>725</v>
      </c>
      <c r="AV81" s="173" t="s">
        <v>725</v>
      </c>
      <c r="AW81" s="173" t="s">
        <v>725</v>
      </c>
      <c r="AX81" s="173" t="s">
        <v>725</v>
      </c>
      <c r="AY81" s="173" t="s">
        <v>725</v>
      </c>
      <c r="AZ81" s="173" t="s">
        <v>725</v>
      </c>
      <c r="BA81" s="173" t="s">
        <v>725</v>
      </c>
      <c r="BB81" s="173" t="s">
        <v>725</v>
      </c>
      <c r="BC81" s="173" t="s">
        <v>725</v>
      </c>
      <c r="BD81" s="173" t="s">
        <v>725</v>
      </c>
      <c r="BE81" s="173" t="s">
        <v>725</v>
      </c>
      <c r="BF81" s="173" t="s">
        <v>725</v>
      </c>
      <c r="BG81" s="173" t="s">
        <v>725</v>
      </c>
      <c r="BH81" s="173" t="s">
        <v>725</v>
      </c>
      <c r="BI81" s="173" t="s">
        <v>725</v>
      </c>
      <c r="BJ81" s="173" t="s">
        <v>725</v>
      </c>
      <c r="BK81" s="173" t="s">
        <v>725</v>
      </c>
      <c r="BL81" s="173" t="s">
        <v>725</v>
      </c>
      <c r="BM81" s="173" t="s">
        <v>725</v>
      </c>
      <c r="BN81" s="173" t="s">
        <v>725</v>
      </c>
      <c r="BO81" s="173" t="s">
        <v>725</v>
      </c>
      <c r="BP81" s="173" t="s">
        <v>725</v>
      </c>
      <c r="BQ81" s="173" t="s">
        <v>725</v>
      </c>
      <c r="BR81" s="174"/>
      <c r="BS81" s="161" t="str">
        <v>#VALUE!</v>
      </c>
    </row>
    <row customHeight="true" ht="18.51851851851852" r="82">
      <c r="A82" s="161" t="s">
        <v>734</v>
      </c>
      <c r="B82" s="161" t="s">
        <v>730</v>
      </c>
      <c r="C82" s="183" t="s">
        <v>760</v>
      </c>
      <c r="D82" s="162" t="s">
        <v>762</v>
      </c>
      <c r="E82" s="184">
        <v>56.5</v>
      </c>
      <c r="F82" s="185">
        <v>81.99</v>
      </c>
      <c r="G82" s="164">
        <f t="shared" si="2"/>
      </c>
      <c r="H82" s="164">
        <f t="shared" si="67"/>
      </c>
      <c r="I82" s="175">
        <f t="shared" si="127"/>
      </c>
      <c r="J82" s="165">
        <f t="shared" si="208"/>
      </c>
      <c r="K82" s="166">
        <f t="shared" si="261"/>
      </c>
      <c r="L82" s="167">
        <f t="shared" si="332"/>
      </c>
      <c r="M82" s="164">
        <f t="shared" si="377"/>
      </c>
      <c r="N82" s="166">
        <f t="shared" si="420"/>
      </c>
      <c r="O82" s="166">
        <f t="shared" si="452"/>
      </c>
      <c r="P82" s="161">
        <v>12</v>
      </c>
      <c r="Q82" s="168">
        <v>8</v>
      </c>
      <c r="R82" s="169">
        <f t="shared" si="23"/>
      </c>
      <c r="S82" s="165">
        <f t="shared" si="518"/>
      </c>
      <c r="T82" s="169">
        <f t="shared" si="149"/>
      </c>
      <c r="U82" s="169">
        <v>0.01</v>
      </c>
      <c r="V82" s="169">
        <f t="shared" si="283"/>
      </c>
      <c r="W82" s="169">
        <f t="shared" si="354"/>
      </c>
      <c r="X82" s="170">
        <v>0.1646</v>
      </c>
      <c r="Y82" s="171">
        <v>8</v>
      </c>
      <c r="Z82" s="171">
        <f>F82*0.1</f>
      </c>
      <c r="AA82" s="171">
        <f t="shared" si="474"/>
      </c>
      <c r="AB82" s="166">
        <f t="shared" si="496"/>
      </c>
      <c r="AC82" s="166">
        <v>208</v>
      </c>
      <c r="AD82" s="172">
        <f t="shared" si="43"/>
      </c>
      <c r="AE82" s="168">
        <f t="shared" si="94"/>
      </c>
      <c r="AF82" s="169">
        <f t="shared" si="168"/>
      </c>
      <c r="AG82" s="169">
        <f t="shared" si="313"/>
      </c>
      <c r="AH82" s="168">
        <v>13</v>
      </c>
      <c r="AI82" s="169">
        <f t="shared" si="305"/>
      </c>
      <c r="AJ82" s="169"/>
      <c r="AK82" s="169"/>
      <c r="AL82" s="169"/>
      <c r="AM82" s="169"/>
      <c r="AN82" s="173"/>
      <c r="AO82" s="173"/>
      <c r="AP82" s="173"/>
      <c r="AQ82" s="173"/>
      <c r="AR82" s="173"/>
      <c r="AS82" s="173"/>
      <c r="AT82" s="173" t="s">
        <v>725</v>
      </c>
      <c r="AU82" s="173" t="s">
        <v>725</v>
      </c>
      <c r="AV82" s="173" t="s">
        <v>725</v>
      </c>
      <c r="AW82" s="173" t="s">
        <v>725</v>
      </c>
      <c r="AX82" s="173" t="s">
        <v>725</v>
      </c>
      <c r="AY82" s="173" t="s">
        <v>725</v>
      </c>
      <c r="AZ82" s="173" t="s">
        <v>725</v>
      </c>
      <c r="BA82" s="173" t="s">
        <v>725</v>
      </c>
      <c r="BB82" s="173" t="s">
        <v>725</v>
      </c>
      <c r="BC82" s="173" t="s">
        <v>725</v>
      </c>
      <c r="BD82" s="173" t="s">
        <v>725</v>
      </c>
      <c r="BE82" s="173" t="s">
        <v>725</v>
      </c>
      <c r="BF82" s="173" t="s">
        <v>725</v>
      </c>
      <c r="BG82" s="173" t="s">
        <v>725</v>
      </c>
      <c r="BH82" s="173" t="s">
        <v>725</v>
      </c>
      <c r="BI82" s="173" t="s">
        <v>725</v>
      </c>
      <c r="BJ82" s="173" t="s">
        <v>725</v>
      </c>
      <c r="BK82" s="173" t="s">
        <v>725</v>
      </c>
      <c r="BL82" s="173" t="s">
        <v>725</v>
      </c>
      <c r="BM82" s="173" t="s">
        <v>725</v>
      </c>
      <c r="BN82" s="173" t="s">
        <v>725</v>
      </c>
      <c r="BO82" s="173" t="s">
        <v>725</v>
      </c>
      <c r="BP82" s="173" t="s">
        <v>725</v>
      </c>
      <c r="BQ82" s="173" t="s">
        <v>725</v>
      </c>
      <c r="BR82" s="174"/>
      <c r="BS82" s="161" t="str">
        <v>#VALUE!</v>
      </c>
    </row>
    <row customHeight="true" ht="18.51851851851852" r="83">
      <c r="A83" s="161" t="s">
        <v>734</v>
      </c>
      <c r="B83" s="161" t="s">
        <v>730</v>
      </c>
      <c r="C83" s="183" t="s">
        <v>760</v>
      </c>
      <c r="D83" s="162" t="s">
        <v>763</v>
      </c>
      <c r="E83" s="184">
        <v>56.5</v>
      </c>
      <c r="F83" s="185">
        <v>81.99</v>
      </c>
      <c r="G83" s="164">
        <f t="shared" si="2"/>
      </c>
      <c r="H83" s="164">
        <f t="shared" si="67"/>
      </c>
      <c r="I83" s="164">
        <f t="shared" si="127"/>
      </c>
      <c r="J83" s="165">
        <f t="shared" si="208"/>
      </c>
      <c r="K83" s="166">
        <f t="shared" si="261"/>
      </c>
      <c r="L83" s="167">
        <f t="shared" si="332"/>
      </c>
      <c r="M83" s="164">
        <f t="shared" si="377"/>
      </c>
      <c r="N83" s="166">
        <f t="shared" si="420"/>
      </c>
      <c r="O83" s="166">
        <f t="shared" si="452"/>
      </c>
      <c r="P83" s="161">
        <v>12</v>
      </c>
      <c r="Q83" s="168">
        <v>8</v>
      </c>
      <c r="R83" s="169">
        <f t="shared" si="23"/>
      </c>
      <c r="S83" s="165">
        <f t="shared" si="518"/>
      </c>
      <c r="T83" s="169">
        <f t="shared" si="149"/>
      </c>
      <c r="U83" s="169">
        <v>0.01</v>
      </c>
      <c r="V83" s="169">
        <f t="shared" si="283"/>
      </c>
      <c r="W83" s="169">
        <f t="shared" si="354"/>
      </c>
      <c r="X83" s="170">
        <v>0.1646</v>
      </c>
      <c r="Y83" s="171">
        <v>8</v>
      </c>
      <c r="Z83" s="171">
        <f>F83*0.15</f>
      </c>
      <c r="AA83" s="171">
        <f t="shared" si="474"/>
      </c>
      <c r="AB83" s="166">
        <f t="shared" si="496"/>
      </c>
      <c r="AC83" s="166">
        <v>208</v>
      </c>
      <c r="AD83" s="172">
        <f t="shared" si="43"/>
      </c>
      <c r="AE83" s="168">
        <f t="shared" si="94"/>
      </c>
      <c r="AF83" s="169">
        <f t="shared" si="168"/>
      </c>
      <c r="AG83" s="169">
        <f t="shared" si="313"/>
      </c>
      <c r="AH83" s="168">
        <v>13</v>
      </c>
      <c r="AI83" s="169">
        <f t="shared" si="305"/>
      </c>
      <c r="AJ83" s="169"/>
      <c r="AK83" s="169"/>
      <c r="AL83" s="169"/>
      <c r="AM83" s="169"/>
      <c r="AN83" s="173"/>
      <c r="AO83" s="173"/>
      <c r="AP83" s="173"/>
      <c r="AQ83" s="173"/>
      <c r="AR83" s="173"/>
      <c r="AS83" s="173"/>
      <c r="AT83" s="173" t="s">
        <v>725</v>
      </c>
      <c r="AU83" s="173" t="s">
        <v>725</v>
      </c>
      <c r="AV83" s="173" t="s">
        <v>725</v>
      </c>
      <c r="AW83" s="173" t="s">
        <v>725</v>
      </c>
      <c r="AX83" s="173" t="s">
        <v>725</v>
      </c>
      <c r="AY83" s="173" t="s">
        <v>725</v>
      </c>
      <c r="AZ83" s="173" t="s">
        <v>725</v>
      </c>
      <c r="BA83" s="173" t="s">
        <v>725</v>
      </c>
      <c r="BB83" s="173" t="s">
        <v>725</v>
      </c>
      <c r="BC83" s="173" t="s">
        <v>725</v>
      </c>
      <c r="BD83" s="173" t="s">
        <v>725</v>
      </c>
      <c r="BE83" s="173" t="s">
        <v>725</v>
      </c>
      <c r="BF83" s="173" t="s">
        <v>725</v>
      </c>
      <c r="BG83" s="173" t="s">
        <v>725</v>
      </c>
      <c r="BH83" s="173" t="s">
        <v>725</v>
      </c>
      <c r="BI83" s="173" t="s">
        <v>725</v>
      </c>
      <c r="BJ83" s="173" t="s">
        <v>725</v>
      </c>
      <c r="BK83" s="173" t="s">
        <v>725</v>
      </c>
      <c r="BL83" s="173" t="s">
        <v>725</v>
      </c>
      <c r="BM83" s="173" t="s">
        <v>725</v>
      </c>
      <c r="BN83" s="173" t="s">
        <v>725</v>
      </c>
      <c r="BO83" s="173" t="s">
        <v>725</v>
      </c>
      <c r="BP83" s="173" t="s">
        <v>725</v>
      </c>
      <c r="BQ83" s="173" t="s">
        <v>725</v>
      </c>
      <c r="BR83" s="174"/>
      <c r="BS83" s="161" t="str">
        <v>#VALUE!</v>
      </c>
    </row>
    <row customHeight="true" ht="18.51851851851852" r="84">
      <c r="A84" s="161" t="s">
        <v>735</v>
      </c>
      <c r="B84" s="161" t="s">
        <v>730</v>
      </c>
      <c r="C84" s="183" t="s">
        <v>760</v>
      </c>
      <c r="D84" s="178" t="s">
        <v>764</v>
      </c>
      <c r="E84" s="186">
        <v>68.5</v>
      </c>
      <c r="F84" s="163">
        <v>99.99</v>
      </c>
      <c r="G84" s="164">
        <f t="shared" si="2"/>
      </c>
      <c r="H84" s="164">
        <f t="shared" si="67"/>
      </c>
      <c r="I84" s="164">
        <f t="shared" si="127"/>
      </c>
      <c r="J84" s="165">
        <f t="shared" si="208"/>
      </c>
      <c r="K84" s="166">
        <f t="shared" si="261"/>
      </c>
      <c r="L84" s="167">
        <f t="shared" si="332"/>
      </c>
      <c r="M84" s="164">
        <f t="shared" si="377"/>
      </c>
      <c r="N84" s="166">
        <f t="shared" si="420"/>
      </c>
      <c r="O84" s="166">
        <f t="shared" si="452"/>
      </c>
      <c r="P84" s="161">
        <v>12</v>
      </c>
      <c r="Q84" s="168">
        <v>8</v>
      </c>
      <c r="R84" s="169">
        <f t="shared" si="23"/>
      </c>
      <c r="S84" s="165">
        <f t="shared" si="518"/>
      </c>
      <c r="T84" s="169">
        <f t="shared" si="149"/>
      </c>
      <c r="U84" s="169">
        <v>0.01</v>
      </c>
      <c r="V84" s="169">
        <f t="shared" si="283"/>
      </c>
      <c r="W84" s="169">
        <f t="shared" si="354"/>
      </c>
      <c r="X84" s="170">
        <v>0.158</v>
      </c>
      <c r="Y84" s="171">
        <v>0</v>
      </c>
      <c r="Z84" s="171">
        <f t="shared" ref="Z84:Z87" si="399">F84*0</f>
      </c>
      <c r="AA84" s="171">
        <f t="shared" si="474"/>
      </c>
      <c r="AB84" s="166">
        <f t="shared" si="496"/>
      </c>
      <c r="AC84" s="166">
        <v>208</v>
      </c>
      <c r="AD84" s="172">
        <f t="shared" si="43"/>
      </c>
      <c r="AE84" s="168">
        <f t="shared" si="94"/>
      </c>
      <c r="AF84" s="169">
        <f t="shared" si="168"/>
      </c>
      <c r="AG84" s="169">
        <f t="shared" si="313"/>
      </c>
      <c r="AH84" s="168">
        <v>13</v>
      </c>
      <c r="AI84" s="169">
        <f t="shared" si="305"/>
      </c>
      <c r="AJ84" s="173"/>
      <c r="AK84" s="173"/>
      <c r="AL84" s="173"/>
      <c r="AM84" s="173"/>
      <c r="AN84" s="173"/>
      <c r="AO84" s="173"/>
      <c r="AP84" s="173"/>
      <c r="AQ84" s="173"/>
      <c r="AR84" s="173"/>
      <c r="AS84" s="173"/>
      <c r="AT84" s="173" t="s">
        <v>725</v>
      </c>
      <c r="AU84" s="173" t="s">
        <v>725</v>
      </c>
      <c r="AV84" s="173" t="s">
        <v>725</v>
      </c>
      <c r="AW84" s="173" t="s">
        <v>725</v>
      </c>
      <c r="AX84" s="173" t="s">
        <v>725</v>
      </c>
      <c r="AY84" s="173" t="s">
        <v>725</v>
      </c>
      <c r="AZ84" s="173" t="s">
        <v>725</v>
      </c>
      <c r="BA84" s="173" t="s">
        <v>725</v>
      </c>
      <c r="BB84" s="173" t="s">
        <v>725</v>
      </c>
      <c r="BC84" s="173" t="s">
        <v>725</v>
      </c>
      <c r="BD84" s="173" t="s">
        <v>725</v>
      </c>
      <c r="BE84" s="173" t="s">
        <v>725</v>
      </c>
      <c r="BF84" s="173" t="s">
        <v>725</v>
      </c>
      <c r="BG84" s="173" t="s">
        <v>725</v>
      </c>
      <c r="BH84" s="173" t="s">
        <v>725</v>
      </c>
      <c r="BI84" s="173" t="s">
        <v>725</v>
      </c>
      <c r="BJ84" s="173" t="s">
        <v>725</v>
      </c>
      <c r="BK84" s="173" t="s">
        <v>725</v>
      </c>
      <c r="BL84" s="173" t="s">
        <v>725</v>
      </c>
      <c r="BM84" s="173" t="s">
        <v>725</v>
      </c>
      <c r="BN84" s="173" t="s">
        <v>725</v>
      </c>
      <c r="BO84" s="173" t="s">
        <v>725</v>
      </c>
      <c r="BP84" s="173" t="s">
        <v>725</v>
      </c>
      <c r="BQ84" s="173" t="s">
        <v>725</v>
      </c>
      <c r="BR84" s="180">
        <f t="shared" ref="BR84:BR87" si="235">IF(E84&lt;#REF!,1,0)</f>
      </c>
      <c r="BS84" s="161" t="str">
        <v>#VALUE!</v>
      </c>
    </row>
    <row customHeight="true" ht="18.51851851851852" r="85">
      <c r="A85" s="161" t="s">
        <v>737</v>
      </c>
      <c r="B85" s="161" t="s">
        <v>730</v>
      </c>
      <c r="C85" s="183" t="s">
        <v>760</v>
      </c>
      <c r="D85" s="178" t="s">
        <v>765</v>
      </c>
      <c r="E85" s="186">
        <v>68.5</v>
      </c>
      <c r="F85" s="163">
        <v>99.99</v>
      </c>
      <c r="G85" s="164">
        <f t="shared" si="2"/>
      </c>
      <c r="H85" s="164">
        <f t="shared" si="67"/>
      </c>
      <c r="I85" s="164">
        <f t="shared" si="127"/>
      </c>
      <c r="J85" s="165">
        <f t="shared" si="208"/>
      </c>
      <c r="K85" s="166">
        <f t="shared" si="261"/>
      </c>
      <c r="L85" s="167">
        <f t="shared" si="332"/>
      </c>
      <c r="M85" s="164">
        <f t="shared" si="377"/>
      </c>
      <c r="N85" s="166">
        <f t="shared" si="420"/>
      </c>
      <c r="O85" s="166">
        <f t="shared" si="452"/>
      </c>
      <c r="P85" s="161">
        <v>12</v>
      </c>
      <c r="Q85" s="168">
        <v>8</v>
      </c>
      <c r="R85" s="169">
        <f t="shared" si="23"/>
      </c>
      <c r="S85" s="165">
        <f t="shared" si="518"/>
      </c>
      <c r="T85" s="169">
        <f t="shared" si="149"/>
      </c>
      <c r="U85" s="169">
        <v>0.01</v>
      </c>
      <c r="V85" s="169">
        <f t="shared" si="283"/>
      </c>
      <c r="W85" s="169">
        <f t="shared" si="354"/>
      </c>
      <c r="X85" s="170">
        <v>0.223</v>
      </c>
      <c r="Y85" s="171">
        <v>0</v>
      </c>
      <c r="Z85" s="171">
        <f t="shared" si="399"/>
      </c>
      <c r="AA85" s="171">
        <f t="shared" si="474"/>
      </c>
      <c r="AB85" s="166">
        <f t="shared" si="496"/>
      </c>
      <c r="AC85" s="166">
        <v>208</v>
      </c>
      <c r="AD85" s="172">
        <f t="shared" si="43"/>
      </c>
      <c r="AE85" s="168">
        <f t="shared" si="94"/>
      </c>
      <c r="AF85" s="169">
        <f t="shared" si="168"/>
      </c>
      <c r="AG85" s="169">
        <f t="shared" si="313"/>
      </c>
      <c r="AH85" s="168">
        <v>13</v>
      </c>
      <c r="AI85" s="169">
        <f t="shared" si="305"/>
      </c>
      <c r="AJ85" s="173"/>
      <c r="AK85" s="173"/>
      <c r="AL85" s="173"/>
      <c r="AM85" s="173"/>
      <c r="AN85" s="173"/>
      <c r="AO85" s="173"/>
      <c r="AP85" s="173"/>
      <c r="AQ85" s="173"/>
      <c r="AR85" s="173"/>
      <c r="AS85" s="173"/>
      <c r="AT85" s="173" t="s">
        <v>725</v>
      </c>
      <c r="AU85" s="173" t="s">
        <v>725</v>
      </c>
      <c r="AV85" s="173" t="s">
        <v>725</v>
      </c>
      <c r="AW85" s="173" t="s">
        <v>725</v>
      </c>
      <c r="AX85" s="173" t="s">
        <v>725</v>
      </c>
      <c r="AY85" s="173" t="s">
        <v>725</v>
      </c>
      <c r="AZ85" s="173" t="s">
        <v>725</v>
      </c>
      <c r="BA85" s="173" t="s">
        <v>725</v>
      </c>
      <c r="BB85" s="173" t="s">
        <v>725</v>
      </c>
      <c r="BC85" s="173" t="s">
        <v>725</v>
      </c>
      <c r="BD85" s="173" t="s">
        <v>725</v>
      </c>
      <c r="BE85" s="173" t="s">
        <v>725</v>
      </c>
      <c r="BF85" s="173" t="s">
        <v>725</v>
      </c>
      <c r="BG85" s="173" t="s">
        <v>725</v>
      </c>
      <c r="BH85" s="173" t="s">
        <v>725</v>
      </c>
      <c r="BI85" s="173" t="s">
        <v>725</v>
      </c>
      <c r="BJ85" s="173" t="s">
        <v>725</v>
      </c>
      <c r="BK85" s="173" t="s">
        <v>725</v>
      </c>
      <c r="BL85" s="173" t="s">
        <v>725</v>
      </c>
      <c r="BM85" s="173" t="s">
        <v>725</v>
      </c>
      <c r="BN85" s="173" t="s">
        <v>725</v>
      </c>
      <c r="BO85" s="173" t="s">
        <v>725</v>
      </c>
      <c r="BP85" s="173" t="s">
        <v>725</v>
      </c>
      <c r="BQ85" s="173" t="s">
        <v>725</v>
      </c>
      <c r="BR85" s="180">
        <f t="shared" si="235"/>
      </c>
      <c r="BS85" s="161" t="str">
        <v>#VALUE!</v>
      </c>
    </row>
    <row customHeight="true" ht="18.51851851851852" r="86">
      <c r="A86" s="161" t="s">
        <v>739</v>
      </c>
      <c r="B86" s="161" t="s">
        <v>730</v>
      </c>
      <c r="C86" s="183" t="s">
        <v>760</v>
      </c>
      <c r="D86" s="178" t="s">
        <v>766</v>
      </c>
      <c r="E86" s="186">
        <v>68.5</v>
      </c>
      <c r="F86" s="163">
        <v>99.99</v>
      </c>
      <c r="G86" s="164">
        <f t="shared" si="2"/>
      </c>
      <c r="H86" s="164">
        <f t="shared" si="67"/>
      </c>
      <c r="I86" s="164">
        <f t="shared" si="127"/>
      </c>
      <c r="J86" s="165">
        <f t="shared" si="208"/>
      </c>
      <c r="K86" s="166">
        <f t="shared" si="261"/>
      </c>
      <c r="L86" s="167">
        <f t="shared" si="332"/>
      </c>
      <c r="M86" s="164">
        <f t="shared" si="377"/>
      </c>
      <c r="N86" s="166">
        <f t="shared" si="420"/>
      </c>
      <c r="O86" s="166">
        <f t="shared" si="452"/>
      </c>
      <c r="P86" s="161">
        <v>12</v>
      </c>
      <c r="Q86" s="168">
        <v>8</v>
      </c>
      <c r="R86" s="169">
        <f t="shared" si="23"/>
      </c>
      <c r="S86" s="165">
        <f t="shared" si="518"/>
      </c>
      <c r="T86" s="169">
        <f t="shared" si="149"/>
      </c>
      <c r="U86" s="169">
        <v>0.01</v>
      </c>
      <c r="V86" s="169">
        <f t="shared" si="283"/>
      </c>
      <c r="W86" s="169">
        <f t="shared" si="354"/>
      </c>
      <c r="X86" s="170">
        <v>0.223</v>
      </c>
      <c r="Y86" s="171">
        <v>0</v>
      </c>
      <c r="Z86" s="171">
        <f t="shared" si="399"/>
      </c>
      <c r="AA86" s="171">
        <f t="shared" si="474"/>
      </c>
      <c r="AB86" s="166">
        <f t="shared" si="496"/>
      </c>
      <c r="AC86" s="166">
        <v>208</v>
      </c>
      <c r="AD86" s="172">
        <f t="shared" si="43"/>
      </c>
      <c r="AE86" s="168">
        <f t="shared" si="94"/>
      </c>
      <c r="AF86" s="169">
        <f t="shared" si="168"/>
      </c>
      <c r="AG86" s="169">
        <f t="shared" si="313"/>
      </c>
      <c r="AH86" s="168">
        <v>13</v>
      </c>
      <c r="AI86" s="169">
        <f t="shared" si="305"/>
      </c>
      <c r="AJ86" s="173"/>
      <c r="AK86" s="173"/>
      <c r="AL86" s="173"/>
      <c r="AM86" s="173"/>
      <c r="AN86" s="173"/>
      <c r="AO86" s="173"/>
      <c r="AP86" s="173"/>
      <c r="AQ86" s="173"/>
      <c r="AR86" s="173"/>
      <c r="AS86" s="173"/>
      <c r="AT86" s="173" t="s">
        <v>725</v>
      </c>
      <c r="AU86" s="173" t="s">
        <v>725</v>
      </c>
      <c r="AV86" s="173" t="s">
        <v>725</v>
      </c>
      <c r="AW86" s="173" t="s">
        <v>725</v>
      </c>
      <c r="AX86" s="173" t="s">
        <v>725</v>
      </c>
      <c r="AY86" s="173" t="s">
        <v>725</v>
      </c>
      <c r="AZ86" s="173" t="s">
        <v>725</v>
      </c>
      <c r="BA86" s="173" t="s">
        <v>725</v>
      </c>
      <c r="BB86" s="173" t="s">
        <v>725</v>
      </c>
      <c r="BC86" s="173" t="s">
        <v>725</v>
      </c>
      <c r="BD86" s="173" t="s">
        <v>725</v>
      </c>
      <c r="BE86" s="173" t="s">
        <v>725</v>
      </c>
      <c r="BF86" s="173" t="s">
        <v>725</v>
      </c>
      <c r="BG86" s="173" t="s">
        <v>725</v>
      </c>
      <c r="BH86" s="173" t="s">
        <v>725</v>
      </c>
      <c r="BI86" s="173" t="s">
        <v>725</v>
      </c>
      <c r="BJ86" s="173" t="s">
        <v>725</v>
      </c>
      <c r="BK86" s="173" t="s">
        <v>725</v>
      </c>
      <c r="BL86" s="173" t="s">
        <v>725</v>
      </c>
      <c r="BM86" s="173" t="s">
        <v>725</v>
      </c>
      <c r="BN86" s="173" t="s">
        <v>725</v>
      </c>
      <c r="BO86" s="173" t="s">
        <v>725</v>
      </c>
      <c r="BP86" s="173" t="s">
        <v>725</v>
      </c>
      <c r="BQ86" s="173" t="s">
        <v>725</v>
      </c>
      <c r="BR86" s="180">
        <f t="shared" si="235"/>
      </c>
      <c r="BS86" s="161" t="str">
        <v>#VALUE!</v>
      </c>
    </row>
    <row customHeight="true" ht="18.51851851851852" r="87">
      <c r="A87" s="161" t="s">
        <v>741</v>
      </c>
      <c r="B87" s="161" t="s">
        <v>730</v>
      </c>
      <c r="C87" s="183" t="s">
        <v>760</v>
      </c>
      <c r="D87" s="178" t="s">
        <v>767</v>
      </c>
      <c r="E87" s="186">
        <v>68.5</v>
      </c>
      <c r="F87" s="163">
        <v>99.99</v>
      </c>
      <c r="G87" s="164">
        <f t="shared" si="2"/>
      </c>
      <c r="H87" s="164">
        <f t="shared" si="67"/>
      </c>
      <c r="I87" s="164">
        <f t="shared" si="127"/>
      </c>
      <c r="J87" s="165">
        <f t="shared" si="208"/>
      </c>
      <c r="K87" s="166">
        <f t="shared" si="261"/>
      </c>
      <c r="L87" s="167">
        <f t="shared" si="332"/>
      </c>
      <c r="M87" s="164">
        <f t="shared" si="377"/>
      </c>
      <c r="N87" s="166">
        <f t="shared" si="420"/>
      </c>
      <c r="O87" s="166">
        <f t="shared" si="452"/>
      </c>
      <c r="P87" s="161">
        <v>12</v>
      </c>
      <c r="Q87" s="168">
        <v>8</v>
      </c>
      <c r="R87" s="169">
        <f t="shared" si="23"/>
      </c>
      <c r="S87" s="165">
        <f t="shared" si="518"/>
      </c>
      <c r="T87" s="169">
        <f t="shared" si="149"/>
      </c>
      <c r="U87" s="169">
        <v>0.01</v>
      </c>
      <c r="V87" s="169">
        <f t="shared" si="283"/>
      </c>
      <c r="W87" s="169">
        <f t="shared" si="354"/>
      </c>
      <c r="X87" s="170">
        <v>0.158</v>
      </c>
      <c r="Y87" s="171">
        <v>0</v>
      </c>
      <c r="Z87" s="171">
        <f t="shared" si="399"/>
      </c>
      <c r="AA87" s="171">
        <f t="shared" si="474"/>
      </c>
      <c r="AB87" s="166">
        <f t="shared" si="496"/>
      </c>
      <c r="AC87" s="166">
        <v>208</v>
      </c>
      <c r="AD87" s="172">
        <f t="shared" si="43"/>
      </c>
      <c r="AE87" s="168">
        <f t="shared" si="94"/>
      </c>
      <c r="AF87" s="169">
        <f t="shared" si="168"/>
      </c>
      <c r="AG87" s="169">
        <f t="shared" si="313"/>
      </c>
      <c r="AH87" s="168">
        <v>13</v>
      </c>
      <c r="AI87" s="169">
        <f t="shared" si="305"/>
      </c>
      <c r="AJ87" s="169"/>
      <c r="AK87" s="169"/>
      <c r="AL87" s="169"/>
      <c r="AM87" s="169"/>
      <c r="AN87" s="173"/>
      <c r="AO87" s="173"/>
      <c r="AP87" s="173"/>
      <c r="AQ87" s="173"/>
      <c r="AR87" s="173"/>
      <c r="AS87" s="173"/>
      <c r="AT87" s="173" t="s">
        <v>725</v>
      </c>
      <c r="AU87" s="173" t="s">
        <v>725</v>
      </c>
      <c r="AV87" s="173" t="s">
        <v>725</v>
      </c>
      <c r="AW87" s="173" t="s">
        <v>725</v>
      </c>
      <c r="AX87" s="173" t="s">
        <v>725</v>
      </c>
      <c r="AY87" s="173" t="s">
        <v>725</v>
      </c>
      <c r="AZ87" s="173" t="s">
        <v>725</v>
      </c>
      <c r="BA87" s="173" t="s">
        <v>725</v>
      </c>
      <c r="BB87" s="173" t="s">
        <v>725</v>
      </c>
      <c r="BC87" s="173" t="s">
        <v>725</v>
      </c>
      <c r="BD87" s="173" t="s">
        <v>725</v>
      </c>
      <c r="BE87" s="173" t="s">
        <v>725</v>
      </c>
      <c r="BF87" s="173" t="s">
        <v>725</v>
      </c>
      <c r="BG87" s="173" t="s">
        <v>725</v>
      </c>
      <c r="BH87" s="173" t="s">
        <v>725</v>
      </c>
      <c r="BI87" s="173" t="s">
        <v>725</v>
      </c>
      <c r="BJ87" s="173" t="s">
        <v>725</v>
      </c>
      <c r="BK87" s="173" t="s">
        <v>725</v>
      </c>
      <c r="BL87" s="173" t="s">
        <v>725</v>
      </c>
      <c r="BM87" s="173" t="s">
        <v>725</v>
      </c>
      <c r="BN87" s="173" t="s">
        <v>725</v>
      </c>
      <c r="BO87" s="173" t="s">
        <v>725</v>
      </c>
      <c r="BP87" s="173" t="s">
        <v>725</v>
      </c>
      <c r="BQ87" s="173" t="s">
        <v>725</v>
      </c>
      <c r="BR87" s="180">
        <f t="shared" si="235"/>
      </c>
      <c r="BS87" s="161" t="str">
        <v>#VALUE!</v>
      </c>
    </row>
    <row customHeight="true" ht="18.51851851851852" r="88">
      <c r="A88" s="161"/>
      <c r="B88" s="161"/>
      <c r="C88" s="161"/>
      <c r="D88" s="187"/>
      <c r="E88" s="166"/>
      <c r="F88" s="179"/>
      <c r="G88" s="164"/>
      <c r="H88" s="164"/>
      <c r="I88" s="164"/>
      <c r="J88" s="165"/>
      <c r="K88" s="166"/>
      <c r="L88" s="167"/>
      <c r="M88" s="164"/>
      <c r="N88" s="166"/>
      <c r="O88" s="166"/>
      <c r="P88" s="161"/>
      <c r="Q88" s="168"/>
      <c r="R88" s="169"/>
      <c r="S88" s="165"/>
      <c r="T88" s="169"/>
      <c r="U88" s="169"/>
      <c r="V88" s="169"/>
      <c r="W88" s="169"/>
      <c r="X88" s="170"/>
      <c r="Y88" s="171"/>
      <c r="Z88" s="171"/>
      <c r="AA88" s="171"/>
      <c r="AB88" s="166"/>
      <c r="AC88" s="166"/>
      <c r="AD88" s="172"/>
      <c r="AE88" s="168"/>
      <c r="AF88" s="169"/>
      <c r="AG88" s="169"/>
      <c r="AH88" s="168"/>
      <c r="AI88" s="169"/>
      <c r="AJ88" s="169"/>
      <c r="AK88" s="169"/>
      <c r="AL88" s="169"/>
      <c r="AM88" s="169"/>
      <c r="AN88" s="173"/>
      <c r="AO88" s="173"/>
      <c r="AP88" s="173"/>
      <c r="AQ88" s="173"/>
      <c r="AR88" s="173"/>
      <c r="AS88" s="173"/>
      <c r="AT88" s="173"/>
      <c r="AU88" s="173"/>
      <c r="AV88" s="173"/>
      <c r="AW88" s="173"/>
      <c r="AX88" s="173"/>
      <c r="AY88" s="173"/>
      <c r="AZ88" s="173"/>
      <c r="BA88" s="173"/>
      <c r="BB88" s="173"/>
      <c r="BC88" s="173"/>
      <c r="BD88" s="173"/>
      <c r="BE88" s="173"/>
      <c r="BF88" s="173"/>
      <c r="BG88" s="173"/>
      <c r="BH88" s="173"/>
      <c r="BI88" s="173"/>
      <c r="BJ88" s="173"/>
      <c r="BK88" s="173"/>
      <c r="BL88" s="173"/>
      <c r="BM88" s="173"/>
      <c r="BN88" s="173"/>
      <c r="BO88" s="173"/>
      <c r="BP88" s="173"/>
      <c r="BQ88" s="173"/>
      <c r="BR88" s="180"/>
      <c r="BS88" s="161"/>
    </row>
    <row customHeight="true" ht="18.51851851851852" r="89">
      <c r="A89" s="161" t="s">
        <v>729</v>
      </c>
      <c r="B89" s="161" t="s">
        <v>730</v>
      </c>
      <c r="C89" s="183" t="s">
        <v>768</v>
      </c>
      <c r="D89" s="162" t="s">
        <v>769</v>
      </c>
      <c r="E89" s="186">
        <v>25.55</v>
      </c>
      <c r="F89" s="163">
        <v>36.99</v>
      </c>
      <c r="G89" s="164">
        <f t="shared" ref="G89:G104" si="3">(F89-Z89)</f>
      </c>
      <c r="H89" s="164">
        <f t="shared" ref="H89:H104" si="68">(F89-Z89)/1.2</f>
      </c>
      <c r="I89" s="164">
        <f t="shared" ref="I89:I104" si="128">E89-N89/Q89-AB89-Y89-O89-Z89-AA89</f>
      </c>
      <c r="J89" s="165">
        <f t="shared" ref="J89:J104" si="209">I89/E89</f>
      </c>
      <c r="K89" s="166">
        <f t="shared" ref="K89:K104" si="262">F89/1.2</f>
      </c>
      <c r="L89" s="167">
        <f t="shared" ref="L89:L104" si="333">(K89-E89)/K89</f>
      </c>
      <c r="M89" s="164">
        <f t="shared" ref="M89:M104" si="378">F89/1.2-E89</f>
      </c>
      <c r="N89" s="166">
        <f>AD89+AH90</f>
      </c>
      <c r="O89" s="166">
        <f t="shared" ref="O89:O104" si="453">IFERROR(IF(A89="UK",8.95/P89,IF(A89="DE",7.75/P89,IF(A89="FR",14.25/P89,IF(A89="IT",15.25/P89,IF(A89="ES",19.25/P89,IF(A89="NL",16.75/P89,IF(A89="PL",14.05/P89,IF(A89="SE",18.25/P89,IF(A89="BE",14.25/P89))))))))),0)</f>
      </c>
      <c r="P89" s="161">
        <v>30</v>
      </c>
      <c r="Q89" s="168">
        <v>8</v>
      </c>
      <c r="R89" s="169">
        <f t="shared" ref="R89:R104" si="24">Y89/E89</f>
      </c>
      <c r="S89" s="165">
        <f t="shared" ref="S89:S104" si="519">Y89/F89</f>
      </c>
      <c r="T89" s="169">
        <f t="shared" ref="T89:T104" si="150">Z89/E89</f>
      </c>
      <c r="U89" s="169">
        <v>0.01</v>
      </c>
      <c r="V89" s="169">
        <f t="shared" ref="V89:V104" si="284">N89/(E89*Q89)</f>
      </c>
      <c r="W89" s="169">
        <f t="shared" ref="W89:W104" si="355">O89/E89</f>
      </c>
      <c r="X89" s="170">
        <v>0.1695</v>
      </c>
      <c r="Y89" s="171">
        <v>4</v>
      </c>
      <c r="Z89" s="171">
        <v>0</v>
      </c>
      <c r="AA89" s="171">
        <f t="shared" ref="AA89:AA104" si="475">E89*U89</f>
      </c>
      <c r="AB89" s="166">
        <f t="shared" ref="AB89:AB104" si="497">E89*X89</f>
      </c>
      <c r="AC89" s="166">
        <v>80.4</v>
      </c>
      <c r="AD89" s="172">
        <f t="shared" ref="AD89:AD104" si="44">AC89/1.13</f>
      </c>
      <c r="AE89" s="168">
        <f>AH90/Q89</f>
      </c>
      <c r="AF89" s="169">
        <f t="shared" ref="AF89:AF104" si="169">AD89/(E89*Q89)</f>
      </c>
      <c r="AG89" s="169">
        <f t="shared" ref="AG89:AG104" si="314">AE89/Q89/E89</f>
      </c>
      <c r="AH89" s="168">
        <v>8</v>
      </c>
      <c r="AI89" s="169">
        <f t="shared" ref="AI89:AI104" si="190">(H89-E89+AB89)/H89</f>
      </c>
      <c r="AJ89" s="169"/>
      <c r="AK89" s="169"/>
      <c r="AL89" s="169"/>
      <c r="AM89" s="169"/>
      <c r="AN89" s="173"/>
      <c r="AO89" s="173"/>
      <c r="AP89" s="173"/>
      <c r="AQ89" s="173"/>
      <c r="AR89" s="173"/>
      <c r="AS89" s="173"/>
      <c r="AT89" s="173" t="s">
        <v>725</v>
      </c>
      <c r="AU89" s="173" t="s">
        <v>725</v>
      </c>
      <c r="AV89" s="173" t="s">
        <v>725</v>
      </c>
      <c r="AW89" s="173" t="s">
        <v>725</v>
      </c>
      <c r="AX89" s="173" t="s">
        <v>725</v>
      </c>
      <c r="AY89" s="173" t="s">
        <v>725</v>
      </c>
      <c r="AZ89" s="173" t="s">
        <v>725</v>
      </c>
      <c r="BA89" s="173" t="s">
        <v>725</v>
      </c>
      <c r="BB89" s="173" t="s">
        <v>725</v>
      </c>
      <c r="BC89" s="173" t="s">
        <v>725</v>
      </c>
      <c r="BD89" s="173" t="s">
        <v>725</v>
      </c>
      <c r="BE89" s="173" t="s">
        <v>725</v>
      </c>
      <c r="BF89" s="173" t="s">
        <v>725</v>
      </c>
      <c r="BG89" s="173" t="s">
        <v>725</v>
      </c>
      <c r="BH89" s="173" t="s">
        <v>725</v>
      </c>
      <c r="BI89" s="173" t="s">
        <v>725</v>
      </c>
      <c r="BJ89" s="173" t="s">
        <v>725</v>
      </c>
      <c r="BK89" s="173" t="s">
        <v>725</v>
      </c>
      <c r="BL89" s="173" t="s">
        <v>725</v>
      </c>
      <c r="BM89" s="173" t="s">
        <v>725</v>
      </c>
      <c r="BN89" s="173" t="s">
        <v>725</v>
      </c>
      <c r="BO89" s="173" t="s">
        <v>725</v>
      </c>
      <c r="BP89" s="173" t="s">
        <v>725</v>
      </c>
      <c r="BQ89" s="173" t="s">
        <v>725</v>
      </c>
      <c r="BR89" s="174"/>
      <c r="BS89" s="161" t="str">
        <v>#VALUE!</v>
      </c>
    </row>
    <row customHeight="true" ht="18.51851851851852" r="90">
      <c r="A90" s="161" t="s">
        <v>729</v>
      </c>
      <c r="B90" s="161" t="s">
        <v>730</v>
      </c>
      <c r="C90" s="183" t="s">
        <v>768</v>
      </c>
      <c r="D90" s="162" t="s">
        <v>770</v>
      </c>
      <c r="E90" s="186">
        <v>25.55</v>
      </c>
      <c r="F90" s="163">
        <v>36.99</v>
      </c>
      <c r="G90" s="164">
        <f t="shared" si="3"/>
      </c>
      <c r="H90" s="164">
        <f t="shared" si="68"/>
      </c>
      <c r="I90" s="175">
        <f t="shared" si="128"/>
      </c>
      <c r="J90" s="165">
        <f t="shared" si="209"/>
      </c>
      <c r="K90" s="166">
        <f t="shared" si="262"/>
      </c>
      <c r="L90" s="167">
        <f t="shared" si="333"/>
      </c>
      <c r="M90" s="164">
        <f t="shared" si="378"/>
      </c>
      <c r="N90" s="166">
        <f t="shared" ref="N90:N104" si="421">AD90+AH90</f>
      </c>
      <c r="O90" s="166">
        <f t="shared" si="453"/>
      </c>
      <c r="P90" s="161">
        <v>30</v>
      </c>
      <c r="Q90" s="168">
        <v>8</v>
      </c>
      <c r="R90" s="169">
        <f t="shared" si="24"/>
      </c>
      <c r="S90" s="165">
        <f t="shared" si="519"/>
      </c>
      <c r="T90" s="169">
        <f t="shared" si="150"/>
      </c>
      <c r="U90" s="169">
        <v>0.01</v>
      </c>
      <c r="V90" s="169">
        <f t="shared" si="284"/>
      </c>
      <c r="W90" s="169">
        <f t="shared" si="355"/>
      </c>
      <c r="X90" s="170">
        <v>0.1695</v>
      </c>
      <c r="Y90" s="171">
        <v>4</v>
      </c>
      <c r="Z90" s="171">
        <f>F90*0.1</f>
      </c>
      <c r="AA90" s="171">
        <f t="shared" si="475"/>
      </c>
      <c r="AB90" s="166">
        <f t="shared" si="497"/>
      </c>
      <c r="AC90" s="166">
        <v>80.4</v>
      </c>
      <c r="AD90" s="172">
        <f t="shared" si="44"/>
      </c>
      <c r="AE90" s="168">
        <f t="shared" ref="AE90:AE104" si="95">AH90/Q90</f>
      </c>
      <c r="AF90" s="169">
        <f t="shared" si="169"/>
      </c>
      <c r="AG90" s="169">
        <f t="shared" si="314"/>
      </c>
      <c r="AH90" s="168">
        <v>8</v>
      </c>
      <c r="AI90" s="169">
        <f t="shared" si="190"/>
      </c>
      <c r="AJ90" s="169"/>
      <c r="AK90" s="169"/>
      <c r="AL90" s="169"/>
      <c r="AM90" s="169"/>
      <c r="AN90" s="173"/>
      <c r="AO90" s="173"/>
      <c r="AP90" s="173"/>
      <c r="AQ90" s="173"/>
      <c r="AR90" s="173"/>
      <c r="AS90" s="173"/>
      <c r="AT90" s="173" t="s">
        <v>725</v>
      </c>
      <c r="AU90" s="173" t="s">
        <v>725</v>
      </c>
      <c r="AV90" s="173" t="s">
        <v>725</v>
      </c>
      <c r="AW90" s="173" t="s">
        <v>725</v>
      </c>
      <c r="AX90" s="173" t="s">
        <v>725</v>
      </c>
      <c r="AY90" s="173" t="s">
        <v>725</v>
      </c>
      <c r="AZ90" s="173" t="s">
        <v>725</v>
      </c>
      <c r="BA90" s="173" t="s">
        <v>725</v>
      </c>
      <c r="BB90" s="173" t="s">
        <v>725</v>
      </c>
      <c r="BC90" s="173" t="s">
        <v>725</v>
      </c>
      <c r="BD90" s="173" t="s">
        <v>725</v>
      </c>
      <c r="BE90" s="173" t="s">
        <v>725</v>
      </c>
      <c r="BF90" s="173" t="s">
        <v>725</v>
      </c>
      <c r="BG90" s="173" t="s">
        <v>725</v>
      </c>
      <c r="BH90" s="173" t="s">
        <v>725</v>
      </c>
      <c r="BI90" s="173" t="s">
        <v>725</v>
      </c>
      <c r="BJ90" s="173" t="s">
        <v>725</v>
      </c>
      <c r="BK90" s="173" t="s">
        <v>725</v>
      </c>
      <c r="BL90" s="173" t="s">
        <v>725</v>
      </c>
      <c r="BM90" s="173" t="s">
        <v>725</v>
      </c>
      <c r="BN90" s="173" t="s">
        <v>725</v>
      </c>
      <c r="BO90" s="173" t="s">
        <v>725</v>
      </c>
      <c r="BP90" s="173" t="s">
        <v>725</v>
      </c>
      <c r="BQ90" s="173" t="s">
        <v>725</v>
      </c>
      <c r="BR90" s="174"/>
      <c r="BS90" s="161" t="str">
        <v>#VALUE!</v>
      </c>
    </row>
    <row customHeight="true" ht="18.51851851851852" r="91">
      <c r="A91" s="161" t="s">
        <v>729</v>
      </c>
      <c r="B91" s="161" t="s">
        <v>730</v>
      </c>
      <c r="C91" s="183" t="s">
        <v>768</v>
      </c>
      <c r="D91" s="162" t="s">
        <v>771</v>
      </c>
      <c r="E91" s="186">
        <v>25.55</v>
      </c>
      <c r="F91" s="163">
        <v>36.99</v>
      </c>
      <c r="G91" s="164">
        <f t="shared" si="3"/>
      </c>
      <c r="H91" s="164">
        <f t="shared" si="68"/>
      </c>
      <c r="I91" s="164">
        <f t="shared" si="128"/>
      </c>
      <c r="J91" s="165">
        <f t="shared" si="209"/>
      </c>
      <c r="K91" s="166">
        <f t="shared" si="262"/>
      </c>
      <c r="L91" s="167">
        <f t="shared" si="333"/>
      </c>
      <c r="M91" s="164">
        <f t="shared" si="378"/>
      </c>
      <c r="N91" s="166">
        <f t="shared" si="421"/>
      </c>
      <c r="O91" s="166">
        <f t="shared" si="453"/>
      </c>
      <c r="P91" s="161">
        <v>30</v>
      </c>
      <c r="Q91" s="168">
        <v>8</v>
      </c>
      <c r="R91" s="169">
        <f t="shared" si="24"/>
      </c>
      <c r="S91" s="165">
        <f t="shared" si="519"/>
      </c>
      <c r="T91" s="169">
        <f t="shared" si="150"/>
      </c>
      <c r="U91" s="169">
        <v>0.01</v>
      </c>
      <c r="V91" s="169">
        <f t="shared" si="284"/>
      </c>
      <c r="W91" s="169">
        <f t="shared" si="355"/>
      </c>
      <c r="X91" s="170">
        <v>0.1695</v>
      </c>
      <c r="Y91" s="171">
        <v>4</v>
      </c>
      <c r="Z91" s="171">
        <f>F91*0.15</f>
      </c>
      <c r="AA91" s="171">
        <f t="shared" si="475"/>
      </c>
      <c r="AB91" s="166">
        <f t="shared" si="497"/>
      </c>
      <c r="AC91" s="166">
        <v>80.4</v>
      </c>
      <c r="AD91" s="172">
        <f t="shared" si="44"/>
      </c>
      <c r="AE91" s="168">
        <f t="shared" si="95"/>
      </c>
      <c r="AF91" s="169">
        <f t="shared" si="169"/>
      </c>
      <c r="AG91" s="169">
        <f t="shared" si="314"/>
      </c>
      <c r="AH91" s="168">
        <v>8</v>
      </c>
      <c r="AI91" s="169">
        <f t="shared" si="190"/>
      </c>
      <c r="AJ91" s="169"/>
      <c r="AK91" s="169"/>
      <c r="AL91" s="169"/>
      <c r="AM91" s="169"/>
      <c r="AN91" s="173"/>
      <c r="AO91" s="173"/>
      <c r="AP91" s="173"/>
      <c r="AQ91" s="173"/>
      <c r="AR91" s="173"/>
      <c r="AS91" s="173"/>
      <c r="AT91" s="173" t="s">
        <v>725</v>
      </c>
      <c r="AU91" s="173" t="s">
        <v>725</v>
      </c>
      <c r="AV91" s="173" t="s">
        <v>725</v>
      </c>
      <c r="AW91" s="173" t="s">
        <v>725</v>
      </c>
      <c r="AX91" s="173" t="s">
        <v>725</v>
      </c>
      <c r="AY91" s="173" t="s">
        <v>725</v>
      </c>
      <c r="AZ91" s="173" t="s">
        <v>725</v>
      </c>
      <c r="BA91" s="173" t="s">
        <v>725</v>
      </c>
      <c r="BB91" s="173" t="s">
        <v>725</v>
      </c>
      <c r="BC91" s="173" t="s">
        <v>725</v>
      </c>
      <c r="BD91" s="173" t="s">
        <v>725</v>
      </c>
      <c r="BE91" s="173" t="s">
        <v>725</v>
      </c>
      <c r="BF91" s="173" t="s">
        <v>725</v>
      </c>
      <c r="BG91" s="173" t="s">
        <v>725</v>
      </c>
      <c r="BH91" s="173" t="s">
        <v>725</v>
      </c>
      <c r="BI91" s="173" t="s">
        <v>725</v>
      </c>
      <c r="BJ91" s="173" t="s">
        <v>725</v>
      </c>
      <c r="BK91" s="173" t="s">
        <v>725</v>
      </c>
      <c r="BL91" s="173" t="s">
        <v>725</v>
      </c>
      <c r="BM91" s="173" t="s">
        <v>725</v>
      </c>
      <c r="BN91" s="173" t="s">
        <v>725</v>
      </c>
      <c r="BO91" s="173" t="s">
        <v>725</v>
      </c>
      <c r="BP91" s="173" t="s">
        <v>725</v>
      </c>
      <c r="BQ91" s="173" t="s">
        <v>725</v>
      </c>
      <c r="BR91" s="174"/>
      <c r="BS91" s="161" t="str">
        <v>#VALUE!</v>
      </c>
    </row>
    <row customHeight="true" ht="18.51851851851852" r="92">
      <c r="A92" s="161" t="s">
        <v>732</v>
      </c>
      <c r="B92" s="161" t="s">
        <v>730</v>
      </c>
      <c r="C92" s="183" t="s">
        <v>768</v>
      </c>
      <c r="D92" s="162" t="s">
        <v>769</v>
      </c>
      <c r="E92" s="186">
        <v>25.55</v>
      </c>
      <c r="F92" s="163">
        <v>36.99</v>
      </c>
      <c r="G92" s="164">
        <f t="shared" si="3"/>
      </c>
      <c r="H92" s="164">
        <f t="shared" si="68"/>
      </c>
      <c r="I92" s="164">
        <f t="shared" si="128"/>
      </c>
      <c r="J92" s="165">
        <f t="shared" si="209"/>
      </c>
      <c r="K92" s="166">
        <f t="shared" si="262"/>
      </c>
      <c r="L92" s="167">
        <f t="shared" si="333"/>
      </c>
      <c r="M92" s="164">
        <f t="shared" si="378"/>
      </c>
      <c r="N92" s="166">
        <f t="shared" si="421"/>
      </c>
      <c r="O92" s="166">
        <f t="shared" si="453"/>
      </c>
      <c r="P92" s="161">
        <v>30</v>
      </c>
      <c r="Q92" s="168">
        <v>8</v>
      </c>
      <c r="R92" s="169">
        <f t="shared" si="24"/>
      </c>
      <c r="S92" s="165">
        <f t="shared" si="519"/>
      </c>
      <c r="T92" s="169">
        <f t="shared" si="150"/>
      </c>
      <c r="U92" s="169">
        <v>0.01</v>
      </c>
      <c r="V92" s="169">
        <f t="shared" si="284"/>
      </c>
      <c r="W92" s="169">
        <f t="shared" si="355"/>
      </c>
      <c r="X92" s="170">
        <v>0.198</v>
      </c>
      <c r="Y92" s="171">
        <v>4</v>
      </c>
      <c r="Z92" s="171">
        <v>0</v>
      </c>
      <c r="AA92" s="171">
        <f t="shared" si="475"/>
      </c>
      <c r="AB92" s="166">
        <f t="shared" si="497"/>
      </c>
      <c r="AC92" s="166">
        <v>80.4</v>
      </c>
      <c r="AD92" s="172">
        <f t="shared" si="44"/>
      </c>
      <c r="AE92" s="168">
        <f t="shared" si="95"/>
      </c>
      <c r="AF92" s="169">
        <f t="shared" si="169"/>
      </c>
      <c r="AG92" s="169">
        <f t="shared" si="314"/>
      </c>
      <c r="AH92" s="168">
        <v>8</v>
      </c>
      <c r="AI92" s="169">
        <f t="shared" si="190"/>
      </c>
      <c r="AJ92" s="169"/>
      <c r="AK92" s="169"/>
      <c r="AL92" s="169"/>
      <c r="AM92" s="169"/>
      <c r="AN92" s="173"/>
      <c r="AO92" s="173"/>
      <c r="AP92" s="173"/>
      <c r="AQ92" s="173"/>
      <c r="AR92" s="173"/>
      <c r="AS92" s="173"/>
      <c r="AT92" s="173" t="s">
        <v>725</v>
      </c>
      <c r="AU92" s="173" t="s">
        <v>725</v>
      </c>
      <c r="AV92" s="173" t="s">
        <v>725</v>
      </c>
      <c r="AW92" s="173" t="s">
        <v>725</v>
      </c>
      <c r="AX92" s="173" t="s">
        <v>725</v>
      </c>
      <c r="AY92" s="173" t="s">
        <v>725</v>
      </c>
      <c r="AZ92" s="173" t="s">
        <v>725</v>
      </c>
      <c r="BA92" s="173" t="s">
        <v>725</v>
      </c>
      <c r="BB92" s="173" t="s">
        <v>725</v>
      </c>
      <c r="BC92" s="173" t="s">
        <v>725</v>
      </c>
      <c r="BD92" s="173" t="s">
        <v>725</v>
      </c>
      <c r="BE92" s="173" t="s">
        <v>725</v>
      </c>
      <c r="BF92" s="173" t="s">
        <v>725</v>
      </c>
      <c r="BG92" s="173" t="s">
        <v>725</v>
      </c>
      <c r="BH92" s="173" t="s">
        <v>725</v>
      </c>
      <c r="BI92" s="173" t="s">
        <v>725</v>
      </c>
      <c r="BJ92" s="173" t="s">
        <v>725</v>
      </c>
      <c r="BK92" s="173" t="s">
        <v>725</v>
      </c>
      <c r="BL92" s="173" t="s">
        <v>725</v>
      </c>
      <c r="BM92" s="173" t="s">
        <v>725</v>
      </c>
      <c r="BN92" s="173" t="s">
        <v>725</v>
      </c>
      <c r="BO92" s="173" t="s">
        <v>725</v>
      </c>
      <c r="BP92" s="173" t="s">
        <v>725</v>
      </c>
      <c r="BQ92" s="173" t="s">
        <v>725</v>
      </c>
      <c r="BR92" s="174"/>
      <c r="BS92" s="161" t="str">
        <v>#VALUE!</v>
      </c>
    </row>
    <row customHeight="true" ht="18.51851851851852" r="93">
      <c r="A93" s="161" t="s">
        <v>732</v>
      </c>
      <c r="B93" s="161" t="s">
        <v>730</v>
      </c>
      <c r="C93" s="183" t="s">
        <v>768</v>
      </c>
      <c r="D93" s="162" t="s">
        <v>770</v>
      </c>
      <c r="E93" s="186">
        <v>25.55</v>
      </c>
      <c r="F93" s="163">
        <v>36.99</v>
      </c>
      <c r="G93" s="164">
        <f t="shared" si="3"/>
      </c>
      <c r="H93" s="164">
        <f t="shared" si="68"/>
      </c>
      <c r="I93" s="175">
        <f t="shared" si="128"/>
      </c>
      <c r="J93" s="165">
        <f t="shared" si="209"/>
      </c>
      <c r="K93" s="166">
        <f t="shared" si="262"/>
      </c>
      <c r="L93" s="167">
        <f t="shared" si="333"/>
      </c>
      <c r="M93" s="164">
        <f t="shared" si="378"/>
      </c>
      <c r="N93" s="166">
        <f t="shared" si="421"/>
      </c>
      <c r="O93" s="166">
        <f t="shared" si="453"/>
      </c>
      <c r="P93" s="161">
        <v>30</v>
      </c>
      <c r="Q93" s="168">
        <v>8</v>
      </c>
      <c r="R93" s="169">
        <f t="shared" si="24"/>
      </c>
      <c r="S93" s="165">
        <f t="shared" si="519"/>
      </c>
      <c r="T93" s="169">
        <f t="shared" si="150"/>
      </c>
      <c r="U93" s="169">
        <v>0.01</v>
      </c>
      <c r="V93" s="169">
        <f t="shared" si="284"/>
      </c>
      <c r="W93" s="169">
        <f t="shared" si="355"/>
      </c>
      <c r="X93" s="170">
        <v>0.198</v>
      </c>
      <c r="Y93" s="171">
        <v>4</v>
      </c>
      <c r="Z93" s="171">
        <f>F93*0.1</f>
      </c>
      <c r="AA93" s="171">
        <f t="shared" si="475"/>
      </c>
      <c r="AB93" s="166">
        <f t="shared" si="497"/>
      </c>
      <c r="AC93" s="166">
        <v>80.4</v>
      </c>
      <c r="AD93" s="172">
        <f t="shared" si="44"/>
      </c>
      <c r="AE93" s="168">
        <f t="shared" si="95"/>
      </c>
      <c r="AF93" s="169">
        <f t="shared" si="169"/>
      </c>
      <c r="AG93" s="169">
        <f t="shared" si="314"/>
      </c>
      <c r="AH93" s="168">
        <v>8</v>
      </c>
      <c r="AI93" s="169">
        <f t="shared" si="190"/>
      </c>
      <c r="AJ93" s="169"/>
      <c r="AK93" s="169"/>
      <c r="AL93" s="169"/>
      <c r="AM93" s="169"/>
      <c r="AN93" s="173"/>
      <c r="AO93" s="173"/>
      <c r="AP93" s="173"/>
      <c r="AQ93" s="173"/>
      <c r="AR93" s="173"/>
      <c r="AS93" s="173"/>
      <c r="AT93" s="173" t="s">
        <v>725</v>
      </c>
      <c r="AU93" s="173" t="s">
        <v>725</v>
      </c>
      <c r="AV93" s="173" t="s">
        <v>725</v>
      </c>
      <c r="AW93" s="173" t="s">
        <v>725</v>
      </c>
      <c r="AX93" s="173" t="s">
        <v>725</v>
      </c>
      <c r="AY93" s="173" t="s">
        <v>725</v>
      </c>
      <c r="AZ93" s="173" t="s">
        <v>725</v>
      </c>
      <c r="BA93" s="173" t="s">
        <v>725</v>
      </c>
      <c r="BB93" s="173" t="s">
        <v>725</v>
      </c>
      <c r="BC93" s="173" t="s">
        <v>725</v>
      </c>
      <c r="BD93" s="173" t="s">
        <v>725</v>
      </c>
      <c r="BE93" s="173" t="s">
        <v>725</v>
      </c>
      <c r="BF93" s="173" t="s">
        <v>725</v>
      </c>
      <c r="BG93" s="173" t="s">
        <v>725</v>
      </c>
      <c r="BH93" s="173" t="s">
        <v>725</v>
      </c>
      <c r="BI93" s="173" t="s">
        <v>725</v>
      </c>
      <c r="BJ93" s="173" t="s">
        <v>725</v>
      </c>
      <c r="BK93" s="173" t="s">
        <v>725</v>
      </c>
      <c r="BL93" s="173" t="s">
        <v>725</v>
      </c>
      <c r="BM93" s="173" t="s">
        <v>725</v>
      </c>
      <c r="BN93" s="173" t="s">
        <v>725</v>
      </c>
      <c r="BO93" s="173" t="s">
        <v>725</v>
      </c>
      <c r="BP93" s="173" t="s">
        <v>725</v>
      </c>
      <c r="BQ93" s="173" t="s">
        <v>725</v>
      </c>
      <c r="BR93" s="174"/>
      <c r="BS93" s="161" t="str">
        <v>#VALUE!</v>
      </c>
    </row>
    <row customHeight="true" ht="18.51851851851852" r="94">
      <c r="A94" s="161" t="s">
        <v>732</v>
      </c>
      <c r="B94" s="161" t="s">
        <v>730</v>
      </c>
      <c r="C94" s="183" t="s">
        <v>768</v>
      </c>
      <c r="D94" s="162" t="s">
        <v>771</v>
      </c>
      <c r="E94" s="186">
        <v>25.55</v>
      </c>
      <c r="F94" s="163">
        <v>36.99</v>
      </c>
      <c r="G94" s="164">
        <f t="shared" si="3"/>
      </c>
      <c r="H94" s="164">
        <f t="shared" si="68"/>
      </c>
      <c r="I94" s="164">
        <f t="shared" si="128"/>
      </c>
      <c r="J94" s="165">
        <f t="shared" si="209"/>
      </c>
      <c r="K94" s="166">
        <f t="shared" si="262"/>
      </c>
      <c r="L94" s="167">
        <f t="shared" si="333"/>
      </c>
      <c r="M94" s="164">
        <f t="shared" si="378"/>
      </c>
      <c r="N94" s="166">
        <f t="shared" si="421"/>
      </c>
      <c r="O94" s="166">
        <f t="shared" si="453"/>
      </c>
      <c r="P94" s="161">
        <v>30</v>
      </c>
      <c r="Q94" s="168">
        <v>8</v>
      </c>
      <c r="R94" s="169">
        <f t="shared" si="24"/>
      </c>
      <c r="S94" s="165">
        <f t="shared" si="519"/>
      </c>
      <c r="T94" s="169">
        <f t="shared" si="150"/>
      </c>
      <c r="U94" s="169">
        <v>0.01</v>
      </c>
      <c r="V94" s="169">
        <f t="shared" si="284"/>
      </c>
      <c r="W94" s="169">
        <f t="shared" si="355"/>
      </c>
      <c r="X94" s="170">
        <v>0.198</v>
      </c>
      <c r="Y94" s="171">
        <v>4</v>
      </c>
      <c r="Z94" s="171">
        <f>F94*0.15</f>
      </c>
      <c r="AA94" s="171">
        <f t="shared" si="475"/>
      </c>
      <c r="AB94" s="166">
        <f t="shared" si="497"/>
      </c>
      <c r="AC94" s="166">
        <v>80.4</v>
      </c>
      <c r="AD94" s="172">
        <f t="shared" si="44"/>
      </c>
      <c r="AE94" s="168">
        <f t="shared" si="95"/>
      </c>
      <c r="AF94" s="169">
        <f t="shared" si="169"/>
      </c>
      <c r="AG94" s="169">
        <f t="shared" si="314"/>
      </c>
      <c r="AH94" s="168">
        <v>8</v>
      </c>
      <c r="AI94" s="169">
        <f t="shared" si="190"/>
      </c>
      <c r="AJ94" s="169"/>
      <c r="AK94" s="169"/>
      <c r="AL94" s="169"/>
      <c r="AM94" s="169"/>
      <c r="AN94" s="173"/>
      <c r="AO94" s="173"/>
      <c r="AP94" s="173"/>
      <c r="AQ94" s="173"/>
      <c r="AR94" s="173"/>
      <c r="AS94" s="173"/>
      <c r="AT94" s="173" t="s">
        <v>725</v>
      </c>
      <c r="AU94" s="173" t="s">
        <v>725</v>
      </c>
      <c r="AV94" s="173" t="s">
        <v>725</v>
      </c>
      <c r="AW94" s="173" t="s">
        <v>725</v>
      </c>
      <c r="AX94" s="173" t="s">
        <v>725</v>
      </c>
      <c r="AY94" s="173" t="s">
        <v>725</v>
      </c>
      <c r="AZ94" s="173" t="s">
        <v>725</v>
      </c>
      <c r="BA94" s="173" t="s">
        <v>725</v>
      </c>
      <c r="BB94" s="173" t="s">
        <v>725</v>
      </c>
      <c r="BC94" s="173" t="s">
        <v>725</v>
      </c>
      <c r="BD94" s="173" t="s">
        <v>725</v>
      </c>
      <c r="BE94" s="173" t="s">
        <v>725</v>
      </c>
      <c r="BF94" s="173" t="s">
        <v>725</v>
      </c>
      <c r="BG94" s="173" t="s">
        <v>725</v>
      </c>
      <c r="BH94" s="173" t="s">
        <v>725</v>
      </c>
      <c r="BI94" s="173" t="s">
        <v>725</v>
      </c>
      <c r="BJ94" s="173" t="s">
        <v>725</v>
      </c>
      <c r="BK94" s="173" t="s">
        <v>725</v>
      </c>
      <c r="BL94" s="173" t="s">
        <v>725</v>
      </c>
      <c r="BM94" s="173" t="s">
        <v>725</v>
      </c>
      <c r="BN94" s="173" t="s">
        <v>725</v>
      </c>
      <c r="BO94" s="173" t="s">
        <v>725</v>
      </c>
      <c r="BP94" s="173" t="s">
        <v>725</v>
      </c>
      <c r="BQ94" s="173" t="s">
        <v>725</v>
      </c>
      <c r="BR94" s="174"/>
      <c r="BS94" s="161" t="str">
        <v>#VALUE!</v>
      </c>
    </row>
    <row customHeight="true" ht="18.51851851851852" r="95">
      <c r="A95" s="161" t="s">
        <v>733</v>
      </c>
      <c r="B95" s="161" t="s">
        <v>730</v>
      </c>
      <c r="C95" s="183" t="s">
        <v>768</v>
      </c>
      <c r="D95" s="162" t="s">
        <v>769</v>
      </c>
      <c r="E95" s="186">
        <v>25.55</v>
      </c>
      <c r="F95" s="163">
        <v>36.99</v>
      </c>
      <c r="G95" s="164">
        <f t="shared" si="3"/>
      </c>
      <c r="H95" s="164">
        <f t="shared" si="68"/>
      </c>
      <c r="I95" s="164">
        <f t="shared" si="128"/>
      </c>
      <c r="J95" s="165">
        <f t="shared" si="209"/>
      </c>
      <c r="K95" s="166">
        <f t="shared" si="262"/>
      </c>
      <c r="L95" s="167">
        <f t="shared" si="333"/>
      </c>
      <c r="M95" s="164">
        <f t="shared" si="378"/>
      </c>
      <c r="N95" s="166">
        <f t="shared" si="421"/>
      </c>
      <c r="O95" s="166">
        <f t="shared" si="453"/>
      </c>
      <c r="P95" s="161">
        <v>30</v>
      </c>
      <c r="Q95" s="168">
        <v>8</v>
      </c>
      <c r="R95" s="169">
        <f t="shared" si="24"/>
      </c>
      <c r="S95" s="165">
        <f t="shared" si="519"/>
      </c>
      <c r="T95" s="169">
        <f t="shared" si="150"/>
      </c>
      <c r="U95" s="169">
        <v>0.01</v>
      </c>
      <c r="V95" s="169">
        <f t="shared" si="284"/>
      </c>
      <c r="W95" s="169">
        <f t="shared" si="355"/>
      </c>
      <c r="X95" s="170">
        <v>0.1846</v>
      </c>
      <c r="Y95" s="171">
        <v>4</v>
      </c>
      <c r="Z95" s="171">
        <v>0</v>
      </c>
      <c r="AA95" s="171">
        <f t="shared" si="475"/>
      </c>
      <c r="AB95" s="166">
        <f t="shared" si="497"/>
      </c>
      <c r="AC95" s="166">
        <v>80.4</v>
      </c>
      <c r="AD95" s="172">
        <f t="shared" si="44"/>
      </c>
      <c r="AE95" s="168">
        <f t="shared" si="95"/>
      </c>
      <c r="AF95" s="169">
        <f t="shared" si="169"/>
      </c>
      <c r="AG95" s="169">
        <f t="shared" si="314"/>
      </c>
      <c r="AH95" s="168">
        <v>8</v>
      </c>
      <c r="AI95" s="165">
        <f t="shared" si="190"/>
      </c>
      <c r="AJ95" s="165"/>
      <c r="AK95" s="165"/>
      <c r="AL95" s="165"/>
      <c r="AM95" s="165"/>
      <c r="AN95" s="173"/>
      <c r="AO95" s="173"/>
      <c r="AP95" s="173"/>
      <c r="AQ95" s="173"/>
      <c r="AR95" s="173"/>
      <c r="AS95" s="173"/>
      <c r="AT95" s="173" t="s">
        <v>725</v>
      </c>
      <c r="AU95" s="173" t="s">
        <v>725</v>
      </c>
      <c r="AV95" s="173" t="s">
        <v>725</v>
      </c>
      <c r="AW95" s="173" t="s">
        <v>725</v>
      </c>
      <c r="AX95" s="173" t="s">
        <v>725</v>
      </c>
      <c r="AY95" s="173" t="s">
        <v>725</v>
      </c>
      <c r="AZ95" s="173" t="s">
        <v>725</v>
      </c>
      <c r="BA95" s="173" t="s">
        <v>725</v>
      </c>
      <c r="BB95" s="173" t="s">
        <v>725</v>
      </c>
      <c r="BC95" s="173" t="s">
        <v>725</v>
      </c>
      <c r="BD95" s="173" t="s">
        <v>725</v>
      </c>
      <c r="BE95" s="173" t="s">
        <v>725</v>
      </c>
      <c r="BF95" s="173" t="s">
        <v>725</v>
      </c>
      <c r="BG95" s="173" t="s">
        <v>725</v>
      </c>
      <c r="BH95" s="173" t="s">
        <v>725</v>
      </c>
      <c r="BI95" s="173" t="s">
        <v>725</v>
      </c>
      <c r="BJ95" s="173" t="s">
        <v>725</v>
      </c>
      <c r="BK95" s="173" t="s">
        <v>725</v>
      </c>
      <c r="BL95" s="173" t="s">
        <v>725</v>
      </c>
      <c r="BM95" s="173" t="s">
        <v>725</v>
      </c>
      <c r="BN95" s="173" t="s">
        <v>725</v>
      </c>
      <c r="BO95" s="173" t="s">
        <v>725</v>
      </c>
      <c r="BP95" s="173" t="s">
        <v>725</v>
      </c>
      <c r="BQ95" s="173" t="s">
        <v>725</v>
      </c>
      <c r="BR95" s="174"/>
      <c r="BS95" s="161" t="str">
        <v>#VALUE!</v>
      </c>
    </row>
    <row customHeight="true" ht="18.51851851851852" r="96">
      <c r="A96" s="161" t="s">
        <v>733</v>
      </c>
      <c r="B96" s="161" t="s">
        <v>730</v>
      </c>
      <c r="C96" s="183" t="s">
        <v>768</v>
      </c>
      <c r="D96" s="162" t="s">
        <v>770</v>
      </c>
      <c r="E96" s="186">
        <v>25.55</v>
      </c>
      <c r="F96" s="163">
        <v>36.99</v>
      </c>
      <c r="G96" s="164">
        <f t="shared" si="3"/>
      </c>
      <c r="H96" s="164">
        <f t="shared" si="68"/>
      </c>
      <c r="I96" s="175">
        <f t="shared" si="128"/>
      </c>
      <c r="J96" s="165">
        <f t="shared" si="209"/>
      </c>
      <c r="K96" s="166">
        <f t="shared" si="262"/>
      </c>
      <c r="L96" s="167">
        <f t="shared" si="333"/>
      </c>
      <c r="M96" s="164">
        <f t="shared" si="378"/>
      </c>
      <c r="N96" s="166">
        <f t="shared" si="421"/>
      </c>
      <c r="O96" s="166">
        <f t="shared" si="453"/>
      </c>
      <c r="P96" s="161">
        <v>30</v>
      </c>
      <c r="Q96" s="168">
        <v>8</v>
      </c>
      <c r="R96" s="169">
        <f t="shared" si="24"/>
      </c>
      <c r="S96" s="165">
        <f t="shared" si="519"/>
      </c>
      <c r="T96" s="169">
        <f t="shared" si="150"/>
      </c>
      <c r="U96" s="169">
        <v>0.01</v>
      </c>
      <c r="V96" s="169">
        <f t="shared" si="284"/>
      </c>
      <c r="W96" s="169">
        <f t="shared" si="355"/>
      </c>
      <c r="X96" s="170">
        <v>0.1846</v>
      </c>
      <c r="Y96" s="171">
        <v>4</v>
      </c>
      <c r="Z96" s="171">
        <f>F96*0.1</f>
      </c>
      <c r="AA96" s="171">
        <f t="shared" si="475"/>
      </c>
      <c r="AB96" s="166">
        <f t="shared" si="497"/>
      </c>
      <c r="AC96" s="166">
        <v>80.4</v>
      </c>
      <c r="AD96" s="172">
        <f t="shared" si="44"/>
      </c>
      <c r="AE96" s="168">
        <f t="shared" si="95"/>
      </c>
      <c r="AF96" s="169">
        <f t="shared" si="169"/>
      </c>
      <c r="AG96" s="169">
        <f t="shared" si="314"/>
      </c>
      <c r="AH96" s="168">
        <v>8</v>
      </c>
      <c r="AI96" s="165">
        <f t="shared" si="190"/>
      </c>
      <c r="AJ96" s="165"/>
      <c r="AK96" s="165"/>
      <c r="AL96" s="165"/>
      <c r="AM96" s="165"/>
      <c r="AN96" s="173"/>
      <c r="AO96" s="173"/>
      <c r="AP96" s="173"/>
      <c r="AQ96" s="173"/>
      <c r="AR96" s="173"/>
      <c r="AS96" s="173"/>
      <c r="AT96" s="173" t="s">
        <v>725</v>
      </c>
      <c r="AU96" s="173" t="s">
        <v>725</v>
      </c>
      <c r="AV96" s="173" t="s">
        <v>725</v>
      </c>
      <c r="AW96" s="173" t="s">
        <v>725</v>
      </c>
      <c r="AX96" s="173" t="s">
        <v>725</v>
      </c>
      <c r="AY96" s="173" t="s">
        <v>725</v>
      </c>
      <c r="AZ96" s="173" t="s">
        <v>725</v>
      </c>
      <c r="BA96" s="173" t="s">
        <v>725</v>
      </c>
      <c r="BB96" s="173" t="s">
        <v>725</v>
      </c>
      <c r="BC96" s="173" t="s">
        <v>725</v>
      </c>
      <c r="BD96" s="173" t="s">
        <v>725</v>
      </c>
      <c r="BE96" s="173" t="s">
        <v>725</v>
      </c>
      <c r="BF96" s="173" t="s">
        <v>725</v>
      </c>
      <c r="BG96" s="173" t="s">
        <v>725</v>
      </c>
      <c r="BH96" s="173" t="s">
        <v>725</v>
      </c>
      <c r="BI96" s="173" t="s">
        <v>725</v>
      </c>
      <c r="BJ96" s="173" t="s">
        <v>725</v>
      </c>
      <c r="BK96" s="173" t="s">
        <v>725</v>
      </c>
      <c r="BL96" s="173" t="s">
        <v>725</v>
      </c>
      <c r="BM96" s="173" t="s">
        <v>725</v>
      </c>
      <c r="BN96" s="173" t="s">
        <v>725</v>
      </c>
      <c r="BO96" s="173" t="s">
        <v>725</v>
      </c>
      <c r="BP96" s="173" t="s">
        <v>725</v>
      </c>
      <c r="BQ96" s="173" t="s">
        <v>725</v>
      </c>
      <c r="BR96" s="174"/>
      <c r="BS96" s="161" t="str">
        <v>#VALUE!</v>
      </c>
    </row>
    <row customHeight="true" ht="18.51851851851852" r="97">
      <c r="A97" s="161" t="s">
        <v>733</v>
      </c>
      <c r="B97" s="161" t="s">
        <v>730</v>
      </c>
      <c r="C97" s="183" t="s">
        <v>768</v>
      </c>
      <c r="D97" s="162" t="s">
        <v>771</v>
      </c>
      <c r="E97" s="186">
        <v>25.55</v>
      </c>
      <c r="F97" s="163">
        <v>36.99</v>
      </c>
      <c r="G97" s="164">
        <f t="shared" si="3"/>
      </c>
      <c r="H97" s="164">
        <f t="shared" si="68"/>
      </c>
      <c r="I97" s="164">
        <f t="shared" si="128"/>
      </c>
      <c r="J97" s="165">
        <f t="shared" si="209"/>
      </c>
      <c r="K97" s="166">
        <f t="shared" si="262"/>
      </c>
      <c r="L97" s="167">
        <f t="shared" si="333"/>
      </c>
      <c r="M97" s="164">
        <f t="shared" si="378"/>
      </c>
      <c r="N97" s="166">
        <f t="shared" si="421"/>
      </c>
      <c r="O97" s="166">
        <f t="shared" si="453"/>
      </c>
      <c r="P97" s="161">
        <v>30</v>
      </c>
      <c r="Q97" s="168">
        <v>8</v>
      </c>
      <c r="R97" s="169">
        <f t="shared" si="24"/>
      </c>
      <c r="S97" s="165">
        <f t="shared" si="519"/>
      </c>
      <c r="T97" s="169">
        <f t="shared" si="150"/>
      </c>
      <c r="U97" s="169">
        <v>0.01</v>
      </c>
      <c r="V97" s="169">
        <f t="shared" si="284"/>
      </c>
      <c r="W97" s="169">
        <f t="shared" si="355"/>
      </c>
      <c r="X97" s="170">
        <v>0.1846</v>
      </c>
      <c r="Y97" s="171">
        <v>4</v>
      </c>
      <c r="Z97" s="171">
        <f>F97*0.15</f>
      </c>
      <c r="AA97" s="171">
        <f t="shared" si="475"/>
      </c>
      <c r="AB97" s="166">
        <f t="shared" si="497"/>
      </c>
      <c r="AC97" s="166">
        <v>80.4</v>
      </c>
      <c r="AD97" s="172">
        <f t="shared" si="44"/>
      </c>
      <c r="AE97" s="168">
        <f t="shared" si="95"/>
      </c>
      <c r="AF97" s="169">
        <f t="shared" si="169"/>
      </c>
      <c r="AG97" s="169">
        <f t="shared" si="314"/>
      </c>
      <c r="AH97" s="168">
        <v>8</v>
      </c>
      <c r="AI97" s="165">
        <f t="shared" si="190"/>
      </c>
      <c r="AJ97" s="165"/>
      <c r="AK97" s="165"/>
      <c r="AL97" s="165"/>
      <c r="AM97" s="165"/>
      <c r="AN97" s="173"/>
      <c r="AO97" s="173"/>
      <c r="AP97" s="173"/>
      <c r="AQ97" s="173"/>
      <c r="AR97" s="173"/>
      <c r="AS97" s="173"/>
      <c r="AT97" s="173" t="s">
        <v>725</v>
      </c>
      <c r="AU97" s="173" t="s">
        <v>725</v>
      </c>
      <c r="AV97" s="173" t="s">
        <v>725</v>
      </c>
      <c r="AW97" s="173" t="s">
        <v>725</v>
      </c>
      <c r="AX97" s="173" t="s">
        <v>725</v>
      </c>
      <c r="AY97" s="173" t="s">
        <v>725</v>
      </c>
      <c r="AZ97" s="173" t="s">
        <v>725</v>
      </c>
      <c r="BA97" s="173" t="s">
        <v>725</v>
      </c>
      <c r="BB97" s="173" t="s">
        <v>725</v>
      </c>
      <c r="BC97" s="173" t="s">
        <v>725</v>
      </c>
      <c r="BD97" s="173" t="s">
        <v>725</v>
      </c>
      <c r="BE97" s="173" t="s">
        <v>725</v>
      </c>
      <c r="BF97" s="173" t="s">
        <v>725</v>
      </c>
      <c r="BG97" s="173" t="s">
        <v>725</v>
      </c>
      <c r="BH97" s="173" t="s">
        <v>725</v>
      </c>
      <c r="BI97" s="173" t="s">
        <v>725</v>
      </c>
      <c r="BJ97" s="173" t="s">
        <v>725</v>
      </c>
      <c r="BK97" s="173" t="s">
        <v>725</v>
      </c>
      <c r="BL97" s="173" t="s">
        <v>725</v>
      </c>
      <c r="BM97" s="173" t="s">
        <v>725</v>
      </c>
      <c r="BN97" s="173" t="s">
        <v>725</v>
      </c>
      <c r="BO97" s="173" t="s">
        <v>725</v>
      </c>
      <c r="BP97" s="173" t="s">
        <v>725</v>
      </c>
      <c r="BQ97" s="173" t="s">
        <v>725</v>
      </c>
      <c r="BR97" s="174"/>
      <c r="BS97" s="161" t="str">
        <v>#VALUE!</v>
      </c>
    </row>
    <row customHeight="true" ht="18.51851851851852" r="98">
      <c r="A98" s="161" t="s">
        <v>734</v>
      </c>
      <c r="B98" s="161" t="s">
        <v>730</v>
      </c>
      <c r="C98" s="183" t="s">
        <v>768</v>
      </c>
      <c r="D98" s="162" t="s">
        <v>769</v>
      </c>
      <c r="E98" s="186">
        <v>25.55</v>
      </c>
      <c r="F98" s="163">
        <v>36.99</v>
      </c>
      <c r="G98" s="164">
        <f t="shared" si="3"/>
      </c>
      <c r="H98" s="164">
        <f t="shared" si="68"/>
      </c>
      <c r="I98" s="164">
        <f t="shared" si="128"/>
      </c>
      <c r="J98" s="165">
        <f t="shared" si="209"/>
      </c>
      <c r="K98" s="166">
        <f t="shared" si="262"/>
      </c>
      <c r="L98" s="167">
        <f t="shared" si="333"/>
      </c>
      <c r="M98" s="164">
        <f t="shared" si="378"/>
      </c>
      <c r="N98" s="166">
        <f t="shared" si="421"/>
      </c>
      <c r="O98" s="166">
        <f t="shared" si="453"/>
      </c>
      <c r="P98" s="161">
        <v>30</v>
      </c>
      <c r="Q98" s="168">
        <v>8</v>
      </c>
      <c r="R98" s="169">
        <f t="shared" si="24"/>
      </c>
      <c r="S98" s="165">
        <f t="shared" si="519"/>
      </c>
      <c r="T98" s="169">
        <f t="shared" si="150"/>
      </c>
      <c r="U98" s="169">
        <v>0.01</v>
      </c>
      <c r="V98" s="169">
        <f t="shared" si="284"/>
      </c>
      <c r="W98" s="169">
        <f t="shared" si="355"/>
      </c>
      <c r="X98" s="170">
        <v>0.1646</v>
      </c>
      <c r="Y98" s="171">
        <v>4</v>
      </c>
      <c r="Z98" s="171">
        <v>0</v>
      </c>
      <c r="AA98" s="171">
        <f t="shared" si="475"/>
      </c>
      <c r="AB98" s="166">
        <f t="shared" si="497"/>
      </c>
      <c r="AC98" s="166">
        <v>80.4</v>
      </c>
      <c r="AD98" s="172">
        <f t="shared" si="44"/>
      </c>
      <c r="AE98" s="168">
        <f t="shared" si="95"/>
      </c>
      <c r="AF98" s="169">
        <f t="shared" si="169"/>
      </c>
      <c r="AG98" s="169">
        <f t="shared" si="314"/>
      </c>
      <c r="AH98" s="168">
        <v>8</v>
      </c>
      <c r="AI98" s="169">
        <f t="shared" si="190"/>
      </c>
      <c r="AJ98" s="169"/>
      <c r="AK98" s="169"/>
      <c r="AL98" s="169"/>
      <c r="AM98" s="169"/>
      <c r="AN98" s="173"/>
      <c r="AO98" s="173"/>
      <c r="AP98" s="173"/>
      <c r="AQ98" s="173"/>
      <c r="AR98" s="173"/>
      <c r="AS98" s="173"/>
      <c r="AT98" s="173" t="s">
        <v>725</v>
      </c>
      <c r="AU98" s="173" t="s">
        <v>725</v>
      </c>
      <c r="AV98" s="173" t="s">
        <v>725</v>
      </c>
      <c r="AW98" s="173" t="s">
        <v>725</v>
      </c>
      <c r="AX98" s="173" t="s">
        <v>725</v>
      </c>
      <c r="AY98" s="173" t="s">
        <v>725</v>
      </c>
      <c r="AZ98" s="173" t="s">
        <v>725</v>
      </c>
      <c r="BA98" s="173" t="s">
        <v>725</v>
      </c>
      <c r="BB98" s="173" t="s">
        <v>725</v>
      </c>
      <c r="BC98" s="173" t="s">
        <v>725</v>
      </c>
      <c r="BD98" s="173" t="s">
        <v>725</v>
      </c>
      <c r="BE98" s="173" t="s">
        <v>725</v>
      </c>
      <c r="BF98" s="173" t="s">
        <v>725</v>
      </c>
      <c r="BG98" s="173" t="s">
        <v>725</v>
      </c>
      <c r="BH98" s="173" t="s">
        <v>725</v>
      </c>
      <c r="BI98" s="173" t="s">
        <v>725</v>
      </c>
      <c r="BJ98" s="173" t="s">
        <v>725</v>
      </c>
      <c r="BK98" s="173" t="s">
        <v>725</v>
      </c>
      <c r="BL98" s="173" t="s">
        <v>725</v>
      </c>
      <c r="BM98" s="173" t="s">
        <v>725</v>
      </c>
      <c r="BN98" s="173" t="s">
        <v>725</v>
      </c>
      <c r="BO98" s="173" t="s">
        <v>725</v>
      </c>
      <c r="BP98" s="173" t="s">
        <v>725</v>
      </c>
      <c r="BQ98" s="173" t="s">
        <v>725</v>
      </c>
      <c r="BR98" s="174"/>
      <c r="BS98" s="161" t="str">
        <v>#VALUE!</v>
      </c>
    </row>
    <row customHeight="true" ht="18.51851851851852" r="99">
      <c r="A99" s="161" t="s">
        <v>734</v>
      </c>
      <c r="B99" s="161" t="s">
        <v>730</v>
      </c>
      <c r="C99" s="183" t="s">
        <v>768</v>
      </c>
      <c r="D99" s="162" t="s">
        <v>770</v>
      </c>
      <c r="E99" s="186">
        <v>25.55</v>
      </c>
      <c r="F99" s="163">
        <v>36.99</v>
      </c>
      <c r="G99" s="164">
        <f t="shared" si="3"/>
      </c>
      <c r="H99" s="164">
        <f t="shared" si="68"/>
      </c>
      <c r="I99" s="175">
        <f t="shared" si="128"/>
      </c>
      <c r="J99" s="165">
        <f t="shared" si="209"/>
      </c>
      <c r="K99" s="166">
        <f t="shared" si="262"/>
      </c>
      <c r="L99" s="167">
        <f t="shared" si="333"/>
      </c>
      <c r="M99" s="164">
        <f t="shared" si="378"/>
      </c>
      <c r="N99" s="166">
        <f t="shared" si="421"/>
      </c>
      <c r="O99" s="166">
        <f t="shared" si="453"/>
      </c>
      <c r="P99" s="161">
        <v>30</v>
      </c>
      <c r="Q99" s="168">
        <v>8</v>
      </c>
      <c r="R99" s="169">
        <f t="shared" si="24"/>
      </c>
      <c r="S99" s="165">
        <f t="shared" si="519"/>
      </c>
      <c r="T99" s="169">
        <f t="shared" si="150"/>
      </c>
      <c r="U99" s="169">
        <v>0.01</v>
      </c>
      <c r="V99" s="169">
        <f t="shared" si="284"/>
      </c>
      <c r="W99" s="169">
        <f t="shared" si="355"/>
      </c>
      <c r="X99" s="170">
        <v>0.1646</v>
      </c>
      <c r="Y99" s="171">
        <v>4</v>
      </c>
      <c r="Z99" s="171">
        <f>F99*0.1</f>
      </c>
      <c r="AA99" s="171">
        <f t="shared" si="475"/>
      </c>
      <c r="AB99" s="166">
        <f t="shared" si="497"/>
      </c>
      <c r="AC99" s="166">
        <v>80.4</v>
      </c>
      <c r="AD99" s="172">
        <f t="shared" si="44"/>
      </c>
      <c r="AE99" s="168">
        <f t="shared" si="95"/>
      </c>
      <c r="AF99" s="169">
        <f t="shared" si="169"/>
      </c>
      <c r="AG99" s="169">
        <f t="shared" si="314"/>
      </c>
      <c r="AH99" s="168">
        <v>8</v>
      </c>
      <c r="AI99" s="169">
        <f t="shared" si="190"/>
      </c>
      <c r="AJ99" s="169"/>
      <c r="AK99" s="169"/>
      <c r="AL99" s="169"/>
      <c r="AM99" s="169"/>
      <c r="AN99" s="173"/>
      <c r="AO99" s="173"/>
      <c r="AP99" s="173"/>
      <c r="AQ99" s="173"/>
      <c r="AR99" s="173"/>
      <c r="AS99" s="173"/>
      <c r="AT99" s="173" t="s">
        <v>725</v>
      </c>
      <c r="AU99" s="173" t="s">
        <v>725</v>
      </c>
      <c r="AV99" s="173" t="s">
        <v>725</v>
      </c>
      <c r="AW99" s="173" t="s">
        <v>725</v>
      </c>
      <c r="AX99" s="173" t="s">
        <v>725</v>
      </c>
      <c r="AY99" s="173" t="s">
        <v>725</v>
      </c>
      <c r="AZ99" s="173" t="s">
        <v>725</v>
      </c>
      <c r="BA99" s="173" t="s">
        <v>725</v>
      </c>
      <c r="BB99" s="173" t="s">
        <v>725</v>
      </c>
      <c r="BC99" s="173" t="s">
        <v>725</v>
      </c>
      <c r="BD99" s="173" t="s">
        <v>725</v>
      </c>
      <c r="BE99" s="173" t="s">
        <v>725</v>
      </c>
      <c r="BF99" s="173" t="s">
        <v>725</v>
      </c>
      <c r="BG99" s="173" t="s">
        <v>725</v>
      </c>
      <c r="BH99" s="173" t="s">
        <v>725</v>
      </c>
      <c r="BI99" s="173" t="s">
        <v>725</v>
      </c>
      <c r="BJ99" s="173" t="s">
        <v>725</v>
      </c>
      <c r="BK99" s="173" t="s">
        <v>725</v>
      </c>
      <c r="BL99" s="173" t="s">
        <v>725</v>
      </c>
      <c r="BM99" s="173" t="s">
        <v>725</v>
      </c>
      <c r="BN99" s="173" t="s">
        <v>725</v>
      </c>
      <c r="BO99" s="173" t="s">
        <v>725</v>
      </c>
      <c r="BP99" s="173" t="s">
        <v>725</v>
      </c>
      <c r="BQ99" s="173" t="s">
        <v>725</v>
      </c>
      <c r="BR99" s="174"/>
      <c r="BS99" s="161" t="str">
        <v>#VALUE!</v>
      </c>
    </row>
    <row customHeight="true" ht="18.51851851851852" r="100">
      <c r="A100" s="161" t="s">
        <v>734</v>
      </c>
      <c r="B100" s="161" t="s">
        <v>730</v>
      </c>
      <c r="C100" s="183" t="s">
        <v>768</v>
      </c>
      <c r="D100" s="162" t="s">
        <v>771</v>
      </c>
      <c r="E100" s="186">
        <v>25.55</v>
      </c>
      <c r="F100" s="163">
        <v>36.99</v>
      </c>
      <c r="G100" s="164">
        <f t="shared" si="3"/>
      </c>
      <c r="H100" s="164">
        <f t="shared" si="68"/>
      </c>
      <c r="I100" s="164">
        <f t="shared" si="128"/>
      </c>
      <c r="J100" s="165">
        <f t="shared" si="209"/>
      </c>
      <c r="K100" s="166">
        <f t="shared" si="262"/>
      </c>
      <c r="L100" s="167">
        <f t="shared" si="333"/>
      </c>
      <c r="M100" s="164">
        <f t="shared" si="378"/>
      </c>
      <c r="N100" s="166">
        <f t="shared" si="421"/>
      </c>
      <c r="O100" s="166">
        <f t="shared" si="453"/>
      </c>
      <c r="P100" s="161">
        <v>30</v>
      </c>
      <c r="Q100" s="168">
        <v>8</v>
      </c>
      <c r="R100" s="169">
        <f t="shared" si="24"/>
      </c>
      <c r="S100" s="165">
        <f t="shared" si="519"/>
      </c>
      <c r="T100" s="169">
        <f t="shared" si="150"/>
      </c>
      <c r="U100" s="169">
        <v>0.01</v>
      </c>
      <c r="V100" s="169">
        <f t="shared" si="284"/>
      </c>
      <c r="W100" s="169">
        <f t="shared" si="355"/>
      </c>
      <c r="X100" s="170">
        <v>0.1646</v>
      </c>
      <c r="Y100" s="171">
        <v>4</v>
      </c>
      <c r="Z100" s="171">
        <f>F100*0.15</f>
      </c>
      <c r="AA100" s="171">
        <f t="shared" si="475"/>
      </c>
      <c r="AB100" s="166">
        <f t="shared" si="497"/>
      </c>
      <c r="AC100" s="166">
        <v>80.4</v>
      </c>
      <c r="AD100" s="172">
        <f t="shared" si="44"/>
      </c>
      <c r="AE100" s="168">
        <f t="shared" si="95"/>
      </c>
      <c r="AF100" s="169">
        <f t="shared" si="169"/>
      </c>
      <c r="AG100" s="169">
        <f t="shared" si="314"/>
      </c>
      <c r="AH100" s="168">
        <v>8</v>
      </c>
      <c r="AI100" s="169">
        <f t="shared" si="190"/>
      </c>
      <c r="AJ100" s="169"/>
      <c r="AK100" s="169"/>
      <c r="AL100" s="169"/>
      <c r="AM100" s="169"/>
      <c r="AN100" s="173"/>
      <c r="AO100" s="173"/>
      <c r="AP100" s="173"/>
      <c r="AQ100" s="173"/>
      <c r="AR100" s="173"/>
      <c r="AS100" s="173"/>
      <c r="AT100" s="173" t="s">
        <v>725</v>
      </c>
      <c r="AU100" s="173" t="s">
        <v>725</v>
      </c>
      <c r="AV100" s="173" t="s">
        <v>725</v>
      </c>
      <c r="AW100" s="173" t="s">
        <v>725</v>
      </c>
      <c r="AX100" s="173" t="s">
        <v>725</v>
      </c>
      <c r="AY100" s="173" t="s">
        <v>725</v>
      </c>
      <c r="AZ100" s="173" t="s">
        <v>725</v>
      </c>
      <c r="BA100" s="173" t="s">
        <v>725</v>
      </c>
      <c r="BB100" s="173" t="s">
        <v>725</v>
      </c>
      <c r="BC100" s="173" t="s">
        <v>725</v>
      </c>
      <c r="BD100" s="173" t="s">
        <v>725</v>
      </c>
      <c r="BE100" s="173" t="s">
        <v>725</v>
      </c>
      <c r="BF100" s="173" t="s">
        <v>725</v>
      </c>
      <c r="BG100" s="173" t="s">
        <v>725</v>
      </c>
      <c r="BH100" s="173" t="s">
        <v>725</v>
      </c>
      <c r="BI100" s="173" t="s">
        <v>725</v>
      </c>
      <c r="BJ100" s="173" t="s">
        <v>725</v>
      </c>
      <c r="BK100" s="173" t="s">
        <v>725</v>
      </c>
      <c r="BL100" s="173" t="s">
        <v>725</v>
      </c>
      <c r="BM100" s="173" t="s">
        <v>725</v>
      </c>
      <c r="BN100" s="173" t="s">
        <v>725</v>
      </c>
      <c r="BO100" s="173" t="s">
        <v>725</v>
      </c>
      <c r="BP100" s="173" t="s">
        <v>725</v>
      </c>
      <c r="BQ100" s="173" t="s">
        <v>725</v>
      </c>
      <c r="BR100" s="174"/>
      <c r="BS100" s="161" t="str">
        <v>#VALUE!</v>
      </c>
    </row>
    <row customHeight="true" ht="18.51851851851852" r="101">
      <c r="A101" s="161" t="s">
        <v>735</v>
      </c>
      <c r="B101" s="161" t="s">
        <v>730</v>
      </c>
      <c r="C101" s="183" t="s">
        <v>768</v>
      </c>
      <c r="D101" s="178" t="s">
        <v>772</v>
      </c>
      <c r="E101" s="186">
        <v>34</v>
      </c>
      <c r="F101" s="163">
        <v>49.99</v>
      </c>
      <c r="G101" s="164">
        <f t="shared" si="3"/>
      </c>
      <c r="H101" s="164">
        <f t="shared" si="68"/>
      </c>
      <c r="I101" s="164">
        <f t="shared" si="128"/>
      </c>
      <c r="J101" s="165">
        <f t="shared" si="209"/>
      </c>
      <c r="K101" s="166">
        <f t="shared" si="262"/>
      </c>
      <c r="L101" s="167">
        <f t="shared" si="333"/>
      </c>
      <c r="M101" s="164">
        <f t="shared" si="378"/>
      </c>
      <c r="N101" s="166">
        <f t="shared" si="421"/>
      </c>
      <c r="O101" s="166">
        <f t="shared" si="453"/>
      </c>
      <c r="P101" s="161">
        <v>30</v>
      </c>
      <c r="Q101" s="168">
        <v>8</v>
      </c>
      <c r="R101" s="169">
        <f t="shared" si="24"/>
      </c>
      <c r="S101" s="165">
        <f t="shared" si="519"/>
      </c>
      <c r="T101" s="169">
        <f t="shared" si="150"/>
      </c>
      <c r="U101" s="169">
        <v>0.01</v>
      </c>
      <c r="V101" s="169">
        <f t="shared" si="284"/>
      </c>
      <c r="W101" s="169">
        <f t="shared" si="355"/>
      </c>
      <c r="X101" s="170">
        <v>0.158</v>
      </c>
      <c r="Y101" s="171">
        <v>0</v>
      </c>
      <c r="Z101" s="171">
        <f t="shared" ref="Z101:Z104" si="400">F101*0</f>
      </c>
      <c r="AA101" s="171">
        <f t="shared" si="475"/>
      </c>
      <c r="AB101" s="166">
        <f t="shared" si="497"/>
      </c>
      <c r="AC101" s="166">
        <v>80.4</v>
      </c>
      <c r="AD101" s="172">
        <f t="shared" si="44"/>
      </c>
      <c r="AE101" s="168">
        <f t="shared" si="95"/>
      </c>
      <c r="AF101" s="169">
        <f t="shared" si="169"/>
      </c>
      <c r="AG101" s="169">
        <f t="shared" si="314"/>
      </c>
      <c r="AH101" s="168">
        <v>8</v>
      </c>
      <c r="AI101" s="169">
        <f t="shared" si="190"/>
      </c>
      <c r="AJ101" s="173"/>
      <c r="AK101" s="173"/>
      <c r="AL101" s="173"/>
      <c r="AM101" s="173"/>
      <c r="AN101" s="173"/>
      <c r="AO101" s="173"/>
      <c r="AP101" s="173"/>
      <c r="AQ101" s="173"/>
      <c r="AR101" s="173"/>
      <c r="AS101" s="173"/>
      <c r="AT101" s="173" t="s">
        <v>725</v>
      </c>
      <c r="AU101" s="173" t="s">
        <v>725</v>
      </c>
      <c r="AV101" s="173" t="s">
        <v>725</v>
      </c>
      <c r="AW101" s="173" t="s">
        <v>725</v>
      </c>
      <c r="AX101" s="173" t="s">
        <v>725</v>
      </c>
      <c r="AY101" s="173" t="s">
        <v>725</v>
      </c>
      <c r="AZ101" s="173" t="s">
        <v>725</v>
      </c>
      <c r="BA101" s="173" t="s">
        <v>725</v>
      </c>
      <c r="BB101" s="173" t="s">
        <v>725</v>
      </c>
      <c r="BC101" s="173" t="s">
        <v>725</v>
      </c>
      <c r="BD101" s="173" t="s">
        <v>725</v>
      </c>
      <c r="BE101" s="173" t="s">
        <v>725</v>
      </c>
      <c r="BF101" s="173" t="s">
        <v>725</v>
      </c>
      <c r="BG101" s="173" t="s">
        <v>725</v>
      </c>
      <c r="BH101" s="173" t="s">
        <v>725</v>
      </c>
      <c r="BI101" s="173" t="s">
        <v>725</v>
      </c>
      <c r="BJ101" s="173" t="s">
        <v>725</v>
      </c>
      <c r="BK101" s="173" t="s">
        <v>725</v>
      </c>
      <c r="BL101" s="173" t="s">
        <v>725</v>
      </c>
      <c r="BM101" s="173" t="s">
        <v>725</v>
      </c>
      <c r="BN101" s="173" t="s">
        <v>725</v>
      </c>
      <c r="BO101" s="173" t="s">
        <v>725</v>
      </c>
      <c r="BP101" s="173" t="s">
        <v>725</v>
      </c>
      <c r="BQ101" s="173" t="s">
        <v>725</v>
      </c>
      <c r="BR101" s="180">
        <f t="shared" ref="BR101:BR104" si="236">IF(E101&lt;#REF!,1,0)</f>
      </c>
      <c r="BS101" s="161" t="str">
        <v>#VALUE!</v>
      </c>
    </row>
    <row customHeight="true" ht="18.51851851851852" r="102">
      <c r="A102" s="161" t="s">
        <v>737</v>
      </c>
      <c r="B102" s="161" t="s">
        <v>730</v>
      </c>
      <c r="C102" s="183" t="s">
        <v>768</v>
      </c>
      <c r="D102" s="178" t="s">
        <v>773</v>
      </c>
      <c r="E102" s="186">
        <v>34</v>
      </c>
      <c r="F102" s="163">
        <v>49.99</v>
      </c>
      <c r="G102" s="164">
        <f t="shared" si="3"/>
      </c>
      <c r="H102" s="164">
        <f t="shared" si="68"/>
      </c>
      <c r="I102" s="164">
        <f t="shared" si="128"/>
      </c>
      <c r="J102" s="165">
        <f t="shared" si="209"/>
      </c>
      <c r="K102" s="166">
        <f t="shared" si="262"/>
      </c>
      <c r="L102" s="167">
        <f t="shared" si="333"/>
      </c>
      <c r="M102" s="164">
        <f t="shared" si="378"/>
      </c>
      <c r="N102" s="166">
        <f t="shared" si="421"/>
      </c>
      <c r="O102" s="166">
        <f t="shared" si="453"/>
      </c>
      <c r="P102" s="161">
        <v>30</v>
      </c>
      <c r="Q102" s="168">
        <v>8</v>
      </c>
      <c r="R102" s="169">
        <f t="shared" si="24"/>
      </c>
      <c r="S102" s="165">
        <f t="shared" si="519"/>
      </c>
      <c r="T102" s="169">
        <f t="shared" si="150"/>
      </c>
      <c r="U102" s="169">
        <v>0.01</v>
      </c>
      <c r="V102" s="169">
        <f t="shared" si="284"/>
      </c>
      <c r="W102" s="169">
        <f t="shared" si="355"/>
      </c>
      <c r="X102" s="170">
        <v>0.223</v>
      </c>
      <c r="Y102" s="171">
        <v>0</v>
      </c>
      <c r="Z102" s="171">
        <f t="shared" si="400"/>
      </c>
      <c r="AA102" s="171">
        <f t="shared" si="475"/>
      </c>
      <c r="AB102" s="166">
        <f t="shared" si="497"/>
      </c>
      <c r="AC102" s="166">
        <v>80.4</v>
      </c>
      <c r="AD102" s="172">
        <f t="shared" si="44"/>
      </c>
      <c r="AE102" s="168">
        <f t="shared" si="95"/>
      </c>
      <c r="AF102" s="169">
        <f t="shared" si="169"/>
      </c>
      <c r="AG102" s="169">
        <f t="shared" si="314"/>
      </c>
      <c r="AH102" s="168">
        <v>8</v>
      </c>
      <c r="AI102" s="169">
        <f t="shared" si="190"/>
      </c>
      <c r="AJ102" s="173"/>
      <c r="AK102" s="173"/>
      <c r="AL102" s="173"/>
      <c r="AM102" s="173"/>
      <c r="AN102" s="173"/>
      <c r="AO102" s="173"/>
      <c r="AP102" s="173"/>
      <c r="AQ102" s="173"/>
      <c r="AR102" s="173"/>
      <c r="AS102" s="173"/>
      <c r="AT102" s="173" t="s">
        <v>725</v>
      </c>
      <c r="AU102" s="173" t="s">
        <v>725</v>
      </c>
      <c r="AV102" s="173" t="s">
        <v>725</v>
      </c>
      <c r="AW102" s="173" t="s">
        <v>725</v>
      </c>
      <c r="AX102" s="173" t="s">
        <v>725</v>
      </c>
      <c r="AY102" s="173" t="s">
        <v>725</v>
      </c>
      <c r="AZ102" s="173" t="s">
        <v>725</v>
      </c>
      <c r="BA102" s="173" t="s">
        <v>725</v>
      </c>
      <c r="BB102" s="173" t="s">
        <v>725</v>
      </c>
      <c r="BC102" s="173" t="s">
        <v>725</v>
      </c>
      <c r="BD102" s="173" t="s">
        <v>725</v>
      </c>
      <c r="BE102" s="173" t="s">
        <v>725</v>
      </c>
      <c r="BF102" s="173" t="s">
        <v>725</v>
      </c>
      <c r="BG102" s="173" t="s">
        <v>725</v>
      </c>
      <c r="BH102" s="173" t="s">
        <v>725</v>
      </c>
      <c r="BI102" s="173" t="s">
        <v>725</v>
      </c>
      <c r="BJ102" s="173" t="s">
        <v>725</v>
      </c>
      <c r="BK102" s="173" t="s">
        <v>725</v>
      </c>
      <c r="BL102" s="173" t="s">
        <v>725</v>
      </c>
      <c r="BM102" s="173" t="s">
        <v>725</v>
      </c>
      <c r="BN102" s="173" t="s">
        <v>725</v>
      </c>
      <c r="BO102" s="173" t="s">
        <v>725</v>
      </c>
      <c r="BP102" s="173" t="s">
        <v>725</v>
      </c>
      <c r="BQ102" s="173" t="s">
        <v>725</v>
      </c>
      <c r="BR102" s="180">
        <f t="shared" si="236"/>
      </c>
      <c r="BS102" s="161" t="str">
        <v>#VALUE!</v>
      </c>
    </row>
    <row customHeight="true" ht="18.51851851851852" r="103">
      <c r="A103" s="161" t="s">
        <v>739</v>
      </c>
      <c r="B103" s="161" t="s">
        <v>730</v>
      </c>
      <c r="C103" s="183" t="s">
        <v>768</v>
      </c>
      <c r="D103" s="178" t="s">
        <v>774</v>
      </c>
      <c r="E103" s="186">
        <v>34.5</v>
      </c>
      <c r="F103" s="163">
        <v>49.99</v>
      </c>
      <c r="G103" s="164">
        <f t="shared" si="3"/>
      </c>
      <c r="H103" s="164">
        <f t="shared" si="68"/>
      </c>
      <c r="I103" s="164">
        <f t="shared" si="128"/>
      </c>
      <c r="J103" s="165">
        <f t="shared" si="209"/>
      </c>
      <c r="K103" s="166">
        <f t="shared" si="262"/>
      </c>
      <c r="L103" s="167">
        <f t="shared" si="333"/>
      </c>
      <c r="M103" s="164">
        <f t="shared" si="378"/>
      </c>
      <c r="N103" s="166">
        <f t="shared" si="421"/>
      </c>
      <c r="O103" s="166">
        <f t="shared" si="453"/>
      </c>
      <c r="P103" s="161">
        <v>30</v>
      </c>
      <c r="Q103" s="168">
        <v>8</v>
      </c>
      <c r="R103" s="169">
        <f t="shared" si="24"/>
      </c>
      <c r="S103" s="165">
        <f t="shared" si="519"/>
      </c>
      <c r="T103" s="169">
        <f t="shared" si="150"/>
      </c>
      <c r="U103" s="169">
        <v>0.01</v>
      </c>
      <c r="V103" s="169">
        <f t="shared" si="284"/>
      </c>
      <c r="W103" s="169">
        <f t="shared" si="355"/>
      </c>
      <c r="X103" s="170">
        <v>0.223</v>
      </c>
      <c r="Y103" s="171">
        <v>0</v>
      </c>
      <c r="Z103" s="171">
        <f t="shared" si="400"/>
      </c>
      <c r="AA103" s="171">
        <f t="shared" si="475"/>
      </c>
      <c r="AB103" s="166">
        <f t="shared" si="497"/>
      </c>
      <c r="AC103" s="166">
        <v>80.4</v>
      </c>
      <c r="AD103" s="172">
        <f t="shared" si="44"/>
      </c>
      <c r="AE103" s="168">
        <f t="shared" si="95"/>
      </c>
      <c r="AF103" s="169">
        <f t="shared" si="169"/>
      </c>
      <c r="AG103" s="169">
        <f t="shared" si="314"/>
      </c>
      <c r="AH103" s="168">
        <v>8</v>
      </c>
      <c r="AI103" s="169">
        <f t="shared" si="190"/>
      </c>
      <c r="AJ103" s="173"/>
      <c r="AK103" s="173"/>
      <c r="AL103" s="173"/>
      <c r="AM103" s="173"/>
      <c r="AN103" s="173"/>
      <c r="AO103" s="173"/>
      <c r="AP103" s="173"/>
      <c r="AQ103" s="173"/>
      <c r="AR103" s="173"/>
      <c r="AS103" s="173"/>
      <c r="AT103" s="173" t="s">
        <v>725</v>
      </c>
      <c r="AU103" s="173" t="s">
        <v>725</v>
      </c>
      <c r="AV103" s="173" t="s">
        <v>725</v>
      </c>
      <c r="AW103" s="173" t="s">
        <v>725</v>
      </c>
      <c r="AX103" s="173" t="s">
        <v>725</v>
      </c>
      <c r="AY103" s="173" t="s">
        <v>725</v>
      </c>
      <c r="AZ103" s="173" t="s">
        <v>725</v>
      </c>
      <c r="BA103" s="173" t="s">
        <v>725</v>
      </c>
      <c r="BB103" s="173" t="s">
        <v>725</v>
      </c>
      <c r="BC103" s="173" t="s">
        <v>725</v>
      </c>
      <c r="BD103" s="173" t="s">
        <v>725</v>
      </c>
      <c r="BE103" s="173" t="s">
        <v>725</v>
      </c>
      <c r="BF103" s="173" t="s">
        <v>725</v>
      </c>
      <c r="BG103" s="173" t="s">
        <v>725</v>
      </c>
      <c r="BH103" s="173" t="s">
        <v>725</v>
      </c>
      <c r="BI103" s="173" t="s">
        <v>725</v>
      </c>
      <c r="BJ103" s="173" t="s">
        <v>725</v>
      </c>
      <c r="BK103" s="173" t="s">
        <v>725</v>
      </c>
      <c r="BL103" s="173" t="s">
        <v>725</v>
      </c>
      <c r="BM103" s="173" t="s">
        <v>725</v>
      </c>
      <c r="BN103" s="173" t="s">
        <v>725</v>
      </c>
      <c r="BO103" s="173" t="s">
        <v>725</v>
      </c>
      <c r="BP103" s="173" t="s">
        <v>725</v>
      </c>
      <c r="BQ103" s="173" t="s">
        <v>725</v>
      </c>
      <c r="BR103" s="180">
        <f t="shared" si="236"/>
      </c>
      <c r="BS103" s="161" t="str">
        <v>#VALUE!</v>
      </c>
    </row>
    <row customHeight="true" ht="18.51851851851852" r="104">
      <c r="A104" s="161" t="s">
        <v>741</v>
      </c>
      <c r="B104" s="161" t="s">
        <v>730</v>
      </c>
      <c r="C104" s="183" t="s">
        <v>768</v>
      </c>
      <c r="D104" s="178" t="s">
        <v>775</v>
      </c>
      <c r="E104" s="186">
        <v>34</v>
      </c>
      <c r="F104" s="163">
        <v>49.99</v>
      </c>
      <c r="G104" s="164">
        <f t="shared" si="3"/>
      </c>
      <c r="H104" s="164">
        <f t="shared" si="68"/>
      </c>
      <c r="I104" s="164">
        <f t="shared" si="128"/>
      </c>
      <c r="J104" s="165">
        <f t="shared" si="209"/>
      </c>
      <c r="K104" s="166">
        <f t="shared" si="262"/>
      </c>
      <c r="L104" s="167">
        <f t="shared" si="333"/>
      </c>
      <c r="M104" s="164">
        <f t="shared" si="378"/>
      </c>
      <c r="N104" s="166">
        <f t="shared" si="421"/>
      </c>
      <c r="O104" s="166">
        <f t="shared" si="453"/>
      </c>
      <c r="P104" s="161">
        <v>30</v>
      </c>
      <c r="Q104" s="168">
        <v>8</v>
      </c>
      <c r="R104" s="169">
        <f t="shared" si="24"/>
      </c>
      <c r="S104" s="165">
        <f t="shared" si="519"/>
      </c>
      <c r="T104" s="169">
        <f t="shared" si="150"/>
      </c>
      <c r="U104" s="169">
        <v>0.01</v>
      </c>
      <c r="V104" s="169">
        <f t="shared" si="284"/>
      </c>
      <c r="W104" s="169">
        <f t="shared" si="355"/>
      </c>
      <c r="X104" s="170">
        <v>0.158</v>
      </c>
      <c r="Y104" s="171">
        <v>0</v>
      </c>
      <c r="Z104" s="171">
        <f t="shared" si="400"/>
      </c>
      <c r="AA104" s="171">
        <f t="shared" si="475"/>
      </c>
      <c r="AB104" s="166">
        <f t="shared" si="497"/>
      </c>
      <c r="AC104" s="166">
        <v>80.4</v>
      </c>
      <c r="AD104" s="172">
        <f t="shared" si="44"/>
      </c>
      <c r="AE104" s="168">
        <f t="shared" si="95"/>
      </c>
      <c r="AF104" s="169">
        <f t="shared" si="169"/>
      </c>
      <c r="AG104" s="169">
        <f t="shared" si="314"/>
      </c>
      <c r="AH104" s="168">
        <v>8</v>
      </c>
      <c r="AI104" s="169">
        <f t="shared" si="190"/>
      </c>
      <c r="AJ104" s="169"/>
      <c r="AK104" s="169"/>
      <c r="AL104" s="169"/>
      <c r="AM104" s="169"/>
      <c r="AN104" s="173"/>
      <c r="AO104" s="173"/>
      <c r="AP104" s="173"/>
      <c r="AQ104" s="173"/>
      <c r="AR104" s="173"/>
      <c r="AS104" s="173"/>
      <c r="AT104" s="173" t="s">
        <v>725</v>
      </c>
      <c r="AU104" s="173" t="s">
        <v>725</v>
      </c>
      <c r="AV104" s="173" t="s">
        <v>725</v>
      </c>
      <c r="AW104" s="173" t="s">
        <v>725</v>
      </c>
      <c r="AX104" s="173" t="s">
        <v>725</v>
      </c>
      <c r="AY104" s="173" t="s">
        <v>725</v>
      </c>
      <c r="AZ104" s="173" t="s">
        <v>725</v>
      </c>
      <c r="BA104" s="173" t="s">
        <v>725</v>
      </c>
      <c r="BB104" s="173" t="s">
        <v>725</v>
      </c>
      <c r="BC104" s="173" t="s">
        <v>725</v>
      </c>
      <c r="BD104" s="173" t="s">
        <v>725</v>
      </c>
      <c r="BE104" s="173" t="s">
        <v>725</v>
      </c>
      <c r="BF104" s="173" t="s">
        <v>725</v>
      </c>
      <c r="BG104" s="173" t="s">
        <v>725</v>
      </c>
      <c r="BH104" s="173" t="s">
        <v>725</v>
      </c>
      <c r="BI104" s="173" t="s">
        <v>725</v>
      </c>
      <c r="BJ104" s="173" t="s">
        <v>725</v>
      </c>
      <c r="BK104" s="173" t="s">
        <v>725</v>
      </c>
      <c r="BL104" s="173" t="s">
        <v>725</v>
      </c>
      <c r="BM104" s="173" t="s">
        <v>725</v>
      </c>
      <c r="BN104" s="173" t="s">
        <v>725</v>
      </c>
      <c r="BO104" s="173" t="s">
        <v>725</v>
      </c>
      <c r="BP104" s="173" t="s">
        <v>725</v>
      </c>
      <c r="BQ104" s="173" t="s">
        <v>725</v>
      </c>
      <c r="BR104" s="180">
        <f t="shared" si="236"/>
      </c>
      <c r="BS104" s="161" t="str">
        <v>#VALUE!</v>
      </c>
    </row>
    <row customHeight="true" ht="18.51851851851852" r="105">
      <c r="A105" s="161"/>
      <c r="B105" s="161"/>
      <c r="C105" s="161"/>
      <c r="D105" s="187"/>
      <c r="E105" s="166"/>
      <c r="F105" s="179"/>
      <c r="G105" s="164"/>
      <c r="H105" s="164"/>
      <c r="I105" s="164"/>
      <c r="J105" s="165"/>
      <c r="K105" s="166"/>
      <c r="L105" s="167"/>
      <c r="M105" s="164"/>
      <c r="N105" s="166"/>
      <c r="O105" s="166"/>
      <c r="P105" s="161"/>
      <c r="Q105" s="168"/>
      <c r="R105" s="169"/>
      <c r="S105" s="165"/>
      <c r="T105" s="169"/>
      <c r="U105" s="169"/>
      <c r="V105" s="169"/>
      <c r="W105" s="169"/>
      <c r="X105" s="170"/>
      <c r="Y105" s="171"/>
      <c r="Z105" s="171"/>
      <c r="AA105" s="171"/>
      <c r="AB105" s="166"/>
      <c r="AC105" s="166"/>
      <c r="AD105" s="172"/>
      <c r="AE105" s="168"/>
      <c r="AF105" s="169"/>
      <c r="AG105" s="169"/>
      <c r="AH105" s="168"/>
      <c r="AI105" s="169"/>
      <c r="AJ105" s="169"/>
      <c r="AK105" s="169"/>
      <c r="AL105" s="169"/>
      <c r="AM105" s="169"/>
      <c r="AN105" s="173"/>
      <c r="AO105" s="173"/>
      <c r="AP105" s="173"/>
      <c r="AQ105" s="173"/>
      <c r="AR105" s="173"/>
      <c r="AS105" s="173"/>
      <c r="AT105" s="173"/>
      <c r="AU105" s="173"/>
      <c r="AV105" s="173"/>
      <c r="AW105" s="173"/>
      <c r="AX105" s="173"/>
      <c r="AY105" s="173"/>
      <c r="AZ105" s="173"/>
      <c r="BA105" s="173"/>
      <c r="BB105" s="173"/>
      <c r="BC105" s="173"/>
      <c r="BD105" s="173"/>
      <c r="BE105" s="173"/>
      <c r="BF105" s="173"/>
      <c r="BG105" s="173"/>
      <c r="BH105" s="173"/>
      <c r="BI105" s="173"/>
      <c r="BJ105" s="173"/>
      <c r="BK105" s="173"/>
      <c r="BL105" s="173"/>
      <c r="BM105" s="173"/>
      <c r="BN105" s="173"/>
      <c r="BO105" s="173"/>
      <c r="BP105" s="173"/>
      <c r="BQ105" s="173"/>
      <c r="BR105" s="180"/>
      <c r="BS105" s="161"/>
    </row>
    <row customHeight="true" ht="18.51851851851852" r="106">
      <c r="A106" s="161" t="s">
        <v>721</v>
      </c>
      <c r="B106" s="161" t="s">
        <v>722</v>
      </c>
      <c r="C106" s="183" t="s">
        <v>776</v>
      </c>
      <c r="D106" s="162" t="s">
        <v>777</v>
      </c>
      <c r="E106" s="186">
        <v>10.3</v>
      </c>
      <c r="F106" s="163">
        <v>14.99</v>
      </c>
      <c r="G106" s="164">
        <f t="shared" ref="G106:G124" si="4">(F106-Z106)</f>
      </c>
      <c r="H106" s="164">
        <f t="shared" ref="H106:H124" si="69">(F106-Z106)/1.2</f>
      </c>
      <c r="I106" s="182">
        <f t="shared" ref="I106:I124" si="129">E106-N106/Q106-AB106-Y106-O106-Z106-AA106</f>
      </c>
      <c r="J106" s="165">
        <f t="shared" ref="J106:J124" si="210">I106/E106</f>
      </c>
      <c r="K106" s="166">
        <f t="shared" ref="K106:K124" si="263">F106/1.2</f>
      </c>
      <c r="L106" s="167">
        <f t="shared" ref="L106:L124" si="334">(K106-E106)/K106</f>
      </c>
      <c r="M106" s="164">
        <f t="shared" ref="M106:M124" si="379">F106/1.2-E106</f>
      </c>
      <c r="N106" s="166">
        <f t="shared" ref="N106:N108" si="422">AD106+AH106</f>
      </c>
      <c r="O106" s="166">
        <f t="shared" ref="O106:O124" si="454">IFERROR(IF(A106="UK",8.95/P106,IF(A106="DE",7.75/P106,IF(A106="FR",14.25/P106,IF(A106="IT",15.25/P106,IF(A106="ES",19.25/P106,IF(A106="NL",16.75/P106,IF(A106="PL",14.05/P106,IF(A106="SE",18.25/P106,IF(A106="BE",14.25/P106))))))))),0)</f>
      </c>
      <c r="P106" s="161">
        <v>50</v>
      </c>
      <c r="Q106" s="168">
        <v>9</v>
      </c>
      <c r="R106" s="169">
        <f t="shared" ref="R106:R124" si="25">Y106/E106</f>
      </c>
      <c r="S106" s="165">
        <f t="shared" ref="S106:S108" si="86">Y106/H106</f>
      </c>
      <c r="T106" s="169">
        <f t="shared" ref="T106:T124" si="151">Z106/E106</f>
      </c>
      <c r="U106" s="169">
        <v>0.01</v>
      </c>
      <c r="V106" s="169">
        <f t="shared" ref="V106:V124" si="285">N106/(E106*Q106)</f>
      </c>
      <c r="W106" s="169">
        <f t="shared" ref="W106:W124" si="356">O106/E106</f>
      </c>
      <c r="X106" s="170">
        <v>0.158</v>
      </c>
      <c r="Y106" s="171">
        <v>2.5</v>
      </c>
      <c r="Z106" s="171">
        <f>F106*0</f>
      </c>
      <c r="AA106" s="171">
        <f t="shared" ref="AA106:AA124" si="476">E106*U106</f>
      </c>
      <c r="AB106" s="166">
        <f t="shared" ref="AB106:AB124" si="498">E106*X106</f>
      </c>
      <c r="AC106" s="166">
        <v>29.4</v>
      </c>
      <c r="AD106" s="172">
        <f t="shared" ref="AD106:AD124" si="45">AC106/1.13</f>
      </c>
      <c r="AE106" s="168">
        <f t="shared" ref="AE106:AE108" si="96">AH106/Q106</f>
      </c>
      <c r="AF106" s="169">
        <f t="shared" ref="AF106:AF124" si="170">AD106/(E106*Q106)</f>
      </c>
      <c r="AG106" s="169">
        <f t="shared" ref="AG106:AG108" si="229">AE106/E106</f>
      </c>
      <c r="AH106" s="168">
        <v>4</v>
      </c>
      <c r="AI106" s="169">
        <f t="shared" ref="AI106:AI113" si="191">(H106-E106+AB106)/H106</f>
      </c>
      <c r="AJ106" s="169"/>
      <c r="AK106" s="169"/>
      <c r="AL106" s="169"/>
      <c r="AM106" s="169"/>
      <c r="AN106" s="169"/>
      <c r="AO106" s="169"/>
      <c r="AP106" s="169"/>
      <c r="AQ106" s="169"/>
      <c r="AR106" s="169"/>
      <c r="AS106" s="169"/>
      <c r="AT106" s="173" t="s">
        <v>725</v>
      </c>
      <c r="AU106" s="173" t="s">
        <v>725</v>
      </c>
      <c r="AV106" s="173" t="s">
        <v>725</v>
      </c>
      <c r="AW106" s="173" t="s">
        <v>725</v>
      </c>
      <c r="AX106" s="173" t="s">
        <v>725</v>
      </c>
      <c r="AY106" s="173" t="s">
        <v>725</v>
      </c>
      <c r="AZ106" s="173" t="s">
        <v>725</v>
      </c>
      <c r="BA106" s="173" t="s">
        <v>725</v>
      </c>
      <c r="BB106" s="173" t="s">
        <v>725</v>
      </c>
      <c r="BC106" s="173" t="s">
        <v>725</v>
      </c>
      <c r="BD106" s="173" t="s">
        <v>725</v>
      </c>
      <c r="BE106" s="173" t="s">
        <v>725</v>
      </c>
      <c r="BF106" s="173" t="s">
        <v>725</v>
      </c>
      <c r="BG106" s="173" t="s">
        <v>725</v>
      </c>
      <c r="BH106" s="173" t="s">
        <v>725</v>
      </c>
      <c r="BI106" s="173" t="s">
        <v>725</v>
      </c>
      <c r="BJ106" s="173" t="s">
        <v>725</v>
      </c>
      <c r="BK106" s="173" t="s">
        <v>725</v>
      </c>
      <c r="BL106" s="173" t="s">
        <v>725</v>
      </c>
      <c r="BM106" s="173" t="s">
        <v>725</v>
      </c>
      <c r="BN106" s="173" t="s">
        <v>725</v>
      </c>
      <c r="BO106" s="173" t="s">
        <v>725</v>
      </c>
      <c r="BP106" s="173" t="s">
        <v>725</v>
      </c>
      <c r="BQ106" s="173" t="s">
        <v>725</v>
      </c>
      <c r="BR106" s="174"/>
      <c r="BS106" s="161" t="str">
        <v>#VALUE!</v>
      </c>
    </row>
    <row customHeight="true" ht="18.51851851851852" r="107">
      <c r="A107" s="161" t="s">
        <v>721</v>
      </c>
      <c r="B107" s="161" t="s">
        <v>722</v>
      </c>
      <c r="C107" s="183" t="s">
        <v>776</v>
      </c>
      <c r="D107" s="162" t="s">
        <v>778</v>
      </c>
      <c r="E107" s="186">
        <v>10.3</v>
      </c>
      <c r="F107" s="163">
        <v>14.99</v>
      </c>
      <c r="G107" s="164">
        <f t="shared" si="4"/>
      </c>
      <c r="H107" s="164">
        <f t="shared" si="69"/>
      </c>
      <c r="I107" s="164">
        <f t="shared" si="129"/>
      </c>
      <c r="J107" s="165">
        <f t="shared" si="210"/>
      </c>
      <c r="K107" s="166">
        <f t="shared" si="263"/>
      </c>
      <c r="L107" s="167">
        <f t="shared" si="334"/>
      </c>
      <c r="M107" s="164">
        <f t="shared" si="379"/>
      </c>
      <c r="N107" s="166">
        <f t="shared" si="422"/>
      </c>
      <c r="O107" s="166">
        <f t="shared" si="454"/>
      </c>
      <c r="P107" s="161">
        <v>50</v>
      </c>
      <c r="Q107" s="168">
        <v>9</v>
      </c>
      <c r="R107" s="169">
        <f t="shared" si="25"/>
      </c>
      <c r="S107" s="165">
        <f t="shared" si="86"/>
      </c>
      <c r="T107" s="169">
        <f t="shared" si="151"/>
      </c>
      <c r="U107" s="169">
        <v>0.01</v>
      </c>
      <c r="V107" s="169">
        <f t="shared" si="285"/>
      </c>
      <c r="W107" s="169">
        <f t="shared" si="356"/>
      </c>
      <c r="X107" s="170">
        <v>0.158</v>
      </c>
      <c r="Y107" s="171">
        <v>2.5</v>
      </c>
      <c r="Z107" s="171">
        <f>F107*0.05</f>
      </c>
      <c r="AA107" s="171">
        <f t="shared" si="476"/>
      </c>
      <c r="AB107" s="166">
        <f t="shared" si="498"/>
      </c>
      <c r="AC107" s="166">
        <v>29.4</v>
      </c>
      <c r="AD107" s="172">
        <f t="shared" si="45"/>
      </c>
      <c r="AE107" s="168">
        <f t="shared" si="96"/>
      </c>
      <c r="AF107" s="169">
        <f t="shared" si="170"/>
      </c>
      <c r="AG107" s="169">
        <f t="shared" si="229"/>
      </c>
      <c r="AH107" s="168">
        <v>4</v>
      </c>
      <c r="AI107" s="169">
        <f t="shared" si="191"/>
      </c>
      <c r="AJ107" s="169"/>
      <c r="AK107" s="169"/>
      <c r="AL107" s="169"/>
      <c r="AM107" s="169"/>
      <c r="AN107" s="169"/>
      <c r="AO107" s="169"/>
      <c r="AP107" s="169"/>
      <c r="AQ107" s="169"/>
      <c r="AR107" s="169"/>
      <c r="AS107" s="169"/>
      <c r="AT107" s="173" t="s">
        <v>725</v>
      </c>
      <c r="AU107" s="173" t="s">
        <v>725</v>
      </c>
      <c r="AV107" s="173" t="s">
        <v>725</v>
      </c>
      <c r="AW107" s="173" t="s">
        <v>725</v>
      </c>
      <c r="AX107" s="173" t="s">
        <v>725</v>
      </c>
      <c r="AY107" s="173" t="s">
        <v>725</v>
      </c>
      <c r="AZ107" s="173" t="s">
        <v>725</v>
      </c>
      <c r="BA107" s="173" t="s">
        <v>725</v>
      </c>
      <c r="BB107" s="173" t="s">
        <v>725</v>
      </c>
      <c r="BC107" s="173" t="s">
        <v>725</v>
      </c>
      <c r="BD107" s="173" t="s">
        <v>725</v>
      </c>
      <c r="BE107" s="173" t="s">
        <v>725</v>
      </c>
      <c r="BF107" s="173" t="s">
        <v>725</v>
      </c>
      <c r="BG107" s="173" t="s">
        <v>725</v>
      </c>
      <c r="BH107" s="173" t="s">
        <v>725</v>
      </c>
      <c r="BI107" s="173" t="s">
        <v>725</v>
      </c>
      <c r="BJ107" s="173" t="s">
        <v>725</v>
      </c>
      <c r="BK107" s="173" t="s">
        <v>725</v>
      </c>
      <c r="BL107" s="173" t="s">
        <v>725</v>
      </c>
      <c r="BM107" s="173" t="s">
        <v>725</v>
      </c>
      <c r="BN107" s="173" t="s">
        <v>725</v>
      </c>
      <c r="BO107" s="173" t="s">
        <v>725</v>
      </c>
      <c r="BP107" s="173" t="s">
        <v>725</v>
      </c>
      <c r="BQ107" s="173" t="s">
        <v>725</v>
      </c>
      <c r="BR107" s="174"/>
      <c r="BS107" s="161" t="str">
        <v>#VALUE!</v>
      </c>
    </row>
    <row customHeight="true" ht="18.51851851851852" r="108">
      <c r="A108" s="161" t="s">
        <v>721</v>
      </c>
      <c r="B108" s="161" t="s">
        <v>722</v>
      </c>
      <c r="C108" s="183" t="s">
        <v>776</v>
      </c>
      <c r="D108" s="162" t="s">
        <v>779</v>
      </c>
      <c r="E108" s="186">
        <v>10.3</v>
      </c>
      <c r="F108" s="163">
        <v>14.99</v>
      </c>
      <c r="G108" s="164">
        <f t="shared" si="4"/>
      </c>
      <c r="H108" s="164">
        <f t="shared" si="69"/>
      </c>
      <c r="I108" s="164">
        <f t="shared" si="129"/>
      </c>
      <c r="J108" s="165">
        <f t="shared" si="210"/>
      </c>
      <c r="K108" s="166">
        <f t="shared" si="263"/>
      </c>
      <c r="L108" s="167">
        <f t="shared" si="334"/>
      </c>
      <c r="M108" s="164">
        <f t="shared" si="379"/>
      </c>
      <c r="N108" s="166">
        <f t="shared" si="422"/>
      </c>
      <c r="O108" s="166">
        <f t="shared" si="454"/>
      </c>
      <c r="P108" s="161">
        <v>50</v>
      </c>
      <c r="Q108" s="168">
        <v>9</v>
      </c>
      <c r="R108" s="169">
        <f t="shared" si="25"/>
      </c>
      <c r="S108" s="165">
        <f t="shared" si="86"/>
      </c>
      <c r="T108" s="169">
        <f t="shared" si="151"/>
      </c>
      <c r="U108" s="169">
        <v>0.01</v>
      </c>
      <c r="V108" s="169">
        <f t="shared" si="285"/>
      </c>
      <c r="W108" s="169">
        <f t="shared" si="356"/>
      </c>
      <c r="X108" s="170">
        <v>0.158</v>
      </c>
      <c r="Y108" s="171">
        <v>2.5</v>
      </c>
      <c r="Z108" s="171">
        <f>F108*0.1</f>
      </c>
      <c r="AA108" s="171">
        <f t="shared" si="476"/>
      </c>
      <c r="AB108" s="166">
        <f t="shared" si="498"/>
      </c>
      <c r="AC108" s="166">
        <v>29.4</v>
      </c>
      <c r="AD108" s="172">
        <f t="shared" si="45"/>
      </c>
      <c r="AE108" s="168">
        <f t="shared" si="96"/>
      </c>
      <c r="AF108" s="169">
        <f t="shared" si="170"/>
      </c>
      <c r="AG108" s="169">
        <f t="shared" si="229"/>
      </c>
      <c r="AH108" s="168">
        <v>4</v>
      </c>
      <c r="AI108" s="169">
        <f t="shared" si="191"/>
      </c>
      <c r="AJ108" s="169"/>
      <c r="AK108" s="169"/>
      <c r="AL108" s="169"/>
      <c r="AM108" s="169"/>
      <c r="AN108" s="169"/>
      <c r="AO108" s="169"/>
      <c r="AP108" s="169"/>
      <c r="AQ108" s="169"/>
      <c r="AR108" s="169"/>
      <c r="AS108" s="169"/>
      <c r="AT108" s="173" t="s">
        <v>725</v>
      </c>
      <c r="AU108" s="173" t="s">
        <v>725</v>
      </c>
      <c r="AV108" s="173" t="s">
        <v>725</v>
      </c>
      <c r="AW108" s="173" t="s">
        <v>725</v>
      </c>
      <c r="AX108" s="173" t="s">
        <v>725</v>
      </c>
      <c r="AY108" s="173" t="s">
        <v>725</v>
      </c>
      <c r="AZ108" s="173" t="s">
        <v>725</v>
      </c>
      <c r="BA108" s="173" t="s">
        <v>725</v>
      </c>
      <c r="BB108" s="173" t="s">
        <v>725</v>
      </c>
      <c r="BC108" s="173" t="s">
        <v>725</v>
      </c>
      <c r="BD108" s="173" t="s">
        <v>725</v>
      </c>
      <c r="BE108" s="173" t="s">
        <v>725</v>
      </c>
      <c r="BF108" s="173" t="s">
        <v>725</v>
      </c>
      <c r="BG108" s="173" t="s">
        <v>725</v>
      </c>
      <c r="BH108" s="173" t="s">
        <v>725</v>
      </c>
      <c r="BI108" s="173" t="s">
        <v>725</v>
      </c>
      <c r="BJ108" s="173" t="s">
        <v>725</v>
      </c>
      <c r="BK108" s="173" t="s">
        <v>725</v>
      </c>
      <c r="BL108" s="173" t="s">
        <v>725</v>
      </c>
      <c r="BM108" s="173" t="s">
        <v>725</v>
      </c>
      <c r="BN108" s="173" t="s">
        <v>725</v>
      </c>
      <c r="BO108" s="173" t="s">
        <v>725</v>
      </c>
      <c r="BP108" s="173" t="s">
        <v>725</v>
      </c>
      <c r="BQ108" s="173" t="s">
        <v>725</v>
      </c>
      <c r="BR108" s="174"/>
      <c r="BS108" s="161" t="str">
        <v>#VALUE!</v>
      </c>
    </row>
    <row customHeight="true" ht="18.51851851851852" r="109">
      <c r="A109" s="161" t="s">
        <v>729</v>
      </c>
      <c r="B109" s="161" t="s">
        <v>730</v>
      </c>
      <c r="C109" s="183" t="s">
        <v>776</v>
      </c>
      <c r="D109" s="162" t="s">
        <v>777</v>
      </c>
      <c r="E109" s="186">
        <v>11.75</v>
      </c>
      <c r="F109" s="163">
        <v>16.99</v>
      </c>
      <c r="G109" s="164">
        <f t="shared" si="4"/>
      </c>
      <c r="H109" s="164">
        <f t="shared" si="69"/>
      </c>
      <c r="I109" s="164">
        <f t="shared" si="129"/>
      </c>
      <c r="J109" s="165">
        <f t="shared" si="210"/>
      </c>
      <c r="K109" s="166">
        <f t="shared" si="263"/>
      </c>
      <c r="L109" s="167">
        <f t="shared" si="334"/>
      </c>
      <c r="M109" s="164">
        <f t="shared" si="379"/>
      </c>
      <c r="N109" s="166">
        <f>AD109+AH110</f>
      </c>
      <c r="O109" s="166">
        <f t="shared" si="454"/>
      </c>
      <c r="P109" s="161">
        <v>200</v>
      </c>
      <c r="Q109" s="168">
        <v>8</v>
      </c>
      <c r="R109" s="169">
        <f t="shared" si="25"/>
      </c>
      <c r="S109" s="165">
        <f t="shared" ref="S109:S124" si="520">Y109/F109</f>
      </c>
      <c r="T109" s="169">
        <f t="shared" si="151"/>
      </c>
      <c r="U109" s="169">
        <v>0.01</v>
      </c>
      <c r="V109" s="169">
        <f t="shared" si="285"/>
      </c>
      <c r="W109" s="169">
        <f t="shared" si="356"/>
      </c>
      <c r="X109" s="170">
        <v>0.1695</v>
      </c>
      <c r="Y109" s="171">
        <v>2.5</v>
      </c>
      <c r="Z109" s="171">
        <v>0</v>
      </c>
      <c r="AA109" s="171">
        <f t="shared" si="476"/>
      </c>
      <c r="AB109" s="166">
        <f t="shared" si="498"/>
      </c>
      <c r="AC109" s="166">
        <v>29.4</v>
      </c>
      <c r="AD109" s="172">
        <f t="shared" si="45"/>
      </c>
      <c r="AE109" s="168">
        <f>AH110/Q109</f>
      </c>
      <c r="AF109" s="169">
        <f t="shared" si="170"/>
      </c>
      <c r="AG109" s="169">
        <f t="shared" ref="AG109:AG124" si="315">AE109/Q109/E109</f>
      </c>
      <c r="AH109" s="168">
        <v>4</v>
      </c>
      <c r="AI109" s="169">
        <f t="shared" si="191"/>
      </c>
      <c r="AJ109" s="169"/>
      <c r="AK109" s="169"/>
      <c r="AL109" s="169"/>
      <c r="AM109" s="169"/>
      <c r="AN109" s="173"/>
      <c r="AO109" s="173"/>
      <c r="AP109" s="173"/>
      <c r="AQ109" s="173"/>
      <c r="AR109" s="173"/>
      <c r="AS109" s="173"/>
      <c r="AT109" s="173" t="s">
        <v>725</v>
      </c>
      <c r="AU109" s="173" t="s">
        <v>725</v>
      </c>
      <c r="AV109" s="173" t="s">
        <v>725</v>
      </c>
      <c r="AW109" s="173" t="s">
        <v>725</v>
      </c>
      <c r="AX109" s="173" t="s">
        <v>725</v>
      </c>
      <c r="AY109" s="173" t="s">
        <v>725</v>
      </c>
      <c r="AZ109" s="173" t="s">
        <v>725</v>
      </c>
      <c r="BA109" s="173" t="s">
        <v>725</v>
      </c>
      <c r="BB109" s="173" t="s">
        <v>725</v>
      </c>
      <c r="BC109" s="173" t="s">
        <v>725</v>
      </c>
      <c r="BD109" s="173" t="s">
        <v>725</v>
      </c>
      <c r="BE109" s="173" t="s">
        <v>725</v>
      </c>
      <c r="BF109" s="173" t="s">
        <v>725</v>
      </c>
      <c r="BG109" s="173" t="s">
        <v>725</v>
      </c>
      <c r="BH109" s="173" t="s">
        <v>725</v>
      </c>
      <c r="BI109" s="173" t="s">
        <v>725</v>
      </c>
      <c r="BJ109" s="173" t="s">
        <v>725</v>
      </c>
      <c r="BK109" s="173" t="s">
        <v>725</v>
      </c>
      <c r="BL109" s="173" t="s">
        <v>725</v>
      </c>
      <c r="BM109" s="173" t="s">
        <v>725</v>
      </c>
      <c r="BN109" s="173" t="s">
        <v>725</v>
      </c>
      <c r="BO109" s="173" t="s">
        <v>725</v>
      </c>
      <c r="BP109" s="173" t="s">
        <v>725</v>
      </c>
      <c r="BQ109" s="173" t="s">
        <v>725</v>
      </c>
      <c r="BR109" s="174"/>
      <c r="BS109" s="161" t="str">
        <v>#VALUE!</v>
      </c>
    </row>
    <row customHeight="true" ht="18.51851851851852" r="110">
      <c r="A110" s="161" t="s">
        <v>729</v>
      </c>
      <c r="B110" s="161" t="s">
        <v>730</v>
      </c>
      <c r="C110" s="183" t="s">
        <v>776</v>
      </c>
      <c r="D110" s="162" t="s">
        <v>778</v>
      </c>
      <c r="E110" s="186">
        <v>11.75</v>
      </c>
      <c r="F110" s="163">
        <v>16.99</v>
      </c>
      <c r="G110" s="164">
        <f t="shared" si="4"/>
      </c>
      <c r="H110" s="164">
        <f t="shared" si="69"/>
      </c>
      <c r="I110" s="175">
        <f t="shared" si="129"/>
      </c>
      <c r="J110" s="165">
        <f t="shared" si="210"/>
      </c>
      <c r="K110" s="166">
        <f t="shared" si="263"/>
      </c>
      <c r="L110" s="167">
        <f t="shared" si="334"/>
      </c>
      <c r="M110" s="164">
        <f t="shared" si="379"/>
      </c>
      <c r="N110" s="166">
        <f t="shared" ref="N110:N124" si="423">AD110+AH110</f>
      </c>
      <c r="O110" s="166">
        <f t="shared" si="454"/>
      </c>
      <c r="P110" s="161">
        <v>200</v>
      </c>
      <c r="Q110" s="168">
        <v>8</v>
      </c>
      <c r="R110" s="169">
        <f t="shared" si="25"/>
      </c>
      <c r="S110" s="165">
        <f t="shared" si="520"/>
      </c>
      <c r="T110" s="169">
        <f t="shared" si="151"/>
      </c>
      <c r="U110" s="169">
        <v>0.01</v>
      </c>
      <c r="V110" s="169">
        <f t="shared" si="285"/>
      </c>
      <c r="W110" s="169">
        <f t="shared" si="356"/>
      </c>
      <c r="X110" s="170">
        <v>0.1695</v>
      </c>
      <c r="Y110" s="171">
        <v>2.5</v>
      </c>
      <c r="Z110" s="171">
        <f>F110*0.1</f>
      </c>
      <c r="AA110" s="171">
        <f t="shared" si="476"/>
      </c>
      <c r="AB110" s="166">
        <f t="shared" si="498"/>
      </c>
      <c r="AC110" s="166">
        <v>29.4</v>
      </c>
      <c r="AD110" s="172">
        <f t="shared" si="45"/>
      </c>
      <c r="AE110" s="168">
        <f t="shared" ref="AE110:AE124" si="97">AH110/Q110</f>
      </c>
      <c r="AF110" s="169">
        <f t="shared" si="170"/>
      </c>
      <c r="AG110" s="169">
        <f t="shared" si="315"/>
      </c>
      <c r="AH110" s="168">
        <v>4</v>
      </c>
      <c r="AI110" s="169">
        <f t="shared" si="191"/>
      </c>
      <c r="AJ110" s="169"/>
      <c r="AK110" s="169"/>
      <c r="AL110" s="169"/>
      <c r="AM110" s="169"/>
      <c r="AN110" s="173"/>
      <c r="AO110" s="173"/>
      <c r="AP110" s="173"/>
      <c r="AQ110" s="173"/>
      <c r="AR110" s="173"/>
      <c r="AS110" s="173"/>
      <c r="AT110" s="173" t="s">
        <v>725</v>
      </c>
      <c r="AU110" s="173" t="s">
        <v>725</v>
      </c>
      <c r="AV110" s="173" t="s">
        <v>725</v>
      </c>
      <c r="AW110" s="173" t="s">
        <v>725</v>
      </c>
      <c r="AX110" s="173" t="s">
        <v>725</v>
      </c>
      <c r="AY110" s="173" t="s">
        <v>725</v>
      </c>
      <c r="AZ110" s="173" t="s">
        <v>725</v>
      </c>
      <c r="BA110" s="173" t="s">
        <v>725</v>
      </c>
      <c r="BB110" s="173" t="s">
        <v>725</v>
      </c>
      <c r="BC110" s="173" t="s">
        <v>725</v>
      </c>
      <c r="BD110" s="173" t="s">
        <v>725</v>
      </c>
      <c r="BE110" s="173" t="s">
        <v>725</v>
      </c>
      <c r="BF110" s="173" t="s">
        <v>725</v>
      </c>
      <c r="BG110" s="173" t="s">
        <v>725</v>
      </c>
      <c r="BH110" s="173" t="s">
        <v>725</v>
      </c>
      <c r="BI110" s="173" t="s">
        <v>725</v>
      </c>
      <c r="BJ110" s="173" t="s">
        <v>725</v>
      </c>
      <c r="BK110" s="173" t="s">
        <v>725</v>
      </c>
      <c r="BL110" s="173" t="s">
        <v>725</v>
      </c>
      <c r="BM110" s="173" t="s">
        <v>725</v>
      </c>
      <c r="BN110" s="173" t="s">
        <v>725</v>
      </c>
      <c r="BO110" s="173" t="s">
        <v>725</v>
      </c>
      <c r="BP110" s="173" t="s">
        <v>725</v>
      </c>
      <c r="BQ110" s="173" t="s">
        <v>725</v>
      </c>
      <c r="BR110" s="174"/>
      <c r="BS110" s="161" t="str">
        <v>#VALUE!</v>
      </c>
    </row>
    <row customHeight="true" ht="18.51851851851852" r="111">
      <c r="A111" s="161" t="s">
        <v>729</v>
      </c>
      <c r="B111" s="161" t="s">
        <v>730</v>
      </c>
      <c r="C111" s="183" t="s">
        <v>776</v>
      </c>
      <c r="D111" s="162" t="s">
        <v>779</v>
      </c>
      <c r="E111" s="186">
        <v>11.75</v>
      </c>
      <c r="F111" s="163">
        <v>16.99</v>
      </c>
      <c r="G111" s="164">
        <f t="shared" si="4"/>
      </c>
      <c r="H111" s="164">
        <f t="shared" si="69"/>
      </c>
      <c r="I111" s="164">
        <f t="shared" si="129"/>
      </c>
      <c r="J111" s="165">
        <f t="shared" si="210"/>
      </c>
      <c r="K111" s="166">
        <f t="shared" si="263"/>
      </c>
      <c r="L111" s="167">
        <f t="shared" si="334"/>
      </c>
      <c r="M111" s="164">
        <f t="shared" si="379"/>
      </c>
      <c r="N111" s="166">
        <f t="shared" si="423"/>
      </c>
      <c r="O111" s="166">
        <f t="shared" si="454"/>
      </c>
      <c r="P111" s="161">
        <v>200</v>
      </c>
      <c r="Q111" s="168">
        <v>8</v>
      </c>
      <c r="R111" s="169">
        <f t="shared" si="25"/>
      </c>
      <c r="S111" s="165">
        <f t="shared" si="520"/>
      </c>
      <c r="T111" s="169">
        <f t="shared" si="151"/>
      </c>
      <c r="U111" s="169">
        <v>0.01</v>
      </c>
      <c r="V111" s="169">
        <f t="shared" si="285"/>
      </c>
      <c r="W111" s="169">
        <f t="shared" si="356"/>
      </c>
      <c r="X111" s="170">
        <v>0.1695</v>
      </c>
      <c r="Y111" s="171">
        <v>2.5</v>
      </c>
      <c r="Z111" s="171">
        <f>F111*0.15</f>
      </c>
      <c r="AA111" s="171">
        <f t="shared" si="476"/>
      </c>
      <c r="AB111" s="166">
        <f t="shared" si="498"/>
      </c>
      <c r="AC111" s="166">
        <v>29.4</v>
      </c>
      <c r="AD111" s="172">
        <f t="shared" si="45"/>
      </c>
      <c r="AE111" s="168">
        <f t="shared" si="97"/>
      </c>
      <c r="AF111" s="169">
        <f t="shared" si="170"/>
      </c>
      <c r="AG111" s="169">
        <f t="shared" si="315"/>
      </c>
      <c r="AH111" s="168">
        <v>4</v>
      </c>
      <c r="AI111" s="169">
        <f t="shared" si="191"/>
      </c>
      <c r="AJ111" s="169"/>
      <c r="AK111" s="169"/>
      <c r="AL111" s="169"/>
      <c r="AM111" s="169"/>
      <c r="AN111" s="173"/>
      <c r="AO111" s="173"/>
      <c r="AP111" s="173"/>
      <c r="AQ111" s="173"/>
      <c r="AR111" s="173"/>
      <c r="AS111" s="173"/>
      <c r="AT111" s="173" t="s">
        <v>725</v>
      </c>
      <c r="AU111" s="173" t="s">
        <v>725</v>
      </c>
      <c r="AV111" s="173" t="s">
        <v>725</v>
      </c>
      <c r="AW111" s="173" t="s">
        <v>725</v>
      </c>
      <c r="AX111" s="173" t="s">
        <v>725</v>
      </c>
      <c r="AY111" s="173" t="s">
        <v>725</v>
      </c>
      <c r="AZ111" s="173" t="s">
        <v>725</v>
      </c>
      <c r="BA111" s="173" t="s">
        <v>725</v>
      </c>
      <c r="BB111" s="173" t="s">
        <v>725</v>
      </c>
      <c r="BC111" s="173" t="s">
        <v>725</v>
      </c>
      <c r="BD111" s="173" t="s">
        <v>725</v>
      </c>
      <c r="BE111" s="173" t="s">
        <v>725</v>
      </c>
      <c r="BF111" s="173" t="s">
        <v>725</v>
      </c>
      <c r="BG111" s="173" t="s">
        <v>725</v>
      </c>
      <c r="BH111" s="173" t="s">
        <v>725</v>
      </c>
      <c r="BI111" s="173" t="s">
        <v>725</v>
      </c>
      <c r="BJ111" s="173" t="s">
        <v>725</v>
      </c>
      <c r="BK111" s="173" t="s">
        <v>725</v>
      </c>
      <c r="BL111" s="173" t="s">
        <v>725</v>
      </c>
      <c r="BM111" s="173" t="s">
        <v>725</v>
      </c>
      <c r="BN111" s="173" t="s">
        <v>725</v>
      </c>
      <c r="BO111" s="173" t="s">
        <v>725</v>
      </c>
      <c r="BP111" s="173" t="s">
        <v>725</v>
      </c>
      <c r="BQ111" s="173" t="s">
        <v>725</v>
      </c>
      <c r="BR111" s="174"/>
      <c r="BS111" s="161" t="str">
        <v>#VALUE!</v>
      </c>
    </row>
    <row customHeight="true" ht="18.51851851851852" r="112">
      <c r="A112" s="161" t="s">
        <v>732</v>
      </c>
      <c r="B112" s="161" t="s">
        <v>730</v>
      </c>
      <c r="C112" s="183" t="s">
        <v>776</v>
      </c>
      <c r="D112" s="162" t="s">
        <v>777</v>
      </c>
      <c r="E112" s="186">
        <v>11.75</v>
      </c>
      <c r="F112" s="163">
        <v>16.99</v>
      </c>
      <c r="G112" s="164">
        <f t="shared" si="4"/>
      </c>
      <c r="H112" s="164">
        <f t="shared" si="69"/>
      </c>
      <c r="I112" s="164">
        <f t="shared" si="129"/>
      </c>
      <c r="J112" s="165">
        <f t="shared" si="210"/>
      </c>
      <c r="K112" s="166">
        <f t="shared" si="263"/>
      </c>
      <c r="L112" s="167">
        <f t="shared" si="334"/>
      </c>
      <c r="M112" s="164">
        <f t="shared" si="379"/>
      </c>
      <c r="N112" s="166">
        <f t="shared" si="423"/>
      </c>
      <c r="O112" s="166">
        <f t="shared" si="454"/>
      </c>
      <c r="P112" s="161">
        <v>200</v>
      </c>
      <c r="Q112" s="168">
        <v>8</v>
      </c>
      <c r="R112" s="169">
        <f t="shared" si="25"/>
      </c>
      <c r="S112" s="165">
        <f t="shared" si="520"/>
      </c>
      <c r="T112" s="169">
        <f t="shared" si="151"/>
      </c>
      <c r="U112" s="169">
        <v>0.01</v>
      </c>
      <c r="V112" s="169">
        <f t="shared" si="285"/>
      </c>
      <c r="W112" s="169">
        <f t="shared" si="356"/>
      </c>
      <c r="X112" s="170">
        <v>0.198</v>
      </c>
      <c r="Y112" s="171">
        <v>2.5</v>
      </c>
      <c r="Z112" s="171">
        <v>0</v>
      </c>
      <c r="AA112" s="171">
        <f t="shared" si="476"/>
      </c>
      <c r="AB112" s="166">
        <f t="shared" si="498"/>
      </c>
      <c r="AC112" s="166">
        <v>29.4</v>
      </c>
      <c r="AD112" s="172">
        <f t="shared" si="45"/>
      </c>
      <c r="AE112" s="168">
        <f t="shared" si="97"/>
      </c>
      <c r="AF112" s="169">
        <f t="shared" si="170"/>
      </c>
      <c r="AG112" s="169">
        <f t="shared" si="315"/>
      </c>
      <c r="AH112" s="168">
        <v>4</v>
      </c>
      <c r="AI112" s="169">
        <f t="shared" si="191"/>
      </c>
      <c r="AJ112" s="169"/>
      <c r="AK112" s="169"/>
      <c r="AL112" s="169"/>
      <c r="AM112" s="169"/>
      <c r="AN112" s="173"/>
      <c r="AO112" s="173"/>
      <c r="AP112" s="173"/>
      <c r="AQ112" s="173"/>
      <c r="AR112" s="173"/>
      <c r="AS112" s="173"/>
      <c r="AT112" s="173" t="s">
        <v>725</v>
      </c>
      <c r="AU112" s="173" t="s">
        <v>725</v>
      </c>
      <c r="AV112" s="173" t="s">
        <v>725</v>
      </c>
      <c r="AW112" s="173" t="s">
        <v>725</v>
      </c>
      <c r="AX112" s="173" t="s">
        <v>725</v>
      </c>
      <c r="AY112" s="173" t="s">
        <v>725</v>
      </c>
      <c r="AZ112" s="173" t="s">
        <v>725</v>
      </c>
      <c r="BA112" s="173" t="s">
        <v>725</v>
      </c>
      <c r="BB112" s="173" t="s">
        <v>725</v>
      </c>
      <c r="BC112" s="173" t="s">
        <v>725</v>
      </c>
      <c r="BD112" s="173" t="s">
        <v>725</v>
      </c>
      <c r="BE112" s="173" t="s">
        <v>725</v>
      </c>
      <c r="BF112" s="173" t="s">
        <v>725</v>
      </c>
      <c r="BG112" s="173" t="s">
        <v>725</v>
      </c>
      <c r="BH112" s="173" t="s">
        <v>725</v>
      </c>
      <c r="BI112" s="173" t="s">
        <v>725</v>
      </c>
      <c r="BJ112" s="173" t="s">
        <v>725</v>
      </c>
      <c r="BK112" s="173" t="s">
        <v>725</v>
      </c>
      <c r="BL112" s="173" t="s">
        <v>725</v>
      </c>
      <c r="BM112" s="173" t="s">
        <v>725</v>
      </c>
      <c r="BN112" s="173" t="s">
        <v>725</v>
      </c>
      <c r="BO112" s="173" t="s">
        <v>725</v>
      </c>
      <c r="BP112" s="173" t="s">
        <v>725</v>
      </c>
      <c r="BQ112" s="173" t="s">
        <v>725</v>
      </c>
      <c r="BR112" s="174"/>
      <c r="BS112" s="161" t="str">
        <v>#VALUE!</v>
      </c>
    </row>
    <row customHeight="true" ht="18.51851851851852" r="113">
      <c r="A113" s="161" t="s">
        <v>732</v>
      </c>
      <c r="B113" s="161" t="s">
        <v>730</v>
      </c>
      <c r="C113" s="183" t="s">
        <v>776</v>
      </c>
      <c r="D113" s="162" t="s">
        <v>778</v>
      </c>
      <c r="E113" s="186">
        <v>11.75</v>
      </c>
      <c r="F113" s="163">
        <v>16.99</v>
      </c>
      <c r="G113" s="164">
        <f t="shared" si="4"/>
      </c>
      <c r="H113" s="164">
        <f t="shared" si="69"/>
      </c>
      <c r="I113" s="175">
        <f t="shared" si="129"/>
      </c>
      <c r="J113" s="165">
        <f t="shared" si="210"/>
      </c>
      <c r="K113" s="166">
        <f t="shared" si="263"/>
      </c>
      <c r="L113" s="167">
        <f t="shared" si="334"/>
      </c>
      <c r="M113" s="164">
        <f t="shared" si="379"/>
      </c>
      <c r="N113" s="166">
        <f t="shared" si="423"/>
      </c>
      <c r="O113" s="166">
        <f t="shared" si="454"/>
      </c>
      <c r="P113" s="161">
        <v>200</v>
      </c>
      <c r="Q113" s="168">
        <v>8</v>
      </c>
      <c r="R113" s="169">
        <f t="shared" si="25"/>
      </c>
      <c r="S113" s="165">
        <f t="shared" si="520"/>
      </c>
      <c r="T113" s="169">
        <f t="shared" si="151"/>
      </c>
      <c r="U113" s="169">
        <v>0.01</v>
      </c>
      <c r="V113" s="169">
        <f t="shared" si="285"/>
      </c>
      <c r="W113" s="169">
        <f t="shared" si="356"/>
      </c>
      <c r="X113" s="170">
        <v>0.198</v>
      </c>
      <c r="Y113" s="171">
        <v>2.5</v>
      </c>
      <c r="Z113" s="171">
        <f>F113*0.1</f>
      </c>
      <c r="AA113" s="171">
        <f t="shared" si="476"/>
      </c>
      <c r="AB113" s="166">
        <f t="shared" si="498"/>
      </c>
      <c r="AC113" s="166">
        <v>29.4</v>
      </c>
      <c r="AD113" s="172">
        <f t="shared" si="45"/>
      </c>
      <c r="AE113" s="168">
        <f t="shared" si="97"/>
      </c>
      <c r="AF113" s="169">
        <f t="shared" si="170"/>
      </c>
      <c r="AG113" s="169">
        <f t="shared" si="315"/>
      </c>
      <c r="AH113" s="168">
        <v>4</v>
      </c>
      <c r="AI113" s="169">
        <f t="shared" si="191"/>
      </c>
      <c r="AJ113" s="169"/>
      <c r="AK113" s="169"/>
      <c r="AL113" s="169"/>
      <c r="AM113" s="169"/>
      <c r="AN113" s="173"/>
      <c r="AO113" s="173"/>
      <c r="AP113" s="173"/>
      <c r="AQ113" s="173"/>
      <c r="AR113" s="173"/>
      <c r="AS113" s="173"/>
      <c r="AT113" s="173" t="s">
        <v>725</v>
      </c>
      <c r="AU113" s="173" t="s">
        <v>725</v>
      </c>
      <c r="AV113" s="173" t="s">
        <v>725</v>
      </c>
      <c r="AW113" s="173" t="s">
        <v>725</v>
      </c>
      <c r="AX113" s="173" t="s">
        <v>725</v>
      </c>
      <c r="AY113" s="173" t="s">
        <v>725</v>
      </c>
      <c r="AZ113" s="173" t="s">
        <v>725</v>
      </c>
      <c r="BA113" s="173" t="s">
        <v>725</v>
      </c>
      <c r="BB113" s="173" t="s">
        <v>725</v>
      </c>
      <c r="BC113" s="173" t="s">
        <v>725</v>
      </c>
      <c r="BD113" s="173" t="s">
        <v>725</v>
      </c>
      <c r="BE113" s="173" t="s">
        <v>725</v>
      </c>
      <c r="BF113" s="173" t="s">
        <v>725</v>
      </c>
      <c r="BG113" s="173" t="s">
        <v>725</v>
      </c>
      <c r="BH113" s="173" t="s">
        <v>725</v>
      </c>
      <c r="BI113" s="173" t="s">
        <v>725</v>
      </c>
      <c r="BJ113" s="173" t="s">
        <v>725</v>
      </c>
      <c r="BK113" s="173" t="s">
        <v>725</v>
      </c>
      <c r="BL113" s="173" t="s">
        <v>725</v>
      </c>
      <c r="BM113" s="173" t="s">
        <v>725</v>
      </c>
      <c r="BN113" s="173" t="s">
        <v>725</v>
      </c>
      <c r="BO113" s="173" t="s">
        <v>725</v>
      </c>
      <c r="BP113" s="173" t="s">
        <v>725</v>
      </c>
      <c r="BQ113" s="173" t="s">
        <v>725</v>
      </c>
      <c r="BR113" s="174"/>
      <c r="BS113" s="161" t="str">
        <v>#VALUE!</v>
      </c>
    </row>
    <row customHeight="true" ht="18.51851851851852" r="114">
      <c r="A114" s="161" t="s">
        <v>732</v>
      </c>
      <c r="B114" s="161" t="s">
        <v>730</v>
      </c>
      <c r="C114" s="183" t="s">
        <v>776</v>
      </c>
      <c r="D114" s="162" t="s">
        <v>779</v>
      </c>
      <c r="E114" s="186">
        <v>11.75</v>
      </c>
      <c r="F114" s="163">
        <v>16.99</v>
      </c>
      <c r="G114" s="164">
        <f t="shared" si="4"/>
      </c>
      <c r="H114" s="164">
        <f t="shared" si="69"/>
      </c>
      <c r="I114" s="164">
        <f t="shared" si="129"/>
      </c>
      <c r="J114" s="165">
        <f t="shared" si="210"/>
      </c>
      <c r="K114" s="166">
        <f t="shared" si="263"/>
      </c>
      <c r="L114" s="167">
        <f t="shared" si="334"/>
      </c>
      <c r="M114" s="164">
        <f t="shared" si="379"/>
      </c>
      <c r="N114" s="166">
        <f t="shared" si="423"/>
      </c>
      <c r="O114" s="166">
        <f t="shared" si="454"/>
      </c>
      <c r="P114" s="161">
        <v>200</v>
      </c>
      <c r="Q114" s="168">
        <v>8</v>
      </c>
      <c r="R114" s="169">
        <f t="shared" si="25"/>
      </c>
      <c r="S114" s="165">
        <f t="shared" si="520"/>
      </c>
      <c r="T114" s="169">
        <f t="shared" si="151"/>
      </c>
      <c r="U114" s="169">
        <v>0.01</v>
      </c>
      <c r="V114" s="169">
        <f t="shared" si="285"/>
      </c>
      <c r="W114" s="169">
        <f t="shared" si="356"/>
      </c>
      <c r="X114" s="170">
        <v>0.198</v>
      </c>
      <c r="Y114" s="171">
        <v>2.5</v>
      </c>
      <c r="Z114" s="171">
        <f>F114*0.15</f>
      </c>
      <c r="AA114" s="171">
        <f t="shared" si="476"/>
      </c>
      <c r="AB114" s="166">
        <f t="shared" si="498"/>
      </c>
      <c r="AC114" s="166">
        <v>29.4</v>
      </c>
      <c r="AD114" s="172">
        <f t="shared" si="45"/>
      </c>
      <c r="AE114" s="168">
        <f t="shared" si="97"/>
      </c>
      <c r="AF114" s="169">
        <f t="shared" si="170"/>
      </c>
      <c r="AG114" s="169">
        <f t="shared" si="315"/>
      </c>
      <c r="AH114" s="168">
        <v>4</v>
      </c>
      <c r="AI114" s="169">
        <f t="shared" ref="AI114:AI124" si="306">(K114-E114+AB114)/(K114-Z114)</f>
      </c>
      <c r="AJ114" s="169"/>
      <c r="AK114" s="169"/>
      <c r="AL114" s="169"/>
      <c r="AM114" s="169"/>
      <c r="AN114" s="173"/>
      <c r="AO114" s="173"/>
      <c r="AP114" s="173"/>
      <c r="AQ114" s="173"/>
      <c r="AR114" s="173"/>
      <c r="AS114" s="173"/>
      <c r="AT114" s="173" t="s">
        <v>725</v>
      </c>
      <c r="AU114" s="173" t="s">
        <v>725</v>
      </c>
      <c r="AV114" s="173" t="s">
        <v>725</v>
      </c>
      <c r="AW114" s="173" t="s">
        <v>725</v>
      </c>
      <c r="AX114" s="173" t="s">
        <v>725</v>
      </c>
      <c r="AY114" s="173" t="s">
        <v>725</v>
      </c>
      <c r="AZ114" s="173" t="s">
        <v>725</v>
      </c>
      <c r="BA114" s="173" t="s">
        <v>725</v>
      </c>
      <c r="BB114" s="173" t="s">
        <v>725</v>
      </c>
      <c r="BC114" s="173" t="s">
        <v>725</v>
      </c>
      <c r="BD114" s="173" t="s">
        <v>725</v>
      </c>
      <c r="BE114" s="173" t="s">
        <v>725</v>
      </c>
      <c r="BF114" s="173" t="s">
        <v>725</v>
      </c>
      <c r="BG114" s="173" t="s">
        <v>725</v>
      </c>
      <c r="BH114" s="173" t="s">
        <v>725</v>
      </c>
      <c r="BI114" s="173" t="s">
        <v>725</v>
      </c>
      <c r="BJ114" s="173" t="s">
        <v>725</v>
      </c>
      <c r="BK114" s="173" t="s">
        <v>725</v>
      </c>
      <c r="BL114" s="173" t="s">
        <v>725</v>
      </c>
      <c r="BM114" s="173" t="s">
        <v>725</v>
      </c>
      <c r="BN114" s="173" t="s">
        <v>725</v>
      </c>
      <c r="BO114" s="173" t="s">
        <v>725</v>
      </c>
      <c r="BP114" s="173" t="s">
        <v>725</v>
      </c>
      <c r="BQ114" s="173" t="s">
        <v>725</v>
      </c>
      <c r="BR114" s="174"/>
      <c r="BS114" s="161" t="str">
        <v>#VALUE!</v>
      </c>
    </row>
    <row customHeight="true" ht="18.51851851851852" r="115">
      <c r="A115" s="161" t="s">
        <v>733</v>
      </c>
      <c r="B115" s="161" t="s">
        <v>730</v>
      </c>
      <c r="C115" s="183" t="s">
        <v>776</v>
      </c>
      <c r="D115" s="162" t="s">
        <v>777</v>
      </c>
      <c r="E115" s="186">
        <v>11.75</v>
      </c>
      <c r="F115" s="163">
        <v>16.99</v>
      </c>
      <c r="G115" s="164">
        <f t="shared" si="4"/>
      </c>
      <c r="H115" s="164">
        <f t="shared" si="69"/>
      </c>
      <c r="I115" s="164">
        <f t="shared" si="129"/>
      </c>
      <c r="J115" s="165">
        <f t="shared" si="210"/>
      </c>
      <c r="K115" s="166">
        <f t="shared" si="263"/>
      </c>
      <c r="L115" s="167">
        <f t="shared" si="334"/>
      </c>
      <c r="M115" s="164">
        <f t="shared" si="379"/>
      </c>
      <c r="N115" s="166">
        <f t="shared" si="423"/>
      </c>
      <c r="O115" s="166">
        <f t="shared" si="454"/>
      </c>
      <c r="P115" s="161">
        <v>200</v>
      </c>
      <c r="Q115" s="168">
        <v>8</v>
      </c>
      <c r="R115" s="169">
        <f t="shared" si="25"/>
      </c>
      <c r="S115" s="165">
        <f t="shared" si="520"/>
      </c>
      <c r="T115" s="169">
        <f t="shared" si="151"/>
      </c>
      <c r="U115" s="169">
        <v>0.01</v>
      </c>
      <c r="V115" s="169">
        <f t="shared" si="285"/>
      </c>
      <c r="W115" s="169">
        <f t="shared" si="356"/>
      </c>
      <c r="X115" s="170">
        <v>0.1846</v>
      </c>
      <c r="Y115" s="171">
        <v>2.5</v>
      </c>
      <c r="Z115" s="171">
        <v>0</v>
      </c>
      <c r="AA115" s="171">
        <f t="shared" si="476"/>
      </c>
      <c r="AB115" s="166">
        <f t="shared" si="498"/>
      </c>
      <c r="AC115" s="166">
        <v>29.4</v>
      </c>
      <c r="AD115" s="172">
        <f t="shared" si="45"/>
      </c>
      <c r="AE115" s="168">
        <f t="shared" si="97"/>
      </c>
      <c r="AF115" s="169">
        <f t="shared" si="170"/>
      </c>
      <c r="AG115" s="169">
        <f t="shared" si="315"/>
      </c>
      <c r="AH115" s="168">
        <v>4</v>
      </c>
      <c r="AI115" s="165">
        <f t="shared" si="306"/>
      </c>
      <c r="AJ115" s="165"/>
      <c r="AK115" s="165"/>
      <c r="AL115" s="165"/>
      <c r="AM115" s="165"/>
      <c r="AN115" s="173"/>
      <c r="AO115" s="173"/>
      <c r="AP115" s="173"/>
      <c r="AQ115" s="173"/>
      <c r="AR115" s="173"/>
      <c r="AS115" s="173"/>
      <c r="AT115" s="173" t="s">
        <v>725</v>
      </c>
      <c r="AU115" s="173" t="s">
        <v>725</v>
      </c>
      <c r="AV115" s="173" t="s">
        <v>725</v>
      </c>
      <c r="AW115" s="173" t="s">
        <v>725</v>
      </c>
      <c r="AX115" s="173" t="s">
        <v>725</v>
      </c>
      <c r="AY115" s="173" t="s">
        <v>725</v>
      </c>
      <c r="AZ115" s="173" t="s">
        <v>725</v>
      </c>
      <c r="BA115" s="173" t="s">
        <v>725</v>
      </c>
      <c r="BB115" s="173" t="s">
        <v>725</v>
      </c>
      <c r="BC115" s="173" t="s">
        <v>725</v>
      </c>
      <c r="BD115" s="173" t="s">
        <v>725</v>
      </c>
      <c r="BE115" s="173" t="s">
        <v>725</v>
      </c>
      <c r="BF115" s="173" t="s">
        <v>725</v>
      </c>
      <c r="BG115" s="173" t="s">
        <v>725</v>
      </c>
      <c r="BH115" s="173" t="s">
        <v>725</v>
      </c>
      <c r="BI115" s="173" t="s">
        <v>725</v>
      </c>
      <c r="BJ115" s="173" t="s">
        <v>725</v>
      </c>
      <c r="BK115" s="173" t="s">
        <v>725</v>
      </c>
      <c r="BL115" s="173" t="s">
        <v>725</v>
      </c>
      <c r="BM115" s="173" t="s">
        <v>725</v>
      </c>
      <c r="BN115" s="173" t="s">
        <v>725</v>
      </c>
      <c r="BO115" s="173" t="s">
        <v>725</v>
      </c>
      <c r="BP115" s="173" t="s">
        <v>725</v>
      </c>
      <c r="BQ115" s="173" t="s">
        <v>725</v>
      </c>
      <c r="BR115" s="174"/>
      <c r="BS115" s="161" t="str">
        <v>#VALUE!</v>
      </c>
    </row>
    <row customHeight="true" ht="18.51851851851852" r="116">
      <c r="A116" s="161" t="s">
        <v>733</v>
      </c>
      <c r="B116" s="161" t="s">
        <v>730</v>
      </c>
      <c r="C116" s="183" t="s">
        <v>776</v>
      </c>
      <c r="D116" s="162" t="s">
        <v>778</v>
      </c>
      <c r="E116" s="186">
        <v>11.75</v>
      </c>
      <c r="F116" s="163">
        <v>16.99</v>
      </c>
      <c r="G116" s="164">
        <f t="shared" si="4"/>
      </c>
      <c r="H116" s="164">
        <f t="shared" si="69"/>
      </c>
      <c r="I116" s="175">
        <f t="shared" si="129"/>
      </c>
      <c r="J116" s="165">
        <f t="shared" si="210"/>
      </c>
      <c r="K116" s="166">
        <f t="shared" si="263"/>
      </c>
      <c r="L116" s="167">
        <f t="shared" si="334"/>
      </c>
      <c r="M116" s="164">
        <f t="shared" si="379"/>
      </c>
      <c r="N116" s="166">
        <f t="shared" si="423"/>
      </c>
      <c r="O116" s="166">
        <f t="shared" si="454"/>
      </c>
      <c r="P116" s="161">
        <v>200</v>
      </c>
      <c r="Q116" s="168">
        <v>8</v>
      </c>
      <c r="R116" s="169">
        <f t="shared" si="25"/>
      </c>
      <c r="S116" s="165">
        <f t="shared" si="520"/>
      </c>
      <c r="T116" s="169">
        <f t="shared" si="151"/>
      </c>
      <c r="U116" s="169">
        <v>0.01</v>
      </c>
      <c r="V116" s="169">
        <f t="shared" si="285"/>
      </c>
      <c r="W116" s="169">
        <f t="shared" si="356"/>
      </c>
      <c r="X116" s="170">
        <v>0.1846</v>
      </c>
      <c r="Y116" s="171">
        <v>2.5</v>
      </c>
      <c r="Z116" s="171">
        <f>F116*0.1</f>
      </c>
      <c r="AA116" s="171">
        <f t="shared" si="476"/>
      </c>
      <c r="AB116" s="166">
        <f t="shared" si="498"/>
      </c>
      <c r="AC116" s="166">
        <v>29.4</v>
      </c>
      <c r="AD116" s="172">
        <f t="shared" si="45"/>
      </c>
      <c r="AE116" s="168">
        <f t="shared" si="97"/>
      </c>
      <c r="AF116" s="169">
        <f t="shared" si="170"/>
      </c>
      <c r="AG116" s="169">
        <f t="shared" si="315"/>
      </c>
      <c r="AH116" s="168">
        <v>4</v>
      </c>
      <c r="AI116" s="165">
        <f t="shared" si="306"/>
      </c>
      <c r="AJ116" s="165"/>
      <c r="AK116" s="165"/>
      <c r="AL116" s="165"/>
      <c r="AM116" s="165"/>
      <c r="AN116" s="173"/>
      <c r="AO116" s="173"/>
      <c r="AP116" s="173"/>
      <c r="AQ116" s="173"/>
      <c r="AR116" s="173"/>
      <c r="AS116" s="173"/>
      <c r="AT116" s="173" t="s">
        <v>725</v>
      </c>
      <c r="AU116" s="173" t="s">
        <v>725</v>
      </c>
      <c r="AV116" s="173" t="s">
        <v>725</v>
      </c>
      <c r="AW116" s="173" t="s">
        <v>725</v>
      </c>
      <c r="AX116" s="173" t="s">
        <v>725</v>
      </c>
      <c r="AY116" s="173" t="s">
        <v>725</v>
      </c>
      <c r="AZ116" s="173" t="s">
        <v>725</v>
      </c>
      <c r="BA116" s="173" t="s">
        <v>725</v>
      </c>
      <c r="BB116" s="173" t="s">
        <v>725</v>
      </c>
      <c r="BC116" s="173" t="s">
        <v>725</v>
      </c>
      <c r="BD116" s="173" t="s">
        <v>725</v>
      </c>
      <c r="BE116" s="173" t="s">
        <v>725</v>
      </c>
      <c r="BF116" s="173" t="s">
        <v>725</v>
      </c>
      <c r="BG116" s="173" t="s">
        <v>725</v>
      </c>
      <c r="BH116" s="173" t="s">
        <v>725</v>
      </c>
      <c r="BI116" s="173" t="s">
        <v>725</v>
      </c>
      <c r="BJ116" s="173" t="s">
        <v>725</v>
      </c>
      <c r="BK116" s="173" t="s">
        <v>725</v>
      </c>
      <c r="BL116" s="173" t="s">
        <v>725</v>
      </c>
      <c r="BM116" s="173" t="s">
        <v>725</v>
      </c>
      <c r="BN116" s="173" t="s">
        <v>725</v>
      </c>
      <c r="BO116" s="173" t="s">
        <v>725</v>
      </c>
      <c r="BP116" s="173" t="s">
        <v>725</v>
      </c>
      <c r="BQ116" s="173" t="s">
        <v>725</v>
      </c>
      <c r="BR116" s="174"/>
      <c r="BS116" s="161" t="str">
        <v>#VALUE!</v>
      </c>
    </row>
    <row customHeight="true" ht="18.51851851851852" r="117">
      <c r="A117" s="161" t="s">
        <v>733</v>
      </c>
      <c r="B117" s="161" t="s">
        <v>730</v>
      </c>
      <c r="C117" s="183" t="s">
        <v>776</v>
      </c>
      <c r="D117" s="162" t="s">
        <v>779</v>
      </c>
      <c r="E117" s="186">
        <v>11.75</v>
      </c>
      <c r="F117" s="163">
        <v>16.99</v>
      </c>
      <c r="G117" s="164">
        <f t="shared" si="4"/>
      </c>
      <c r="H117" s="164">
        <f t="shared" si="69"/>
      </c>
      <c r="I117" s="164">
        <f t="shared" si="129"/>
      </c>
      <c r="J117" s="165">
        <f t="shared" si="210"/>
      </c>
      <c r="K117" s="166">
        <f t="shared" si="263"/>
      </c>
      <c r="L117" s="167">
        <f t="shared" si="334"/>
      </c>
      <c r="M117" s="164">
        <f t="shared" si="379"/>
      </c>
      <c r="N117" s="166">
        <f t="shared" si="423"/>
      </c>
      <c r="O117" s="166">
        <f t="shared" si="454"/>
      </c>
      <c r="P117" s="161">
        <v>200</v>
      </c>
      <c r="Q117" s="168">
        <v>8</v>
      </c>
      <c r="R117" s="169">
        <f t="shared" si="25"/>
      </c>
      <c r="S117" s="165">
        <f t="shared" si="520"/>
      </c>
      <c r="T117" s="169">
        <f t="shared" si="151"/>
      </c>
      <c r="U117" s="169">
        <v>0.01</v>
      </c>
      <c r="V117" s="169">
        <f t="shared" si="285"/>
      </c>
      <c r="W117" s="169">
        <f t="shared" si="356"/>
      </c>
      <c r="X117" s="170">
        <v>0.1846</v>
      </c>
      <c r="Y117" s="171">
        <v>2.5</v>
      </c>
      <c r="Z117" s="171">
        <f>F117*0.15</f>
      </c>
      <c r="AA117" s="171">
        <f t="shared" si="476"/>
      </c>
      <c r="AB117" s="166">
        <f t="shared" si="498"/>
      </c>
      <c r="AC117" s="166">
        <v>29.4</v>
      </c>
      <c r="AD117" s="172">
        <f t="shared" si="45"/>
      </c>
      <c r="AE117" s="168">
        <f t="shared" si="97"/>
      </c>
      <c r="AF117" s="169">
        <f t="shared" si="170"/>
      </c>
      <c r="AG117" s="169">
        <f t="shared" si="315"/>
      </c>
      <c r="AH117" s="168">
        <v>4</v>
      </c>
      <c r="AI117" s="165">
        <f t="shared" si="306"/>
      </c>
      <c r="AJ117" s="165"/>
      <c r="AK117" s="165"/>
      <c r="AL117" s="165"/>
      <c r="AM117" s="165"/>
      <c r="AN117" s="173"/>
      <c r="AO117" s="173"/>
      <c r="AP117" s="173"/>
      <c r="AQ117" s="173"/>
      <c r="AR117" s="173"/>
      <c r="AS117" s="173"/>
      <c r="AT117" s="173" t="s">
        <v>725</v>
      </c>
      <c r="AU117" s="173" t="s">
        <v>725</v>
      </c>
      <c r="AV117" s="173" t="s">
        <v>725</v>
      </c>
      <c r="AW117" s="173" t="s">
        <v>725</v>
      </c>
      <c r="AX117" s="173" t="s">
        <v>725</v>
      </c>
      <c r="AY117" s="173" t="s">
        <v>725</v>
      </c>
      <c r="AZ117" s="173" t="s">
        <v>725</v>
      </c>
      <c r="BA117" s="173" t="s">
        <v>725</v>
      </c>
      <c r="BB117" s="173" t="s">
        <v>725</v>
      </c>
      <c r="BC117" s="173" t="s">
        <v>725</v>
      </c>
      <c r="BD117" s="173" t="s">
        <v>725</v>
      </c>
      <c r="BE117" s="173" t="s">
        <v>725</v>
      </c>
      <c r="BF117" s="173" t="s">
        <v>725</v>
      </c>
      <c r="BG117" s="173" t="s">
        <v>725</v>
      </c>
      <c r="BH117" s="173" t="s">
        <v>725</v>
      </c>
      <c r="BI117" s="173" t="s">
        <v>725</v>
      </c>
      <c r="BJ117" s="173" t="s">
        <v>725</v>
      </c>
      <c r="BK117" s="173" t="s">
        <v>725</v>
      </c>
      <c r="BL117" s="173" t="s">
        <v>725</v>
      </c>
      <c r="BM117" s="173" t="s">
        <v>725</v>
      </c>
      <c r="BN117" s="173" t="s">
        <v>725</v>
      </c>
      <c r="BO117" s="173" t="s">
        <v>725</v>
      </c>
      <c r="BP117" s="173" t="s">
        <v>725</v>
      </c>
      <c r="BQ117" s="173" t="s">
        <v>725</v>
      </c>
      <c r="BR117" s="174"/>
      <c r="BS117" s="161" t="str">
        <v>#VALUE!</v>
      </c>
    </row>
    <row customHeight="true" ht="18.51851851851852" r="118">
      <c r="A118" s="161" t="s">
        <v>734</v>
      </c>
      <c r="B118" s="161" t="s">
        <v>730</v>
      </c>
      <c r="C118" s="183" t="s">
        <v>776</v>
      </c>
      <c r="D118" s="162" t="s">
        <v>777</v>
      </c>
      <c r="E118" s="186">
        <v>11.75</v>
      </c>
      <c r="F118" s="163">
        <v>16.99</v>
      </c>
      <c r="G118" s="164">
        <f t="shared" si="4"/>
      </c>
      <c r="H118" s="164">
        <f t="shared" si="69"/>
      </c>
      <c r="I118" s="164">
        <f t="shared" si="129"/>
      </c>
      <c r="J118" s="165">
        <f t="shared" si="210"/>
      </c>
      <c r="K118" s="166">
        <f t="shared" si="263"/>
      </c>
      <c r="L118" s="167">
        <f t="shared" si="334"/>
      </c>
      <c r="M118" s="164">
        <f t="shared" si="379"/>
      </c>
      <c r="N118" s="166">
        <f t="shared" si="423"/>
      </c>
      <c r="O118" s="166">
        <f t="shared" si="454"/>
      </c>
      <c r="P118" s="161">
        <v>200</v>
      </c>
      <c r="Q118" s="168">
        <v>8</v>
      </c>
      <c r="R118" s="169">
        <f t="shared" si="25"/>
      </c>
      <c r="S118" s="165">
        <f t="shared" si="520"/>
      </c>
      <c r="T118" s="169">
        <f t="shared" si="151"/>
      </c>
      <c r="U118" s="169">
        <v>0.01</v>
      </c>
      <c r="V118" s="169">
        <f t="shared" si="285"/>
      </c>
      <c r="W118" s="169">
        <f t="shared" si="356"/>
      </c>
      <c r="X118" s="170">
        <v>0.1646</v>
      </c>
      <c r="Y118" s="171">
        <v>2.5</v>
      </c>
      <c r="Z118" s="171">
        <v>0</v>
      </c>
      <c r="AA118" s="171">
        <f t="shared" si="476"/>
      </c>
      <c r="AB118" s="166">
        <f t="shared" si="498"/>
      </c>
      <c r="AC118" s="166">
        <v>29.4</v>
      </c>
      <c r="AD118" s="172">
        <f t="shared" si="45"/>
      </c>
      <c r="AE118" s="168">
        <f t="shared" si="97"/>
      </c>
      <c r="AF118" s="169">
        <f t="shared" si="170"/>
      </c>
      <c r="AG118" s="169">
        <f t="shared" si="315"/>
      </c>
      <c r="AH118" s="168">
        <v>4</v>
      </c>
      <c r="AI118" s="169">
        <f t="shared" si="306"/>
      </c>
      <c r="AJ118" s="169"/>
      <c r="AK118" s="169"/>
      <c r="AL118" s="169"/>
      <c r="AM118" s="169"/>
      <c r="AN118" s="173"/>
      <c r="AO118" s="173"/>
      <c r="AP118" s="173"/>
      <c r="AQ118" s="173"/>
      <c r="AR118" s="173"/>
      <c r="AS118" s="173"/>
      <c r="AT118" s="173" t="s">
        <v>725</v>
      </c>
      <c r="AU118" s="173" t="s">
        <v>725</v>
      </c>
      <c r="AV118" s="173" t="s">
        <v>725</v>
      </c>
      <c r="AW118" s="173" t="s">
        <v>725</v>
      </c>
      <c r="AX118" s="173" t="s">
        <v>725</v>
      </c>
      <c r="AY118" s="173" t="s">
        <v>725</v>
      </c>
      <c r="AZ118" s="173" t="s">
        <v>725</v>
      </c>
      <c r="BA118" s="173" t="s">
        <v>725</v>
      </c>
      <c r="BB118" s="173" t="s">
        <v>725</v>
      </c>
      <c r="BC118" s="173" t="s">
        <v>725</v>
      </c>
      <c r="BD118" s="173" t="s">
        <v>725</v>
      </c>
      <c r="BE118" s="173" t="s">
        <v>725</v>
      </c>
      <c r="BF118" s="173" t="s">
        <v>725</v>
      </c>
      <c r="BG118" s="173" t="s">
        <v>725</v>
      </c>
      <c r="BH118" s="173" t="s">
        <v>725</v>
      </c>
      <c r="BI118" s="173" t="s">
        <v>725</v>
      </c>
      <c r="BJ118" s="173" t="s">
        <v>725</v>
      </c>
      <c r="BK118" s="173" t="s">
        <v>725</v>
      </c>
      <c r="BL118" s="173" t="s">
        <v>725</v>
      </c>
      <c r="BM118" s="173" t="s">
        <v>725</v>
      </c>
      <c r="BN118" s="173" t="s">
        <v>725</v>
      </c>
      <c r="BO118" s="173" t="s">
        <v>725</v>
      </c>
      <c r="BP118" s="173" t="s">
        <v>725</v>
      </c>
      <c r="BQ118" s="173" t="s">
        <v>725</v>
      </c>
      <c r="BR118" s="174"/>
      <c r="BS118" s="161" t="str">
        <v>#VALUE!</v>
      </c>
    </row>
    <row customHeight="true" ht="18.51851851851852" r="119">
      <c r="A119" s="161" t="s">
        <v>734</v>
      </c>
      <c r="B119" s="161" t="s">
        <v>730</v>
      </c>
      <c r="C119" s="183" t="s">
        <v>776</v>
      </c>
      <c r="D119" s="162" t="s">
        <v>778</v>
      </c>
      <c r="E119" s="186">
        <v>11.75</v>
      </c>
      <c r="F119" s="163">
        <v>16.99</v>
      </c>
      <c r="G119" s="164">
        <f t="shared" si="4"/>
      </c>
      <c r="H119" s="164">
        <f t="shared" si="69"/>
      </c>
      <c r="I119" s="175">
        <f t="shared" si="129"/>
      </c>
      <c r="J119" s="165">
        <f t="shared" si="210"/>
      </c>
      <c r="K119" s="166">
        <f t="shared" si="263"/>
      </c>
      <c r="L119" s="167">
        <f t="shared" si="334"/>
      </c>
      <c r="M119" s="164">
        <f t="shared" si="379"/>
      </c>
      <c r="N119" s="166">
        <f t="shared" si="423"/>
      </c>
      <c r="O119" s="166">
        <f t="shared" si="454"/>
      </c>
      <c r="P119" s="161">
        <v>200</v>
      </c>
      <c r="Q119" s="168">
        <v>8</v>
      </c>
      <c r="R119" s="169">
        <f t="shared" si="25"/>
      </c>
      <c r="S119" s="165">
        <f t="shared" si="520"/>
      </c>
      <c r="T119" s="169">
        <f t="shared" si="151"/>
      </c>
      <c r="U119" s="169">
        <v>0.01</v>
      </c>
      <c r="V119" s="169">
        <f t="shared" si="285"/>
      </c>
      <c r="W119" s="169">
        <f t="shared" si="356"/>
      </c>
      <c r="X119" s="170">
        <v>0.1646</v>
      </c>
      <c r="Y119" s="171">
        <v>2.5</v>
      </c>
      <c r="Z119" s="171">
        <f>F119*0.1</f>
      </c>
      <c r="AA119" s="171">
        <f t="shared" si="476"/>
      </c>
      <c r="AB119" s="166">
        <f t="shared" si="498"/>
      </c>
      <c r="AC119" s="166">
        <v>29.4</v>
      </c>
      <c r="AD119" s="172">
        <f t="shared" si="45"/>
      </c>
      <c r="AE119" s="168">
        <f t="shared" si="97"/>
      </c>
      <c r="AF119" s="169">
        <f t="shared" si="170"/>
      </c>
      <c r="AG119" s="169">
        <f t="shared" si="315"/>
      </c>
      <c r="AH119" s="168">
        <v>4</v>
      </c>
      <c r="AI119" s="169">
        <f t="shared" si="306"/>
      </c>
      <c r="AJ119" s="169"/>
      <c r="AK119" s="169"/>
      <c r="AL119" s="169"/>
      <c r="AM119" s="169"/>
      <c r="AN119" s="173"/>
      <c r="AO119" s="173"/>
      <c r="AP119" s="173"/>
      <c r="AQ119" s="173"/>
      <c r="AR119" s="173"/>
      <c r="AS119" s="173"/>
      <c r="AT119" s="173" t="s">
        <v>725</v>
      </c>
      <c r="AU119" s="173" t="s">
        <v>725</v>
      </c>
      <c r="AV119" s="173" t="s">
        <v>725</v>
      </c>
      <c r="AW119" s="173" t="s">
        <v>725</v>
      </c>
      <c r="AX119" s="173" t="s">
        <v>725</v>
      </c>
      <c r="AY119" s="173" t="s">
        <v>725</v>
      </c>
      <c r="AZ119" s="173" t="s">
        <v>725</v>
      </c>
      <c r="BA119" s="173" t="s">
        <v>725</v>
      </c>
      <c r="BB119" s="173" t="s">
        <v>725</v>
      </c>
      <c r="BC119" s="173" t="s">
        <v>725</v>
      </c>
      <c r="BD119" s="173" t="s">
        <v>725</v>
      </c>
      <c r="BE119" s="173" t="s">
        <v>725</v>
      </c>
      <c r="BF119" s="173" t="s">
        <v>725</v>
      </c>
      <c r="BG119" s="173" t="s">
        <v>725</v>
      </c>
      <c r="BH119" s="173" t="s">
        <v>725</v>
      </c>
      <c r="BI119" s="173" t="s">
        <v>725</v>
      </c>
      <c r="BJ119" s="173" t="s">
        <v>725</v>
      </c>
      <c r="BK119" s="173" t="s">
        <v>725</v>
      </c>
      <c r="BL119" s="173" t="s">
        <v>725</v>
      </c>
      <c r="BM119" s="173" t="s">
        <v>725</v>
      </c>
      <c r="BN119" s="173" t="s">
        <v>725</v>
      </c>
      <c r="BO119" s="173" t="s">
        <v>725</v>
      </c>
      <c r="BP119" s="173" t="s">
        <v>725</v>
      </c>
      <c r="BQ119" s="173" t="s">
        <v>725</v>
      </c>
      <c r="BR119" s="174"/>
      <c r="BS119" s="161" t="str">
        <v>#VALUE!</v>
      </c>
    </row>
    <row customHeight="true" ht="18.51851851851852" r="120">
      <c r="A120" s="161" t="s">
        <v>734</v>
      </c>
      <c r="B120" s="161" t="s">
        <v>730</v>
      </c>
      <c r="C120" s="183" t="s">
        <v>776</v>
      </c>
      <c r="D120" s="162" t="s">
        <v>779</v>
      </c>
      <c r="E120" s="186">
        <v>11.75</v>
      </c>
      <c r="F120" s="163">
        <v>16.99</v>
      </c>
      <c r="G120" s="164">
        <f t="shared" si="4"/>
      </c>
      <c r="H120" s="164">
        <f t="shared" si="69"/>
      </c>
      <c r="I120" s="164">
        <f t="shared" si="129"/>
      </c>
      <c r="J120" s="165">
        <f t="shared" si="210"/>
      </c>
      <c r="K120" s="166">
        <f t="shared" si="263"/>
      </c>
      <c r="L120" s="167">
        <f t="shared" si="334"/>
      </c>
      <c r="M120" s="164">
        <f t="shared" si="379"/>
      </c>
      <c r="N120" s="166">
        <f t="shared" si="423"/>
      </c>
      <c r="O120" s="166">
        <f t="shared" si="454"/>
      </c>
      <c r="P120" s="161">
        <v>200</v>
      </c>
      <c r="Q120" s="168">
        <v>8</v>
      </c>
      <c r="R120" s="169">
        <f t="shared" si="25"/>
      </c>
      <c r="S120" s="165">
        <f t="shared" si="520"/>
      </c>
      <c r="T120" s="169">
        <f t="shared" si="151"/>
      </c>
      <c r="U120" s="169">
        <v>0.01</v>
      </c>
      <c r="V120" s="169">
        <f t="shared" si="285"/>
      </c>
      <c r="W120" s="169">
        <f t="shared" si="356"/>
      </c>
      <c r="X120" s="170">
        <v>0.1646</v>
      </c>
      <c r="Y120" s="171">
        <v>2.5</v>
      </c>
      <c r="Z120" s="171">
        <f>F120*0.15</f>
      </c>
      <c r="AA120" s="171">
        <f t="shared" si="476"/>
      </c>
      <c r="AB120" s="166">
        <f t="shared" si="498"/>
      </c>
      <c r="AC120" s="166">
        <v>29.4</v>
      </c>
      <c r="AD120" s="172">
        <f t="shared" si="45"/>
      </c>
      <c r="AE120" s="168">
        <f t="shared" si="97"/>
      </c>
      <c r="AF120" s="169">
        <f t="shared" si="170"/>
      </c>
      <c r="AG120" s="169">
        <f t="shared" si="315"/>
      </c>
      <c r="AH120" s="168">
        <v>4</v>
      </c>
      <c r="AI120" s="169">
        <f t="shared" si="306"/>
      </c>
      <c r="AJ120" s="169"/>
      <c r="AK120" s="169"/>
      <c r="AL120" s="169"/>
      <c r="AM120" s="169"/>
      <c r="AN120" s="173"/>
      <c r="AO120" s="173"/>
      <c r="AP120" s="173"/>
      <c r="AQ120" s="173"/>
      <c r="AR120" s="173"/>
      <c r="AS120" s="173"/>
      <c r="AT120" s="173" t="s">
        <v>725</v>
      </c>
      <c r="AU120" s="173" t="s">
        <v>725</v>
      </c>
      <c r="AV120" s="173" t="s">
        <v>725</v>
      </c>
      <c r="AW120" s="173" t="s">
        <v>725</v>
      </c>
      <c r="AX120" s="173" t="s">
        <v>725</v>
      </c>
      <c r="AY120" s="173" t="s">
        <v>725</v>
      </c>
      <c r="AZ120" s="173" t="s">
        <v>725</v>
      </c>
      <c r="BA120" s="173" t="s">
        <v>725</v>
      </c>
      <c r="BB120" s="173" t="s">
        <v>725</v>
      </c>
      <c r="BC120" s="173" t="s">
        <v>725</v>
      </c>
      <c r="BD120" s="173" t="s">
        <v>725</v>
      </c>
      <c r="BE120" s="173" t="s">
        <v>725</v>
      </c>
      <c r="BF120" s="173" t="s">
        <v>725</v>
      </c>
      <c r="BG120" s="173" t="s">
        <v>725</v>
      </c>
      <c r="BH120" s="173" t="s">
        <v>725</v>
      </c>
      <c r="BI120" s="173" t="s">
        <v>725</v>
      </c>
      <c r="BJ120" s="173" t="s">
        <v>725</v>
      </c>
      <c r="BK120" s="173" t="s">
        <v>725</v>
      </c>
      <c r="BL120" s="173" t="s">
        <v>725</v>
      </c>
      <c r="BM120" s="173" t="s">
        <v>725</v>
      </c>
      <c r="BN120" s="173" t="s">
        <v>725</v>
      </c>
      <c r="BO120" s="173" t="s">
        <v>725</v>
      </c>
      <c r="BP120" s="173" t="s">
        <v>725</v>
      </c>
      <c r="BQ120" s="173" t="s">
        <v>725</v>
      </c>
      <c r="BR120" s="174"/>
      <c r="BS120" s="161" t="str">
        <v>#VALUE!</v>
      </c>
    </row>
    <row customHeight="true" ht="18.51851851851852" r="121">
      <c r="A121" s="161" t="s">
        <v>735</v>
      </c>
      <c r="B121" s="161" t="s">
        <v>730</v>
      </c>
      <c r="C121" s="183" t="s">
        <v>776</v>
      </c>
      <c r="D121" s="178" t="s">
        <v>780</v>
      </c>
      <c r="E121" s="186">
        <v>15</v>
      </c>
      <c r="F121" s="163">
        <v>21.99</v>
      </c>
      <c r="G121" s="164">
        <f t="shared" si="4"/>
      </c>
      <c r="H121" s="164">
        <f t="shared" si="69"/>
      </c>
      <c r="I121" s="164">
        <f t="shared" si="129"/>
      </c>
      <c r="J121" s="165">
        <f t="shared" si="210"/>
      </c>
      <c r="K121" s="166">
        <f t="shared" si="263"/>
      </c>
      <c r="L121" s="167">
        <f t="shared" si="334"/>
      </c>
      <c r="M121" s="164">
        <f t="shared" si="379"/>
      </c>
      <c r="N121" s="166">
        <f t="shared" si="423"/>
      </c>
      <c r="O121" s="166">
        <f t="shared" si="454"/>
      </c>
      <c r="P121" s="161">
        <v>200</v>
      </c>
      <c r="Q121" s="168">
        <v>8</v>
      </c>
      <c r="R121" s="169">
        <f t="shared" si="25"/>
      </c>
      <c r="S121" s="165">
        <f t="shared" si="520"/>
      </c>
      <c r="T121" s="169">
        <f t="shared" si="151"/>
      </c>
      <c r="U121" s="169">
        <v>0.01</v>
      </c>
      <c r="V121" s="169">
        <f t="shared" si="285"/>
      </c>
      <c r="W121" s="169">
        <f t="shared" si="356"/>
      </c>
      <c r="X121" s="170">
        <v>0.158</v>
      </c>
      <c r="Y121" s="171">
        <v>0</v>
      </c>
      <c r="Z121" s="171">
        <f t="shared" ref="Z121:Z124" si="401">F121*0</f>
      </c>
      <c r="AA121" s="171">
        <f t="shared" si="476"/>
      </c>
      <c r="AB121" s="166">
        <f t="shared" si="498"/>
      </c>
      <c r="AC121" s="166">
        <v>29.4</v>
      </c>
      <c r="AD121" s="172">
        <f t="shared" si="45"/>
      </c>
      <c r="AE121" s="168">
        <f t="shared" si="97"/>
      </c>
      <c r="AF121" s="169">
        <f t="shared" si="170"/>
      </c>
      <c r="AG121" s="169">
        <f t="shared" si="315"/>
      </c>
      <c r="AH121" s="168">
        <v>4</v>
      </c>
      <c r="AI121" s="169">
        <f t="shared" si="306"/>
      </c>
      <c r="AJ121" s="173"/>
      <c r="AK121" s="173"/>
      <c r="AL121" s="173"/>
      <c r="AM121" s="173"/>
      <c r="AN121" s="173"/>
      <c r="AO121" s="173"/>
      <c r="AP121" s="173"/>
      <c r="AQ121" s="173"/>
      <c r="AR121" s="173"/>
      <c r="AS121" s="173"/>
      <c r="AT121" s="173" t="s">
        <v>725</v>
      </c>
      <c r="AU121" s="173" t="s">
        <v>725</v>
      </c>
      <c r="AV121" s="173" t="s">
        <v>725</v>
      </c>
      <c r="AW121" s="173" t="s">
        <v>725</v>
      </c>
      <c r="AX121" s="173" t="s">
        <v>725</v>
      </c>
      <c r="AY121" s="173" t="s">
        <v>725</v>
      </c>
      <c r="AZ121" s="173" t="s">
        <v>725</v>
      </c>
      <c r="BA121" s="173" t="s">
        <v>725</v>
      </c>
      <c r="BB121" s="173" t="s">
        <v>725</v>
      </c>
      <c r="BC121" s="173" t="s">
        <v>725</v>
      </c>
      <c r="BD121" s="173" t="s">
        <v>725</v>
      </c>
      <c r="BE121" s="173" t="s">
        <v>725</v>
      </c>
      <c r="BF121" s="173" t="s">
        <v>725</v>
      </c>
      <c r="BG121" s="173" t="s">
        <v>725</v>
      </c>
      <c r="BH121" s="173" t="s">
        <v>725</v>
      </c>
      <c r="BI121" s="173" t="s">
        <v>725</v>
      </c>
      <c r="BJ121" s="173" t="s">
        <v>725</v>
      </c>
      <c r="BK121" s="173" t="s">
        <v>725</v>
      </c>
      <c r="BL121" s="173" t="s">
        <v>725</v>
      </c>
      <c r="BM121" s="173" t="s">
        <v>725</v>
      </c>
      <c r="BN121" s="173" t="s">
        <v>725</v>
      </c>
      <c r="BO121" s="173" t="s">
        <v>725</v>
      </c>
      <c r="BP121" s="173" t="s">
        <v>725</v>
      </c>
      <c r="BQ121" s="173" t="s">
        <v>725</v>
      </c>
      <c r="BR121" s="180">
        <f t="shared" ref="BR121:BR124" si="237">IF(E121&lt;#REF!,1,0)</f>
      </c>
      <c r="BS121" s="161" t="str">
        <v>#VALUE!</v>
      </c>
    </row>
    <row customHeight="true" ht="18.51851851851852" r="122">
      <c r="A122" s="161" t="s">
        <v>737</v>
      </c>
      <c r="B122" s="161" t="s">
        <v>730</v>
      </c>
      <c r="C122" s="183" t="s">
        <v>776</v>
      </c>
      <c r="D122" s="178" t="s">
        <v>781</v>
      </c>
      <c r="E122" s="186">
        <v>15</v>
      </c>
      <c r="F122" s="163">
        <v>21.99</v>
      </c>
      <c r="G122" s="164">
        <f t="shared" si="4"/>
      </c>
      <c r="H122" s="164">
        <f t="shared" si="69"/>
      </c>
      <c r="I122" s="164">
        <f t="shared" si="129"/>
      </c>
      <c r="J122" s="165">
        <f t="shared" si="210"/>
      </c>
      <c r="K122" s="166">
        <f t="shared" si="263"/>
      </c>
      <c r="L122" s="167">
        <f t="shared" si="334"/>
      </c>
      <c r="M122" s="164">
        <f t="shared" si="379"/>
      </c>
      <c r="N122" s="166">
        <f t="shared" si="423"/>
      </c>
      <c r="O122" s="166">
        <f t="shared" si="454"/>
      </c>
      <c r="P122" s="161">
        <v>200</v>
      </c>
      <c r="Q122" s="168">
        <v>8</v>
      </c>
      <c r="R122" s="169">
        <f t="shared" si="25"/>
      </c>
      <c r="S122" s="165">
        <f t="shared" si="520"/>
      </c>
      <c r="T122" s="169">
        <f t="shared" si="151"/>
      </c>
      <c r="U122" s="169">
        <v>0.01</v>
      </c>
      <c r="V122" s="169">
        <f t="shared" si="285"/>
      </c>
      <c r="W122" s="169">
        <f t="shared" si="356"/>
      </c>
      <c r="X122" s="170">
        <v>0.223</v>
      </c>
      <c r="Y122" s="171">
        <v>0</v>
      </c>
      <c r="Z122" s="171">
        <f t="shared" si="401"/>
      </c>
      <c r="AA122" s="171">
        <f t="shared" si="476"/>
      </c>
      <c r="AB122" s="166">
        <f t="shared" si="498"/>
      </c>
      <c r="AC122" s="166">
        <v>29.4</v>
      </c>
      <c r="AD122" s="172">
        <f t="shared" si="45"/>
      </c>
      <c r="AE122" s="168">
        <f t="shared" si="97"/>
      </c>
      <c r="AF122" s="169">
        <f t="shared" si="170"/>
      </c>
      <c r="AG122" s="169">
        <f t="shared" si="315"/>
      </c>
      <c r="AH122" s="168">
        <v>4</v>
      </c>
      <c r="AI122" s="169">
        <f t="shared" si="306"/>
      </c>
      <c r="AJ122" s="173"/>
      <c r="AK122" s="173"/>
      <c r="AL122" s="173"/>
      <c r="AM122" s="173"/>
      <c r="AN122" s="173"/>
      <c r="AO122" s="173"/>
      <c r="AP122" s="173"/>
      <c r="AQ122" s="173"/>
      <c r="AR122" s="173"/>
      <c r="AS122" s="173"/>
      <c r="AT122" s="173" t="s">
        <v>725</v>
      </c>
      <c r="AU122" s="173" t="s">
        <v>725</v>
      </c>
      <c r="AV122" s="173" t="s">
        <v>725</v>
      </c>
      <c r="AW122" s="173" t="s">
        <v>725</v>
      </c>
      <c r="AX122" s="173" t="s">
        <v>725</v>
      </c>
      <c r="AY122" s="173" t="s">
        <v>725</v>
      </c>
      <c r="AZ122" s="173" t="s">
        <v>725</v>
      </c>
      <c r="BA122" s="173" t="s">
        <v>725</v>
      </c>
      <c r="BB122" s="173" t="s">
        <v>725</v>
      </c>
      <c r="BC122" s="173" t="s">
        <v>725</v>
      </c>
      <c r="BD122" s="173" t="s">
        <v>725</v>
      </c>
      <c r="BE122" s="173" t="s">
        <v>725</v>
      </c>
      <c r="BF122" s="173" t="s">
        <v>725</v>
      </c>
      <c r="BG122" s="173" t="s">
        <v>725</v>
      </c>
      <c r="BH122" s="173" t="s">
        <v>725</v>
      </c>
      <c r="BI122" s="173" t="s">
        <v>725</v>
      </c>
      <c r="BJ122" s="173" t="s">
        <v>725</v>
      </c>
      <c r="BK122" s="173" t="s">
        <v>725</v>
      </c>
      <c r="BL122" s="173" t="s">
        <v>725</v>
      </c>
      <c r="BM122" s="173" t="s">
        <v>725</v>
      </c>
      <c r="BN122" s="173" t="s">
        <v>725</v>
      </c>
      <c r="BO122" s="173" t="s">
        <v>725</v>
      </c>
      <c r="BP122" s="173" t="s">
        <v>725</v>
      </c>
      <c r="BQ122" s="173" t="s">
        <v>725</v>
      </c>
      <c r="BR122" s="180">
        <f t="shared" si="237"/>
      </c>
      <c r="BS122" s="161" t="str">
        <v>#VALUE!</v>
      </c>
    </row>
    <row customHeight="true" ht="18.51851851851852" r="123">
      <c r="A123" s="161" t="s">
        <v>739</v>
      </c>
      <c r="B123" s="161" t="s">
        <v>730</v>
      </c>
      <c r="C123" s="183" t="s">
        <v>776</v>
      </c>
      <c r="D123" s="178" t="s">
        <v>782</v>
      </c>
      <c r="E123" s="186">
        <v>15</v>
      </c>
      <c r="F123" s="163">
        <v>21.99</v>
      </c>
      <c r="G123" s="164">
        <f t="shared" si="4"/>
      </c>
      <c r="H123" s="164">
        <f t="shared" si="69"/>
      </c>
      <c r="I123" s="164">
        <f t="shared" si="129"/>
      </c>
      <c r="J123" s="165">
        <f t="shared" si="210"/>
      </c>
      <c r="K123" s="166">
        <f t="shared" si="263"/>
      </c>
      <c r="L123" s="167">
        <f t="shared" si="334"/>
      </c>
      <c r="M123" s="164">
        <f t="shared" si="379"/>
      </c>
      <c r="N123" s="166">
        <f t="shared" si="423"/>
      </c>
      <c r="O123" s="166">
        <f t="shared" si="454"/>
      </c>
      <c r="P123" s="161">
        <v>200</v>
      </c>
      <c r="Q123" s="168">
        <v>8</v>
      </c>
      <c r="R123" s="169">
        <f t="shared" si="25"/>
      </c>
      <c r="S123" s="165">
        <f t="shared" si="520"/>
      </c>
      <c r="T123" s="169">
        <f t="shared" si="151"/>
      </c>
      <c r="U123" s="169">
        <v>0.01</v>
      </c>
      <c r="V123" s="169">
        <f t="shared" si="285"/>
      </c>
      <c r="W123" s="169">
        <f t="shared" si="356"/>
      </c>
      <c r="X123" s="170">
        <v>0.223</v>
      </c>
      <c r="Y123" s="171">
        <v>0</v>
      </c>
      <c r="Z123" s="171">
        <f t="shared" si="401"/>
      </c>
      <c r="AA123" s="171">
        <f t="shared" si="476"/>
      </c>
      <c r="AB123" s="166">
        <f t="shared" si="498"/>
      </c>
      <c r="AC123" s="166">
        <v>29.4</v>
      </c>
      <c r="AD123" s="172">
        <f t="shared" si="45"/>
      </c>
      <c r="AE123" s="168">
        <f t="shared" si="97"/>
      </c>
      <c r="AF123" s="169">
        <f t="shared" si="170"/>
      </c>
      <c r="AG123" s="169">
        <f t="shared" si="315"/>
      </c>
      <c r="AH123" s="168">
        <v>4</v>
      </c>
      <c r="AI123" s="169">
        <f t="shared" si="306"/>
      </c>
      <c r="AJ123" s="173"/>
      <c r="AK123" s="173"/>
      <c r="AL123" s="173"/>
      <c r="AM123" s="173"/>
      <c r="AN123" s="173"/>
      <c r="AO123" s="173"/>
      <c r="AP123" s="173"/>
      <c r="AQ123" s="173"/>
      <c r="AR123" s="173"/>
      <c r="AS123" s="173"/>
      <c r="AT123" s="173" t="s">
        <v>725</v>
      </c>
      <c r="AU123" s="173" t="s">
        <v>725</v>
      </c>
      <c r="AV123" s="173" t="s">
        <v>725</v>
      </c>
      <c r="AW123" s="173" t="s">
        <v>725</v>
      </c>
      <c r="AX123" s="173" t="s">
        <v>725</v>
      </c>
      <c r="AY123" s="173" t="s">
        <v>725</v>
      </c>
      <c r="AZ123" s="173" t="s">
        <v>725</v>
      </c>
      <c r="BA123" s="173" t="s">
        <v>725</v>
      </c>
      <c r="BB123" s="173" t="s">
        <v>725</v>
      </c>
      <c r="BC123" s="173" t="s">
        <v>725</v>
      </c>
      <c r="BD123" s="173" t="s">
        <v>725</v>
      </c>
      <c r="BE123" s="173" t="s">
        <v>725</v>
      </c>
      <c r="BF123" s="173" t="s">
        <v>725</v>
      </c>
      <c r="BG123" s="173" t="s">
        <v>725</v>
      </c>
      <c r="BH123" s="173" t="s">
        <v>725</v>
      </c>
      <c r="BI123" s="173" t="s">
        <v>725</v>
      </c>
      <c r="BJ123" s="173" t="s">
        <v>725</v>
      </c>
      <c r="BK123" s="173" t="s">
        <v>725</v>
      </c>
      <c r="BL123" s="173" t="s">
        <v>725</v>
      </c>
      <c r="BM123" s="173" t="s">
        <v>725</v>
      </c>
      <c r="BN123" s="173" t="s">
        <v>725</v>
      </c>
      <c r="BO123" s="173" t="s">
        <v>725</v>
      </c>
      <c r="BP123" s="173" t="s">
        <v>725</v>
      </c>
      <c r="BQ123" s="173" t="s">
        <v>725</v>
      </c>
      <c r="BR123" s="180">
        <f t="shared" si="237"/>
      </c>
      <c r="BS123" s="161" t="str">
        <v>#VALUE!</v>
      </c>
    </row>
    <row customHeight="true" ht="18.51851851851852" r="124">
      <c r="A124" s="161" t="s">
        <v>741</v>
      </c>
      <c r="B124" s="161" t="s">
        <v>730</v>
      </c>
      <c r="C124" s="183" t="s">
        <v>776</v>
      </c>
      <c r="D124" s="178" t="s">
        <v>783</v>
      </c>
      <c r="E124" s="186">
        <v>15</v>
      </c>
      <c r="F124" s="163">
        <v>21.99</v>
      </c>
      <c r="G124" s="164">
        <f t="shared" si="4"/>
      </c>
      <c r="H124" s="164">
        <f t="shared" si="69"/>
      </c>
      <c r="I124" s="164">
        <f t="shared" si="129"/>
      </c>
      <c r="J124" s="165">
        <f t="shared" si="210"/>
      </c>
      <c r="K124" s="166">
        <f t="shared" si="263"/>
      </c>
      <c r="L124" s="167">
        <f t="shared" si="334"/>
      </c>
      <c r="M124" s="164">
        <f t="shared" si="379"/>
      </c>
      <c r="N124" s="166">
        <f t="shared" si="423"/>
      </c>
      <c r="O124" s="166">
        <f t="shared" si="454"/>
      </c>
      <c r="P124" s="161">
        <v>200</v>
      </c>
      <c r="Q124" s="168">
        <v>8</v>
      </c>
      <c r="R124" s="169">
        <f t="shared" si="25"/>
      </c>
      <c r="S124" s="165">
        <f t="shared" si="520"/>
      </c>
      <c r="T124" s="169">
        <f t="shared" si="151"/>
      </c>
      <c r="U124" s="169">
        <v>0.01</v>
      </c>
      <c r="V124" s="169">
        <f t="shared" si="285"/>
      </c>
      <c r="W124" s="169">
        <f t="shared" si="356"/>
      </c>
      <c r="X124" s="170">
        <v>0.158</v>
      </c>
      <c r="Y124" s="171">
        <v>0</v>
      </c>
      <c r="Z124" s="171">
        <f t="shared" si="401"/>
      </c>
      <c r="AA124" s="171">
        <f t="shared" si="476"/>
      </c>
      <c r="AB124" s="166">
        <f t="shared" si="498"/>
      </c>
      <c r="AC124" s="166">
        <v>29.4</v>
      </c>
      <c r="AD124" s="172">
        <f t="shared" si="45"/>
      </c>
      <c r="AE124" s="168">
        <f t="shared" si="97"/>
      </c>
      <c r="AF124" s="169">
        <f t="shared" si="170"/>
      </c>
      <c r="AG124" s="169">
        <f t="shared" si="315"/>
      </c>
      <c r="AH124" s="168">
        <v>4</v>
      </c>
      <c r="AI124" s="169">
        <f t="shared" si="306"/>
      </c>
      <c r="AJ124" s="169"/>
      <c r="AK124" s="169"/>
      <c r="AL124" s="169"/>
      <c r="AM124" s="169"/>
      <c r="AN124" s="173"/>
      <c r="AO124" s="173"/>
      <c r="AP124" s="173"/>
      <c r="AQ124" s="173"/>
      <c r="AR124" s="173"/>
      <c r="AS124" s="173"/>
      <c r="AT124" s="173" t="s">
        <v>725</v>
      </c>
      <c r="AU124" s="173" t="s">
        <v>725</v>
      </c>
      <c r="AV124" s="173" t="s">
        <v>725</v>
      </c>
      <c r="AW124" s="173" t="s">
        <v>725</v>
      </c>
      <c r="AX124" s="173" t="s">
        <v>725</v>
      </c>
      <c r="AY124" s="173" t="s">
        <v>725</v>
      </c>
      <c r="AZ124" s="173" t="s">
        <v>725</v>
      </c>
      <c r="BA124" s="173" t="s">
        <v>725</v>
      </c>
      <c r="BB124" s="173" t="s">
        <v>725</v>
      </c>
      <c r="BC124" s="173" t="s">
        <v>725</v>
      </c>
      <c r="BD124" s="173" t="s">
        <v>725</v>
      </c>
      <c r="BE124" s="173" t="s">
        <v>725</v>
      </c>
      <c r="BF124" s="173" t="s">
        <v>725</v>
      </c>
      <c r="BG124" s="173" t="s">
        <v>725</v>
      </c>
      <c r="BH124" s="173" t="s">
        <v>725</v>
      </c>
      <c r="BI124" s="173" t="s">
        <v>725</v>
      </c>
      <c r="BJ124" s="173" t="s">
        <v>725</v>
      </c>
      <c r="BK124" s="173" t="s">
        <v>725</v>
      </c>
      <c r="BL124" s="173" t="s">
        <v>725</v>
      </c>
      <c r="BM124" s="173" t="s">
        <v>725</v>
      </c>
      <c r="BN124" s="173" t="s">
        <v>725</v>
      </c>
      <c r="BO124" s="173" t="s">
        <v>725</v>
      </c>
      <c r="BP124" s="173" t="s">
        <v>725</v>
      </c>
      <c r="BQ124" s="173" t="s">
        <v>725</v>
      </c>
      <c r="BR124" s="180">
        <f t="shared" si="237"/>
      </c>
      <c r="BS124" s="161" t="str">
        <v>#VALUE!</v>
      </c>
    </row>
    <row customHeight="true" ht="18.51851851851852" r="125">
      <c r="A125" s="161"/>
      <c r="B125" s="161"/>
      <c r="C125" s="161"/>
      <c r="D125" s="187"/>
      <c r="E125" s="166"/>
      <c r="F125" s="179"/>
      <c r="G125" s="164"/>
      <c r="H125" s="164"/>
      <c r="I125" s="164"/>
      <c r="J125" s="165"/>
      <c r="K125" s="166"/>
      <c r="L125" s="167"/>
      <c r="M125" s="164"/>
      <c r="N125" s="166"/>
      <c r="O125" s="166"/>
      <c r="P125" s="161"/>
      <c r="Q125" s="168"/>
      <c r="R125" s="169"/>
      <c r="S125" s="165"/>
      <c r="T125" s="169"/>
      <c r="U125" s="169"/>
      <c r="V125" s="169"/>
      <c r="W125" s="169"/>
      <c r="X125" s="170"/>
      <c r="Y125" s="171"/>
      <c r="Z125" s="171"/>
      <c r="AA125" s="171"/>
      <c r="AB125" s="166"/>
      <c r="AC125" s="166"/>
      <c r="AD125" s="172"/>
      <c r="AE125" s="168"/>
      <c r="AF125" s="169"/>
      <c r="AG125" s="169"/>
      <c r="AH125" s="168"/>
      <c r="AI125" s="169"/>
      <c r="AJ125" s="169"/>
      <c r="AK125" s="169"/>
      <c r="AL125" s="169"/>
      <c r="AM125" s="169"/>
      <c r="AN125" s="173"/>
      <c r="AO125" s="173"/>
      <c r="AP125" s="173"/>
      <c r="AQ125" s="173"/>
      <c r="AR125" s="173"/>
      <c r="AS125" s="173"/>
      <c r="AT125" s="173"/>
      <c r="AU125" s="173"/>
      <c r="AV125" s="173"/>
      <c r="AW125" s="173"/>
      <c r="AX125" s="173"/>
      <c r="AY125" s="173"/>
      <c r="AZ125" s="173"/>
      <c r="BA125" s="173"/>
      <c r="BB125" s="173"/>
      <c r="BC125" s="173"/>
      <c r="BD125" s="173"/>
      <c r="BE125" s="173"/>
      <c r="BF125" s="173"/>
      <c r="BG125" s="173"/>
      <c r="BH125" s="173"/>
      <c r="BI125" s="173"/>
      <c r="BJ125" s="173"/>
      <c r="BK125" s="173"/>
      <c r="BL125" s="173"/>
      <c r="BM125" s="173"/>
      <c r="BN125" s="173"/>
      <c r="BO125" s="173"/>
      <c r="BP125" s="173"/>
      <c r="BQ125" s="173"/>
      <c r="BR125" s="180"/>
      <c r="BS125" s="161"/>
    </row>
    <row customHeight="true" ht="18.51851851851852" r="126">
      <c r="A126" s="161" t="s">
        <v>721</v>
      </c>
      <c r="B126" s="161"/>
      <c r="C126" s="161"/>
      <c r="D126" s="187" t="s">
        <v>784</v>
      </c>
      <c r="E126" s="166">
        <v>100</v>
      </c>
      <c r="F126" s="179">
        <v>139.99</v>
      </c>
      <c r="G126" s="164">
        <f t="shared" ref="G126:G136" si="5">(F126-Z126)</f>
      </c>
      <c r="H126" s="164"/>
      <c r="I126" s="164">
        <f t="shared" ref="I126:I130" si="130">E126-N126/Q126-AB126-Y126-O126-Z126-AA126</f>
      </c>
      <c r="J126" s="165">
        <f t="shared" ref="J126:J130" si="211">I126/E126</f>
      </c>
      <c r="K126" s="166">
        <f t="shared" ref="K126:K130" si="264">F126/1.2</f>
      </c>
      <c r="L126" s="167">
        <f t="shared" ref="L126:L130" si="335">(K126-E126)/K126</f>
      </c>
      <c r="M126" s="164">
        <f t="shared" ref="M126:M130" si="380">F126/1.2-E126</f>
      </c>
      <c r="N126" s="166">
        <f t="shared" ref="N126:N130" si="424">AD126+AH126</f>
      </c>
      <c r="O126" s="166">
        <f t="shared" ref="O126:O130" si="455">IFERROR(IF(A126="UK",8.95/P126,IF(A126="DE",7.75/P126,IF(A126="FR",14.25/P126,IF(A126="IT",15.25/P126,IF(A126="ES",19.25/P126,IF(A126="NL",16.75/P126,IF(A126="PL",14.05/P126,IF(A126="SE",18.25/P126,IF(A126="BE",14.25/P126))))))))),0)</f>
      </c>
      <c r="P126" s="161">
        <v>4</v>
      </c>
      <c r="Q126" s="168">
        <v>8.5</v>
      </c>
      <c r="R126" s="169">
        <v>0.1</v>
      </c>
      <c r="S126" s="165">
        <f t="shared" ref="S126:S130" si="521">Y126/F126</f>
      </c>
      <c r="T126" s="169">
        <v>0.05</v>
      </c>
      <c r="U126" s="169">
        <v>0.01</v>
      </c>
      <c r="V126" s="169">
        <f t="shared" ref="V126:V130" si="286">N126/(E126*Q126)</f>
      </c>
      <c r="W126" s="169">
        <f t="shared" ref="W126:W130" si="357">O126/E126</f>
      </c>
      <c r="X126" s="170">
        <v>0.158</v>
      </c>
      <c r="Y126" s="171">
        <f t="shared" ref="Y126:Y130" si="62">E126*R126</f>
      </c>
      <c r="Z126" s="171">
        <f t="shared" ref="Z126:Z130" si="122">E126*T126</f>
      </c>
      <c r="AA126" s="171">
        <f t="shared" ref="AA126:AA130" si="477">E126*U126</f>
      </c>
      <c r="AB126" s="166">
        <f t="shared" ref="AB126:AB130" si="499">E126*X126</f>
      </c>
      <c r="AC126" s="166">
        <v>340</v>
      </c>
      <c r="AD126" s="172">
        <f t="shared" ref="AD126:AD130" si="46">AC126/1.13</f>
      </c>
      <c r="AE126" s="168">
        <f t="shared" ref="AE126:AE130" si="204">30/7.4</f>
      </c>
      <c r="AF126" s="169">
        <f t="shared" ref="AF126:AF130" si="171">AD126/(E126*Q126)</f>
      </c>
      <c r="AG126" s="169">
        <f t="shared" ref="AG126:AG130" si="316">AE126/Q126/E126</f>
      </c>
      <c r="AH126" s="168">
        <v>30</v>
      </c>
      <c r="AI126" s="169">
        <f t="shared" ref="AI126:AI130" si="256">(K126-E126+AB126-Z126)/K126</f>
      </c>
      <c r="AJ126" s="169"/>
      <c r="AK126" s="169"/>
      <c r="AL126" s="169"/>
      <c r="AM126" s="169"/>
      <c r="AN126" s="173"/>
      <c r="AO126" s="173"/>
      <c r="AP126" s="173"/>
      <c r="AQ126" s="173"/>
      <c r="AR126" s="173"/>
      <c r="AS126" s="173"/>
      <c r="AT126" s="173" t="s">
        <v>725</v>
      </c>
      <c r="AU126" s="173" t="s">
        <v>725</v>
      </c>
      <c r="AV126" s="173" t="s">
        <v>725</v>
      </c>
      <c r="AW126" s="173" t="s">
        <v>725</v>
      </c>
      <c r="AX126" s="173" t="s">
        <v>725</v>
      </c>
      <c r="AY126" s="173" t="s">
        <v>725</v>
      </c>
      <c r="AZ126" s="173" t="s">
        <v>725</v>
      </c>
      <c r="BA126" s="173" t="s">
        <v>725</v>
      </c>
      <c r="BB126" s="173" t="s">
        <v>725</v>
      </c>
      <c r="BC126" s="173" t="s">
        <v>725</v>
      </c>
      <c r="BD126" s="173" t="s">
        <v>725</v>
      </c>
      <c r="BE126" s="173" t="s">
        <v>725</v>
      </c>
      <c r="BF126" s="173" t="s">
        <v>725</v>
      </c>
      <c r="BG126" s="173" t="s">
        <v>725</v>
      </c>
      <c r="BH126" s="173" t="s">
        <v>725</v>
      </c>
      <c r="BI126" s="173" t="s">
        <v>725</v>
      </c>
      <c r="BJ126" s="173" t="s">
        <v>725</v>
      </c>
      <c r="BK126" s="173" t="s">
        <v>725</v>
      </c>
      <c r="BL126" s="173" t="s">
        <v>725</v>
      </c>
      <c r="BM126" s="173" t="s">
        <v>725</v>
      </c>
      <c r="BN126" s="173" t="s">
        <v>725</v>
      </c>
      <c r="BO126" s="173" t="s">
        <v>725</v>
      </c>
      <c r="BP126" s="173" t="s">
        <v>725</v>
      </c>
      <c r="BQ126" s="173" t="s">
        <v>725</v>
      </c>
      <c r="BR126" s="180">
        <f t="shared" ref="BR126:BR130" si="120">IF(#REF!&lt;E126,1,0)</f>
      </c>
      <c r="BS126" s="161" t="str">
        <v>#VALUE!</v>
      </c>
    </row>
    <row customHeight="true" ht="18.51851851851852" r="127">
      <c r="A127" s="161" t="s">
        <v>729</v>
      </c>
      <c r="B127" s="161"/>
      <c r="C127" s="161"/>
      <c r="D127" s="187" t="s">
        <v>784</v>
      </c>
      <c r="E127" s="166">
        <v>108</v>
      </c>
      <c r="F127" s="179">
        <v>149.99</v>
      </c>
      <c r="G127" s="164">
        <f t="shared" si="5"/>
      </c>
      <c r="H127" s="164"/>
      <c r="I127" s="164">
        <f t="shared" si="130"/>
      </c>
      <c r="J127" s="165">
        <f t="shared" si="211"/>
      </c>
      <c r="K127" s="166">
        <f t="shared" si="264"/>
      </c>
      <c r="L127" s="167">
        <f t="shared" si="335"/>
      </c>
      <c r="M127" s="164">
        <f t="shared" si="380"/>
      </c>
      <c r="N127" s="166">
        <f t="shared" si="424"/>
      </c>
      <c r="O127" s="166">
        <f t="shared" si="455"/>
      </c>
      <c r="P127" s="161">
        <v>4</v>
      </c>
      <c r="Q127" s="168">
        <v>7.4</v>
      </c>
      <c r="R127" s="169">
        <v>0.1</v>
      </c>
      <c r="S127" s="165">
        <f t="shared" si="521"/>
      </c>
      <c r="T127" s="169">
        <v>0.05</v>
      </c>
      <c r="U127" s="169">
        <v>0.01</v>
      </c>
      <c r="V127" s="169">
        <f t="shared" si="286"/>
      </c>
      <c r="W127" s="169">
        <f t="shared" si="357"/>
      </c>
      <c r="X127" s="170">
        <v>0.1695</v>
      </c>
      <c r="Y127" s="171">
        <f t="shared" si="62"/>
      </c>
      <c r="Z127" s="171">
        <f t="shared" si="122"/>
      </c>
      <c r="AA127" s="171">
        <f t="shared" si="477"/>
      </c>
      <c r="AB127" s="166">
        <f t="shared" si="499"/>
      </c>
      <c r="AC127" s="166">
        <v>340</v>
      </c>
      <c r="AD127" s="172">
        <f t="shared" si="46"/>
      </c>
      <c r="AE127" s="168">
        <f t="shared" si="204"/>
      </c>
      <c r="AF127" s="169">
        <f t="shared" si="171"/>
      </c>
      <c r="AG127" s="169">
        <f t="shared" si="316"/>
      </c>
      <c r="AH127" s="168">
        <v>30</v>
      </c>
      <c r="AI127" s="169">
        <f t="shared" si="256"/>
      </c>
      <c r="AJ127" s="169"/>
      <c r="AK127" s="169"/>
      <c r="AL127" s="169"/>
      <c r="AM127" s="169"/>
      <c r="AN127" s="173"/>
      <c r="AO127" s="173"/>
      <c r="AP127" s="173"/>
      <c r="AQ127" s="173"/>
      <c r="AR127" s="173"/>
      <c r="AS127" s="173"/>
      <c r="AT127" s="173" t="s">
        <v>725</v>
      </c>
      <c r="AU127" s="173" t="s">
        <v>725</v>
      </c>
      <c r="AV127" s="173" t="s">
        <v>725</v>
      </c>
      <c r="AW127" s="173" t="s">
        <v>725</v>
      </c>
      <c r="AX127" s="173" t="s">
        <v>725</v>
      </c>
      <c r="AY127" s="173" t="s">
        <v>725</v>
      </c>
      <c r="AZ127" s="173" t="s">
        <v>725</v>
      </c>
      <c r="BA127" s="173" t="s">
        <v>725</v>
      </c>
      <c r="BB127" s="173" t="s">
        <v>725</v>
      </c>
      <c r="BC127" s="173" t="s">
        <v>725</v>
      </c>
      <c r="BD127" s="173" t="s">
        <v>725</v>
      </c>
      <c r="BE127" s="173" t="s">
        <v>725</v>
      </c>
      <c r="BF127" s="173" t="s">
        <v>725</v>
      </c>
      <c r="BG127" s="173" t="s">
        <v>725</v>
      </c>
      <c r="BH127" s="173" t="s">
        <v>725</v>
      </c>
      <c r="BI127" s="173" t="s">
        <v>725</v>
      </c>
      <c r="BJ127" s="173" t="s">
        <v>725</v>
      </c>
      <c r="BK127" s="173" t="s">
        <v>725</v>
      </c>
      <c r="BL127" s="173" t="s">
        <v>725</v>
      </c>
      <c r="BM127" s="173" t="s">
        <v>725</v>
      </c>
      <c r="BN127" s="173" t="s">
        <v>725</v>
      </c>
      <c r="BO127" s="173" t="s">
        <v>725</v>
      </c>
      <c r="BP127" s="173" t="s">
        <v>725</v>
      </c>
      <c r="BQ127" s="173" t="s">
        <v>725</v>
      </c>
      <c r="BR127" s="180">
        <f t="shared" si="120"/>
      </c>
      <c r="BS127" s="161" t="str">
        <v>#VALUE!</v>
      </c>
    </row>
    <row customHeight="true" ht="18.51851851851852" r="128">
      <c r="A128" s="161" t="s">
        <v>732</v>
      </c>
      <c r="B128" s="161"/>
      <c r="C128" s="161"/>
      <c r="D128" s="187" t="s">
        <v>784</v>
      </c>
      <c r="E128" s="166">
        <v>108</v>
      </c>
      <c r="F128" s="179">
        <v>149.99</v>
      </c>
      <c r="G128" s="164">
        <f t="shared" si="5"/>
      </c>
      <c r="H128" s="164"/>
      <c r="I128" s="164">
        <f t="shared" si="130"/>
      </c>
      <c r="J128" s="165">
        <f t="shared" si="211"/>
      </c>
      <c r="K128" s="166">
        <f t="shared" si="264"/>
      </c>
      <c r="L128" s="167">
        <f t="shared" si="335"/>
      </c>
      <c r="M128" s="164">
        <f t="shared" si="380"/>
      </c>
      <c r="N128" s="166">
        <f t="shared" si="424"/>
      </c>
      <c r="O128" s="166">
        <f t="shared" si="455"/>
      </c>
      <c r="P128" s="161">
        <v>4</v>
      </c>
      <c r="Q128" s="168">
        <v>7.4</v>
      </c>
      <c r="R128" s="169">
        <v>0.1</v>
      </c>
      <c r="S128" s="165">
        <f t="shared" si="521"/>
      </c>
      <c r="T128" s="169">
        <v>0.05</v>
      </c>
      <c r="U128" s="169">
        <v>0.01</v>
      </c>
      <c r="V128" s="169">
        <f t="shared" si="286"/>
      </c>
      <c r="W128" s="169">
        <f t="shared" si="357"/>
      </c>
      <c r="X128" s="170">
        <v>0.198</v>
      </c>
      <c r="Y128" s="171">
        <f t="shared" si="62"/>
      </c>
      <c r="Z128" s="171">
        <f t="shared" si="122"/>
      </c>
      <c r="AA128" s="171">
        <f t="shared" si="477"/>
      </c>
      <c r="AB128" s="166">
        <f t="shared" si="499"/>
      </c>
      <c r="AC128" s="166">
        <v>340</v>
      </c>
      <c r="AD128" s="172">
        <f t="shared" si="46"/>
      </c>
      <c r="AE128" s="168">
        <f t="shared" si="204"/>
      </c>
      <c r="AF128" s="169">
        <f t="shared" si="171"/>
      </c>
      <c r="AG128" s="169">
        <f t="shared" si="316"/>
      </c>
      <c r="AH128" s="168">
        <v>30</v>
      </c>
      <c r="AI128" s="169">
        <f t="shared" si="256"/>
      </c>
      <c r="AJ128" s="169"/>
      <c r="AK128" s="169"/>
      <c r="AL128" s="169"/>
      <c r="AM128" s="169"/>
      <c r="AN128" s="173"/>
      <c r="AO128" s="173"/>
      <c r="AP128" s="173"/>
      <c r="AQ128" s="173"/>
      <c r="AR128" s="173"/>
      <c r="AS128" s="173"/>
      <c r="AT128" s="173" t="s">
        <v>725</v>
      </c>
      <c r="AU128" s="173" t="s">
        <v>725</v>
      </c>
      <c r="AV128" s="173" t="s">
        <v>725</v>
      </c>
      <c r="AW128" s="173" t="s">
        <v>725</v>
      </c>
      <c r="AX128" s="173" t="s">
        <v>725</v>
      </c>
      <c r="AY128" s="173" t="s">
        <v>725</v>
      </c>
      <c r="AZ128" s="173" t="s">
        <v>725</v>
      </c>
      <c r="BA128" s="173" t="s">
        <v>725</v>
      </c>
      <c r="BB128" s="173" t="s">
        <v>725</v>
      </c>
      <c r="BC128" s="173" t="s">
        <v>725</v>
      </c>
      <c r="BD128" s="173" t="s">
        <v>725</v>
      </c>
      <c r="BE128" s="173" t="s">
        <v>725</v>
      </c>
      <c r="BF128" s="173" t="s">
        <v>725</v>
      </c>
      <c r="BG128" s="173" t="s">
        <v>725</v>
      </c>
      <c r="BH128" s="173" t="s">
        <v>725</v>
      </c>
      <c r="BI128" s="173" t="s">
        <v>725</v>
      </c>
      <c r="BJ128" s="173" t="s">
        <v>725</v>
      </c>
      <c r="BK128" s="173" t="s">
        <v>725</v>
      </c>
      <c r="BL128" s="173" t="s">
        <v>725</v>
      </c>
      <c r="BM128" s="173" t="s">
        <v>725</v>
      </c>
      <c r="BN128" s="173" t="s">
        <v>725</v>
      </c>
      <c r="BO128" s="173" t="s">
        <v>725</v>
      </c>
      <c r="BP128" s="173" t="s">
        <v>725</v>
      </c>
      <c r="BQ128" s="173" t="s">
        <v>725</v>
      </c>
      <c r="BR128" s="180">
        <f t="shared" si="120"/>
      </c>
      <c r="BS128" s="161" t="str">
        <v>#VALUE!</v>
      </c>
    </row>
    <row customHeight="true" ht="18.51851851851852" r="129">
      <c r="A129" s="161" t="s">
        <v>733</v>
      </c>
      <c r="B129" s="161"/>
      <c r="C129" s="161"/>
      <c r="D129" s="187" t="s">
        <v>784</v>
      </c>
      <c r="E129" s="166">
        <v>108</v>
      </c>
      <c r="F129" s="179">
        <v>149.99</v>
      </c>
      <c r="G129" s="164">
        <f t="shared" si="5"/>
      </c>
      <c r="H129" s="164"/>
      <c r="I129" s="164">
        <f t="shared" si="130"/>
      </c>
      <c r="J129" s="165">
        <f t="shared" si="211"/>
      </c>
      <c r="K129" s="166">
        <f t="shared" si="264"/>
      </c>
      <c r="L129" s="167">
        <f t="shared" si="335"/>
      </c>
      <c r="M129" s="164">
        <f t="shared" si="380"/>
      </c>
      <c r="N129" s="166">
        <f t="shared" si="424"/>
      </c>
      <c r="O129" s="166">
        <f t="shared" si="455"/>
      </c>
      <c r="P129" s="161">
        <v>4</v>
      </c>
      <c r="Q129" s="168">
        <v>7.4</v>
      </c>
      <c r="R129" s="169">
        <v>0.1</v>
      </c>
      <c r="S129" s="165">
        <f t="shared" si="521"/>
      </c>
      <c r="T129" s="169">
        <v>0.05</v>
      </c>
      <c r="U129" s="169">
        <v>0.01</v>
      </c>
      <c r="V129" s="169">
        <f t="shared" si="286"/>
      </c>
      <c r="W129" s="169">
        <f t="shared" si="357"/>
      </c>
      <c r="X129" s="170">
        <v>0.1846</v>
      </c>
      <c r="Y129" s="171">
        <f t="shared" si="62"/>
      </c>
      <c r="Z129" s="171">
        <f t="shared" si="122"/>
      </c>
      <c r="AA129" s="171">
        <f t="shared" si="477"/>
      </c>
      <c r="AB129" s="166">
        <f t="shared" si="499"/>
      </c>
      <c r="AC129" s="166">
        <v>340</v>
      </c>
      <c r="AD129" s="172">
        <f t="shared" si="46"/>
      </c>
      <c r="AE129" s="168">
        <f t="shared" si="204"/>
      </c>
      <c r="AF129" s="169">
        <f t="shared" si="171"/>
      </c>
      <c r="AG129" s="169">
        <f t="shared" si="316"/>
      </c>
      <c r="AH129" s="168">
        <v>30</v>
      </c>
      <c r="AI129" s="169">
        <f t="shared" si="256"/>
      </c>
      <c r="AJ129" s="169"/>
      <c r="AK129" s="169"/>
      <c r="AL129" s="169"/>
      <c r="AM129" s="169"/>
      <c r="AN129" s="173"/>
      <c r="AO129" s="173"/>
      <c r="AP129" s="173"/>
      <c r="AQ129" s="173"/>
      <c r="AR129" s="173"/>
      <c r="AS129" s="173"/>
      <c r="AT129" s="173" t="s">
        <v>725</v>
      </c>
      <c r="AU129" s="173" t="s">
        <v>725</v>
      </c>
      <c r="AV129" s="173" t="s">
        <v>725</v>
      </c>
      <c r="AW129" s="173" t="s">
        <v>725</v>
      </c>
      <c r="AX129" s="173" t="s">
        <v>725</v>
      </c>
      <c r="AY129" s="173" t="s">
        <v>725</v>
      </c>
      <c r="AZ129" s="173" t="s">
        <v>725</v>
      </c>
      <c r="BA129" s="173" t="s">
        <v>725</v>
      </c>
      <c r="BB129" s="173" t="s">
        <v>725</v>
      </c>
      <c r="BC129" s="173" t="s">
        <v>725</v>
      </c>
      <c r="BD129" s="173" t="s">
        <v>725</v>
      </c>
      <c r="BE129" s="173" t="s">
        <v>725</v>
      </c>
      <c r="BF129" s="173" t="s">
        <v>725</v>
      </c>
      <c r="BG129" s="173" t="s">
        <v>725</v>
      </c>
      <c r="BH129" s="173" t="s">
        <v>725</v>
      </c>
      <c r="BI129" s="173" t="s">
        <v>725</v>
      </c>
      <c r="BJ129" s="173" t="s">
        <v>725</v>
      </c>
      <c r="BK129" s="173" t="s">
        <v>725</v>
      </c>
      <c r="BL129" s="173" t="s">
        <v>725</v>
      </c>
      <c r="BM129" s="173" t="s">
        <v>725</v>
      </c>
      <c r="BN129" s="173" t="s">
        <v>725</v>
      </c>
      <c r="BO129" s="173" t="s">
        <v>725</v>
      </c>
      <c r="BP129" s="173" t="s">
        <v>725</v>
      </c>
      <c r="BQ129" s="173" t="s">
        <v>725</v>
      </c>
      <c r="BR129" s="180">
        <f t="shared" si="120"/>
      </c>
      <c r="BS129" s="161" t="str">
        <v>#VALUE!</v>
      </c>
    </row>
    <row customHeight="true" ht="18.51851851851852" r="130">
      <c r="A130" s="161" t="s">
        <v>734</v>
      </c>
      <c r="B130" s="161"/>
      <c r="C130" s="161"/>
      <c r="D130" s="187" t="s">
        <v>784</v>
      </c>
      <c r="E130" s="166">
        <v>108</v>
      </c>
      <c r="F130" s="179">
        <v>149.99</v>
      </c>
      <c r="G130" s="164">
        <f t="shared" si="5"/>
      </c>
      <c r="H130" s="164"/>
      <c r="I130" s="164">
        <f t="shared" si="130"/>
      </c>
      <c r="J130" s="165">
        <f t="shared" si="211"/>
      </c>
      <c r="K130" s="166">
        <f t="shared" si="264"/>
      </c>
      <c r="L130" s="167">
        <f t="shared" si="335"/>
      </c>
      <c r="M130" s="164">
        <f t="shared" si="380"/>
      </c>
      <c r="N130" s="166">
        <f t="shared" si="424"/>
      </c>
      <c r="O130" s="166">
        <f t="shared" si="455"/>
      </c>
      <c r="P130" s="161">
        <v>4</v>
      </c>
      <c r="Q130" s="168">
        <v>7.4</v>
      </c>
      <c r="R130" s="169">
        <v>0.1</v>
      </c>
      <c r="S130" s="165">
        <f t="shared" si="521"/>
      </c>
      <c r="T130" s="169">
        <v>0.05</v>
      </c>
      <c r="U130" s="169">
        <v>0.01</v>
      </c>
      <c r="V130" s="169">
        <f t="shared" si="286"/>
      </c>
      <c r="W130" s="169">
        <f t="shared" si="357"/>
      </c>
      <c r="X130" s="170">
        <v>0.1646</v>
      </c>
      <c r="Y130" s="171">
        <f t="shared" si="62"/>
      </c>
      <c r="Z130" s="171">
        <f t="shared" si="122"/>
      </c>
      <c r="AA130" s="171">
        <f t="shared" si="477"/>
      </c>
      <c r="AB130" s="166">
        <f t="shared" si="499"/>
      </c>
      <c r="AC130" s="166">
        <v>340</v>
      </c>
      <c r="AD130" s="172">
        <f t="shared" si="46"/>
      </c>
      <c r="AE130" s="168">
        <f t="shared" si="204"/>
      </c>
      <c r="AF130" s="169">
        <f t="shared" si="171"/>
      </c>
      <c r="AG130" s="169">
        <f t="shared" si="316"/>
      </c>
      <c r="AH130" s="168">
        <v>30</v>
      </c>
      <c r="AI130" s="169">
        <f t="shared" si="256"/>
      </c>
      <c r="AJ130" s="169"/>
      <c r="AK130" s="169"/>
      <c r="AL130" s="169"/>
      <c r="AM130" s="169"/>
      <c r="AN130" s="173"/>
      <c r="AO130" s="173"/>
      <c r="AP130" s="173"/>
      <c r="AQ130" s="173"/>
      <c r="AR130" s="173"/>
      <c r="AS130" s="173"/>
      <c r="AT130" s="173" t="s">
        <v>725</v>
      </c>
      <c r="AU130" s="173" t="s">
        <v>725</v>
      </c>
      <c r="AV130" s="173" t="s">
        <v>725</v>
      </c>
      <c r="AW130" s="173" t="s">
        <v>725</v>
      </c>
      <c r="AX130" s="173" t="s">
        <v>725</v>
      </c>
      <c r="AY130" s="173" t="s">
        <v>725</v>
      </c>
      <c r="AZ130" s="173" t="s">
        <v>725</v>
      </c>
      <c r="BA130" s="173" t="s">
        <v>725</v>
      </c>
      <c r="BB130" s="173" t="s">
        <v>725</v>
      </c>
      <c r="BC130" s="173" t="s">
        <v>725</v>
      </c>
      <c r="BD130" s="173" t="s">
        <v>725</v>
      </c>
      <c r="BE130" s="173" t="s">
        <v>725</v>
      </c>
      <c r="BF130" s="173" t="s">
        <v>725</v>
      </c>
      <c r="BG130" s="173" t="s">
        <v>725</v>
      </c>
      <c r="BH130" s="173" t="s">
        <v>725</v>
      </c>
      <c r="BI130" s="173" t="s">
        <v>725</v>
      </c>
      <c r="BJ130" s="173" t="s">
        <v>725</v>
      </c>
      <c r="BK130" s="173" t="s">
        <v>725</v>
      </c>
      <c r="BL130" s="173" t="s">
        <v>725</v>
      </c>
      <c r="BM130" s="173" t="s">
        <v>725</v>
      </c>
      <c r="BN130" s="173" t="s">
        <v>725</v>
      </c>
      <c r="BO130" s="173" t="s">
        <v>725</v>
      </c>
      <c r="BP130" s="173" t="s">
        <v>725</v>
      </c>
      <c r="BQ130" s="173" t="s">
        <v>725</v>
      </c>
      <c r="BR130" s="180">
        <f t="shared" si="120"/>
      </c>
      <c r="BS130" s="161" t="str">
        <v>#VALUE!</v>
      </c>
    </row>
    <row customHeight="true" ht="18.51851851851852" r="131">
      <c r="G131" s="164">
        <f t="shared" si="5"/>
      </c>
      <c r="H131" s="181"/>
      <c r="N131" s="166"/>
      <c r="S131" s="181"/>
      <c r="AE131" s="188"/>
      <c r="AI131" s="181"/>
      <c r="BS131" s="181" t="str">
        <v>#VALUE!</v>
      </c>
    </row>
    <row customHeight="true" ht="18.51851851851852" r="132">
      <c r="A132" s="161" t="s">
        <v>721</v>
      </c>
      <c r="B132" s="161"/>
      <c r="C132" s="161"/>
      <c r="D132" s="187" t="s">
        <v>785</v>
      </c>
      <c r="E132" s="166">
        <v>85</v>
      </c>
      <c r="F132" s="179">
        <v>119.99</v>
      </c>
      <c r="G132" s="164">
        <f t="shared" si="5"/>
      </c>
      <c r="H132" s="164"/>
      <c r="I132" s="164">
        <f t="shared" ref="I132:I136" si="131">E132-N132/Q132-AB132-Y132-O132-Z132-AA132</f>
      </c>
      <c r="J132" s="165">
        <f t="shared" ref="J132:J136" si="212">I132/E132</f>
      </c>
      <c r="K132" s="166">
        <f t="shared" ref="K132:K136" si="265">F132/1.2</f>
      </c>
      <c r="L132" s="167">
        <f t="shared" ref="L132:L136" si="336">(K132-E132)/K132</f>
      </c>
      <c r="M132" s="164">
        <f t="shared" ref="M132:M136" si="381">F132/1.2-E132</f>
      </c>
      <c r="N132" s="166">
        <f t="shared" ref="N132:N136" si="425">AD132+AH132</f>
      </c>
      <c r="O132" s="166">
        <f t="shared" ref="O132:O136" si="456">IFERROR(IF(A132="UK",8.95/P132,IF(A132="DE",7.75/P132,IF(A132="FR",14.25/P132,IF(A132="IT",15.25/P132,IF(A132="ES",19.25/P132,IF(A132="NL",16.75/P132,IF(A132="PL",14.05/P132,IF(A132="SE",18.25/P132,IF(A132="BE",14.25/P132))))))))),0)</f>
      </c>
      <c r="P132" s="161">
        <v>3</v>
      </c>
      <c r="Q132" s="168">
        <v>8.5</v>
      </c>
      <c r="R132" s="169">
        <v>0.13</v>
      </c>
      <c r="S132" s="165">
        <f t="shared" ref="S132:S136" si="522">Y132/F132</f>
      </c>
      <c r="T132" s="169">
        <v>0.05</v>
      </c>
      <c r="U132" s="169">
        <v>0.01</v>
      </c>
      <c r="V132" s="169">
        <f t="shared" ref="V132:V136" si="287">N132/(E132*Q132)</f>
      </c>
      <c r="W132" s="169">
        <f t="shared" ref="W132:W136" si="358">O132/E132</f>
      </c>
      <c r="X132" s="170">
        <v>0.158</v>
      </c>
      <c r="Y132" s="171">
        <f t="shared" ref="Y132:Y136" si="63">E132*R132</f>
      </c>
      <c r="Z132" s="171">
        <f t="shared" ref="Z132:Z136" si="123">E132*T132</f>
      </c>
      <c r="AA132" s="171">
        <f t="shared" ref="AA132:AA136" si="478">E132*U132</f>
      </c>
      <c r="AB132" s="166">
        <f t="shared" ref="AB132:AB136" si="500">E132*X132</f>
      </c>
      <c r="AC132" s="166">
        <v>270</v>
      </c>
      <c r="AD132" s="172">
        <f t="shared" ref="AD132:AD136" si="47">AC132/1.13</f>
      </c>
      <c r="AE132" s="168">
        <f>30/8.5</f>
      </c>
      <c r="AF132" s="169">
        <f t="shared" ref="AF132:AF136" si="172">AD132/(E132*Q132)</f>
      </c>
      <c r="AG132" s="169">
        <f t="shared" ref="AG132:AG136" si="317">AE132/Q132/E132</f>
      </c>
      <c r="AH132" s="168">
        <v>27.9</v>
      </c>
      <c r="AI132" s="169">
        <f t="shared" ref="AI132:AI136" si="257">(K132-E132+AB132-Z132)/K132</f>
      </c>
      <c r="AJ132" s="169"/>
      <c r="AK132" s="169"/>
      <c r="AL132" s="169"/>
      <c r="AM132" s="169"/>
      <c r="AN132" s="173"/>
      <c r="AO132" s="173"/>
      <c r="AP132" s="173"/>
      <c r="AQ132" s="173"/>
      <c r="AR132" s="173"/>
      <c r="AS132" s="173"/>
      <c r="AT132" s="173" t="s">
        <v>725</v>
      </c>
      <c r="AU132" s="173" t="s">
        <v>725</v>
      </c>
      <c r="AV132" s="173" t="s">
        <v>725</v>
      </c>
      <c r="AW132" s="173" t="s">
        <v>725</v>
      </c>
      <c r="AX132" s="173" t="s">
        <v>725</v>
      </c>
      <c r="AY132" s="173" t="s">
        <v>725</v>
      </c>
      <c r="AZ132" s="173" t="s">
        <v>725</v>
      </c>
      <c r="BA132" s="173" t="s">
        <v>725</v>
      </c>
      <c r="BB132" s="173" t="s">
        <v>725</v>
      </c>
      <c r="BC132" s="173" t="s">
        <v>725</v>
      </c>
      <c r="BD132" s="173" t="s">
        <v>725</v>
      </c>
      <c r="BE132" s="173" t="s">
        <v>725</v>
      </c>
      <c r="BF132" s="173" t="s">
        <v>725</v>
      </c>
      <c r="BG132" s="173" t="s">
        <v>725</v>
      </c>
      <c r="BH132" s="173" t="s">
        <v>725</v>
      </c>
      <c r="BI132" s="173" t="s">
        <v>725</v>
      </c>
      <c r="BJ132" s="173" t="s">
        <v>725</v>
      </c>
      <c r="BK132" s="173" t="s">
        <v>725</v>
      </c>
      <c r="BL132" s="173" t="s">
        <v>725</v>
      </c>
      <c r="BM132" s="173" t="s">
        <v>725</v>
      </c>
      <c r="BN132" s="173" t="s">
        <v>725</v>
      </c>
      <c r="BO132" s="173" t="s">
        <v>725</v>
      </c>
      <c r="BP132" s="173" t="s">
        <v>725</v>
      </c>
      <c r="BQ132" s="173" t="s">
        <v>725</v>
      </c>
      <c r="BR132" s="180">
        <f t="shared" ref="BR132:BR136" si="121">IF(#REF!&lt;E132,1,0)</f>
      </c>
      <c r="BS132" s="161" t="str">
        <v>#VALUE!</v>
      </c>
    </row>
    <row customHeight="true" ht="18.51851851851852" r="133">
      <c r="A133" s="161" t="s">
        <v>729</v>
      </c>
      <c r="B133" s="161"/>
      <c r="C133" s="161"/>
      <c r="D133" s="187" t="s">
        <v>785</v>
      </c>
      <c r="E133" s="166">
        <v>84</v>
      </c>
      <c r="F133" s="179">
        <v>119</v>
      </c>
      <c r="G133" s="164">
        <f t="shared" si="5"/>
      </c>
      <c r="H133" s="164"/>
      <c r="I133" s="164">
        <f t="shared" si="131"/>
      </c>
      <c r="J133" s="165">
        <f t="shared" si="212"/>
      </c>
      <c r="K133" s="166">
        <f t="shared" si="265"/>
      </c>
      <c r="L133" s="167">
        <f t="shared" si="336"/>
      </c>
      <c r="M133" s="164">
        <f t="shared" si="381"/>
      </c>
      <c r="N133" s="166">
        <f t="shared" si="425"/>
      </c>
      <c r="O133" s="166">
        <f t="shared" si="456"/>
      </c>
      <c r="P133" s="161">
        <v>3</v>
      </c>
      <c r="Q133" s="168">
        <v>7.4</v>
      </c>
      <c r="R133" s="169">
        <v>0.13</v>
      </c>
      <c r="S133" s="165">
        <f t="shared" si="522"/>
      </c>
      <c r="T133" s="169">
        <v>0.05</v>
      </c>
      <c r="U133" s="169">
        <v>0.01</v>
      </c>
      <c r="V133" s="169">
        <f t="shared" si="287"/>
      </c>
      <c r="W133" s="169">
        <f t="shared" si="358"/>
      </c>
      <c r="X133" s="170">
        <v>0.1695</v>
      </c>
      <c r="Y133" s="171">
        <f t="shared" si="63"/>
      </c>
      <c r="Z133" s="171">
        <f t="shared" si="123"/>
      </c>
      <c r="AA133" s="171">
        <f t="shared" si="478"/>
      </c>
      <c r="AB133" s="166">
        <f t="shared" si="500"/>
      </c>
      <c r="AC133" s="166">
        <v>270</v>
      </c>
      <c r="AD133" s="172">
        <f t="shared" si="47"/>
      </c>
      <c r="AE133" s="168">
        <f t="shared" ref="AE133:AE136" si="373">27.9/7.4</f>
      </c>
      <c r="AF133" s="169">
        <f t="shared" si="172"/>
      </c>
      <c r="AG133" s="169">
        <f t="shared" si="317"/>
      </c>
      <c r="AH133" s="168">
        <v>27.9</v>
      </c>
      <c r="AI133" s="169">
        <f t="shared" si="257"/>
      </c>
      <c r="AJ133" s="169"/>
      <c r="AK133" s="169"/>
      <c r="AL133" s="169"/>
      <c r="AM133" s="169"/>
      <c r="AN133" s="173"/>
      <c r="AO133" s="173"/>
      <c r="AP133" s="173"/>
      <c r="AQ133" s="173"/>
      <c r="AR133" s="173"/>
      <c r="AS133" s="173"/>
      <c r="AT133" s="173" t="s">
        <v>725</v>
      </c>
      <c r="AU133" s="173" t="s">
        <v>725</v>
      </c>
      <c r="AV133" s="173" t="s">
        <v>725</v>
      </c>
      <c r="AW133" s="173" t="s">
        <v>725</v>
      </c>
      <c r="AX133" s="173" t="s">
        <v>725</v>
      </c>
      <c r="AY133" s="173" t="s">
        <v>725</v>
      </c>
      <c r="AZ133" s="173" t="s">
        <v>725</v>
      </c>
      <c r="BA133" s="173" t="s">
        <v>725</v>
      </c>
      <c r="BB133" s="173" t="s">
        <v>725</v>
      </c>
      <c r="BC133" s="173" t="s">
        <v>725</v>
      </c>
      <c r="BD133" s="173" t="s">
        <v>725</v>
      </c>
      <c r="BE133" s="173" t="s">
        <v>725</v>
      </c>
      <c r="BF133" s="173" t="s">
        <v>725</v>
      </c>
      <c r="BG133" s="173" t="s">
        <v>725</v>
      </c>
      <c r="BH133" s="173" t="s">
        <v>725</v>
      </c>
      <c r="BI133" s="173" t="s">
        <v>725</v>
      </c>
      <c r="BJ133" s="173" t="s">
        <v>725</v>
      </c>
      <c r="BK133" s="173" t="s">
        <v>725</v>
      </c>
      <c r="BL133" s="173" t="s">
        <v>725</v>
      </c>
      <c r="BM133" s="173" t="s">
        <v>725</v>
      </c>
      <c r="BN133" s="173" t="s">
        <v>725</v>
      </c>
      <c r="BO133" s="173" t="s">
        <v>725</v>
      </c>
      <c r="BP133" s="173" t="s">
        <v>725</v>
      </c>
      <c r="BQ133" s="173" t="s">
        <v>725</v>
      </c>
      <c r="BR133" s="180">
        <f t="shared" si="121"/>
      </c>
      <c r="BS133" s="161" t="str">
        <v>#VALUE!</v>
      </c>
    </row>
    <row customHeight="true" ht="18.51851851851852" r="134">
      <c r="A134" s="161" t="s">
        <v>732</v>
      </c>
      <c r="B134" s="161"/>
      <c r="C134" s="161"/>
      <c r="D134" s="187" t="s">
        <v>785</v>
      </c>
      <c r="E134" s="166">
        <v>93</v>
      </c>
      <c r="F134" s="179">
        <v>129.99</v>
      </c>
      <c r="G134" s="164">
        <f t="shared" si="5"/>
      </c>
      <c r="H134" s="164"/>
      <c r="I134" s="164">
        <f t="shared" si="131"/>
      </c>
      <c r="J134" s="165">
        <f t="shared" si="212"/>
      </c>
      <c r="K134" s="166">
        <f t="shared" si="265"/>
      </c>
      <c r="L134" s="167">
        <f t="shared" si="336"/>
      </c>
      <c r="M134" s="164">
        <f t="shared" si="381"/>
      </c>
      <c r="N134" s="166">
        <f t="shared" si="425"/>
      </c>
      <c r="O134" s="166">
        <f t="shared" si="456"/>
      </c>
      <c r="P134" s="161">
        <v>3</v>
      </c>
      <c r="Q134" s="168">
        <v>7.4</v>
      </c>
      <c r="R134" s="169">
        <v>0.13</v>
      </c>
      <c r="S134" s="165">
        <f t="shared" si="522"/>
      </c>
      <c r="T134" s="169">
        <v>0.05</v>
      </c>
      <c r="U134" s="169">
        <v>0.01</v>
      </c>
      <c r="V134" s="169">
        <f t="shared" si="287"/>
      </c>
      <c r="W134" s="169">
        <f t="shared" si="358"/>
      </c>
      <c r="X134" s="170">
        <v>0.198</v>
      </c>
      <c r="Y134" s="171">
        <f t="shared" si="63"/>
      </c>
      <c r="Z134" s="171">
        <f t="shared" si="123"/>
      </c>
      <c r="AA134" s="171">
        <f t="shared" si="478"/>
      </c>
      <c r="AB134" s="166">
        <f t="shared" si="500"/>
      </c>
      <c r="AC134" s="166">
        <v>270</v>
      </c>
      <c r="AD134" s="172">
        <f t="shared" si="47"/>
      </c>
      <c r="AE134" s="168">
        <f t="shared" si="373"/>
      </c>
      <c r="AF134" s="169">
        <f t="shared" si="172"/>
      </c>
      <c r="AG134" s="169">
        <f t="shared" si="317"/>
      </c>
      <c r="AH134" s="168">
        <v>27.9</v>
      </c>
      <c r="AI134" s="169">
        <f t="shared" si="257"/>
      </c>
      <c r="AJ134" s="169"/>
      <c r="AK134" s="169"/>
      <c r="AL134" s="169"/>
      <c r="AM134" s="169"/>
      <c r="AN134" s="173"/>
      <c r="AO134" s="173"/>
      <c r="AP134" s="173"/>
      <c r="AQ134" s="173"/>
      <c r="AR134" s="173"/>
      <c r="AS134" s="173"/>
      <c r="AT134" s="173" t="s">
        <v>725</v>
      </c>
      <c r="AU134" s="173" t="s">
        <v>725</v>
      </c>
      <c r="AV134" s="173" t="s">
        <v>725</v>
      </c>
      <c r="AW134" s="173" t="s">
        <v>725</v>
      </c>
      <c r="AX134" s="173" t="s">
        <v>725</v>
      </c>
      <c r="AY134" s="173" t="s">
        <v>725</v>
      </c>
      <c r="AZ134" s="173" t="s">
        <v>725</v>
      </c>
      <c r="BA134" s="173" t="s">
        <v>725</v>
      </c>
      <c r="BB134" s="173" t="s">
        <v>725</v>
      </c>
      <c r="BC134" s="173" t="s">
        <v>725</v>
      </c>
      <c r="BD134" s="173" t="s">
        <v>725</v>
      </c>
      <c r="BE134" s="173" t="s">
        <v>725</v>
      </c>
      <c r="BF134" s="173" t="s">
        <v>725</v>
      </c>
      <c r="BG134" s="173" t="s">
        <v>725</v>
      </c>
      <c r="BH134" s="173" t="s">
        <v>725</v>
      </c>
      <c r="BI134" s="173" t="s">
        <v>725</v>
      </c>
      <c r="BJ134" s="173" t="s">
        <v>725</v>
      </c>
      <c r="BK134" s="173" t="s">
        <v>725</v>
      </c>
      <c r="BL134" s="173" t="s">
        <v>725</v>
      </c>
      <c r="BM134" s="173" t="s">
        <v>725</v>
      </c>
      <c r="BN134" s="173" t="s">
        <v>725</v>
      </c>
      <c r="BO134" s="173" t="s">
        <v>725</v>
      </c>
      <c r="BP134" s="173" t="s">
        <v>725</v>
      </c>
      <c r="BQ134" s="173" t="s">
        <v>725</v>
      </c>
      <c r="BR134" s="180">
        <f t="shared" si="121"/>
      </c>
      <c r="BS134" s="161" t="str">
        <v>#VALUE!</v>
      </c>
    </row>
    <row customHeight="true" ht="18.51851851851852" r="135">
      <c r="A135" s="161" t="s">
        <v>733</v>
      </c>
      <c r="B135" s="161"/>
      <c r="C135" s="161"/>
      <c r="D135" s="187" t="s">
        <v>785</v>
      </c>
      <c r="E135" s="166">
        <v>93</v>
      </c>
      <c r="F135" s="179">
        <v>129.99</v>
      </c>
      <c r="G135" s="164">
        <f t="shared" si="5"/>
      </c>
      <c r="H135" s="164"/>
      <c r="I135" s="164">
        <f t="shared" si="131"/>
      </c>
      <c r="J135" s="165">
        <f t="shared" si="212"/>
      </c>
      <c r="K135" s="166">
        <f t="shared" si="265"/>
      </c>
      <c r="L135" s="167">
        <f t="shared" si="336"/>
      </c>
      <c r="M135" s="164">
        <f t="shared" si="381"/>
      </c>
      <c r="N135" s="166">
        <f t="shared" si="425"/>
      </c>
      <c r="O135" s="166">
        <f t="shared" si="456"/>
      </c>
      <c r="P135" s="161">
        <v>3</v>
      </c>
      <c r="Q135" s="168">
        <v>7.4</v>
      </c>
      <c r="R135" s="169">
        <v>0.13</v>
      </c>
      <c r="S135" s="165">
        <f t="shared" si="522"/>
      </c>
      <c r="T135" s="169">
        <v>0.05</v>
      </c>
      <c r="U135" s="169">
        <v>0.01</v>
      </c>
      <c r="V135" s="169">
        <f t="shared" si="287"/>
      </c>
      <c r="W135" s="169">
        <f t="shared" si="358"/>
      </c>
      <c r="X135" s="170">
        <v>0.1846</v>
      </c>
      <c r="Y135" s="171">
        <f t="shared" si="63"/>
      </c>
      <c r="Z135" s="171">
        <f t="shared" si="123"/>
      </c>
      <c r="AA135" s="171">
        <f t="shared" si="478"/>
      </c>
      <c r="AB135" s="166">
        <f t="shared" si="500"/>
      </c>
      <c r="AC135" s="166">
        <v>270</v>
      </c>
      <c r="AD135" s="172">
        <f t="shared" si="47"/>
      </c>
      <c r="AE135" s="168">
        <f t="shared" si="373"/>
      </c>
      <c r="AF135" s="169">
        <f t="shared" si="172"/>
      </c>
      <c r="AG135" s="169">
        <f t="shared" si="317"/>
      </c>
      <c r="AH135" s="168">
        <v>27.9</v>
      </c>
      <c r="AI135" s="169">
        <f t="shared" si="257"/>
      </c>
      <c r="AJ135" s="169"/>
      <c r="AK135" s="169"/>
      <c r="AL135" s="169"/>
      <c r="AM135" s="169"/>
      <c r="AN135" s="173"/>
      <c r="AO135" s="173"/>
      <c r="AP135" s="173"/>
      <c r="AQ135" s="173"/>
      <c r="AR135" s="173"/>
      <c r="AS135" s="173"/>
      <c r="AT135" s="173" t="s">
        <v>725</v>
      </c>
      <c r="AU135" s="173" t="s">
        <v>725</v>
      </c>
      <c r="AV135" s="173" t="s">
        <v>725</v>
      </c>
      <c r="AW135" s="173" t="s">
        <v>725</v>
      </c>
      <c r="AX135" s="173" t="s">
        <v>725</v>
      </c>
      <c r="AY135" s="173" t="s">
        <v>725</v>
      </c>
      <c r="AZ135" s="173" t="s">
        <v>725</v>
      </c>
      <c r="BA135" s="173" t="s">
        <v>725</v>
      </c>
      <c r="BB135" s="173" t="s">
        <v>725</v>
      </c>
      <c r="BC135" s="173" t="s">
        <v>725</v>
      </c>
      <c r="BD135" s="173" t="s">
        <v>725</v>
      </c>
      <c r="BE135" s="173" t="s">
        <v>725</v>
      </c>
      <c r="BF135" s="173" t="s">
        <v>725</v>
      </c>
      <c r="BG135" s="173" t="s">
        <v>725</v>
      </c>
      <c r="BH135" s="173" t="s">
        <v>725</v>
      </c>
      <c r="BI135" s="173" t="s">
        <v>725</v>
      </c>
      <c r="BJ135" s="173" t="s">
        <v>725</v>
      </c>
      <c r="BK135" s="173" t="s">
        <v>725</v>
      </c>
      <c r="BL135" s="173" t="s">
        <v>725</v>
      </c>
      <c r="BM135" s="173" t="s">
        <v>725</v>
      </c>
      <c r="BN135" s="173" t="s">
        <v>725</v>
      </c>
      <c r="BO135" s="173" t="s">
        <v>725</v>
      </c>
      <c r="BP135" s="173" t="s">
        <v>725</v>
      </c>
      <c r="BQ135" s="173" t="s">
        <v>725</v>
      </c>
      <c r="BR135" s="180">
        <f t="shared" si="121"/>
      </c>
      <c r="BS135" s="161" t="str">
        <v>#VALUE!</v>
      </c>
    </row>
    <row customHeight="true" ht="18.51851851851852" r="136">
      <c r="A136" s="161" t="s">
        <v>734</v>
      </c>
      <c r="B136" s="161"/>
      <c r="C136" s="161"/>
      <c r="D136" s="187" t="s">
        <v>785</v>
      </c>
      <c r="E136" s="166">
        <v>93</v>
      </c>
      <c r="F136" s="179">
        <v>129.99</v>
      </c>
      <c r="G136" s="164">
        <f t="shared" si="5"/>
      </c>
      <c r="H136" s="164"/>
      <c r="I136" s="164">
        <f t="shared" si="131"/>
      </c>
      <c r="J136" s="165">
        <f t="shared" si="212"/>
      </c>
      <c r="K136" s="166">
        <f t="shared" si="265"/>
      </c>
      <c r="L136" s="167">
        <f t="shared" si="336"/>
      </c>
      <c r="M136" s="164">
        <f t="shared" si="381"/>
      </c>
      <c r="N136" s="166">
        <f t="shared" si="425"/>
      </c>
      <c r="O136" s="166">
        <f t="shared" si="456"/>
      </c>
      <c r="P136" s="161">
        <v>3</v>
      </c>
      <c r="Q136" s="168">
        <v>7.4</v>
      </c>
      <c r="R136" s="169">
        <v>0.13</v>
      </c>
      <c r="S136" s="165">
        <f t="shared" si="522"/>
      </c>
      <c r="T136" s="169">
        <v>0.05</v>
      </c>
      <c r="U136" s="169">
        <v>0.01</v>
      </c>
      <c r="V136" s="169">
        <f t="shared" si="287"/>
      </c>
      <c r="W136" s="169">
        <f t="shared" si="358"/>
      </c>
      <c r="X136" s="170">
        <v>0.1646</v>
      </c>
      <c r="Y136" s="171">
        <f t="shared" si="63"/>
      </c>
      <c r="Z136" s="171">
        <f t="shared" si="123"/>
      </c>
      <c r="AA136" s="171">
        <f t="shared" si="478"/>
      </c>
      <c r="AB136" s="166">
        <f t="shared" si="500"/>
      </c>
      <c r="AC136" s="166">
        <v>270</v>
      </c>
      <c r="AD136" s="172">
        <f t="shared" si="47"/>
      </c>
      <c r="AE136" s="168">
        <f t="shared" si="373"/>
      </c>
      <c r="AF136" s="169">
        <f t="shared" si="172"/>
      </c>
      <c r="AG136" s="169">
        <f t="shared" si="317"/>
      </c>
      <c r="AH136" s="168">
        <v>27.9</v>
      </c>
      <c r="AI136" s="169">
        <f t="shared" si="257"/>
      </c>
      <c r="AJ136" s="169"/>
      <c r="AK136" s="169"/>
      <c r="AL136" s="169"/>
      <c r="AM136" s="169"/>
      <c r="AN136" s="173"/>
      <c r="AO136" s="173"/>
      <c r="AP136" s="173"/>
      <c r="AQ136" s="173"/>
      <c r="AR136" s="173"/>
      <c r="AS136" s="173"/>
      <c r="AT136" s="173" t="s">
        <v>725</v>
      </c>
      <c r="AU136" s="173" t="s">
        <v>725</v>
      </c>
      <c r="AV136" s="173" t="s">
        <v>725</v>
      </c>
      <c r="AW136" s="173" t="s">
        <v>725</v>
      </c>
      <c r="AX136" s="173" t="s">
        <v>725</v>
      </c>
      <c r="AY136" s="173" t="s">
        <v>725</v>
      </c>
      <c r="AZ136" s="173" t="s">
        <v>725</v>
      </c>
      <c r="BA136" s="173" t="s">
        <v>725</v>
      </c>
      <c r="BB136" s="173" t="s">
        <v>725</v>
      </c>
      <c r="BC136" s="173" t="s">
        <v>725</v>
      </c>
      <c r="BD136" s="173" t="s">
        <v>725</v>
      </c>
      <c r="BE136" s="173" t="s">
        <v>725</v>
      </c>
      <c r="BF136" s="173" t="s">
        <v>725</v>
      </c>
      <c r="BG136" s="173" t="s">
        <v>725</v>
      </c>
      <c r="BH136" s="173" t="s">
        <v>725</v>
      </c>
      <c r="BI136" s="173" t="s">
        <v>725</v>
      </c>
      <c r="BJ136" s="173" t="s">
        <v>725</v>
      </c>
      <c r="BK136" s="173" t="s">
        <v>725</v>
      </c>
      <c r="BL136" s="173" t="s">
        <v>725</v>
      </c>
      <c r="BM136" s="173" t="s">
        <v>725</v>
      </c>
      <c r="BN136" s="173" t="s">
        <v>725</v>
      </c>
      <c r="BO136" s="173" t="s">
        <v>725</v>
      </c>
      <c r="BP136" s="173" t="s">
        <v>725</v>
      </c>
      <c r="BQ136" s="173" t="s">
        <v>725</v>
      </c>
      <c r="BR136" s="180">
        <f t="shared" si="121"/>
      </c>
      <c r="BS136" s="161" t="str">
        <v>#VALUE!</v>
      </c>
    </row>
    <row customHeight="true" ht="18.51851851851852" r="137">
      <c r="A137" s="161"/>
      <c r="B137" s="161"/>
      <c r="C137" s="161"/>
      <c r="D137" s="187"/>
      <c r="E137" s="166"/>
      <c r="F137" s="179"/>
      <c r="G137" s="164"/>
      <c r="H137" s="164"/>
      <c r="I137" s="164"/>
      <c r="J137" s="165"/>
      <c r="K137" s="166"/>
      <c r="L137" s="166"/>
      <c r="M137" s="166"/>
      <c r="N137" s="166"/>
      <c r="O137" s="166"/>
      <c r="P137" s="161"/>
      <c r="Q137" s="168"/>
      <c r="R137" s="169"/>
      <c r="S137" s="165"/>
      <c r="T137" s="169"/>
      <c r="U137" s="169"/>
      <c r="V137" s="169"/>
      <c r="W137" s="169"/>
      <c r="X137" s="170"/>
      <c r="Y137" s="171"/>
      <c r="Z137" s="171"/>
      <c r="AA137" s="171"/>
      <c r="AB137" s="166"/>
      <c r="AC137" s="166"/>
      <c r="AD137" s="172"/>
      <c r="AE137" s="168"/>
      <c r="AF137" s="169"/>
      <c r="AG137" s="169"/>
      <c r="AH137" s="168"/>
      <c r="AI137" s="169"/>
      <c r="AJ137" s="169"/>
      <c r="AK137" s="169"/>
      <c r="AL137" s="169"/>
      <c r="AM137" s="169"/>
      <c r="AN137" s="173"/>
      <c r="AO137" s="173"/>
      <c r="AP137" s="173"/>
      <c r="AQ137" s="173"/>
      <c r="AR137" s="173"/>
      <c r="AS137" s="173"/>
      <c r="AT137" s="173"/>
      <c r="AU137" s="173"/>
      <c r="AV137" s="173"/>
      <c r="AW137" s="173"/>
      <c r="AX137" s="173"/>
      <c r="AY137" s="173"/>
      <c r="AZ137" s="173"/>
      <c r="BA137" s="173"/>
      <c r="BB137" s="173"/>
      <c r="BC137" s="173"/>
      <c r="BD137" s="173"/>
      <c r="BE137" s="173"/>
      <c r="BF137" s="173"/>
      <c r="BG137" s="173"/>
      <c r="BH137" s="173"/>
      <c r="BI137" s="173"/>
      <c r="BJ137" s="173"/>
      <c r="BK137" s="173"/>
      <c r="BL137" s="173"/>
      <c r="BM137" s="173"/>
      <c r="BN137" s="173"/>
      <c r="BO137" s="173"/>
      <c r="BP137" s="173"/>
      <c r="BQ137" s="173"/>
      <c r="BR137" s="180"/>
      <c r="BS137" s="161" t="str">
        <v>#VALUE!</v>
      </c>
    </row>
    <row customHeight="true" ht="18.51851851851852" r="138">
      <c r="A138" s="161" t="s">
        <v>721</v>
      </c>
      <c r="B138" s="161"/>
      <c r="C138" s="183" t="s">
        <v>786</v>
      </c>
      <c r="D138" s="162" t="s">
        <v>787</v>
      </c>
      <c r="E138" s="166">
        <v>31.5</v>
      </c>
      <c r="F138" s="179">
        <v>45.99</v>
      </c>
      <c r="G138" s="164">
        <f t="shared" ref="G138:G156" si="6">(F138-Z138)</f>
      </c>
      <c r="H138" s="164">
        <f t="shared" ref="H138:H156" si="70">(F138-Z138)/1.2</f>
      </c>
      <c r="I138" s="164">
        <f t="shared" ref="I138:I156" si="132">E138-N138/Q138-AB138-Y138-O138-Z138-AA138</f>
      </c>
      <c r="J138" s="165">
        <f t="shared" ref="J138:J156" si="213">I138/E138</f>
      </c>
      <c r="K138" s="166">
        <f t="shared" ref="K138:K156" si="266">F138/1.2</f>
      </c>
      <c r="L138" s="167">
        <f t="shared" ref="L138:L156" si="337">(K138-E138)/K138</f>
      </c>
      <c r="M138" s="164">
        <f t="shared" ref="M138:M156" si="382">F138/1.2-E138</f>
      </c>
      <c r="N138" s="166">
        <f t="shared" ref="N138:N156" si="426">AD138+AH138</f>
      </c>
      <c r="O138" s="166">
        <f t="shared" ref="O138:O156" si="457">IFERROR(IF(A138="UK",8.95/P138,IF(A138="DE",7.75/P138,IF(A138="FR",14.25/P138,IF(A138="IT",15.25/P138,IF(A138="ES",19.25/P138,IF(A138="NL",16.75/P138,IF(A138="PL",14.05/P138,IF(A138="SE",18.25/P138,IF(A138="BE",14.25/P138))))))))),0)</f>
      </c>
      <c r="P138" s="161">
        <v>9</v>
      </c>
      <c r="Q138" s="168">
        <v>9</v>
      </c>
      <c r="R138" s="169">
        <f t="shared" ref="R138:R156" si="26">Y138/E138</f>
      </c>
      <c r="S138" s="165">
        <f t="shared" ref="S138:S156" si="523">Y138/F138</f>
      </c>
      <c r="T138" s="169">
        <v>0.05</v>
      </c>
      <c r="U138" s="169">
        <v>0.01</v>
      </c>
      <c r="V138" s="169">
        <f t="shared" ref="V138:V156" si="288">N138/(E138*Q138)</f>
      </c>
      <c r="W138" s="169">
        <f t="shared" ref="W138:W156" si="359">O138/E138</f>
      </c>
      <c r="X138" s="170">
        <v>0.178</v>
      </c>
      <c r="Y138" s="171">
        <v>5</v>
      </c>
      <c r="Z138" s="171">
        <v>0</v>
      </c>
      <c r="AA138" s="171">
        <f t="shared" ref="AA138:AA156" si="479">E138*U138</f>
      </c>
      <c r="AB138" s="166">
        <f t="shared" ref="AB138:AB156" si="501">E138*X138</f>
      </c>
      <c r="AC138" s="166">
        <v>94.4</v>
      </c>
      <c r="AD138" s="172">
        <f t="shared" ref="AD138:AD156" si="48">AC138/1.13</f>
      </c>
      <c r="AE138" s="168">
        <f t="shared" ref="AE138:AE140" si="414">11.1/8.5</f>
      </c>
      <c r="AF138" s="169">
        <f t="shared" ref="AF138:AF156" si="173">AD138/(E138*Q138)</f>
      </c>
      <c r="AG138" s="169">
        <f t="shared" ref="AG138:AG156" si="318">AE138/Q138/E138</f>
      </c>
      <c r="AH138" s="168">
        <v>16</v>
      </c>
      <c r="AI138" s="165">
        <f t="shared" ref="AI138:AI156" si="307">(K138-E138+AB138)/(K138-Z138)</f>
      </c>
      <c r="AJ138" s="169"/>
      <c r="AK138" s="169"/>
      <c r="AL138" s="169"/>
      <c r="AM138" s="169"/>
      <c r="AN138" s="173"/>
      <c r="AO138" s="173"/>
      <c r="AP138" s="173"/>
      <c r="AQ138" s="173"/>
      <c r="AR138" s="173"/>
      <c r="AS138" s="173"/>
      <c r="AT138" s="173" t="s">
        <v>725</v>
      </c>
      <c r="AU138" s="173" t="s">
        <v>725</v>
      </c>
      <c r="AV138" s="173" t="s">
        <v>725</v>
      </c>
      <c r="AW138" s="173" t="s">
        <v>725</v>
      </c>
      <c r="AX138" s="173" t="s">
        <v>725</v>
      </c>
      <c r="AY138" s="173" t="s">
        <v>725</v>
      </c>
      <c r="AZ138" s="173" t="s">
        <v>725</v>
      </c>
      <c r="BA138" s="173" t="s">
        <v>725</v>
      </c>
      <c r="BB138" s="173" t="s">
        <v>725</v>
      </c>
      <c r="BC138" s="173" t="s">
        <v>725</v>
      </c>
      <c r="BD138" s="173" t="s">
        <v>725</v>
      </c>
      <c r="BE138" s="173" t="s">
        <v>725</v>
      </c>
      <c r="BF138" s="173" t="s">
        <v>725</v>
      </c>
      <c r="BG138" s="173" t="s">
        <v>725</v>
      </c>
      <c r="BH138" s="173" t="s">
        <v>725</v>
      </c>
      <c r="BI138" s="173" t="s">
        <v>725</v>
      </c>
      <c r="BJ138" s="173" t="s">
        <v>725</v>
      </c>
      <c r="BK138" s="173" t="s">
        <v>725</v>
      </c>
      <c r="BL138" s="173" t="s">
        <v>725</v>
      </c>
      <c r="BM138" s="173" t="s">
        <v>725</v>
      </c>
      <c r="BN138" s="173" t="s">
        <v>725</v>
      </c>
      <c r="BO138" s="173" t="s">
        <v>725</v>
      </c>
      <c r="BP138" s="173" t="s">
        <v>725</v>
      </c>
      <c r="BQ138" s="173" t="s">
        <v>725</v>
      </c>
      <c r="BR138" s="180">
        <f>IF(#REF!&lt;E138,1,0)</f>
      </c>
      <c r="BS138" s="161" t="str">
        <v>#VALUE!</v>
      </c>
    </row>
    <row customHeight="true" ht="18.51851851851852" r="139">
      <c r="A139" s="161" t="s">
        <v>721</v>
      </c>
      <c r="B139" s="161"/>
      <c r="C139" s="183" t="s">
        <v>786</v>
      </c>
      <c r="D139" s="162" t="s">
        <v>788</v>
      </c>
      <c r="E139" s="166">
        <v>31.5</v>
      </c>
      <c r="F139" s="179">
        <v>45.99</v>
      </c>
      <c r="G139" s="164">
        <f t="shared" si="6"/>
      </c>
      <c r="H139" s="164">
        <f t="shared" si="70"/>
      </c>
      <c r="I139" s="164">
        <f t="shared" si="132"/>
      </c>
      <c r="J139" s="165">
        <f t="shared" si="213"/>
      </c>
      <c r="K139" s="166">
        <f t="shared" si="266"/>
      </c>
      <c r="L139" s="167">
        <f t="shared" si="337"/>
      </c>
      <c r="M139" s="164">
        <f t="shared" si="382"/>
      </c>
      <c r="N139" s="166">
        <f t="shared" si="426"/>
      </c>
      <c r="O139" s="166">
        <f t="shared" si="457"/>
      </c>
      <c r="P139" s="161">
        <v>9</v>
      </c>
      <c r="Q139" s="168">
        <v>9</v>
      </c>
      <c r="R139" s="169">
        <f t="shared" si="26"/>
      </c>
      <c r="S139" s="165">
        <f t="shared" si="523"/>
      </c>
      <c r="T139" s="169">
        <v>0.05</v>
      </c>
      <c r="U139" s="169">
        <v>0.01</v>
      </c>
      <c r="V139" s="169">
        <f t="shared" si="288"/>
      </c>
      <c r="W139" s="169">
        <f t="shared" si="359"/>
      </c>
      <c r="X139" s="170">
        <v>0.178</v>
      </c>
      <c r="Y139" s="171">
        <v>5</v>
      </c>
      <c r="Z139" s="171">
        <f>F139*0.1</f>
      </c>
      <c r="AA139" s="171">
        <f t="shared" si="479"/>
      </c>
      <c r="AB139" s="166">
        <f t="shared" si="501"/>
      </c>
      <c r="AC139" s="166">
        <v>94.4</v>
      </c>
      <c r="AD139" s="172">
        <f t="shared" si="48"/>
      </c>
      <c r="AE139" s="168">
        <f t="shared" si="414"/>
      </c>
      <c r="AF139" s="169">
        <f t="shared" si="173"/>
      </c>
      <c r="AG139" s="169">
        <f t="shared" si="318"/>
      </c>
      <c r="AH139" s="168">
        <v>16</v>
      </c>
      <c r="AI139" s="165">
        <f t="shared" si="307"/>
      </c>
      <c r="AJ139" s="169"/>
      <c r="AK139" s="169"/>
      <c r="AL139" s="169"/>
      <c r="AM139" s="169"/>
      <c r="AN139" s="173"/>
      <c r="AO139" s="173"/>
      <c r="AP139" s="173"/>
      <c r="AQ139" s="173"/>
      <c r="AR139" s="173"/>
      <c r="AS139" s="173"/>
      <c r="AT139" s="173" t="s">
        <v>725</v>
      </c>
      <c r="AU139" s="173" t="s">
        <v>725</v>
      </c>
      <c r="AV139" s="173" t="s">
        <v>725</v>
      </c>
      <c r="AW139" s="173" t="s">
        <v>725</v>
      </c>
      <c r="AX139" s="173" t="s">
        <v>725</v>
      </c>
      <c r="AY139" s="173" t="s">
        <v>725</v>
      </c>
      <c r="AZ139" s="173" t="s">
        <v>725</v>
      </c>
      <c r="BA139" s="173" t="s">
        <v>725</v>
      </c>
      <c r="BB139" s="173" t="s">
        <v>725</v>
      </c>
      <c r="BC139" s="173" t="s">
        <v>725</v>
      </c>
      <c r="BD139" s="173" t="s">
        <v>725</v>
      </c>
      <c r="BE139" s="173" t="s">
        <v>725</v>
      </c>
      <c r="BF139" s="173" t="s">
        <v>725</v>
      </c>
      <c r="BG139" s="173" t="s">
        <v>725</v>
      </c>
      <c r="BH139" s="173" t="s">
        <v>725</v>
      </c>
      <c r="BI139" s="173" t="s">
        <v>725</v>
      </c>
      <c r="BJ139" s="173" t="s">
        <v>725</v>
      </c>
      <c r="BK139" s="173" t="s">
        <v>725</v>
      </c>
      <c r="BL139" s="173" t="s">
        <v>725</v>
      </c>
      <c r="BM139" s="173" t="s">
        <v>725</v>
      </c>
      <c r="BN139" s="173" t="s">
        <v>725</v>
      </c>
      <c r="BO139" s="173" t="s">
        <v>725</v>
      </c>
      <c r="BP139" s="173" t="s">
        <v>725</v>
      </c>
      <c r="BQ139" s="173" t="s">
        <v>725</v>
      </c>
      <c r="BR139" s="180">
        <f t="shared" ref="BR139:BR140" si="238">IF(E139&lt;#REF!,1,0)</f>
      </c>
      <c r="BS139" s="161" t="str">
        <v>#VALUE!</v>
      </c>
    </row>
    <row customHeight="true" ht="18.51851851851852" r="140">
      <c r="A140" s="161" t="s">
        <v>721</v>
      </c>
      <c r="B140" s="161"/>
      <c r="C140" s="183" t="s">
        <v>786</v>
      </c>
      <c r="D140" s="162" t="s">
        <v>789</v>
      </c>
      <c r="E140" s="166">
        <v>31.5</v>
      </c>
      <c r="F140" s="179">
        <v>45.99</v>
      </c>
      <c r="G140" s="164">
        <f t="shared" si="6"/>
      </c>
      <c r="H140" s="164">
        <f t="shared" si="70"/>
      </c>
      <c r="I140" s="164">
        <f t="shared" si="132"/>
      </c>
      <c r="J140" s="165">
        <f t="shared" si="213"/>
      </c>
      <c r="K140" s="166">
        <f t="shared" si="266"/>
      </c>
      <c r="L140" s="167">
        <f t="shared" si="337"/>
      </c>
      <c r="M140" s="164">
        <f t="shared" si="382"/>
      </c>
      <c r="N140" s="166">
        <f t="shared" si="426"/>
      </c>
      <c r="O140" s="166">
        <f t="shared" si="457"/>
      </c>
      <c r="P140" s="161">
        <v>9</v>
      </c>
      <c r="Q140" s="168">
        <v>9</v>
      </c>
      <c r="R140" s="169">
        <f t="shared" si="26"/>
      </c>
      <c r="S140" s="165">
        <f t="shared" si="523"/>
      </c>
      <c r="T140" s="169">
        <v>0.05</v>
      </c>
      <c r="U140" s="169">
        <v>0.01</v>
      </c>
      <c r="V140" s="169">
        <f t="shared" si="288"/>
      </c>
      <c r="W140" s="169">
        <f t="shared" si="359"/>
      </c>
      <c r="X140" s="170">
        <v>0.178</v>
      </c>
      <c r="Y140" s="171">
        <v>5</v>
      </c>
      <c r="Z140" s="171">
        <f>F140*0.15</f>
      </c>
      <c r="AA140" s="171">
        <f t="shared" si="479"/>
      </c>
      <c r="AB140" s="166">
        <f t="shared" si="501"/>
      </c>
      <c r="AC140" s="166">
        <v>94.4</v>
      </c>
      <c r="AD140" s="172">
        <f t="shared" si="48"/>
      </c>
      <c r="AE140" s="168">
        <f t="shared" si="414"/>
      </c>
      <c r="AF140" s="169">
        <f t="shared" si="173"/>
      </c>
      <c r="AG140" s="169">
        <f t="shared" si="318"/>
      </c>
      <c r="AH140" s="168">
        <v>16</v>
      </c>
      <c r="AI140" s="165">
        <f t="shared" si="307"/>
      </c>
      <c r="AJ140" s="169"/>
      <c r="AK140" s="169"/>
      <c r="AL140" s="169"/>
      <c r="AM140" s="169"/>
      <c r="AN140" s="173"/>
      <c r="AO140" s="173"/>
      <c r="AP140" s="173"/>
      <c r="AQ140" s="173"/>
      <c r="AR140" s="173"/>
      <c r="AS140" s="173"/>
      <c r="AT140" s="173" t="s">
        <v>725</v>
      </c>
      <c r="AU140" s="173" t="s">
        <v>725</v>
      </c>
      <c r="AV140" s="173" t="s">
        <v>725</v>
      </c>
      <c r="AW140" s="173" t="s">
        <v>725</v>
      </c>
      <c r="AX140" s="173" t="s">
        <v>725</v>
      </c>
      <c r="AY140" s="173" t="s">
        <v>725</v>
      </c>
      <c r="AZ140" s="173" t="s">
        <v>725</v>
      </c>
      <c r="BA140" s="173" t="s">
        <v>725</v>
      </c>
      <c r="BB140" s="173" t="s">
        <v>725</v>
      </c>
      <c r="BC140" s="173" t="s">
        <v>725</v>
      </c>
      <c r="BD140" s="173" t="s">
        <v>725</v>
      </c>
      <c r="BE140" s="173" t="s">
        <v>725</v>
      </c>
      <c r="BF140" s="173" t="s">
        <v>725</v>
      </c>
      <c r="BG140" s="173" t="s">
        <v>725</v>
      </c>
      <c r="BH140" s="173" t="s">
        <v>725</v>
      </c>
      <c r="BI140" s="173" t="s">
        <v>725</v>
      </c>
      <c r="BJ140" s="173" t="s">
        <v>725</v>
      </c>
      <c r="BK140" s="173" t="s">
        <v>725</v>
      </c>
      <c r="BL140" s="173" t="s">
        <v>725</v>
      </c>
      <c r="BM140" s="173" t="s">
        <v>725</v>
      </c>
      <c r="BN140" s="173" t="s">
        <v>725</v>
      </c>
      <c r="BO140" s="173" t="s">
        <v>725</v>
      </c>
      <c r="BP140" s="173" t="s">
        <v>725</v>
      </c>
      <c r="BQ140" s="173" t="s">
        <v>725</v>
      </c>
      <c r="BR140" s="180">
        <f t="shared" si="238"/>
      </c>
      <c r="BS140" s="161" t="str">
        <v>#VALUE!</v>
      </c>
    </row>
    <row customHeight="true" ht="18.51851851851852" r="141">
      <c r="A141" s="161" t="s">
        <v>729</v>
      </c>
      <c r="B141" s="161"/>
      <c r="C141" s="183" t="s">
        <v>790</v>
      </c>
      <c r="D141" s="162" t="s">
        <v>787</v>
      </c>
      <c r="E141" s="166">
        <v>34.5</v>
      </c>
      <c r="F141" s="179">
        <v>49.99</v>
      </c>
      <c r="G141" s="164">
        <f t="shared" si="6"/>
      </c>
      <c r="H141" s="164">
        <f t="shared" si="70"/>
      </c>
      <c r="I141" s="164">
        <f t="shared" si="132"/>
      </c>
      <c r="J141" s="165">
        <f t="shared" si="213"/>
      </c>
      <c r="K141" s="166">
        <f t="shared" si="266"/>
      </c>
      <c r="L141" s="167">
        <f t="shared" si="337"/>
      </c>
      <c r="M141" s="164">
        <f t="shared" si="382"/>
      </c>
      <c r="N141" s="166">
        <f t="shared" si="426"/>
      </c>
      <c r="O141" s="166">
        <f t="shared" si="457"/>
      </c>
      <c r="P141" s="161">
        <v>9</v>
      </c>
      <c r="Q141" s="168">
        <v>8</v>
      </c>
      <c r="R141" s="169">
        <f t="shared" si="26"/>
      </c>
      <c r="S141" s="165">
        <f t="shared" si="523"/>
      </c>
      <c r="T141" s="169">
        <v>0.05</v>
      </c>
      <c r="U141" s="169">
        <v>0.01</v>
      </c>
      <c r="V141" s="169">
        <f t="shared" si="288"/>
      </c>
      <c r="W141" s="169">
        <f t="shared" si="359"/>
      </c>
      <c r="X141" s="170">
        <v>0.188</v>
      </c>
      <c r="Y141" s="171">
        <v>5</v>
      </c>
      <c r="Z141" s="171">
        <v>0</v>
      </c>
      <c r="AA141" s="171">
        <f t="shared" si="479"/>
      </c>
      <c r="AB141" s="166">
        <f t="shared" si="501"/>
      </c>
      <c r="AC141" s="166">
        <v>94.4</v>
      </c>
      <c r="AD141" s="172">
        <f t="shared" si="48"/>
      </c>
      <c r="AE141" s="168">
        <f t="shared" ref="AE141:AE156" si="537">11.1/7.4</f>
      </c>
      <c r="AF141" s="169">
        <f t="shared" si="173"/>
      </c>
      <c r="AG141" s="169">
        <f t="shared" si="318"/>
      </c>
      <c r="AH141" s="168">
        <v>17</v>
      </c>
      <c r="AI141" s="165">
        <f t="shared" si="307"/>
      </c>
      <c r="AJ141" s="169"/>
      <c r="AK141" s="169"/>
      <c r="AL141" s="169"/>
      <c r="AM141" s="169"/>
      <c r="AN141" s="173"/>
      <c r="AO141" s="173"/>
      <c r="AP141" s="173"/>
      <c r="AQ141" s="173"/>
      <c r="AR141" s="173"/>
      <c r="AS141" s="173"/>
      <c r="AT141" s="173" t="s">
        <v>725</v>
      </c>
      <c r="AU141" s="173" t="s">
        <v>725</v>
      </c>
      <c r="AV141" s="173" t="s">
        <v>725</v>
      </c>
      <c r="AW141" s="173" t="s">
        <v>725</v>
      </c>
      <c r="AX141" s="173" t="s">
        <v>725</v>
      </c>
      <c r="AY141" s="173" t="s">
        <v>725</v>
      </c>
      <c r="AZ141" s="173" t="s">
        <v>725</v>
      </c>
      <c r="BA141" s="173" t="s">
        <v>725</v>
      </c>
      <c r="BB141" s="173" t="s">
        <v>725</v>
      </c>
      <c r="BC141" s="173" t="s">
        <v>725</v>
      </c>
      <c r="BD141" s="173" t="s">
        <v>725</v>
      </c>
      <c r="BE141" s="173" t="s">
        <v>725</v>
      </c>
      <c r="BF141" s="173" t="s">
        <v>725</v>
      </c>
      <c r="BG141" s="173" t="s">
        <v>725</v>
      </c>
      <c r="BH141" s="173" t="s">
        <v>725</v>
      </c>
      <c r="BI141" s="173" t="s">
        <v>725</v>
      </c>
      <c r="BJ141" s="173" t="s">
        <v>725</v>
      </c>
      <c r="BK141" s="173" t="s">
        <v>725</v>
      </c>
      <c r="BL141" s="173" t="s">
        <v>725</v>
      </c>
      <c r="BM141" s="173" t="s">
        <v>725</v>
      </c>
      <c r="BN141" s="173" t="s">
        <v>725</v>
      </c>
      <c r="BO141" s="173" t="s">
        <v>725</v>
      </c>
      <c r="BP141" s="173" t="s">
        <v>725</v>
      </c>
      <c r="BQ141" s="173" t="s">
        <v>725</v>
      </c>
      <c r="BR141" s="180">
        <f>IF(#REF!&lt;E141,1,0)</f>
      </c>
      <c r="BS141" s="161" t="str">
        <v>#VALUE!</v>
      </c>
    </row>
    <row customHeight="true" ht="18.51851851851852" r="142">
      <c r="A142" s="161" t="s">
        <v>729</v>
      </c>
      <c r="B142" s="161"/>
      <c r="C142" s="183" t="s">
        <v>790</v>
      </c>
      <c r="D142" s="162" t="s">
        <v>788</v>
      </c>
      <c r="E142" s="166">
        <v>34.5</v>
      </c>
      <c r="F142" s="179">
        <v>49.99</v>
      </c>
      <c r="G142" s="164">
        <f t="shared" si="6"/>
      </c>
      <c r="H142" s="164">
        <f t="shared" si="70"/>
      </c>
      <c r="I142" s="164">
        <f t="shared" si="132"/>
      </c>
      <c r="J142" s="165">
        <f t="shared" si="213"/>
      </c>
      <c r="K142" s="166">
        <f t="shared" si="266"/>
      </c>
      <c r="L142" s="167">
        <f t="shared" si="337"/>
      </c>
      <c r="M142" s="164">
        <f t="shared" si="382"/>
      </c>
      <c r="N142" s="166">
        <f t="shared" si="426"/>
      </c>
      <c r="O142" s="166">
        <f t="shared" si="457"/>
      </c>
      <c r="P142" s="161">
        <v>9</v>
      </c>
      <c r="Q142" s="168">
        <v>8</v>
      </c>
      <c r="R142" s="169">
        <f t="shared" si="26"/>
      </c>
      <c r="S142" s="165">
        <f t="shared" si="523"/>
      </c>
      <c r="T142" s="169">
        <v>0.05</v>
      </c>
      <c r="U142" s="169">
        <v>0.01</v>
      </c>
      <c r="V142" s="169">
        <f t="shared" si="288"/>
      </c>
      <c r="W142" s="169">
        <f t="shared" si="359"/>
      </c>
      <c r="X142" s="170">
        <v>0.188</v>
      </c>
      <c r="Y142" s="171">
        <v>5</v>
      </c>
      <c r="Z142" s="171">
        <f>F142*0.1</f>
      </c>
      <c r="AA142" s="171">
        <f t="shared" si="479"/>
      </c>
      <c r="AB142" s="166">
        <f t="shared" si="501"/>
      </c>
      <c r="AC142" s="166">
        <v>94.4</v>
      </c>
      <c r="AD142" s="172">
        <f t="shared" si="48"/>
      </c>
      <c r="AE142" s="168">
        <f t="shared" si="537"/>
      </c>
      <c r="AF142" s="169">
        <f t="shared" si="173"/>
      </c>
      <c r="AG142" s="169">
        <f t="shared" si="318"/>
      </c>
      <c r="AH142" s="168">
        <v>17</v>
      </c>
      <c r="AI142" s="165">
        <f t="shared" si="307"/>
      </c>
      <c r="AJ142" s="169"/>
      <c r="AK142" s="169"/>
      <c r="AL142" s="169"/>
      <c r="AM142" s="169"/>
      <c r="AN142" s="173"/>
      <c r="AO142" s="173"/>
      <c r="AP142" s="173"/>
      <c r="AQ142" s="173"/>
      <c r="AR142" s="173"/>
      <c r="AS142" s="173"/>
      <c r="AT142" s="173" t="s">
        <v>725</v>
      </c>
      <c r="AU142" s="173" t="s">
        <v>725</v>
      </c>
      <c r="AV142" s="173" t="s">
        <v>725</v>
      </c>
      <c r="AW142" s="173" t="s">
        <v>725</v>
      </c>
      <c r="AX142" s="173" t="s">
        <v>725</v>
      </c>
      <c r="AY142" s="173" t="s">
        <v>725</v>
      </c>
      <c r="AZ142" s="173" t="s">
        <v>725</v>
      </c>
      <c r="BA142" s="173" t="s">
        <v>725</v>
      </c>
      <c r="BB142" s="173" t="s">
        <v>725</v>
      </c>
      <c r="BC142" s="173" t="s">
        <v>725</v>
      </c>
      <c r="BD142" s="173" t="s">
        <v>725</v>
      </c>
      <c r="BE142" s="173" t="s">
        <v>725</v>
      </c>
      <c r="BF142" s="173" t="s">
        <v>725</v>
      </c>
      <c r="BG142" s="173" t="s">
        <v>725</v>
      </c>
      <c r="BH142" s="173" t="s">
        <v>725</v>
      </c>
      <c r="BI142" s="173" t="s">
        <v>725</v>
      </c>
      <c r="BJ142" s="173" t="s">
        <v>725</v>
      </c>
      <c r="BK142" s="173" t="s">
        <v>725</v>
      </c>
      <c r="BL142" s="173" t="s">
        <v>725</v>
      </c>
      <c r="BM142" s="173" t="s">
        <v>725</v>
      </c>
      <c r="BN142" s="173" t="s">
        <v>725</v>
      </c>
      <c r="BO142" s="173" t="s">
        <v>725</v>
      </c>
      <c r="BP142" s="173" t="s">
        <v>725</v>
      </c>
      <c r="BQ142" s="173" t="s">
        <v>725</v>
      </c>
      <c r="BR142" s="180">
        <f t="shared" ref="BR142:BR143" si="239">IF(E142&lt;#REF!,1,0)</f>
      </c>
      <c r="BS142" s="161" t="str">
        <v>#VALUE!</v>
      </c>
    </row>
    <row customHeight="true" ht="18.51851851851852" r="143">
      <c r="A143" s="161" t="s">
        <v>729</v>
      </c>
      <c r="B143" s="161"/>
      <c r="C143" s="183" t="s">
        <v>790</v>
      </c>
      <c r="D143" s="162" t="s">
        <v>789</v>
      </c>
      <c r="E143" s="166">
        <v>34.5</v>
      </c>
      <c r="F143" s="179">
        <v>49.99</v>
      </c>
      <c r="G143" s="164">
        <f t="shared" si="6"/>
      </c>
      <c r="H143" s="164">
        <f t="shared" si="70"/>
      </c>
      <c r="I143" s="164">
        <f t="shared" si="132"/>
      </c>
      <c r="J143" s="165">
        <f t="shared" si="213"/>
      </c>
      <c r="K143" s="166">
        <f t="shared" si="266"/>
      </c>
      <c r="L143" s="167">
        <f t="shared" si="337"/>
      </c>
      <c r="M143" s="164">
        <f t="shared" si="382"/>
      </c>
      <c r="N143" s="166">
        <f t="shared" si="426"/>
      </c>
      <c r="O143" s="166">
        <f t="shared" si="457"/>
      </c>
      <c r="P143" s="161">
        <v>9</v>
      </c>
      <c r="Q143" s="168">
        <v>8</v>
      </c>
      <c r="R143" s="169">
        <f t="shared" si="26"/>
      </c>
      <c r="S143" s="165">
        <f t="shared" si="523"/>
      </c>
      <c r="T143" s="169">
        <v>0.05</v>
      </c>
      <c r="U143" s="169">
        <v>0.01</v>
      </c>
      <c r="V143" s="169">
        <f t="shared" si="288"/>
      </c>
      <c r="W143" s="169">
        <f t="shared" si="359"/>
      </c>
      <c r="X143" s="170">
        <v>0.188</v>
      </c>
      <c r="Y143" s="171">
        <v>5</v>
      </c>
      <c r="Z143" s="171">
        <f>F143*0.15</f>
      </c>
      <c r="AA143" s="171">
        <f t="shared" si="479"/>
      </c>
      <c r="AB143" s="166">
        <f t="shared" si="501"/>
      </c>
      <c r="AC143" s="166">
        <v>94.4</v>
      </c>
      <c r="AD143" s="172">
        <f t="shared" si="48"/>
      </c>
      <c r="AE143" s="168">
        <f t="shared" si="537"/>
      </c>
      <c r="AF143" s="169">
        <f t="shared" si="173"/>
      </c>
      <c r="AG143" s="169">
        <f t="shared" si="318"/>
      </c>
      <c r="AH143" s="168">
        <v>17</v>
      </c>
      <c r="AI143" s="165">
        <f t="shared" si="307"/>
      </c>
      <c r="AJ143" s="169"/>
      <c r="AK143" s="169"/>
      <c r="AL143" s="169"/>
      <c r="AM143" s="169"/>
      <c r="AN143" s="173"/>
      <c r="AO143" s="173"/>
      <c r="AP143" s="173"/>
      <c r="AQ143" s="173"/>
      <c r="AR143" s="173"/>
      <c r="AS143" s="173"/>
      <c r="AT143" s="173" t="s">
        <v>725</v>
      </c>
      <c r="AU143" s="173" t="s">
        <v>725</v>
      </c>
      <c r="AV143" s="173" t="s">
        <v>725</v>
      </c>
      <c r="AW143" s="173" t="s">
        <v>725</v>
      </c>
      <c r="AX143" s="173" t="s">
        <v>725</v>
      </c>
      <c r="AY143" s="173" t="s">
        <v>725</v>
      </c>
      <c r="AZ143" s="173" t="s">
        <v>725</v>
      </c>
      <c r="BA143" s="173" t="s">
        <v>725</v>
      </c>
      <c r="BB143" s="173" t="s">
        <v>725</v>
      </c>
      <c r="BC143" s="173" t="s">
        <v>725</v>
      </c>
      <c r="BD143" s="173" t="s">
        <v>725</v>
      </c>
      <c r="BE143" s="173" t="s">
        <v>725</v>
      </c>
      <c r="BF143" s="173" t="s">
        <v>725</v>
      </c>
      <c r="BG143" s="173" t="s">
        <v>725</v>
      </c>
      <c r="BH143" s="173" t="s">
        <v>725</v>
      </c>
      <c r="BI143" s="173" t="s">
        <v>725</v>
      </c>
      <c r="BJ143" s="173" t="s">
        <v>725</v>
      </c>
      <c r="BK143" s="173" t="s">
        <v>725</v>
      </c>
      <c r="BL143" s="173" t="s">
        <v>725</v>
      </c>
      <c r="BM143" s="173" t="s">
        <v>725</v>
      </c>
      <c r="BN143" s="173" t="s">
        <v>725</v>
      </c>
      <c r="BO143" s="173" t="s">
        <v>725</v>
      </c>
      <c r="BP143" s="173" t="s">
        <v>725</v>
      </c>
      <c r="BQ143" s="173" t="s">
        <v>725</v>
      </c>
      <c r="BR143" s="180">
        <f t="shared" si="239"/>
      </c>
      <c r="BS143" s="161" t="str">
        <v>#VALUE!</v>
      </c>
    </row>
    <row customHeight="true" ht="18.51851851851852" r="144">
      <c r="A144" s="161" t="s">
        <v>732</v>
      </c>
      <c r="B144" s="161"/>
      <c r="C144" s="183" t="s">
        <v>790</v>
      </c>
      <c r="D144" s="162" t="s">
        <v>787</v>
      </c>
      <c r="E144" s="166">
        <v>35.7</v>
      </c>
      <c r="F144" s="179">
        <v>51.99</v>
      </c>
      <c r="G144" s="164">
        <f t="shared" si="6"/>
      </c>
      <c r="H144" s="164">
        <f t="shared" si="70"/>
      </c>
      <c r="I144" s="164">
        <f t="shared" si="132"/>
      </c>
      <c r="J144" s="165">
        <f t="shared" si="213"/>
      </c>
      <c r="K144" s="166">
        <f t="shared" si="266"/>
      </c>
      <c r="L144" s="167">
        <f t="shared" si="337"/>
      </c>
      <c r="M144" s="164">
        <f t="shared" si="382"/>
      </c>
      <c r="N144" s="166">
        <f t="shared" si="426"/>
      </c>
      <c r="O144" s="166">
        <f t="shared" si="457"/>
      </c>
      <c r="P144" s="161">
        <v>9</v>
      </c>
      <c r="Q144" s="168">
        <v>8</v>
      </c>
      <c r="R144" s="169">
        <f t="shared" si="26"/>
      </c>
      <c r="S144" s="165">
        <f t="shared" si="523"/>
      </c>
      <c r="T144" s="169">
        <v>0.05</v>
      </c>
      <c r="U144" s="169">
        <v>0.01</v>
      </c>
      <c r="V144" s="169">
        <f t="shared" si="288"/>
      </c>
      <c r="W144" s="169">
        <f t="shared" si="359"/>
      </c>
      <c r="X144" s="170">
        <v>0.188</v>
      </c>
      <c r="Y144" s="171">
        <v>5</v>
      </c>
      <c r="Z144" s="171">
        <v>0</v>
      </c>
      <c r="AA144" s="171">
        <f t="shared" si="479"/>
      </c>
      <c r="AB144" s="166">
        <f t="shared" si="501"/>
      </c>
      <c r="AC144" s="166">
        <v>94.4</v>
      </c>
      <c r="AD144" s="172">
        <f t="shared" si="48"/>
      </c>
      <c r="AE144" s="168">
        <f t="shared" si="537"/>
      </c>
      <c r="AF144" s="169">
        <f t="shared" si="173"/>
      </c>
      <c r="AG144" s="169">
        <f t="shared" si="318"/>
      </c>
      <c r="AH144" s="168">
        <v>17</v>
      </c>
      <c r="AI144" s="165">
        <f t="shared" si="307"/>
      </c>
      <c r="AJ144" s="169"/>
      <c r="AK144" s="169"/>
      <c r="AL144" s="169"/>
      <c r="AM144" s="169"/>
      <c r="AN144" s="173"/>
      <c r="AO144" s="173"/>
      <c r="AP144" s="173"/>
      <c r="AQ144" s="173"/>
      <c r="AR144" s="173"/>
      <c r="AS144" s="173"/>
      <c r="AT144" s="173" t="s">
        <v>725</v>
      </c>
      <c r="AU144" s="173" t="s">
        <v>725</v>
      </c>
      <c r="AV144" s="173" t="s">
        <v>725</v>
      </c>
      <c r="AW144" s="173" t="s">
        <v>725</v>
      </c>
      <c r="AX144" s="173" t="s">
        <v>725</v>
      </c>
      <c r="AY144" s="173" t="s">
        <v>725</v>
      </c>
      <c r="AZ144" s="173" t="s">
        <v>725</v>
      </c>
      <c r="BA144" s="173" t="s">
        <v>725</v>
      </c>
      <c r="BB144" s="173" t="s">
        <v>725</v>
      </c>
      <c r="BC144" s="173" t="s">
        <v>725</v>
      </c>
      <c r="BD144" s="173" t="s">
        <v>725</v>
      </c>
      <c r="BE144" s="173" t="s">
        <v>725</v>
      </c>
      <c r="BF144" s="173" t="s">
        <v>725</v>
      </c>
      <c r="BG144" s="173" t="s">
        <v>725</v>
      </c>
      <c r="BH144" s="173" t="s">
        <v>725</v>
      </c>
      <c r="BI144" s="173" t="s">
        <v>725</v>
      </c>
      <c r="BJ144" s="173" t="s">
        <v>725</v>
      </c>
      <c r="BK144" s="173" t="s">
        <v>725</v>
      </c>
      <c r="BL144" s="173" t="s">
        <v>725</v>
      </c>
      <c r="BM144" s="173" t="s">
        <v>725</v>
      </c>
      <c r="BN144" s="173" t="s">
        <v>725</v>
      </c>
      <c r="BO144" s="173" t="s">
        <v>725</v>
      </c>
      <c r="BP144" s="173" t="s">
        <v>725</v>
      </c>
      <c r="BQ144" s="173" t="s">
        <v>725</v>
      </c>
      <c r="BR144" s="180">
        <f>IF(#REF!&lt;E144,1,0)</f>
      </c>
      <c r="BS144" s="161" t="str">
        <v>#VALUE!</v>
      </c>
    </row>
    <row customHeight="true" ht="18.51851851851852" r="145">
      <c r="A145" s="161" t="s">
        <v>732</v>
      </c>
      <c r="B145" s="161"/>
      <c r="C145" s="183" t="s">
        <v>790</v>
      </c>
      <c r="D145" s="162" t="s">
        <v>788</v>
      </c>
      <c r="E145" s="166">
        <v>35.7</v>
      </c>
      <c r="F145" s="179">
        <v>51.99</v>
      </c>
      <c r="G145" s="164">
        <f t="shared" si="6"/>
      </c>
      <c r="H145" s="164">
        <f t="shared" si="70"/>
      </c>
      <c r="I145" s="164">
        <f t="shared" si="132"/>
      </c>
      <c r="J145" s="165">
        <f t="shared" si="213"/>
      </c>
      <c r="K145" s="166">
        <f t="shared" si="266"/>
      </c>
      <c r="L145" s="167">
        <f t="shared" si="337"/>
      </c>
      <c r="M145" s="164">
        <f t="shared" si="382"/>
      </c>
      <c r="N145" s="166">
        <f t="shared" si="426"/>
      </c>
      <c r="O145" s="166">
        <f t="shared" si="457"/>
      </c>
      <c r="P145" s="161">
        <v>9</v>
      </c>
      <c r="Q145" s="168">
        <v>8</v>
      </c>
      <c r="R145" s="169">
        <f t="shared" si="26"/>
      </c>
      <c r="S145" s="165">
        <f t="shared" si="523"/>
      </c>
      <c r="T145" s="169">
        <v>0.05</v>
      </c>
      <c r="U145" s="169">
        <v>0.01</v>
      </c>
      <c r="V145" s="169">
        <f t="shared" si="288"/>
      </c>
      <c r="W145" s="169">
        <f t="shared" si="359"/>
      </c>
      <c r="X145" s="170">
        <v>0.188</v>
      </c>
      <c r="Y145" s="171">
        <v>5</v>
      </c>
      <c r="Z145" s="171">
        <f>F145*0.1</f>
      </c>
      <c r="AA145" s="171">
        <f t="shared" si="479"/>
      </c>
      <c r="AB145" s="166">
        <f t="shared" si="501"/>
      </c>
      <c r="AC145" s="166">
        <v>94.4</v>
      </c>
      <c r="AD145" s="172">
        <f t="shared" si="48"/>
      </c>
      <c r="AE145" s="168">
        <f t="shared" si="537"/>
      </c>
      <c r="AF145" s="169">
        <f t="shared" si="173"/>
      </c>
      <c r="AG145" s="169">
        <f t="shared" si="318"/>
      </c>
      <c r="AH145" s="168">
        <v>17</v>
      </c>
      <c r="AI145" s="165">
        <f t="shared" si="307"/>
      </c>
      <c r="AJ145" s="169"/>
      <c r="AK145" s="169"/>
      <c r="AL145" s="169"/>
      <c r="AM145" s="169"/>
      <c r="AN145" s="173"/>
      <c r="AO145" s="173"/>
      <c r="AP145" s="173"/>
      <c r="AQ145" s="173"/>
      <c r="AR145" s="173"/>
      <c r="AS145" s="173"/>
      <c r="AT145" s="173" t="s">
        <v>725</v>
      </c>
      <c r="AU145" s="173" t="s">
        <v>725</v>
      </c>
      <c r="AV145" s="173" t="s">
        <v>725</v>
      </c>
      <c r="AW145" s="173" t="s">
        <v>725</v>
      </c>
      <c r="AX145" s="173" t="s">
        <v>725</v>
      </c>
      <c r="AY145" s="173" t="s">
        <v>725</v>
      </c>
      <c r="AZ145" s="173" t="s">
        <v>725</v>
      </c>
      <c r="BA145" s="173" t="s">
        <v>725</v>
      </c>
      <c r="BB145" s="173" t="s">
        <v>725</v>
      </c>
      <c r="BC145" s="173" t="s">
        <v>725</v>
      </c>
      <c r="BD145" s="173" t="s">
        <v>725</v>
      </c>
      <c r="BE145" s="173" t="s">
        <v>725</v>
      </c>
      <c r="BF145" s="173" t="s">
        <v>725</v>
      </c>
      <c r="BG145" s="173" t="s">
        <v>725</v>
      </c>
      <c r="BH145" s="173" t="s">
        <v>725</v>
      </c>
      <c r="BI145" s="173" t="s">
        <v>725</v>
      </c>
      <c r="BJ145" s="173" t="s">
        <v>725</v>
      </c>
      <c r="BK145" s="173" t="s">
        <v>725</v>
      </c>
      <c r="BL145" s="173" t="s">
        <v>725</v>
      </c>
      <c r="BM145" s="173" t="s">
        <v>725</v>
      </c>
      <c r="BN145" s="173" t="s">
        <v>725</v>
      </c>
      <c r="BO145" s="173" t="s">
        <v>725</v>
      </c>
      <c r="BP145" s="173" t="s">
        <v>725</v>
      </c>
      <c r="BQ145" s="173" t="s">
        <v>725</v>
      </c>
      <c r="BR145" s="180">
        <f t="shared" ref="BR145:BR146" si="240">IF(E145&lt;#REF!,1,0)</f>
      </c>
      <c r="BS145" s="161" t="str">
        <v>#VALUE!</v>
      </c>
    </row>
    <row customHeight="true" ht="18.51851851851852" r="146">
      <c r="A146" s="161" t="s">
        <v>732</v>
      </c>
      <c r="B146" s="161"/>
      <c r="C146" s="183" t="s">
        <v>790</v>
      </c>
      <c r="D146" s="162" t="s">
        <v>789</v>
      </c>
      <c r="E146" s="166">
        <v>35.7</v>
      </c>
      <c r="F146" s="179">
        <v>51.99</v>
      </c>
      <c r="G146" s="164">
        <f t="shared" si="6"/>
      </c>
      <c r="H146" s="164">
        <f t="shared" si="70"/>
      </c>
      <c r="I146" s="164">
        <f t="shared" si="132"/>
      </c>
      <c r="J146" s="165">
        <f t="shared" si="213"/>
      </c>
      <c r="K146" s="166">
        <f t="shared" si="266"/>
      </c>
      <c r="L146" s="167">
        <f t="shared" si="337"/>
      </c>
      <c r="M146" s="164">
        <f t="shared" si="382"/>
      </c>
      <c r="N146" s="166">
        <f t="shared" si="426"/>
      </c>
      <c r="O146" s="166">
        <f t="shared" si="457"/>
      </c>
      <c r="P146" s="161">
        <v>9</v>
      </c>
      <c r="Q146" s="168">
        <v>8</v>
      </c>
      <c r="R146" s="169">
        <f t="shared" si="26"/>
      </c>
      <c r="S146" s="165">
        <f t="shared" si="523"/>
      </c>
      <c r="T146" s="169">
        <v>0.05</v>
      </c>
      <c r="U146" s="169">
        <v>0.01</v>
      </c>
      <c r="V146" s="169">
        <f t="shared" si="288"/>
      </c>
      <c r="W146" s="169">
        <f t="shared" si="359"/>
      </c>
      <c r="X146" s="170">
        <v>0.188</v>
      </c>
      <c r="Y146" s="171">
        <v>5</v>
      </c>
      <c r="Z146" s="171">
        <f>F146*0.15</f>
      </c>
      <c r="AA146" s="171">
        <f t="shared" si="479"/>
      </c>
      <c r="AB146" s="166">
        <f t="shared" si="501"/>
      </c>
      <c r="AC146" s="166">
        <v>94.4</v>
      </c>
      <c r="AD146" s="172">
        <f t="shared" si="48"/>
      </c>
      <c r="AE146" s="168">
        <f t="shared" si="537"/>
      </c>
      <c r="AF146" s="169">
        <f t="shared" si="173"/>
      </c>
      <c r="AG146" s="169">
        <f t="shared" si="318"/>
      </c>
      <c r="AH146" s="168">
        <v>17</v>
      </c>
      <c r="AI146" s="165">
        <f t="shared" si="307"/>
      </c>
      <c r="AJ146" s="169"/>
      <c r="AK146" s="169"/>
      <c r="AL146" s="169"/>
      <c r="AM146" s="169"/>
      <c r="AN146" s="173"/>
      <c r="AO146" s="173"/>
      <c r="AP146" s="173"/>
      <c r="AQ146" s="173"/>
      <c r="AR146" s="173"/>
      <c r="AS146" s="173"/>
      <c r="AT146" s="173" t="s">
        <v>725</v>
      </c>
      <c r="AU146" s="173" t="s">
        <v>725</v>
      </c>
      <c r="AV146" s="173" t="s">
        <v>725</v>
      </c>
      <c r="AW146" s="173" t="s">
        <v>725</v>
      </c>
      <c r="AX146" s="173" t="s">
        <v>725</v>
      </c>
      <c r="AY146" s="173" t="s">
        <v>725</v>
      </c>
      <c r="AZ146" s="173" t="s">
        <v>725</v>
      </c>
      <c r="BA146" s="173" t="s">
        <v>725</v>
      </c>
      <c r="BB146" s="173" t="s">
        <v>725</v>
      </c>
      <c r="BC146" s="173" t="s">
        <v>725</v>
      </c>
      <c r="BD146" s="173" t="s">
        <v>725</v>
      </c>
      <c r="BE146" s="173" t="s">
        <v>725</v>
      </c>
      <c r="BF146" s="173" t="s">
        <v>725</v>
      </c>
      <c r="BG146" s="173" t="s">
        <v>725</v>
      </c>
      <c r="BH146" s="173" t="s">
        <v>725</v>
      </c>
      <c r="BI146" s="173" t="s">
        <v>725</v>
      </c>
      <c r="BJ146" s="173" t="s">
        <v>725</v>
      </c>
      <c r="BK146" s="173" t="s">
        <v>725</v>
      </c>
      <c r="BL146" s="173" t="s">
        <v>725</v>
      </c>
      <c r="BM146" s="173" t="s">
        <v>725</v>
      </c>
      <c r="BN146" s="173" t="s">
        <v>725</v>
      </c>
      <c r="BO146" s="173" t="s">
        <v>725</v>
      </c>
      <c r="BP146" s="173" t="s">
        <v>725</v>
      </c>
      <c r="BQ146" s="173" t="s">
        <v>725</v>
      </c>
      <c r="BR146" s="180">
        <f t="shared" si="240"/>
      </c>
      <c r="BS146" s="161" t="str">
        <v>#VALUE!</v>
      </c>
    </row>
    <row customHeight="true" ht="18.51851851851852" r="147">
      <c r="A147" s="161" t="s">
        <v>733</v>
      </c>
      <c r="B147" s="161"/>
      <c r="C147" s="183" t="s">
        <v>790</v>
      </c>
      <c r="D147" s="162" t="s">
        <v>787</v>
      </c>
      <c r="E147" s="166">
        <v>35.7</v>
      </c>
      <c r="F147" s="179">
        <v>51.99</v>
      </c>
      <c r="G147" s="164">
        <f t="shared" si="6"/>
      </c>
      <c r="H147" s="164">
        <f t="shared" si="70"/>
      </c>
      <c r="I147" s="164">
        <f t="shared" si="132"/>
      </c>
      <c r="J147" s="165">
        <f t="shared" si="213"/>
      </c>
      <c r="K147" s="166">
        <f t="shared" si="266"/>
      </c>
      <c r="L147" s="167">
        <f t="shared" si="337"/>
      </c>
      <c r="M147" s="164">
        <f t="shared" si="382"/>
      </c>
      <c r="N147" s="166">
        <f t="shared" si="426"/>
      </c>
      <c r="O147" s="166">
        <f t="shared" si="457"/>
      </c>
      <c r="P147" s="161">
        <v>9</v>
      </c>
      <c r="Q147" s="168">
        <v>8</v>
      </c>
      <c r="R147" s="169">
        <f t="shared" si="26"/>
      </c>
      <c r="S147" s="165">
        <f t="shared" si="523"/>
      </c>
      <c r="T147" s="169">
        <v>0.05</v>
      </c>
      <c r="U147" s="169">
        <v>0.01</v>
      </c>
      <c r="V147" s="169">
        <f t="shared" si="288"/>
      </c>
      <c r="W147" s="169">
        <f t="shared" si="359"/>
      </c>
      <c r="X147" s="170">
        <v>0.188</v>
      </c>
      <c r="Y147" s="171">
        <v>5</v>
      </c>
      <c r="Z147" s="171">
        <v>0</v>
      </c>
      <c r="AA147" s="171">
        <f t="shared" si="479"/>
      </c>
      <c r="AB147" s="166">
        <f t="shared" si="501"/>
      </c>
      <c r="AC147" s="166">
        <v>94.4</v>
      </c>
      <c r="AD147" s="172">
        <f t="shared" si="48"/>
      </c>
      <c r="AE147" s="168">
        <f t="shared" si="537"/>
      </c>
      <c r="AF147" s="169">
        <f t="shared" si="173"/>
      </c>
      <c r="AG147" s="169">
        <f t="shared" si="318"/>
      </c>
      <c r="AH147" s="168">
        <v>17</v>
      </c>
      <c r="AI147" s="165">
        <f t="shared" si="307"/>
      </c>
      <c r="AJ147" s="169"/>
      <c r="AK147" s="169"/>
      <c r="AL147" s="169"/>
      <c r="AM147" s="169"/>
      <c r="AN147" s="173"/>
      <c r="AO147" s="173"/>
      <c r="AP147" s="173"/>
      <c r="AQ147" s="173"/>
      <c r="AR147" s="173"/>
      <c r="AS147" s="173"/>
      <c r="AT147" s="173" t="s">
        <v>725</v>
      </c>
      <c r="AU147" s="173" t="s">
        <v>725</v>
      </c>
      <c r="AV147" s="173" t="s">
        <v>725</v>
      </c>
      <c r="AW147" s="173" t="s">
        <v>725</v>
      </c>
      <c r="AX147" s="173" t="s">
        <v>725</v>
      </c>
      <c r="AY147" s="173" t="s">
        <v>725</v>
      </c>
      <c r="AZ147" s="173" t="s">
        <v>725</v>
      </c>
      <c r="BA147" s="173" t="s">
        <v>725</v>
      </c>
      <c r="BB147" s="173" t="s">
        <v>725</v>
      </c>
      <c r="BC147" s="173" t="s">
        <v>725</v>
      </c>
      <c r="BD147" s="173" t="s">
        <v>725</v>
      </c>
      <c r="BE147" s="173" t="s">
        <v>725</v>
      </c>
      <c r="BF147" s="173" t="s">
        <v>725</v>
      </c>
      <c r="BG147" s="173" t="s">
        <v>725</v>
      </c>
      <c r="BH147" s="173" t="s">
        <v>725</v>
      </c>
      <c r="BI147" s="173" t="s">
        <v>725</v>
      </c>
      <c r="BJ147" s="173" t="s">
        <v>725</v>
      </c>
      <c r="BK147" s="173" t="s">
        <v>725</v>
      </c>
      <c r="BL147" s="173" t="s">
        <v>725</v>
      </c>
      <c r="BM147" s="173" t="s">
        <v>725</v>
      </c>
      <c r="BN147" s="173" t="s">
        <v>725</v>
      </c>
      <c r="BO147" s="173" t="s">
        <v>725</v>
      </c>
      <c r="BP147" s="173" t="s">
        <v>725</v>
      </c>
      <c r="BQ147" s="173" t="s">
        <v>725</v>
      </c>
      <c r="BR147" s="180">
        <f>IF(#REF!&lt;E147,1,0)</f>
      </c>
      <c r="BS147" s="161" t="str">
        <v>#VALUE!</v>
      </c>
    </row>
    <row customHeight="true" ht="18.51851851851852" r="148">
      <c r="A148" s="161" t="s">
        <v>733</v>
      </c>
      <c r="B148" s="161"/>
      <c r="C148" s="183" t="s">
        <v>790</v>
      </c>
      <c r="D148" s="162" t="s">
        <v>788</v>
      </c>
      <c r="E148" s="166">
        <v>35.7</v>
      </c>
      <c r="F148" s="179">
        <v>51.99</v>
      </c>
      <c r="G148" s="164">
        <f t="shared" si="6"/>
      </c>
      <c r="H148" s="164">
        <f t="shared" si="70"/>
      </c>
      <c r="I148" s="164">
        <f t="shared" si="132"/>
      </c>
      <c r="J148" s="165">
        <f t="shared" si="213"/>
      </c>
      <c r="K148" s="166">
        <f t="shared" si="266"/>
      </c>
      <c r="L148" s="167">
        <f t="shared" si="337"/>
      </c>
      <c r="M148" s="164">
        <f t="shared" si="382"/>
      </c>
      <c r="N148" s="166">
        <f t="shared" si="426"/>
      </c>
      <c r="O148" s="166">
        <f t="shared" si="457"/>
      </c>
      <c r="P148" s="161">
        <v>9</v>
      </c>
      <c r="Q148" s="168">
        <v>8</v>
      </c>
      <c r="R148" s="169">
        <f t="shared" si="26"/>
      </c>
      <c r="S148" s="165">
        <f t="shared" si="523"/>
      </c>
      <c r="T148" s="169">
        <v>0.05</v>
      </c>
      <c r="U148" s="169">
        <v>0.01</v>
      </c>
      <c r="V148" s="169">
        <f t="shared" si="288"/>
      </c>
      <c r="W148" s="169">
        <f t="shared" si="359"/>
      </c>
      <c r="X148" s="170">
        <v>0.188</v>
      </c>
      <c r="Y148" s="171">
        <v>5</v>
      </c>
      <c r="Z148" s="171">
        <f>F148*0.1</f>
      </c>
      <c r="AA148" s="171">
        <f t="shared" si="479"/>
      </c>
      <c r="AB148" s="166">
        <f t="shared" si="501"/>
      </c>
      <c r="AC148" s="166">
        <v>94.4</v>
      </c>
      <c r="AD148" s="172">
        <f t="shared" si="48"/>
      </c>
      <c r="AE148" s="168">
        <f t="shared" si="537"/>
      </c>
      <c r="AF148" s="169">
        <f t="shared" si="173"/>
      </c>
      <c r="AG148" s="169">
        <f t="shared" si="318"/>
      </c>
      <c r="AH148" s="168">
        <v>17</v>
      </c>
      <c r="AI148" s="165">
        <f t="shared" si="307"/>
      </c>
      <c r="AJ148" s="169"/>
      <c r="AK148" s="169"/>
      <c r="AL148" s="169"/>
      <c r="AM148" s="169"/>
      <c r="AN148" s="173"/>
      <c r="AO148" s="173"/>
      <c r="AP148" s="173"/>
      <c r="AQ148" s="173"/>
      <c r="AR148" s="173"/>
      <c r="AS148" s="173"/>
      <c r="AT148" s="173" t="s">
        <v>725</v>
      </c>
      <c r="AU148" s="173" t="s">
        <v>725</v>
      </c>
      <c r="AV148" s="173" t="s">
        <v>725</v>
      </c>
      <c r="AW148" s="173" t="s">
        <v>725</v>
      </c>
      <c r="AX148" s="173" t="s">
        <v>725</v>
      </c>
      <c r="AY148" s="173" t="s">
        <v>725</v>
      </c>
      <c r="AZ148" s="173" t="s">
        <v>725</v>
      </c>
      <c r="BA148" s="173" t="s">
        <v>725</v>
      </c>
      <c r="BB148" s="173" t="s">
        <v>725</v>
      </c>
      <c r="BC148" s="173" t="s">
        <v>725</v>
      </c>
      <c r="BD148" s="173" t="s">
        <v>725</v>
      </c>
      <c r="BE148" s="173" t="s">
        <v>725</v>
      </c>
      <c r="BF148" s="173" t="s">
        <v>725</v>
      </c>
      <c r="BG148" s="173" t="s">
        <v>725</v>
      </c>
      <c r="BH148" s="173" t="s">
        <v>725</v>
      </c>
      <c r="BI148" s="173" t="s">
        <v>725</v>
      </c>
      <c r="BJ148" s="173" t="s">
        <v>725</v>
      </c>
      <c r="BK148" s="173" t="s">
        <v>725</v>
      </c>
      <c r="BL148" s="173" t="s">
        <v>725</v>
      </c>
      <c r="BM148" s="173" t="s">
        <v>725</v>
      </c>
      <c r="BN148" s="173" t="s">
        <v>725</v>
      </c>
      <c r="BO148" s="173" t="s">
        <v>725</v>
      </c>
      <c r="BP148" s="173" t="s">
        <v>725</v>
      </c>
      <c r="BQ148" s="173" t="s">
        <v>725</v>
      </c>
      <c r="BR148" s="180">
        <f t="shared" ref="BR148:BR149" si="241">IF(E148&lt;#REF!,1,0)</f>
      </c>
      <c r="BS148" s="161" t="str">
        <v>#VALUE!</v>
      </c>
    </row>
    <row customHeight="true" ht="18.51851851851852" r="149">
      <c r="A149" s="161" t="s">
        <v>733</v>
      </c>
      <c r="B149" s="161"/>
      <c r="C149" s="183" t="s">
        <v>790</v>
      </c>
      <c r="D149" s="162" t="s">
        <v>789</v>
      </c>
      <c r="E149" s="166">
        <v>35.7</v>
      </c>
      <c r="F149" s="179">
        <v>51.99</v>
      </c>
      <c r="G149" s="164">
        <f t="shared" si="6"/>
      </c>
      <c r="H149" s="164">
        <f t="shared" si="70"/>
      </c>
      <c r="I149" s="164">
        <f t="shared" si="132"/>
      </c>
      <c r="J149" s="165">
        <f t="shared" si="213"/>
      </c>
      <c r="K149" s="166">
        <f t="shared" si="266"/>
      </c>
      <c r="L149" s="167">
        <f t="shared" si="337"/>
      </c>
      <c r="M149" s="164">
        <f t="shared" si="382"/>
      </c>
      <c r="N149" s="166">
        <f t="shared" si="426"/>
      </c>
      <c r="O149" s="166">
        <f t="shared" si="457"/>
      </c>
      <c r="P149" s="161">
        <v>9</v>
      </c>
      <c r="Q149" s="168">
        <v>8</v>
      </c>
      <c r="R149" s="169">
        <f t="shared" si="26"/>
      </c>
      <c r="S149" s="165">
        <f t="shared" si="523"/>
      </c>
      <c r="T149" s="169">
        <v>0.05</v>
      </c>
      <c r="U149" s="169">
        <v>0.01</v>
      </c>
      <c r="V149" s="169">
        <f t="shared" si="288"/>
      </c>
      <c r="W149" s="169">
        <f t="shared" si="359"/>
      </c>
      <c r="X149" s="170">
        <v>0.188</v>
      </c>
      <c r="Y149" s="171">
        <v>5</v>
      </c>
      <c r="Z149" s="171">
        <f>F149*0.15</f>
      </c>
      <c r="AA149" s="171">
        <f t="shared" si="479"/>
      </c>
      <c r="AB149" s="166">
        <f t="shared" si="501"/>
      </c>
      <c r="AC149" s="166">
        <v>94.4</v>
      </c>
      <c r="AD149" s="172">
        <f t="shared" si="48"/>
      </c>
      <c r="AE149" s="168">
        <f t="shared" si="537"/>
      </c>
      <c r="AF149" s="169">
        <f t="shared" si="173"/>
      </c>
      <c r="AG149" s="169">
        <f t="shared" si="318"/>
      </c>
      <c r="AH149" s="168">
        <v>17</v>
      </c>
      <c r="AI149" s="165">
        <f t="shared" si="307"/>
      </c>
      <c r="AJ149" s="169"/>
      <c r="AK149" s="169"/>
      <c r="AL149" s="169"/>
      <c r="AM149" s="169"/>
      <c r="AN149" s="173"/>
      <c r="AO149" s="173"/>
      <c r="AP149" s="173"/>
      <c r="AQ149" s="173"/>
      <c r="AR149" s="173"/>
      <c r="AS149" s="173"/>
      <c r="AT149" s="173" t="s">
        <v>725</v>
      </c>
      <c r="AU149" s="173" t="s">
        <v>725</v>
      </c>
      <c r="AV149" s="173" t="s">
        <v>725</v>
      </c>
      <c r="AW149" s="173" t="s">
        <v>725</v>
      </c>
      <c r="AX149" s="173" t="s">
        <v>725</v>
      </c>
      <c r="AY149" s="173" t="s">
        <v>725</v>
      </c>
      <c r="AZ149" s="173" t="s">
        <v>725</v>
      </c>
      <c r="BA149" s="173" t="s">
        <v>725</v>
      </c>
      <c r="BB149" s="173" t="s">
        <v>725</v>
      </c>
      <c r="BC149" s="173" t="s">
        <v>725</v>
      </c>
      <c r="BD149" s="173" t="s">
        <v>725</v>
      </c>
      <c r="BE149" s="173" t="s">
        <v>725</v>
      </c>
      <c r="BF149" s="173" t="s">
        <v>725</v>
      </c>
      <c r="BG149" s="173" t="s">
        <v>725</v>
      </c>
      <c r="BH149" s="173" t="s">
        <v>725</v>
      </c>
      <c r="BI149" s="173" t="s">
        <v>725</v>
      </c>
      <c r="BJ149" s="173" t="s">
        <v>725</v>
      </c>
      <c r="BK149" s="173" t="s">
        <v>725</v>
      </c>
      <c r="BL149" s="173" t="s">
        <v>725</v>
      </c>
      <c r="BM149" s="173" t="s">
        <v>725</v>
      </c>
      <c r="BN149" s="173" t="s">
        <v>725</v>
      </c>
      <c r="BO149" s="173" t="s">
        <v>725</v>
      </c>
      <c r="BP149" s="173" t="s">
        <v>725</v>
      </c>
      <c r="BQ149" s="173" t="s">
        <v>725</v>
      </c>
      <c r="BR149" s="180">
        <f t="shared" si="241"/>
      </c>
      <c r="BS149" s="161" t="str">
        <v>#VALUE!</v>
      </c>
    </row>
    <row customHeight="true" ht="18.51851851851852" r="150">
      <c r="A150" s="161" t="s">
        <v>734</v>
      </c>
      <c r="B150" s="161"/>
      <c r="C150" s="183" t="s">
        <v>790</v>
      </c>
      <c r="D150" s="162" t="s">
        <v>787</v>
      </c>
      <c r="E150" s="166">
        <v>35.7</v>
      </c>
      <c r="F150" s="179">
        <v>51.99</v>
      </c>
      <c r="G150" s="164">
        <f t="shared" si="6"/>
      </c>
      <c r="H150" s="164">
        <f t="shared" si="70"/>
      </c>
      <c r="I150" s="164">
        <f t="shared" si="132"/>
      </c>
      <c r="J150" s="165">
        <f t="shared" si="213"/>
      </c>
      <c r="K150" s="166">
        <f t="shared" si="266"/>
      </c>
      <c r="L150" s="167">
        <f t="shared" si="337"/>
      </c>
      <c r="M150" s="164">
        <f t="shared" si="382"/>
      </c>
      <c r="N150" s="166">
        <f t="shared" si="426"/>
      </c>
      <c r="O150" s="166">
        <f t="shared" si="457"/>
      </c>
      <c r="P150" s="161">
        <v>9</v>
      </c>
      <c r="Q150" s="168">
        <v>8</v>
      </c>
      <c r="R150" s="169">
        <f t="shared" si="26"/>
      </c>
      <c r="S150" s="165">
        <f t="shared" si="523"/>
      </c>
      <c r="T150" s="169">
        <v>0.05</v>
      </c>
      <c r="U150" s="169">
        <v>0.01</v>
      </c>
      <c r="V150" s="169">
        <f t="shared" si="288"/>
      </c>
      <c r="W150" s="169">
        <f t="shared" si="359"/>
      </c>
      <c r="X150" s="170">
        <v>0.188</v>
      </c>
      <c r="Y150" s="171">
        <v>5</v>
      </c>
      <c r="Z150" s="171">
        <v>0</v>
      </c>
      <c r="AA150" s="171">
        <f t="shared" si="479"/>
      </c>
      <c r="AB150" s="166">
        <f t="shared" si="501"/>
      </c>
      <c r="AC150" s="166">
        <v>94.4</v>
      </c>
      <c r="AD150" s="172">
        <f t="shared" si="48"/>
      </c>
      <c r="AE150" s="168">
        <f t="shared" si="537"/>
      </c>
      <c r="AF150" s="169">
        <f t="shared" si="173"/>
      </c>
      <c r="AG150" s="169">
        <f t="shared" si="318"/>
      </c>
      <c r="AH150" s="168">
        <v>17</v>
      </c>
      <c r="AI150" s="165">
        <f t="shared" si="307"/>
      </c>
      <c r="AJ150" s="169"/>
      <c r="AK150" s="169"/>
      <c r="AL150" s="169"/>
      <c r="AM150" s="169"/>
      <c r="AN150" s="173"/>
      <c r="AO150" s="173"/>
      <c r="AP150" s="173"/>
      <c r="AQ150" s="173"/>
      <c r="AR150" s="173"/>
      <c r="AS150" s="173"/>
      <c r="AT150" s="173" t="s">
        <v>725</v>
      </c>
      <c r="AU150" s="173" t="s">
        <v>725</v>
      </c>
      <c r="AV150" s="173" t="s">
        <v>725</v>
      </c>
      <c r="AW150" s="173" t="s">
        <v>725</v>
      </c>
      <c r="AX150" s="173" t="s">
        <v>725</v>
      </c>
      <c r="AY150" s="173" t="s">
        <v>725</v>
      </c>
      <c r="AZ150" s="173" t="s">
        <v>725</v>
      </c>
      <c r="BA150" s="173" t="s">
        <v>725</v>
      </c>
      <c r="BB150" s="173" t="s">
        <v>725</v>
      </c>
      <c r="BC150" s="173" t="s">
        <v>725</v>
      </c>
      <c r="BD150" s="173" t="s">
        <v>725</v>
      </c>
      <c r="BE150" s="173" t="s">
        <v>725</v>
      </c>
      <c r="BF150" s="173" t="s">
        <v>725</v>
      </c>
      <c r="BG150" s="173" t="s">
        <v>725</v>
      </c>
      <c r="BH150" s="173" t="s">
        <v>725</v>
      </c>
      <c r="BI150" s="173" t="s">
        <v>725</v>
      </c>
      <c r="BJ150" s="173" t="s">
        <v>725</v>
      </c>
      <c r="BK150" s="173" t="s">
        <v>725</v>
      </c>
      <c r="BL150" s="173" t="s">
        <v>725</v>
      </c>
      <c r="BM150" s="173" t="s">
        <v>725</v>
      </c>
      <c r="BN150" s="173" t="s">
        <v>725</v>
      </c>
      <c r="BO150" s="173" t="s">
        <v>725</v>
      </c>
      <c r="BP150" s="173" t="s">
        <v>725</v>
      </c>
      <c r="BQ150" s="173" t="s">
        <v>725</v>
      </c>
      <c r="BR150" s="180">
        <f>IF(#REF!&lt;E150,1,0)</f>
      </c>
      <c r="BS150" s="161" t="str">
        <v>#VALUE!</v>
      </c>
    </row>
    <row customHeight="true" ht="18.51851851851852" r="151">
      <c r="A151" s="161" t="s">
        <v>734</v>
      </c>
      <c r="B151" s="161"/>
      <c r="C151" s="183" t="s">
        <v>790</v>
      </c>
      <c r="D151" s="162" t="s">
        <v>788</v>
      </c>
      <c r="E151" s="166">
        <v>35.7</v>
      </c>
      <c r="F151" s="179">
        <v>51.99</v>
      </c>
      <c r="G151" s="164">
        <f t="shared" si="6"/>
      </c>
      <c r="H151" s="164">
        <f t="shared" si="70"/>
      </c>
      <c r="I151" s="164">
        <f t="shared" si="132"/>
      </c>
      <c r="J151" s="165">
        <f t="shared" si="213"/>
      </c>
      <c r="K151" s="166">
        <f t="shared" si="266"/>
      </c>
      <c r="L151" s="167">
        <f t="shared" si="337"/>
      </c>
      <c r="M151" s="164">
        <f t="shared" si="382"/>
      </c>
      <c r="N151" s="166">
        <f t="shared" si="426"/>
      </c>
      <c r="O151" s="166">
        <f t="shared" si="457"/>
      </c>
      <c r="P151" s="161">
        <v>9</v>
      </c>
      <c r="Q151" s="168">
        <v>8</v>
      </c>
      <c r="R151" s="169">
        <f t="shared" si="26"/>
      </c>
      <c r="S151" s="165">
        <f t="shared" si="523"/>
      </c>
      <c r="T151" s="169">
        <v>0.05</v>
      </c>
      <c r="U151" s="169">
        <v>0.01</v>
      </c>
      <c r="V151" s="169">
        <f t="shared" si="288"/>
      </c>
      <c r="W151" s="169">
        <f t="shared" si="359"/>
      </c>
      <c r="X151" s="170">
        <v>0.188</v>
      </c>
      <c r="Y151" s="171">
        <v>5</v>
      </c>
      <c r="Z151" s="171">
        <f>F151*0.1</f>
      </c>
      <c r="AA151" s="171">
        <f t="shared" si="479"/>
      </c>
      <c r="AB151" s="166">
        <f t="shared" si="501"/>
      </c>
      <c r="AC151" s="166">
        <v>94.4</v>
      </c>
      <c r="AD151" s="172">
        <f t="shared" si="48"/>
      </c>
      <c r="AE151" s="168">
        <f t="shared" si="537"/>
      </c>
      <c r="AF151" s="169">
        <f t="shared" si="173"/>
      </c>
      <c r="AG151" s="169">
        <f t="shared" si="318"/>
      </c>
      <c r="AH151" s="168">
        <v>17</v>
      </c>
      <c r="AI151" s="165">
        <f t="shared" si="307"/>
      </c>
      <c r="AJ151" s="169"/>
      <c r="AK151" s="169"/>
      <c r="AL151" s="169"/>
      <c r="AM151" s="169"/>
      <c r="AN151" s="173"/>
      <c r="AO151" s="173"/>
      <c r="AP151" s="173"/>
      <c r="AQ151" s="173"/>
      <c r="AR151" s="173"/>
      <c r="AS151" s="173"/>
      <c r="AT151" s="173" t="s">
        <v>725</v>
      </c>
      <c r="AU151" s="173" t="s">
        <v>725</v>
      </c>
      <c r="AV151" s="173" t="s">
        <v>725</v>
      </c>
      <c r="AW151" s="173" t="s">
        <v>725</v>
      </c>
      <c r="AX151" s="173" t="s">
        <v>725</v>
      </c>
      <c r="AY151" s="173" t="s">
        <v>725</v>
      </c>
      <c r="AZ151" s="173" t="s">
        <v>725</v>
      </c>
      <c r="BA151" s="173" t="s">
        <v>725</v>
      </c>
      <c r="BB151" s="173" t="s">
        <v>725</v>
      </c>
      <c r="BC151" s="173" t="s">
        <v>725</v>
      </c>
      <c r="BD151" s="173" t="s">
        <v>725</v>
      </c>
      <c r="BE151" s="173" t="s">
        <v>725</v>
      </c>
      <c r="BF151" s="173" t="s">
        <v>725</v>
      </c>
      <c r="BG151" s="173" t="s">
        <v>725</v>
      </c>
      <c r="BH151" s="173" t="s">
        <v>725</v>
      </c>
      <c r="BI151" s="173" t="s">
        <v>725</v>
      </c>
      <c r="BJ151" s="173" t="s">
        <v>725</v>
      </c>
      <c r="BK151" s="173" t="s">
        <v>725</v>
      </c>
      <c r="BL151" s="173" t="s">
        <v>725</v>
      </c>
      <c r="BM151" s="173" t="s">
        <v>725</v>
      </c>
      <c r="BN151" s="173" t="s">
        <v>725</v>
      </c>
      <c r="BO151" s="173" t="s">
        <v>725</v>
      </c>
      <c r="BP151" s="173" t="s">
        <v>725</v>
      </c>
      <c r="BQ151" s="173" t="s">
        <v>725</v>
      </c>
      <c r="BR151" s="180">
        <f t="shared" ref="BR151:BR156" si="242">IF(E151&lt;#REF!,1,0)</f>
      </c>
      <c r="BS151" s="161" t="str">
        <v>#VALUE!</v>
      </c>
    </row>
    <row customHeight="true" ht="18.51851851851852" r="152">
      <c r="A152" s="161" t="s">
        <v>734</v>
      </c>
      <c r="B152" s="161"/>
      <c r="C152" s="183" t="s">
        <v>790</v>
      </c>
      <c r="D152" s="162" t="s">
        <v>789</v>
      </c>
      <c r="E152" s="166">
        <v>35.7</v>
      </c>
      <c r="F152" s="179">
        <v>51.99</v>
      </c>
      <c r="G152" s="164">
        <f t="shared" si="6"/>
      </c>
      <c r="H152" s="164">
        <f t="shared" si="70"/>
      </c>
      <c r="I152" s="164">
        <f t="shared" si="132"/>
      </c>
      <c r="J152" s="165">
        <f t="shared" si="213"/>
      </c>
      <c r="K152" s="166">
        <f t="shared" si="266"/>
      </c>
      <c r="L152" s="167">
        <f t="shared" si="337"/>
      </c>
      <c r="M152" s="164">
        <f t="shared" si="382"/>
      </c>
      <c r="N152" s="166">
        <f t="shared" si="426"/>
      </c>
      <c r="O152" s="166">
        <f t="shared" si="457"/>
      </c>
      <c r="P152" s="161">
        <v>9</v>
      </c>
      <c r="Q152" s="168">
        <v>8</v>
      </c>
      <c r="R152" s="169">
        <f t="shared" si="26"/>
      </c>
      <c r="S152" s="165">
        <f t="shared" si="523"/>
      </c>
      <c r="T152" s="169">
        <v>0.05</v>
      </c>
      <c r="U152" s="169">
        <v>0.01</v>
      </c>
      <c r="V152" s="169">
        <f t="shared" si="288"/>
      </c>
      <c r="W152" s="169">
        <f t="shared" si="359"/>
      </c>
      <c r="X152" s="170">
        <v>0.188</v>
      </c>
      <c r="Y152" s="171">
        <v>5</v>
      </c>
      <c r="Z152" s="171">
        <f>F152*0.15</f>
      </c>
      <c r="AA152" s="171">
        <f t="shared" si="479"/>
      </c>
      <c r="AB152" s="166">
        <f t="shared" si="501"/>
      </c>
      <c r="AC152" s="166">
        <v>94.4</v>
      </c>
      <c r="AD152" s="172">
        <f t="shared" si="48"/>
      </c>
      <c r="AE152" s="168">
        <f t="shared" si="537"/>
      </c>
      <c r="AF152" s="169">
        <f t="shared" si="173"/>
      </c>
      <c r="AG152" s="169">
        <f t="shared" si="318"/>
      </c>
      <c r="AH152" s="168">
        <v>17</v>
      </c>
      <c r="AI152" s="165">
        <f t="shared" si="307"/>
      </c>
      <c r="AJ152" s="169"/>
      <c r="AK152" s="169"/>
      <c r="AL152" s="169"/>
      <c r="AM152" s="169"/>
      <c r="AN152" s="173"/>
      <c r="AO152" s="173"/>
      <c r="AP152" s="173"/>
      <c r="AQ152" s="173"/>
      <c r="AR152" s="173"/>
      <c r="AS152" s="173"/>
      <c r="AT152" s="173" t="s">
        <v>725</v>
      </c>
      <c r="AU152" s="173" t="s">
        <v>725</v>
      </c>
      <c r="AV152" s="173" t="s">
        <v>725</v>
      </c>
      <c r="AW152" s="173" t="s">
        <v>725</v>
      </c>
      <c r="AX152" s="173" t="s">
        <v>725</v>
      </c>
      <c r="AY152" s="173" t="s">
        <v>725</v>
      </c>
      <c r="AZ152" s="173" t="s">
        <v>725</v>
      </c>
      <c r="BA152" s="173" t="s">
        <v>725</v>
      </c>
      <c r="BB152" s="173" t="s">
        <v>725</v>
      </c>
      <c r="BC152" s="173" t="s">
        <v>725</v>
      </c>
      <c r="BD152" s="173" t="s">
        <v>725</v>
      </c>
      <c r="BE152" s="173" t="s">
        <v>725</v>
      </c>
      <c r="BF152" s="173" t="s">
        <v>725</v>
      </c>
      <c r="BG152" s="173" t="s">
        <v>725</v>
      </c>
      <c r="BH152" s="173" t="s">
        <v>725</v>
      </c>
      <c r="BI152" s="173" t="s">
        <v>725</v>
      </c>
      <c r="BJ152" s="173" t="s">
        <v>725</v>
      </c>
      <c r="BK152" s="173" t="s">
        <v>725</v>
      </c>
      <c r="BL152" s="173" t="s">
        <v>725</v>
      </c>
      <c r="BM152" s="173" t="s">
        <v>725</v>
      </c>
      <c r="BN152" s="173" t="s">
        <v>725</v>
      </c>
      <c r="BO152" s="173" t="s">
        <v>725</v>
      </c>
      <c r="BP152" s="173" t="s">
        <v>725</v>
      </c>
      <c r="BQ152" s="173" t="s">
        <v>725</v>
      </c>
      <c r="BR152" s="180">
        <f t="shared" si="242"/>
      </c>
      <c r="BS152" s="161" t="str">
        <v>#VALUE!</v>
      </c>
    </row>
    <row customHeight="true" ht="18.51851851851852" r="153">
      <c r="A153" s="161" t="s">
        <v>735</v>
      </c>
      <c r="B153" s="161"/>
      <c r="C153" s="183" t="s">
        <v>790</v>
      </c>
      <c r="D153" s="162" t="s">
        <v>791</v>
      </c>
      <c r="E153" s="166">
        <v>35.7</v>
      </c>
      <c r="F153" s="179">
        <v>51.99</v>
      </c>
      <c r="G153" s="164">
        <f t="shared" si="6"/>
      </c>
      <c r="H153" s="164">
        <f t="shared" si="70"/>
      </c>
      <c r="I153" s="164">
        <f t="shared" si="132"/>
      </c>
      <c r="J153" s="165">
        <f t="shared" si="213"/>
      </c>
      <c r="K153" s="166">
        <f t="shared" si="266"/>
      </c>
      <c r="L153" s="167">
        <f t="shared" si="337"/>
      </c>
      <c r="M153" s="164">
        <f t="shared" si="382"/>
      </c>
      <c r="N153" s="166">
        <f t="shared" si="426"/>
      </c>
      <c r="O153" s="166">
        <f t="shared" si="457"/>
      </c>
      <c r="P153" s="161">
        <v>9</v>
      </c>
      <c r="Q153" s="168">
        <v>8</v>
      </c>
      <c r="R153" s="169">
        <f t="shared" si="26"/>
      </c>
      <c r="S153" s="165">
        <f t="shared" si="523"/>
      </c>
      <c r="T153" s="169">
        <v>0.05</v>
      </c>
      <c r="U153" s="169">
        <v>0.01</v>
      </c>
      <c r="V153" s="169">
        <f t="shared" si="288"/>
      </c>
      <c r="W153" s="169">
        <f t="shared" si="359"/>
      </c>
      <c r="X153" s="170">
        <v>0.188</v>
      </c>
      <c r="Y153" s="171">
        <v>5</v>
      </c>
      <c r="Z153" s="171">
        <v>0</v>
      </c>
      <c r="AA153" s="171">
        <f t="shared" si="479"/>
      </c>
      <c r="AB153" s="166">
        <f t="shared" si="501"/>
      </c>
      <c r="AC153" s="166">
        <v>94.4</v>
      </c>
      <c r="AD153" s="172">
        <f t="shared" si="48"/>
      </c>
      <c r="AE153" s="168">
        <f t="shared" si="537"/>
      </c>
      <c r="AF153" s="169">
        <f t="shared" si="173"/>
      </c>
      <c r="AG153" s="169">
        <f t="shared" si="318"/>
      </c>
      <c r="AH153" s="168">
        <v>17</v>
      </c>
      <c r="AI153" s="165">
        <f t="shared" si="307"/>
      </c>
      <c r="AJ153" s="169"/>
      <c r="AK153" s="169"/>
      <c r="AL153" s="169"/>
      <c r="AM153" s="169"/>
      <c r="AN153" s="173"/>
      <c r="AO153" s="173"/>
      <c r="AP153" s="173"/>
      <c r="AQ153" s="173"/>
      <c r="AR153" s="173"/>
      <c r="AS153" s="173"/>
      <c r="AT153" s="173" t="s">
        <v>725</v>
      </c>
      <c r="AU153" s="173" t="s">
        <v>725</v>
      </c>
      <c r="AV153" s="173" t="s">
        <v>725</v>
      </c>
      <c r="AW153" s="173" t="s">
        <v>725</v>
      </c>
      <c r="AX153" s="173" t="s">
        <v>725</v>
      </c>
      <c r="AY153" s="173" t="s">
        <v>725</v>
      </c>
      <c r="AZ153" s="173" t="s">
        <v>725</v>
      </c>
      <c r="BA153" s="173" t="s">
        <v>725</v>
      </c>
      <c r="BB153" s="173" t="s">
        <v>725</v>
      </c>
      <c r="BC153" s="173" t="s">
        <v>725</v>
      </c>
      <c r="BD153" s="173" t="s">
        <v>725</v>
      </c>
      <c r="BE153" s="173" t="s">
        <v>725</v>
      </c>
      <c r="BF153" s="173" t="s">
        <v>725</v>
      </c>
      <c r="BG153" s="173" t="s">
        <v>725</v>
      </c>
      <c r="BH153" s="173" t="s">
        <v>725</v>
      </c>
      <c r="BI153" s="173" t="s">
        <v>725</v>
      </c>
      <c r="BJ153" s="173" t="s">
        <v>725</v>
      </c>
      <c r="BK153" s="173" t="s">
        <v>725</v>
      </c>
      <c r="BL153" s="173" t="s">
        <v>725</v>
      </c>
      <c r="BM153" s="173" t="s">
        <v>725</v>
      </c>
      <c r="BN153" s="173" t="s">
        <v>725</v>
      </c>
      <c r="BO153" s="173" t="s">
        <v>725</v>
      </c>
      <c r="BP153" s="173" t="s">
        <v>725</v>
      </c>
      <c r="BQ153" s="173" t="s">
        <v>725</v>
      </c>
      <c r="BR153" s="180">
        <f t="shared" si="242"/>
      </c>
      <c r="BS153" s="161" t="str">
        <v>#VALUE!</v>
      </c>
    </row>
    <row customHeight="true" ht="18.51851851851852" r="154">
      <c r="A154" s="161" t="s">
        <v>737</v>
      </c>
      <c r="B154" s="161"/>
      <c r="C154" s="183" t="s">
        <v>790</v>
      </c>
      <c r="D154" s="162" t="s">
        <v>791</v>
      </c>
      <c r="E154" s="166">
        <v>35.7</v>
      </c>
      <c r="F154" s="179">
        <v>51.99</v>
      </c>
      <c r="G154" s="164">
        <f t="shared" si="6"/>
      </c>
      <c r="H154" s="164">
        <f t="shared" si="70"/>
      </c>
      <c r="I154" s="164">
        <f t="shared" si="132"/>
      </c>
      <c r="J154" s="165">
        <f t="shared" si="213"/>
      </c>
      <c r="K154" s="166">
        <f t="shared" si="266"/>
      </c>
      <c r="L154" s="167">
        <f t="shared" si="337"/>
      </c>
      <c r="M154" s="164">
        <f t="shared" si="382"/>
      </c>
      <c r="N154" s="166">
        <f t="shared" si="426"/>
      </c>
      <c r="O154" s="166">
        <f t="shared" si="457"/>
      </c>
      <c r="P154" s="161">
        <v>9</v>
      </c>
      <c r="Q154" s="168">
        <v>8</v>
      </c>
      <c r="R154" s="169">
        <f t="shared" si="26"/>
      </c>
      <c r="S154" s="165">
        <f t="shared" si="523"/>
      </c>
      <c r="T154" s="169">
        <v>0.05</v>
      </c>
      <c r="U154" s="169">
        <v>0.01</v>
      </c>
      <c r="V154" s="169">
        <f t="shared" si="288"/>
      </c>
      <c r="W154" s="169">
        <f t="shared" si="359"/>
      </c>
      <c r="X154" s="170">
        <v>0.188</v>
      </c>
      <c r="Y154" s="171">
        <v>5</v>
      </c>
      <c r="Z154" s="171">
        <v>0</v>
      </c>
      <c r="AA154" s="171">
        <f t="shared" si="479"/>
      </c>
      <c r="AB154" s="166">
        <f t="shared" si="501"/>
      </c>
      <c r="AC154" s="166">
        <v>94.4</v>
      </c>
      <c r="AD154" s="172">
        <f t="shared" si="48"/>
      </c>
      <c r="AE154" s="168">
        <f t="shared" si="537"/>
      </c>
      <c r="AF154" s="169">
        <f t="shared" si="173"/>
      </c>
      <c r="AG154" s="169">
        <f t="shared" si="318"/>
      </c>
      <c r="AH154" s="168">
        <v>17</v>
      </c>
      <c r="AI154" s="165">
        <f t="shared" si="307"/>
      </c>
      <c r="AJ154" s="169"/>
      <c r="AK154" s="169"/>
      <c r="AL154" s="169"/>
      <c r="AM154" s="169"/>
      <c r="AN154" s="173"/>
      <c r="AO154" s="173"/>
      <c r="AP154" s="173"/>
      <c r="AQ154" s="173"/>
      <c r="AR154" s="173"/>
      <c r="AS154" s="173"/>
      <c r="AT154" s="173" t="s">
        <v>725</v>
      </c>
      <c r="AU154" s="173" t="s">
        <v>725</v>
      </c>
      <c r="AV154" s="173" t="s">
        <v>725</v>
      </c>
      <c r="AW154" s="173" t="s">
        <v>725</v>
      </c>
      <c r="AX154" s="173" t="s">
        <v>725</v>
      </c>
      <c r="AY154" s="173" t="s">
        <v>725</v>
      </c>
      <c r="AZ154" s="173" t="s">
        <v>725</v>
      </c>
      <c r="BA154" s="173" t="s">
        <v>725</v>
      </c>
      <c r="BB154" s="173" t="s">
        <v>725</v>
      </c>
      <c r="BC154" s="173" t="s">
        <v>725</v>
      </c>
      <c r="BD154" s="173" t="s">
        <v>725</v>
      </c>
      <c r="BE154" s="173" t="s">
        <v>725</v>
      </c>
      <c r="BF154" s="173" t="s">
        <v>725</v>
      </c>
      <c r="BG154" s="173" t="s">
        <v>725</v>
      </c>
      <c r="BH154" s="173" t="s">
        <v>725</v>
      </c>
      <c r="BI154" s="173" t="s">
        <v>725</v>
      </c>
      <c r="BJ154" s="173" t="s">
        <v>725</v>
      </c>
      <c r="BK154" s="173" t="s">
        <v>725</v>
      </c>
      <c r="BL154" s="173" t="s">
        <v>725</v>
      </c>
      <c r="BM154" s="173" t="s">
        <v>725</v>
      </c>
      <c r="BN154" s="173" t="s">
        <v>725</v>
      </c>
      <c r="BO154" s="173" t="s">
        <v>725</v>
      </c>
      <c r="BP154" s="173" t="s">
        <v>725</v>
      </c>
      <c r="BQ154" s="173" t="s">
        <v>725</v>
      </c>
      <c r="BR154" s="180">
        <f t="shared" si="242"/>
      </c>
      <c r="BS154" s="161" t="str">
        <v>#VALUE!</v>
      </c>
    </row>
    <row customHeight="true" ht="18.51851851851852" r="155">
      <c r="A155" s="161" t="s">
        <v>739</v>
      </c>
      <c r="B155" s="161"/>
      <c r="C155" s="183" t="s">
        <v>790</v>
      </c>
      <c r="D155" s="162" t="s">
        <v>791</v>
      </c>
      <c r="E155" s="166">
        <v>35.7</v>
      </c>
      <c r="F155" s="179">
        <v>51.99</v>
      </c>
      <c r="G155" s="164">
        <f t="shared" si="6"/>
      </c>
      <c r="H155" s="164">
        <f t="shared" si="70"/>
      </c>
      <c r="I155" s="164">
        <f t="shared" si="132"/>
      </c>
      <c r="J155" s="165">
        <f t="shared" si="213"/>
      </c>
      <c r="K155" s="166">
        <f t="shared" si="266"/>
      </c>
      <c r="L155" s="167">
        <f t="shared" si="337"/>
      </c>
      <c r="M155" s="164">
        <f t="shared" si="382"/>
      </c>
      <c r="N155" s="166">
        <f t="shared" si="426"/>
      </c>
      <c r="O155" s="166">
        <f t="shared" si="457"/>
      </c>
      <c r="P155" s="161">
        <v>9</v>
      </c>
      <c r="Q155" s="168">
        <v>8</v>
      </c>
      <c r="R155" s="169">
        <f t="shared" si="26"/>
      </c>
      <c r="S155" s="165">
        <f t="shared" si="523"/>
      </c>
      <c r="T155" s="169">
        <v>0.05</v>
      </c>
      <c r="U155" s="169">
        <v>0.01</v>
      </c>
      <c r="V155" s="169">
        <f t="shared" si="288"/>
      </c>
      <c r="W155" s="169">
        <f t="shared" si="359"/>
      </c>
      <c r="X155" s="170">
        <v>0.188</v>
      </c>
      <c r="Y155" s="171">
        <v>5</v>
      </c>
      <c r="Z155" s="171">
        <v>0</v>
      </c>
      <c r="AA155" s="171">
        <f t="shared" si="479"/>
      </c>
      <c r="AB155" s="166">
        <f t="shared" si="501"/>
      </c>
      <c r="AC155" s="166">
        <v>94.4</v>
      </c>
      <c r="AD155" s="172">
        <f t="shared" si="48"/>
      </c>
      <c r="AE155" s="168">
        <f t="shared" si="537"/>
      </c>
      <c r="AF155" s="169">
        <f t="shared" si="173"/>
      </c>
      <c r="AG155" s="169">
        <f t="shared" si="318"/>
      </c>
      <c r="AH155" s="168">
        <v>17</v>
      </c>
      <c r="AI155" s="165">
        <f t="shared" si="307"/>
      </c>
      <c r="AJ155" s="169"/>
      <c r="AK155" s="169"/>
      <c r="AL155" s="169"/>
      <c r="AM155" s="169"/>
      <c r="AN155" s="173"/>
      <c r="AO155" s="173"/>
      <c r="AP155" s="173"/>
      <c r="AQ155" s="173"/>
      <c r="AR155" s="173"/>
      <c r="AS155" s="173"/>
      <c r="AT155" s="173" t="s">
        <v>725</v>
      </c>
      <c r="AU155" s="173" t="s">
        <v>725</v>
      </c>
      <c r="AV155" s="173" t="s">
        <v>725</v>
      </c>
      <c r="AW155" s="173" t="s">
        <v>725</v>
      </c>
      <c r="AX155" s="173" t="s">
        <v>725</v>
      </c>
      <c r="AY155" s="173" t="s">
        <v>725</v>
      </c>
      <c r="AZ155" s="173" t="s">
        <v>725</v>
      </c>
      <c r="BA155" s="173" t="s">
        <v>725</v>
      </c>
      <c r="BB155" s="173" t="s">
        <v>725</v>
      </c>
      <c r="BC155" s="173" t="s">
        <v>725</v>
      </c>
      <c r="BD155" s="173" t="s">
        <v>725</v>
      </c>
      <c r="BE155" s="173" t="s">
        <v>725</v>
      </c>
      <c r="BF155" s="173" t="s">
        <v>725</v>
      </c>
      <c r="BG155" s="173" t="s">
        <v>725</v>
      </c>
      <c r="BH155" s="173" t="s">
        <v>725</v>
      </c>
      <c r="BI155" s="173" t="s">
        <v>725</v>
      </c>
      <c r="BJ155" s="173" t="s">
        <v>725</v>
      </c>
      <c r="BK155" s="173" t="s">
        <v>725</v>
      </c>
      <c r="BL155" s="173" t="s">
        <v>725</v>
      </c>
      <c r="BM155" s="173" t="s">
        <v>725</v>
      </c>
      <c r="BN155" s="173" t="s">
        <v>725</v>
      </c>
      <c r="BO155" s="173" t="s">
        <v>725</v>
      </c>
      <c r="BP155" s="173" t="s">
        <v>725</v>
      </c>
      <c r="BQ155" s="173" t="s">
        <v>725</v>
      </c>
      <c r="BR155" s="180">
        <f t="shared" si="242"/>
      </c>
      <c r="BS155" s="161" t="str">
        <v>#VALUE!</v>
      </c>
    </row>
    <row customHeight="true" ht="18.51851851851852" r="156">
      <c r="A156" s="161" t="s">
        <v>741</v>
      </c>
      <c r="B156" s="161"/>
      <c r="C156" s="183" t="s">
        <v>790</v>
      </c>
      <c r="D156" s="162" t="s">
        <v>791</v>
      </c>
      <c r="E156" s="166">
        <v>35.7</v>
      </c>
      <c r="F156" s="179">
        <v>51.99</v>
      </c>
      <c r="G156" s="164">
        <f t="shared" si="6"/>
      </c>
      <c r="H156" s="164">
        <f t="shared" si="70"/>
      </c>
      <c r="I156" s="164">
        <f t="shared" si="132"/>
      </c>
      <c r="J156" s="165">
        <f t="shared" si="213"/>
      </c>
      <c r="K156" s="166">
        <f t="shared" si="266"/>
      </c>
      <c r="L156" s="167">
        <f t="shared" si="337"/>
      </c>
      <c r="M156" s="164">
        <f t="shared" si="382"/>
      </c>
      <c r="N156" s="166">
        <f t="shared" si="426"/>
      </c>
      <c r="O156" s="166">
        <f t="shared" si="457"/>
      </c>
      <c r="P156" s="161">
        <v>9</v>
      </c>
      <c r="Q156" s="168">
        <v>8</v>
      </c>
      <c r="R156" s="169">
        <f t="shared" si="26"/>
      </c>
      <c r="S156" s="165">
        <f t="shared" si="523"/>
      </c>
      <c r="T156" s="169">
        <v>0.05</v>
      </c>
      <c r="U156" s="169">
        <v>0.01</v>
      </c>
      <c r="V156" s="169">
        <f t="shared" si="288"/>
      </c>
      <c r="W156" s="169">
        <f t="shared" si="359"/>
      </c>
      <c r="X156" s="170">
        <v>0.188</v>
      </c>
      <c r="Y156" s="171">
        <v>5</v>
      </c>
      <c r="Z156" s="171">
        <v>0</v>
      </c>
      <c r="AA156" s="171">
        <f t="shared" si="479"/>
      </c>
      <c r="AB156" s="166">
        <f t="shared" si="501"/>
      </c>
      <c r="AC156" s="166">
        <v>94.4</v>
      </c>
      <c r="AD156" s="172">
        <f t="shared" si="48"/>
      </c>
      <c r="AE156" s="168">
        <f t="shared" si="537"/>
      </c>
      <c r="AF156" s="169">
        <f t="shared" si="173"/>
      </c>
      <c r="AG156" s="169">
        <f t="shared" si="318"/>
      </c>
      <c r="AH156" s="168">
        <v>17</v>
      </c>
      <c r="AI156" s="165">
        <f t="shared" si="307"/>
      </c>
      <c r="AJ156" s="169"/>
      <c r="AK156" s="169"/>
      <c r="AL156" s="169"/>
      <c r="AM156" s="169"/>
      <c r="AN156" s="173"/>
      <c r="AO156" s="173"/>
      <c r="AP156" s="173"/>
      <c r="AQ156" s="173"/>
      <c r="AR156" s="173"/>
      <c r="AS156" s="173"/>
      <c r="AT156" s="173" t="s">
        <v>725</v>
      </c>
      <c r="AU156" s="173" t="s">
        <v>725</v>
      </c>
      <c r="AV156" s="173" t="s">
        <v>725</v>
      </c>
      <c r="AW156" s="173" t="s">
        <v>725</v>
      </c>
      <c r="AX156" s="173" t="s">
        <v>725</v>
      </c>
      <c r="AY156" s="173" t="s">
        <v>725</v>
      </c>
      <c r="AZ156" s="173" t="s">
        <v>725</v>
      </c>
      <c r="BA156" s="173" t="s">
        <v>725</v>
      </c>
      <c r="BB156" s="173" t="s">
        <v>725</v>
      </c>
      <c r="BC156" s="173" t="s">
        <v>725</v>
      </c>
      <c r="BD156" s="173" t="s">
        <v>725</v>
      </c>
      <c r="BE156" s="173" t="s">
        <v>725</v>
      </c>
      <c r="BF156" s="173" t="s">
        <v>725</v>
      </c>
      <c r="BG156" s="173" t="s">
        <v>725</v>
      </c>
      <c r="BH156" s="173" t="s">
        <v>725</v>
      </c>
      <c r="BI156" s="173" t="s">
        <v>725</v>
      </c>
      <c r="BJ156" s="173" t="s">
        <v>725</v>
      </c>
      <c r="BK156" s="173" t="s">
        <v>725</v>
      </c>
      <c r="BL156" s="173" t="s">
        <v>725</v>
      </c>
      <c r="BM156" s="173" t="s">
        <v>725</v>
      </c>
      <c r="BN156" s="173" t="s">
        <v>725</v>
      </c>
      <c r="BO156" s="173" t="s">
        <v>725</v>
      </c>
      <c r="BP156" s="173" t="s">
        <v>725</v>
      </c>
      <c r="BQ156" s="173" t="s">
        <v>725</v>
      </c>
      <c r="BR156" s="180">
        <f t="shared" si="242"/>
      </c>
      <c r="BS156" s="161" t="str">
        <v>#VALUE!</v>
      </c>
    </row>
    <row customHeight="true" ht="18.51851851851852" r="157">
      <c r="A157" s="161"/>
      <c r="B157" s="161"/>
      <c r="C157" s="161"/>
      <c r="D157" s="187"/>
      <c r="E157" s="166"/>
      <c r="F157" s="179"/>
      <c r="G157" s="164"/>
      <c r="H157" s="164"/>
      <c r="I157" s="164"/>
      <c r="J157" s="165"/>
      <c r="K157" s="166"/>
      <c r="L157" s="166"/>
      <c r="M157" s="166"/>
      <c r="N157" s="166"/>
      <c r="O157" s="166"/>
      <c r="P157" s="161"/>
      <c r="Q157" s="168"/>
      <c r="R157" s="169"/>
      <c r="S157" s="165"/>
      <c r="T157" s="169"/>
      <c r="U157" s="169"/>
      <c r="V157" s="169"/>
      <c r="W157" s="169"/>
      <c r="X157" s="170"/>
      <c r="Y157" s="171"/>
      <c r="Z157" s="171"/>
      <c r="AA157" s="171"/>
      <c r="AB157" s="166"/>
      <c r="AC157" s="166"/>
      <c r="AD157" s="172"/>
      <c r="AE157" s="168"/>
      <c r="AF157" s="169"/>
      <c r="AG157" s="169"/>
      <c r="AH157" s="168"/>
      <c r="AI157" s="169"/>
      <c r="AJ157" s="169"/>
      <c r="AK157" s="169"/>
      <c r="AL157" s="169"/>
      <c r="AM157" s="169"/>
      <c r="AN157" s="173"/>
      <c r="AO157" s="173"/>
      <c r="AP157" s="173"/>
      <c r="AQ157" s="173"/>
      <c r="AR157" s="173"/>
      <c r="AS157" s="173"/>
      <c r="AT157" s="173"/>
      <c r="AU157" s="173"/>
      <c r="AV157" s="173"/>
      <c r="AW157" s="173"/>
      <c r="AX157" s="173"/>
      <c r="AY157" s="173"/>
      <c r="AZ157" s="173"/>
      <c r="BA157" s="173"/>
      <c r="BB157" s="173"/>
      <c r="BC157" s="173"/>
      <c r="BD157" s="173"/>
      <c r="BE157" s="173"/>
      <c r="BF157" s="173"/>
      <c r="BG157" s="173"/>
      <c r="BH157" s="173"/>
      <c r="BI157" s="173"/>
      <c r="BJ157" s="173"/>
      <c r="BK157" s="173"/>
      <c r="BL157" s="173"/>
      <c r="BM157" s="173"/>
      <c r="BN157" s="173"/>
      <c r="BO157" s="173"/>
      <c r="BP157" s="173"/>
      <c r="BQ157" s="173"/>
      <c r="BR157" s="180"/>
      <c r="BS157" s="161" t="str">
        <v>#VALUE!</v>
      </c>
    </row>
    <row customHeight="true" ht="18.51851851851852" r="158">
      <c r="G158" s="181"/>
      <c r="H158" s="181"/>
      <c r="S158" s="181"/>
      <c r="AE158" s="188"/>
      <c r="AI158" s="181"/>
    </row>
    <row customHeight="true" ht="18.51851851851852" r="159">
      <c r="A159" s="161" t="s">
        <v>721</v>
      </c>
      <c r="B159" s="161" t="s">
        <v>722</v>
      </c>
      <c r="C159" s="161" t="s">
        <v>792</v>
      </c>
      <c r="D159" s="162" t="s">
        <v>724</v>
      </c>
      <c r="E159" s="176">
        <v>59</v>
      </c>
      <c r="F159" s="163">
        <v>85.99</v>
      </c>
      <c r="G159" s="164">
        <f t="shared" ref="G159:G182" si="7">(F159-Z159)</f>
      </c>
      <c r="H159" s="164">
        <f t="shared" ref="H159:H182" si="71">(F159-Z159)/1.2</f>
      </c>
      <c r="I159" s="164">
        <f t="shared" ref="I159:I182" si="133">E159-N159/Q159-AB159-Y159-O159-Z159-AA159</f>
      </c>
      <c r="J159" s="165">
        <f t="shared" ref="J159:J182" si="214">I159/E159</f>
      </c>
      <c r="K159" s="166">
        <f t="shared" ref="K159:K182" si="267">F159/1.2</f>
      </c>
      <c r="L159" s="167">
        <f t="shared" ref="L159:L182" si="338">(K159-E159)/K159</f>
      </c>
      <c r="M159" s="164">
        <f t="shared" ref="M159:M182" si="383">F159/1.2-E159</f>
      </c>
      <c r="N159" s="166">
        <f t="shared" ref="N159:N182" si="427">AD159+AH159</f>
      </c>
      <c r="O159" s="166">
        <f t="shared" ref="O159:O182" si="458">IFERROR(IF(A159="UK",8.95/P159,IF(A159="DE",7.75/P159,IF(A159="FR",14.25/P159,IF(A159="IT",15.25/P159,IF(A159="ES",19.25/P159,IF(A159="NL",16.75/P159,IF(A159="PL",14.05/P159,IF(A159="SE",18.25/P159,IF(A159="BE",14.25/P159))))))))),0)</f>
      </c>
      <c r="P159" s="161">
        <v>8</v>
      </c>
      <c r="Q159" s="168">
        <v>9</v>
      </c>
      <c r="R159" s="169">
        <f t="shared" ref="R159:R182" si="27">Y159/E159</f>
      </c>
      <c r="S159" s="165">
        <f t="shared" ref="S159:S162" si="87">Y159/H159</f>
      </c>
      <c r="T159" s="169">
        <f t="shared" ref="T159:T182" si="152">Z159/E159</f>
      </c>
      <c r="U159" s="169">
        <v>0.01</v>
      </c>
      <c r="V159" s="169">
        <f t="shared" ref="V159:V182" si="289">N159/(E159*Q159)</f>
      </c>
      <c r="W159" s="169">
        <f t="shared" ref="W159:W182" si="360">O159/E159</f>
      </c>
      <c r="X159" s="170">
        <v>0.178</v>
      </c>
      <c r="Y159" s="171">
        <v>10</v>
      </c>
      <c r="Z159" s="171">
        <f>F159*0</f>
      </c>
      <c r="AA159" s="171">
        <f t="shared" ref="AA159:AA182" si="480">E159*U159</f>
      </c>
      <c r="AB159" s="166">
        <f t="shared" ref="AB159:AB182" si="502">E159*X159</f>
      </c>
      <c r="AC159" s="166">
        <v>150</v>
      </c>
      <c r="AD159" s="172">
        <f t="shared" ref="AD159:AD182" si="49">AC159/1.13</f>
      </c>
      <c r="AE159" s="168">
        <f t="shared" ref="AE159:AE182" si="98">AH159/Q159</f>
      </c>
      <c r="AF159" s="169">
        <f t="shared" ref="AF159:AF182" si="174">AD159/(E159*Q159)</f>
      </c>
      <c r="AG159" s="169">
        <f t="shared" ref="AG159:AG182" si="230">AE159/E159</f>
      </c>
      <c r="AH159" s="168">
        <v>18</v>
      </c>
      <c r="AI159" s="169">
        <f t="shared" ref="AI159:AI169" si="192">(H159-E159+AB159)/H159</f>
      </c>
      <c r="AJ159" s="169"/>
      <c r="AK159" s="169"/>
      <c r="AL159" s="169"/>
      <c r="AM159" s="169"/>
      <c r="AN159" s="169"/>
      <c r="AO159" s="169"/>
      <c r="AP159" s="169"/>
      <c r="AQ159" s="169"/>
      <c r="AR159" s="169"/>
      <c r="AS159" s="169"/>
      <c r="AT159" s="173" t="s">
        <v>725</v>
      </c>
      <c r="AU159" s="173" t="s">
        <v>725</v>
      </c>
      <c r="AV159" s="173" t="s">
        <v>725</v>
      </c>
      <c r="AW159" s="173" t="s">
        <v>725</v>
      </c>
      <c r="AX159" s="173" t="s">
        <v>725</v>
      </c>
      <c r="AY159" s="173" t="s">
        <v>725</v>
      </c>
      <c r="AZ159" s="173" t="s">
        <v>725</v>
      </c>
      <c r="BA159" s="173" t="s">
        <v>725</v>
      </c>
      <c r="BB159" s="173" t="s">
        <v>725</v>
      </c>
      <c r="BC159" s="173" t="s">
        <v>725</v>
      </c>
      <c r="BD159" s="173" t="s">
        <v>725</v>
      </c>
      <c r="BE159" s="173" t="s">
        <v>725</v>
      </c>
      <c r="BF159" s="173" t="s">
        <v>725</v>
      </c>
      <c r="BG159" s="173" t="s">
        <v>725</v>
      </c>
      <c r="BH159" s="173" t="s">
        <v>725</v>
      </c>
      <c r="BI159" s="173" t="s">
        <v>725</v>
      </c>
      <c r="BJ159" s="173" t="s">
        <v>725</v>
      </c>
      <c r="BK159" s="173" t="s">
        <v>725</v>
      </c>
      <c r="BL159" s="173" t="s">
        <v>725</v>
      </c>
      <c r="BM159" s="173" t="s">
        <v>725</v>
      </c>
      <c r="BN159" s="173" t="s">
        <v>725</v>
      </c>
      <c r="BO159" s="173" t="s">
        <v>725</v>
      </c>
      <c r="BP159" s="173" t="s">
        <v>725</v>
      </c>
      <c r="BQ159" s="173" t="s">
        <v>725</v>
      </c>
      <c r="BR159" s="174"/>
      <c r="BS159" s="161" t="str">
        <v>#VALUE!</v>
      </c>
    </row>
    <row customHeight="true" ht="18.51851851851852" r="160">
      <c r="A160" s="161" t="s">
        <v>721</v>
      </c>
      <c r="B160" s="161" t="s">
        <v>722</v>
      </c>
      <c r="C160" s="161" t="s">
        <v>792</v>
      </c>
      <c r="D160" s="162" t="s">
        <v>726</v>
      </c>
      <c r="E160" s="176">
        <v>59</v>
      </c>
      <c r="F160" s="163">
        <v>85.99</v>
      </c>
      <c r="G160" s="164">
        <f t="shared" si="7"/>
      </c>
      <c r="H160" s="164">
        <f t="shared" si="71"/>
      </c>
      <c r="I160" s="175">
        <f t="shared" si="133"/>
      </c>
      <c r="J160" s="165">
        <f t="shared" si="214"/>
      </c>
      <c r="K160" s="166">
        <f t="shared" si="267"/>
      </c>
      <c r="L160" s="167">
        <f t="shared" si="338"/>
      </c>
      <c r="M160" s="164">
        <f t="shared" si="383"/>
      </c>
      <c r="N160" s="166">
        <f t="shared" si="427"/>
      </c>
      <c r="O160" s="166">
        <f t="shared" si="458"/>
      </c>
      <c r="P160" s="161">
        <v>8</v>
      </c>
      <c r="Q160" s="168">
        <v>9</v>
      </c>
      <c r="R160" s="169">
        <f t="shared" si="27"/>
      </c>
      <c r="S160" s="165">
        <f t="shared" si="87"/>
      </c>
      <c r="T160" s="169">
        <f t="shared" si="152"/>
      </c>
      <c r="U160" s="169">
        <v>0.01</v>
      </c>
      <c r="V160" s="169">
        <f t="shared" si="289"/>
      </c>
      <c r="W160" s="169">
        <f t="shared" si="360"/>
      </c>
      <c r="X160" s="170">
        <v>0.178</v>
      </c>
      <c r="Y160" s="171">
        <v>10</v>
      </c>
      <c r="Z160" s="171">
        <f>F160*0.05</f>
      </c>
      <c r="AA160" s="171">
        <f t="shared" si="480"/>
      </c>
      <c r="AB160" s="166">
        <f t="shared" si="502"/>
      </c>
      <c r="AC160" s="166">
        <v>150</v>
      </c>
      <c r="AD160" s="172">
        <f t="shared" si="49"/>
      </c>
      <c r="AE160" s="168">
        <f t="shared" si="98"/>
      </c>
      <c r="AF160" s="169">
        <f t="shared" si="174"/>
      </c>
      <c r="AG160" s="169">
        <f t="shared" si="230"/>
      </c>
      <c r="AH160" s="168">
        <v>18</v>
      </c>
      <c r="AI160" s="169">
        <f t="shared" si="192"/>
      </c>
      <c r="AJ160" s="169"/>
      <c r="AK160" s="169"/>
      <c r="AL160" s="169"/>
      <c r="AM160" s="169"/>
      <c r="AN160" s="169"/>
      <c r="AO160" s="169"/>
      <c r="AP160" s="169"/>
      <c r="AQ160" s="169"/>
      <c r="AR160" s="169"/>
      <c r="AS160" s="169"/>
      <c r="AT160" s="173" t="s">
        <v>725</v>
      </c>
      <c r="AU160" s="173" t="s">
        <v>725</v>
      </c>
      <c r="AV160" s="173" t="s">
        <v>725</v>
      </c>
      <c r="AW160" s="173" t="s">
        <v>725</v>
      </c>
      <c r="AX160" s="173" t="s">
        <v>725</v>
      </c>
      <c r="AY160" s="173" t="s">
        <v>725</v>
      </c>
      <c r="AZ160" s="173" t="s">
        <v>725</v>
      </c>
      <c r="BA160" s="173" t="s">
        <v>725</v>
      </c>
      <c r="BB160" s="173" t="s">
        <v>725</v>
      </c>
      <c r="BC160" s="173" t="s">
        <v>725</v>
      </c>
      <c r="BD160" s="173" t="s">
        <v>725</v>
      </c>
      <c r="BE160" s="173" t="s">
        <v>725</v>
      </c>
      <c r="BF160" s="173" t="s">
        <v>725</v>
      </c>
      <c r="BG160" s="173" t="s">
        <v>725</v>
      </c>
      <c r="BH160" s="173" t="s">
        <v>725</v>
      </c>
      <c r="BI160" s="173" t="s">
        <v>725</v>
      </c>
      <c r="BJ160" s="173" t="s">
        <v>725</v>
      </c>
      <c r="BK160" s="173" t="s">
        <v>725</v>
      </c>
      <c r="BL160" s="173" t="s">
        <v>725</v>
      </c>
      <c r="BM160" s="173" t="s">
        <v>725</v>
      </c>
      <c r="BN160" s="173" t="s">
        <v>725</v>
      </c>
      <c r="BO160" s="173" t="s">
        <v>725</v>
      </c>
      <c r="BP160" s="173" t="s">
        <v>725</v>
      </c>
      <c r="BQ160" s="173" t="s">
        <v>725</v>
      </c>
      <c r="BR160" s="174"/>
      <c r="BS160" s="161" t="str">
        <v>#VALUE!</v>
      </c>
    </row>
    <row customHeight="true" ht="18.51851851851852" r="161">
      <c r="A161" s="161" t="s">
        <v>721</v>
      </c>
      <c r="B161" s="161" t="s">
        <v>722</v>
      </c>
      <c r="C161" s="161" t="s">
        <v>792</v>
      </c>
      <c r="D161" s="162" t="s">
        <v>727</v>
      </c>
      <c r="E161" s="176">
        <v>59</v>
      </c>
      <c r="F161" s="163">
        <v>85.99</v>
      </c>
      <c r="G161" s="164">
        <f t="shared" si="7"/>
      </c>
      <c r="H161" s="164">
        <f t="shared" si="71"/>
      </c>
      <c r="I161" s="164">
        <f t="shared" si="133"/>
      </c>
      <c r="J161" s="165">
        <f t="shared" si="214"/>
      </c>
      <c r="K161" s="166">
        <f t="shared" si="267"/>
      </c>
      <c r="L161" s="167">
        <f t="shared" si="338"/>
      </c>
      <c r="M161" s="164">
        <f t="shared" si="383"/>
      </c>
      <c r="N161" s="166">
        <f t="shared" si="427"/>
      </c>
      <c r="O161" s="166">
        <f t="shared" si="458"/>
      </c>
      <c r="P161" s="161">
        <v>8</v>
      </c>
      <c r="Q161" s="168">
        <v>9</v>
      </c>
      <c r="R161" s="169">
        <f t="shared" si="27"/>
      </c>
      <c r="S161" s="165">
        <f t="shared" si="87"/>
      </c>
      <c r="T161" s="169">
        <f t="shared" si="152"/>
      </c>
      <c r="U161" s="169">
        <v>0.01</v>
      </c>
      <c r="V161" s="169">
        <f t="shared" si="289"/>
      </c>
      <c r="W161" s="169">
        <f t="shared" si="360"/>
      </c>
      <c r="X161" s="170">
        <v>0.178</v>
      </c>
      <c r="Y161" s="171">
        <v>10</v>
      </c>
      <c r="Z161" s="171">
        <f>F161*0.1</f>
      </c>
      <c r="AA161" s="171">
        <f t="shared" si="480"/>
      </c>
      <c r="AB161" s="166">
        <f t="shared" si="502"/>
      </c>
      <c r="AC161" s="166">
        <v>150</v>
      </c>
      <c r="AD161" s="172">
        <f t="shared" si="49"/>
      </c>
      <c r="AE161" s="168">
        <f t="shared" si="98"/>
      </c>
      <c r="AF161" s="169">
        <f t="shared" si="174"/>
      </c>
      <c r="AG161" s="169">
        <f t="shared" si="230"/>
      </c>
      <c r="AH161" s="168">
        <v>18</v>
      </c>
      <c r="AI161" s="169">
        <f t="shared" si="192"/>
      </c>
      <c r="AJ161" s="169"/>
      <c r="AK161" s="169"/>
      <c r="AL161" s="169"/>
      <c r="AM161" s="169"/>
      <c r="AN161" s="169"/>
      <c r="AO161" s="169"/>
      <c r="AP161" s="169"/>
      <c r="AQ161" s="169"/>
      <c r="AR161" s="169"/>
      <c r="AS161" s="169"/>
      <c r="AT161" s="173" t="s">
        <v>725</v>
      </c>
      <c r="AU161" s="173" t="s">
        <v>725</v>
      </c>
      <c r="AV161" s="173" t="s">
        <v>725</v>
      </c>
      <c r="AW161" s="173" t="s">
        <v>725</v>
      </c>
      <c r="AX161" s="173" t="s">
        <v>725</v>
      </c>
      <c r="AY161" s="173" t="s">
        <v>725</v>
      </c>
      <c r="AZ161" s="173" t="s">
        <v>725</v>
      </c>
      <c r="BA161" s="173" t="s">
        <v>725</v>
      </c>
      <c r="BB161" s="173" t="s">
        <v>725</v>
      </c>
      <c r="BC161" s="173" t="s">
        <v>725</v>
      </c>
      <c r="BD161" s="173" t="s">
        <v>725</v>
      </c>
      <c r="BE161" s="173" t="s">
        <v>725</v>
      </c>
      <c r="BF161" s="173" t="s">
        <v>725</v>
      </c>
      <c r="BG161" s="173" t="s">
        <v>725</v>
      </c>
      <c r="BH161" s="173" t="s">
        <v>725</v>
      </c>
      <c r="BI161" s="173" t="s">
        <v>725</v>
      </c>
      <c r="BJ161" s="173" t="s">
        <v>725</v>
      </c>
      <c r="BK161" s="173" t="s">
        <v>725</v>
      </c>
      <c r="BL161" s="173" t="s">
        <v>725</v>
      </c>
      <c r="BM161" s="173" t="s">
        <v>725</v>
      </c>
      <c r="BN161" s="173" t="s">
        <v>725</v>
      </c>
      <c r="BO161" s="173" t="s">
        <v>725</v>
      </c>
      <c r="BP161" s="173" t="s">
        <v>725</v>
      </c>
      <c r="BQ161" s="173" t="s">
        <v>725</v>
      </c>
      <c r="BR161" s="174"/>
      <c r="BS161" s="161" t="str">
        <v>#VALUE!</v>
      </c>
    </row>
    <row customHeight="true" ht="18.51851851851852" r="162">
      <c r="A162" s="161" t="s">
        <v>721</v>
      </c>
      <c r="B162" s="161" t="s">
        <v>722</v>
      </c>
      <c r="C162" s="161" t="s">
        <v>792</v>
      </c>
      <c r="D162" s="162" t="s">
        <v>728</v>
      </c>
      <c r="E162" s="176">
        <v>59</v>
      </c>
      <c r="F162" s="163">
        <v>85.99</v>
      </c>
      <c r="G162" s="164">
        <f t="shared" si="7"/>
      </c>
      <c r="H162" s="164">
        <f t="shared" si="71"/>
      </c>
      <c r="I162" s="164">
        <f t="shared" si="133"/>
      </c>
      <c r="J162" s="165">
        <f t="shared" si="214"/>
      </c>
      <c r="K162" s="166">
        <f t="shared" si="267"/>
      </c>
      <c r="L162" s="167">
        <f t="shared" si="338"/>
      </c>
      <c r="M162" s="164">
        <f t="shared" si="383"/>
      </c>
      <c r="N162" s="166">
        <f t="shared" si="427"/>
      </c>
      <c r="O162" s="166">
        <f t="shared" si="458"/>
      </c>
      <c r="P162" s="161">
        <v>8</v>
      </c>
      <c r="Q162" s="168">
        <v>9</v>
      </c>
      <c r="R162" s="169">
        <f t="shared" si="27"/>
      </c>
      <c r="S162" s="165">
        <f t="shared" si="87"/>
      </c>
      <c r="T162" s="169">
        <f t="shared" si="152"/>
      </c>
      <c r="U162" s="169">
        <v>0.01</v>
      </c>
      <c r="V162" s="169">
        <f t="shared" si="289"/>
      </c>
      <c r="W162" s="169">
        <f t="shared" si="360"/>
      </c>
      <c r="X162" s="170">
        <v>0.178</v>
      </c>
      <c r="Y162" s="171">
        <v>10</v>
      </c>
      <c r="Z162" s="171">
        <f>F162*0.15</f>
      </c>
      <c r="AA162" s="171">
        <f t="shared" si="480"/>
      </c>
      <c r="AB162" s="166">
        <f t="shared" si="502"/>
      </c>
      <c r="AC162" s="166">
        <v>150</v>
      </c>
      <c r="AD162" s="172">
        <f t="shared" si="49"/>
      </c>
      <c r="AE162" s="168">
        <f t="shared" si="98"/>
      </c>
      <c r="AF162" s="169">
        <f t="shared" si="174"/>
      </c>
      <c r="AG162" s="169">
        <f t="shared" si="230"/>
      </c>
      <c r="AH162" s="168">
        <v>18</v>
      </c>
      <c r="AI162" s="169">
        <f t="shared" si="192"/>
      </c>
      <c r="AJ162" s="169"/>
      <c r="AK162" s="169"/>
      <c r="AL162" s="169"/>
      <c r="AM162" s="169"/>
      <c r="AN162" s="169"/>
      <c r="AO162" s="169"/>
      <c r="AP162" s="169"/>
      <c r="AQ162" s="169"/>
      <c r="AR162" s="169"/>
      <c r="AS162" s="169"/>
      <c r="AT162" s="173" t="s">
        <v>725</v>
      </c>
      <c r="AU162" s="173" t="s">
        <v>725</v>
      </c>
      <c r="AV162" s="173" t="s">
        <v>725</v>
      </c>
      <c r="AW162" s="173" t="s">
        <v>725</v>
      </c>
      <c r="AX162" s="173" t="s">
        <v>725</v>
      </c>
      <c r="AY162" s="173" t="s">
        <v>725</v>
      </c>
      <c r="AZ162" s="173" t="s">
        <v>725</v>
      </c>
      <c r="BA162" s="173" t="s">
        <v>725</v>
      </c>
      <c r="BB162" s="173" t="s">
        <v>725</v>
      </c>
      <c r="BC162" s="173" t="s">
        <v>725</v>
      </c>
      <c r="BD162" s="173" t="s">
        <v>725</v>
      </c>
      <c r="BE162" s="173" t="s">
        <v>725</v>
      </c>
      <c r="BF162" s="173" t="s">
        <v>725</v>
      </c>
      <c r="BG162" s="173" t="s">
        <v>725</v>
      </c>
      <c r="BH162" s="173" t="s">
        <v>725</v>
      </c>
      <c r="BI162" s="173" t="s">
        <v>725</v>
      </c>
      <c r="BJ162" s="173" t="s">
        <v>725</v>
      </c>
      <c r="BK162" s="173" t="s">
        <v>725</v>
      </c>
      <c r="BL162" s="173" t="s">
        <v>725</v>
      </c>
      <c r="BM162" s="173" t="s">
        <v>725</v>
      </c>
      <c r="BN162" s="173" t="s">
        <v>725</v>
      </c>
      <c r="BO162" s="173" t="s">
        <v>725</v>
      </c>
      <c r="BP162" s="173" t="s">
        <v>725</v>
      </c>
      <c r="BQ162" s="173" t="s">
        <v>725</v>
      </c>
      <c r="BR162" s="174"/>
      <c r="BS162" s="161" t="str">
        <v>#VALUE!</v>
      </c>
    </row>
    <row customHeight="true" ht="18.51851851851852" r="163">
      <c r="A163" s="161" t="s">
        <v>729</v>
      </c>
      <c r="B163" s="161" t="s">
        <v>730</v>
      </c>
      <c r="C163" s="161" t="s">
        <v>792</v>
      </c>
      <c r="D163" s="162" t="s">
        <v>724</v>
      </c>
      <c r="E163" s="176">
        <v>62</v>
      </c>
      <c r="F163" s="163">
        <v>89.99</v>
      </c>
      <c r="G163" s="164">
        <f t="shared" si="7"/>
      </c>
      <c r="H163" s="164">
        <f t="shared" si="71"/>
      </c>
      <c r="I163" s="164">
        <f t="shared" si="133"/>
      </c>
      <c r="J163" s="165">
        <f t="shared" si="214"/>
      </c>
      <c r="K163" s="166">
        <f t="shared" si="267"/>
      </c>
      <c r="L163" s="167">
        <f t="shared" si="338"/>
      </c>
      <c r="M163" s="164">
        <f t="shared" si="383"/>
      </c>
      <c r="N163" s="166">
        <f t="shared" si="427"/>
      </c>
      <c r="O163" s="166">
        <f t="shared" si="458"/>
      </c>
      <c r="P163" s="161">
        <v>8</v>
      </c>
      <c r="Q163" s="168">
        <v>8</v>
      </c>
      <c r="R163" s="169">
        <f t="shared" si="27"/>
      </c>
      <c r="S163" s="165">
        <f t="shared" ref="S163:S182" si="524">Y163/F163</f>
      </c>
      <c r="T163" s="169">
        <f t="shared" si="152"/>
      </c>
      <c r="U163" s="169">
        <v>0.01</v>
      </c>
      <c r="V163" s="169">
        <f t="shared" si="289"/>
      </c>
      <c r="W163" s="169">
        <f t="shared" si="360"/>
      </c>
      <c r="X163" s="170">
        <v>0.188</v>
      </c>
      <c r="Y163" s="171">
        <v>10</v>
      </c>
      <c r="Z163" s="171">
        <v>0</v>
      </c>
      <c r="AA163" s="171">
        <f t="shared" si="480"/>
      </c>
      <c r="AB163" s="166">
        <f t="shared" si="502"/>
      </c>
      <c r="AC163" s="166">
        <v>150</v>
      </c>
      <c r="AD163" s="172">
        <f t="shared" si="49"/>
      </c>
      <c r="AE163" s="168">
        <f t="shared" si="98"/>
      </c>
      <c r="AF163" s="169">
        <f t="shared" si="174"/>
      </c>
      <c r="AG163" s="169">
        <f t="shared" si="230"/>
      </c>
      <c r="AH163" s="168">
        <v>18</v>
      </c>
      <c r="AI163" s="169">
        <f t="shared" si="192"/>
      </c>
      <c r="AJ163" s="169"/>
      <c r="AK163" s="169"/>
      <c r="AL163" s="169"/>
      <c r="AM163" s="169"/>
      <c r="AN163" s="173"/>
      <c r="AO163" s="173"/>
      <c r="AP163" s="173"/>
      <c r="AQ163" s="173"/>
      <c r="AR163" s="173"/>
      <c r="AS163" s="173"/>
      <c r="AT163" s="173" t="s">
        <v>725</v>
      </c>
      <c r="AU163" s="173" t="s">
        <v>725</v>
      </c>
      <c r="AV163" s="173" t="s">
        <v>725</v>
      </c>
      <c r="AW163" s="173" t="s">
        <v>725</v>
      </c>
      <c r="AX163" s="173" t="s">
        <v>725</v>
      </c>
      <c r="AY163" s="173" t="s">
        <v>725</v>
      </c>
      <c r="AZ163" s="173" t="s">
        <v>725</v>
      </c>
      <c r="BA163" s="173" t="s">
        <v>725</v>
      </c>
      <c r="BB163" s="173" t="s">
        <v>725</v>
      </c>
      <c r="BC163" s="173" t="s">
        <v>725</v>
      </c>
      <c r="BD163" s="173" t="s">
        <v>725</v>
      </c>
      <c r="BE163" s="173" t="s">
        <v>725</v>
      </c>
      <c r="BF163" s="173" t="s">
        <v>725</v>
      </c>
      <c r="BG163" s="173" t="s">
        <v>725</v>
      </c>
      <c r="BH163" s="173" t="s">
        <v>725</v>
      </c>
      <c r="BI163" s="173" t="s">
        <v>725</v>
      </c>
      <c r="BJ163" s="173" t="s">
        <v>725</v>
      </c>
      <c r="BK163" s="173" t="s">
        <v>725</v>
      </c>
      <c r="BL163" s="173" t="s">
        <v>725</v>
      </c>
      <c r="BM163" s="173" t="s">
        <v>725</v>
      </c>
      <c r="BN163" s="173" t="s">
        <v>725</v>
      </c>
      <c r="BO163" s="173" t="s">
        <v>725</v>
      </c>
      <c r="BP163" s="173" t="s">
        <v>725</v>
      </c>
      <c r="BQ163" s="173" t="s">
        <v>725</v>
      </c>
      <c r="BR163" s="174"/>
      <c r="BS163" s="161" t="str">
        <v>#VALUE!</v>
      </c>
    </row>
    <row customHeight="true" ht="18.51851851851852" r="164">
      <c r="A164" s="161" t="s">
        <v>729</v>
      </c>
      <c r="B164" s="161" t="s">
        <v>730</v>
      </c>
      <c r="C164" s="161" t="s">
        <v>792</v>
      </c>
      <c r="D164" s="162" t="s">
        <v>726</v>
      </c>
      <c r="E164" s="176">
        <v>62</v>
      </c>
      <c r="F164" s="163">
        <v>89.99</v>
      </c>
      <c r="G164" s="164">
        <f t="shared" si="7"/>
      </c>
      <c r="H164" s="164">
        <f t="shared" si="71"/>
      </c>
      <c r="I164" s="175">
        <f t="shared" si="133"/>
      </c>
      <c r="J164" s="165">
        <f t="shared" si="214"/>
      </c>
      <c r="K164" s="166">
        <f t="shared" si="267"/>
      </c>
      <c r="L164" s="167">
        <f t="shared" si="338"/>
      </c>
      <c r="M164" s="164">
        <f t="shared" si="383"/>
      </c>
      <c r="N164" s="166">
        <f t="shared" si="427"/>
      </c>
      <c r="O164" s="166">
        <f t="shared" si="458"/>
      </c>
      <c r="P164" s="161">
        <v>8</v>
      </c>
      <c r="Q164" s="168">
        <v>8</v>
      </c>
      <c r="R164" s="169">
        <f t="shared" si="27"/>
      </c>
      <c r="S164" s="165">
        <f t="shared" si="524"/>
      </c>
      <c r="T164" s="169">
        <f t="shared" si="152"/>
      </c>
      <c r="U164" s="169">
        <v>0.01</v>
      </c>
      <c r="V164" s="169">
        <f t="shared" si="289"/>
      </c>
      <c r="W164" s="169">
        <f t="shared" si="360"/>
      </c>
      <c r="X164" s="170">
        <v>0.188</v>
      </c>
      <c r="Y164" s="171">
        <v>10</v>
      </c>
      <c r="Z164" s="171">
        <f>F164*0.05</f>
      </c>
      <c r="AA164" s="171">
        <f t="shared" si="480"/>
      </c>
      <c r="AB164" s="166">
        <f t="shared" si="502"/>
      </c>
      <c r="AC164" s="166">
        <v>150</v>
      </c>
      <c r="AD164" s="172">
        <f t="shared" si="49"/>
      </c>
      <c r="AE164" s="168">
        <f t="shared" si="98"/>
      </c>
      <c r="AF164" s="169">
        <f t="shared" si="174"/>
      </c>
      <c r="AG164" s="169">
        <f t="shared" si="230"/>
      </c>
      <c r="AH164" s="168">
        <v>18</v>
      </c>
      <c r="AI164" s="169">
        <f t="shared" si="192"/>
      </c>
      <c r="AJ164" s="169"/>
      <c r="AK164" s="169"/>
      <c r="AL164" s="169"/>
      <c r="AM164" s="169"/>
      <c r="AN164" s="173"/>
      <c r="AO164" s="173"/>
      <c r="AP164" s="173"/>
      <c r="AQ164" s="173"/>
      <c r="AR164" s="173"/>
      <c r="AS164" s="173"/>
      <c r="AT164" s="173" t="s">
        <v>725</v>
      </c>
      <c r="AU164" s="173" t="s">
        <v>725</v>
      </c>
      <c r="AV164" s="173" t="s">
        <v>725</v>
      </c>
      <c r="AW164" s="173" t="s">
        <v>725</v>
      </c>
      <c r="AX164" s="173" t="s">
        <v>725</v>
      </c>
      <c r="AY164" s="173" t="s">
        <v>725</v>
      </c>
      <c r="AZ164" s="173" t="s">
        <v>725</v>
      </c>
      <c r="BA164" s="173" t="s">
        <v>725</v>
      </c>
      <c r="BB164" s="173" t="s">
        <v>725</v>
      </c>
      <c r="BC164" s="173" t="s">
        <v>725</v>
      </c>
      <c r="BD164" s="173" t="s">
        <v>725</v>
      </c>
      <c r="BE164" s="173" t="s">
        <v>725</v>
      </c>
      <c r="BF164" s="173" t="s">
        <v>725</v>
      </c>
      <c r="BG164" s="173" t="s">
        <v>725</v>
      </c>
      <c r="BH164" s="173" t="s">
        <v>725</v>
      </c>
      <c r="BI164" s="173" t="s">
        <v>725</v>
      </c>
      <c r="BJ164" s="173" t="s">
        <v>725</v>
      </c>
      <c r="BK164" s="173" t="s">
        <v>725</v>
      </c>
      <c r="BL164" s="173" t="s">
        <v>725</v>
      </c>
      <c r="BM164" s="173" t="s">
        <v>725</v>
      </c>
      <c r="BN164" s="173" t="s">
        <v>725</v>
      </c>
      <c r="BO164" s="173" t="s">
        <v>725</v>
      </c>
      <c r="BP164" s="173" t="s">
        <v>725</v>
      </c>
      <c r="BQ164" s="173" t="s">
        <v>725</v>
      </c>
      <c r="BR164" s="174"/>
      <c r="BS164" s="161" t="str">
        <v>#VALUE!</v>
      </c>
    </row>
    <row customHeight="true" ht="18.51851851851852" r="165">
      <c r="A165" s="161" t="s">
        <v>729</v>
      </c>
      <c r="B165" s="161" t="s">
        <v>730</v>
      </c>
      <c r="C165" s="161" t="s">
        <v>792</v>
      </c>
      <c r="D165" s="162" t="s">
        <v>727</v>
      </c>
      <c r="E165" s="176">
        <v>62</v>
      </c>
      <c r="F165" s="163">
        <v>89.99</v>
      </c>
      <c r="G165" s="164">
        <f t="shared" si="7"/>
      </c>
      <c r="H165" s="164">
        <f t="shared" si="71"/>
      </c>
      <c r="I165" s="164">
        <f t="shared" si="133"/>
      </c>
      <c r="J165" s="165">
        <f t="shared" si="214"/>
      </c>
      <c r="K165" s="166">
        <f t="shared" si="267"/>
      </c>
      <c r="L165" s="167">
        <f t="shared" si="338"/>
      </c>
      <c r="M165" s="164">
        <f t="shared" si="383"/>
      </c>
      <c r="N165" s="166">
        <f t="shared" si="427"/>
      </c>
      <c r="O165" s="166">
        <f t="shared" si="458"/>
      </c>
      <c r="P165" s="161">
        <v>8</v>
      </c>
      <c r="Q165" s="168">
        <v>8</v>
      </c>
      <c r="R165" s="169">
        <f t="shared" si="27"/>
      </c>
      <c r="S165" s="165">
        <f t="shared" si="524"/>
      </c>
      <c r="T165" s="169">
        <f t="shared" si="152"/>
      </c>
      <c r="U165" s="169">
        <v>0.01</v>
      </c>
      <c r="V165" s="169">
        <f t="shared" si="289"/>
      </c>
      <c r="W165" s="169">
        <f t="shared" si="360"/>
      </c>
      <c r="X165" s="170">
        <v>0.188</v>
      </c>
      <c r="Y165" s="171">
        <v>10</v>
      </c>
      <c r="Z165" s="171">
        <f>F165*0.1</f>
      </c>
      <c r="AA165" s="171">
        <f t="shared" si="480"/>
      </c>
      <c r="AB165" s="166">
        <f t="shared" si="502"/>
      </c>
      <c r="AC165" s="166">
        <v>150</v>
      </c>
      <c r="AD165" s="172">
        <f t="shared" si="49"/>
      </c>
      <c r="AE165" s="168">
        <f t="shared" si="98"/>
      </c>
      <c r="AF165" s="169">
        <f t="shared" si="174"/>
      </c>
      <c r="AG165" s="169">
        <f t="shared" si="230"/>
      </c>
      <c r="AH165" s="168">
        <v>18</v>
      </c>
      <c r="AI165" s="169">
        <f t="shared" si="192"/>
      </c>
      <c r="AJ165" s="169"/>
      <c r="AK165" s="169"/>
      <c r="AL165" s="169"/>
      <c r="AM165" s="169"/>
      <c r="AN165" s="173"/>
      <c r="AO165" s="173"/>
      <c r="AP165" s="173"/>
      <c r="AQ165" s="173"/>
      <c r="AR165" s="173"/>
      <c r="AS165" s="173"/>
      <c r="AT165" s="173" t="s">
        <v>725</v>
      </c>
      <c r="AU165" s="173" t="s">
        <v>725</v>
      </c>
      <c r="AV165" s="173" t="s">
        <v>725</v>
      </c>
      <c r="AW165" s="173" t="s">
        <v>725</v>
      </c>
      <c r="AX165" s="173" t="s">
        <v>725</v>
      </c>
      <c r="AY165" s="173" t="s">
        <v>725</v>
      </c>
      <c r="AZ165" s="173" t="s">
        <v>725</v>
      </c>
      <c r="BA165" s="173" t="s">
        <v>725</v>
      </c>
      <c r="BB165" s="173" t="s">
        <v>725</v>
      </c>
      <c r="BC165" s="173" t="s">
        <v>725</v>
      </c>
      <c r="BD165" s="173" t="s">
        <v>725</v>
      </c>
      <c r="BE165" s="173" t="s">
        <v>725</v>
      </c>
      <c r="BF165" s="173" t="s">
        <v>725</v>
      </c>
      <c r="BG165" s="173" t="s">
        <v>725</v>
      </c>
      <c r="BH165" s="173" t="s">
        <v>725</v>
      </c>
      <c r="BI165" s="173" t="s">
        <v>725</v>
      </c>
      <c r="BJ165" s="173" t="s">
        <v>725</v>
      </c>
      <c r="BK165" s="173" t="s">
        <v>725</v>
      </c>
      <c r="BL165" s="173" t="s">
        <v>725</v>
      </c>
      <c r="BM165" s="173" t="s">
        <v>725</v>
      </c>
      <c r="BN165" s="173" t="s">
        <v>725</v>
      </c>
      <c r="BO165" s="173" t="s">
        <v>725</v>
      </c>
      <c r="BP165" s="173" t="s">
        <v>725</v>
      </c>
      <c r="BQ165" s="173" t="s">
        <v>725</v>
      </c>
      <c r="BR165" s="174"/>
      <c r="BS165" s="161" t="str">
        <v>#VALUE!</v>
      </c>
    </row>
    <row customHeight="true" ht="18.51851851851852" r="166">
      <c r="A166" s="161" t="s">
        <v>729</v>
      </c>
      <c r="B166" s="161" t="s">
        <v>730</v>
      </c>
      <c r="C166" s="161" t="s">
        <v>792</v>
      </c>
      <c r="D166" s="162" t="s">
        <v>728</v>
      </c>
      <c r="E166" s="176">
        <v>62</v>
      </c>
      <c r="F166" s="163">
        <v>89.99</v>
      </c>
      <c r="G166" s="164">
        <f t="shared" si="7"/>
      </c>
      <c r="H166" s="164">
        <f t="shared" si="71"/>
      </c>
      <c r="I166" s="164">
        <f t="shared" si="133"/>
      </c>
      <c r="J166" s="165">
        <f t="shared" si="214"/>
      </c>
      <c r="K166" s="166">
        <f t="shared" si="267"/>
      </c>
      <c r="L166" s="167">
        <f t="shared" si="338"/>
      </c>
      <c r="M166" s="164">
        <f t="shared" si="383"/>
      </c>
      <c r="N166" s="166">
        <f t="shared" si="427"/>
      </c>
      <c r="O166" s="166">
        <f t="shared" si="458"/>
      </c>
      <c r="P166" s="161">
        <v>8</v>
      </c>
      <c r="Q166" s="168">
        <v>8</v>
      </c>
      <c r="R166" s="169">
        <f t="shared" si="27"/>
      </c>
      <c r="S166" s="165">
        <f t="shared" si="524"/>
      </c>
      <c r="T166" s="169">
        <f t="shared" si="152"/>
      </c>
      <c r="U166" s="169">
        <v>0.01</v>
      </c>
      <c r="V166" s="169">
        <f t="shared" si="289"/>
      </c>
      <c r="W166" s="169">
        <f t="shared" si="360"/>
      </c>
      <c r="X166" s="170">
        <v>0.188</v>
      </c>
      <c r="Y166" s="171">
        <v>10</v>
      </c>
      <c r="Z166" s="171">
        <f>F166*0.15</f>
      </c>
      <c r="AA166" s="171">
        <f t="shared" si="480"/>
      </c>
      <c r="AB166" s="166">
        <f t="shared" si="502"/>
      </c>
      <c r="AC166" s="166">
        <v>150</v>
      </c>
      <c r="AD166" s="172">
        <f t="shared" si="49"/>
      </c>
      <c r="AE166" s="168">
        <f t="shared" si="98"/>
      </c>
      <c r="AF166" s="169">
        <f t="shared" si="174"/>
      </c>
      <c r="AG166" s="169">
        <f t="shared" si="230"/>
      </c>
      <c r="AH166" s="168">
        <v>18</v>
      </c>
      <c r="AI166" s="169">
        <f t="shared" si="192"/>
      </c>
      <c r="AJ166" s="169"/>
      <c r="AK166" s="169"/>
      <c r="AL166" s="169"/>
      <c r="AM166" s="169"/>
      <c r="AN166" s="173"/>
      <c r="AO166" s="173"/>
      <c r="AP166" s="173"/>
      <c r="AQ166" s="173"/>
      <c r="AR166" s="173"/>
      <c r="AS166" s="173"/>
      <c r="AT166" s="173" t="s">
        <v>725</v>
      </c>
      <c r="AU166" s="173" t="s">
        <v>725</v>
      </c>
      <c r="AV166" s="173" t="s">
        <v>725</v>
      </c>
      <c r="AW166" s="173" t="s">
        <v>725</v>
      </c>
      <c r="AX166" s="173" t="s">
        <v>725</v>
      </c>
      <c r="AY166" s="173" t="s">
        <v>725</v>
      </c>
      <c r="AZ166" s="173" t="s">
        <v>725</v>
      </c>
      <c r="BA166" s="173" t="s">
        <v>725</v>
      </c>
      <c r="BB166" s="173" t="s">
        <v>725</v>
      </c>
      <c r="BC166" s="173" t="s">
        <v>725</v>
      </c>
      <c r="BD166" s="173" t="s">
        <v>725</v>
      </c>
      <c r="BE166" s="173" t="s">
        <v>725</v>
      </c>
      <c r="BF166" s="173" t="s">
        <v>725</v>
      </c>
      <c r="BG166" s="173" t="s">
        <v>725</v>
      </c>
      <c r="BH166" s="173" t="s">
        <v>725</v>
      </c>
      <c r="BI166" s="173" t="s">
        <v>725</v>
      </c>
      <c r="BJ166" s="173" t="s">
        <v>725</v>
      </c>
      <c r="BK166" s="173" t="s">
        <v>725</v>
      </c>
      <c r="BL166" s="173" t="s">
        <v>725</v>
      </c>
      <c r="BM166" s="173" t="s">
        <v>725</v>
      </c>
      <c r="BN166" s="173" t="s">
        <v>725</v>
      </c>
      <c r="BO166" s="173" t="s">
        <v>725</v>
      </c>
      <c r="BP166" s="173" t="s">
        <v>725</v>
      </c>
      <c r="BQ166" s="173" t="s">
        <v>725</v>
      </c>
      <c r="BR166" s="174"/>
      <c r="BS166" s="161" t="str">
        <v>#VALUE!</v>
      </c>
    </row>
    <row customHeight="true" ht="18.51851851851852" r="167">
      <c r="A167" s="161" t="s">
        <v>732</v>
      </c>
      <c r="B167" s="161" t="s">
        <v>730</v>
      </c>
      <c r="C167" s="161" t="s">
        <v>792</v>
      </c>
      <c r="D167" s="162" t="s">
        <v>724</v>
      </c>
      <c r="E167" s="176">
        <v>65</v>
      </c>
      <c r="F167" s="163">
        <v>94.99</v>
      </c>
      <c r="G167" s="164">
        <f t="shared" si="7"/>
      </c>
      <c r="H167" s="164">
        <f t="shared" si="71"/>
      </c>
      <c r="I167" s="164">
        <f t="shared" si="133"/>
      </c>
      <c r="J167" s="165">
        <f t="shared" si="214"/>
      </c>
      <c r="K167" s="166">
        <f t="shared" si="267"/>
      </c>
      <c r="L167" s="167">
        <f t="shared" si="338"/>
      </c>
      <c r="M167" s="164">
        <f t="shared" si="383"/>
      </c>
      <c r="N167" s="166">
        <f t="shared" si="427"/>
      </c>
      <c r="O167" s="166">
        <f t="shared" si="458"/>
      </c>
      <c r="P167" s="161">
        <v>8</v>
      </c>
      <c r="Q167" s="168">
        <v>8</v>
      </c>
      <c r="R167" s="169">
        <f t="shared" si="27"/>
      </c>
      <c r="S167" s="165">
        <f t="shared" si="524"/>
      </c>
      <c r="T167" s="169">
        <f t="shared" si="152"/>
      </c>
      <c r="U167" s="169">
        <v>0.01</v>
      </c>
      <c r="V167" s="169">
        <f t="shared" si="289"/>
      </c>
      <c r="W167" s="169">
        <f t="shared" si="360"/>
      </c>
      <c r="X167" s="170">
        <v>0.188</v>
      </c>
      <c r="Y167" s="171">
        <v>10</v>
      </c>
      <c r="Z167" s="171">
        <v>0</v>
      </c>
      <c r="AA167" s="171">
        <f t="shared" si="480"/>
      </c>
      <c r="AB167" s="166">
        <f t="shared" si="502"/>
      </c>
      <c r="AC167" s="166">
        <v>150</v>
      </c>
      <c r="AD167" s="172">
        <f t="shared" si="49"/>
      </c>
      <c r="AE167" s="168">
        <f t="shared" si="98"/>
      </c>
      <c r="AF167" s="169">
        <f t="shared" si="174"/>
      </c>
      <c r="AG167" s="169">
        <f t="shared" si="230"/>
      </c>
      <c r="AH167" s="168">
        <v>18</v>
      </c>
      <c r="AI167" s="169">
        <f t="shared" si="192"/>
      </c>
      <c r="AJ167" s="169"/>
      <c r="AK167" s="169"/>
      <c r="AL167" s="169"/>
      <c r="AM167" s="169"/>
      <c r="AN167" s="173"/>
      <c r="AO167" s="173"/>
      <c r="AP167" s="173"/>
      <c r="AQ167" s="173"/>
      <c r="AR167" s="173"/>
      <c r="AS167" s="173"/>
      <c r="AT167" s="173" t="s">
        <v>725</v>
      </c>
      <c r="AU167" s="173" t="s">
        <v>725</v>
      </c>
      <c r="AV167" s="173" t="s">
        <v>725</v>
      </c>
      <c r="AW167" s="173" t="s">
        <v>725</v>
      </c>
      <c r="AX167" s="173" t="s">
        <v>725</v>
      </c>
      <c r="AY167" s="173" t="s">
        <v>725</v>
      </c>
      <c r="AZ167" s="173" t="s">
        <v>725</v>
      </c>
      <c r="BA167" s="173" t="s">
        <v>725</v>
      </c>
      <c r="BB167" s="173" t="s">
        <v>725</v>
      </c>
      <c r="BC167" s="173" t="s">
        <v>725</v>
      </c>
      <c r="BD167" s="173" t="s">
        <v>725</v>
      </c>
      <c r="BE167" s="173" t="s">
        <v>725</v>
      </c>
      <c r="BF167" s="173" t="s">
        <v>725</v>
      </c>
      <c r="BG167" s="173" t="s">
        <v>725</v>
      </c>
      <c r="BH167" s="173" t="s">
        <v>725</v>
      </c>
      <c r="BI167" s="173" t="s">
        <v>725</v>
      </c>
      <c r="BJ167" s="173" t="s">
        <v>725</v>
      </c>
      <c r="BK167" s="173" t="s">
        <v>725</v>
      </c>
      <c r="BL167" s="173" t="s">
        <v>725</v>
      </c>
      <c r="BM167" s="173" t="s">
        <v>725</v>
      </c>
      <c r="BN167" s="173" t="s">
        <v>725</v>
      </c>
      <c r="BO167" s="173" t="s">
        <v>725</v>
      </c>
      <c r="BP167" s="173" t="s">
        <v>725</v>
      </c>
      <c r="BQ167" s="173" t="s">
        <v>725</v>
      </c>
      <c r="BR167" s="174"/>
      <c r="BS167" s="161" t="str">
        <v>#VALUE!</v>
      </c>
    </row>
    <row customHeight="true" ht="18.51851851851852" r="168">
      <c r="A168" s="161" t="s">
        <v>732</v>
      </c>
      <c r="B168" s="161" t="s">
        <v>730</v>
      </c>
      <c r="C168" s="161" t="s">
        <v>792</v>
      </c>
      <c r="D168" s="162" t="s">
        <v>726</v>
      </c>
      <c r="E168" s="176">
        <v>65</v>
      </c>
      <c r="F168" s="163">
        <v>94.99</v>
      </c>
      <c r="G168" s="164">
        <f t="shared" si="7"/>
      </c>
      <c r="H168" s="164">
        <f t="shared" si="71"/>
      </c>
      <c r="I168" s="175">
        <f t="shared" si="133"/>
      </c>
      <c r="J168" s="165">
        <f t="shared" si="214"/>
      </c>
      <c r="K168" s="166">
        <f t="shared" si="267"/>
      </c>
      <c r="L168" s="167">
        <f t="shared" si="338"/>
      </c>
      <c r="M168" s="164">
        <f t="shared" si="383"/>
      </c>
      <c r="N168" s="166">
        <f t="shared" si="427"/>
      </c>
      <c r="O168" s="166">
        <f t="shared" si="458"/>
      </c>
      <c r="P168" s="161">
        <v>8</v>
      </c>
      <c r="Q168" s="168">
        <v>8</v>
      </c>
      <c r="R168" s="169">
        <f t="shared" si="27"/>
      </c>
      <c r="S168" s="165">
        <f t="shared" si="524"/>
      </c>
      <c r="T168" s="169">
        <f t="shared" si="152"/>
      </c>
      <c r="U168" s="169">
        <v>0.01</v>
      </c>
      <c r="V168" s="169">
        <f t="shared" si="289"/>
      </c>
      <c r="W168" s="169">
        <f t="shared" si="360"/>
      </c>
      <c r="X168" s="170">
        <v>0.188</v>
      </c>
      <c r="Y168" s="171">
        <v>10</v>
      </c>
      <c r="Z168" s="171">
        <f>F168*0.05</f>
      </c>
      <c r="AA168" s="171">
        <f t="shared" si="480"/>
      </c>
      <c r="AB168" s="166">
        <f t="shared" si="502"/>
      </c>
      <c r="AC168" s="166">
        <v>150</v>
      </c>
      <c r="AD168" s="172">
        <f t="shared" si="49"/>
      </c>
      <c r="AE168" s="168">
        <f t="shared" si="98"/>
      </c>
      <c r="AF168" s="169">
        <f t="shared" si="174"/>
      </c>
      <c r="AG168" s="169">
        <f t="shared" si="230"/>
      </c>
      <c r="AH168" s="168">
        <v>18</v>
      </c>
      <c r="AI168" s="169">
        <f t="shared" si="192"/>
      </c>
      <c r="AJ168" s="169"/>
      <c r="AK168" s="169"/>
      <c r="AL168" s="169"/>
      <c r="AM168" s="169"/>
      <c r="AN168" s="173"/>
      <c r="AO168" s="173"/>
      <c r="AP168" s="173"/>
      <c r="AQ168" s="173"/>
      <c r="AR168" s="173"/>
      <c r="AS168" s="173"/>
      <c r="AT168" s="173" t="s">
        <v>725</v>
      </c>
      <c r="AU168" s="173" t="s">
        <v>725</v>
      </c>
      <c r="AV168" s="173" t="s">
        <v>725</v>
      </c>
      <c r="AW168" s="173" t="s">
        <v>725</v>
      </c>
      <c r="AX168" s="173" t="s">
        <v>725</v>
      </c>
      <c r="AY168" s="173" t="s">
        <v>725</v>
      </c>
      <c r="AZ168" s="173" t="s">
        <v>725</v>
      </c>
      <c r="BA168" s="173" t="s">
        <v>725</v>
      </c>
      <c r="BB168" s="173" t="s">
        <v>725</v>
      </c>
      <c r="BC168" s="173" t="s">
        <v>725</v>
      </c>
      <c r="BD168" s="173" t="s">
        <v>725</v>
      </c>
      <c r="BE168" s="173" t="s">
        <v>725</v>
      </c>
      <c r="BF168" s="173" t="s">
        <v>725</v>
      </c>
      <c r="BG168" s="173" t="s">
        <v>725</v>
      </c>
      <c r="BH168" s="173" t="s">
        <v>725</v>
      </c>
      <c r="BI168" s="173" t="s">
        <v>725</v>
      </c>
      <c r="BJ168" s="173" t="s">
        <v>725</v>
      </c>
      <c r="BK168" s="173" t="s">
        <v>725</v>
      </c>
      <c r="BL168" s="173" t="s">
        <v>725</v>
      </c>
      <c r="BM168" s="173" t="s">
        <v>725</v>
      </c>
      <c r="BN168" s="173" t="s">
        <v>725</v>
      </c>
      <c r="BO168" s="173" t="s">
        <v>725</v>
      </c>
      <c r="BP168" s="173" t="s">
        <v>725</v>
      </c>
      <c r="BQ168" s="173" t="s">
        <v>725</v>
      </c>
      <c r="BR168" s="174"/>
      <c r="BS168" s="161" t="str">
        <v>#VALUE!</v>
      </c>
    </row>
    <row customHeight="true" ht="18.51851851851852" r="169">
      <c r="A169" s="161" t="s">
        <v>732</v>
      </c>
      <c r="B169" s="161" t="s">
        <v>730</v>
      </c>
      <c r="C169" s="161" t="s">
        <v>792</v>
      </c>
      <c r="D169" s="162" t="s">
        <v>727</v>
      </c>
      <c r="E169" s="176">
        <v>65</v>
      </c>
      <c r="F169" s="163">
        <v>94.99</v>
      </c>
      <c r="G169" s="164">
        <f t="shared" si="7"/>
      </c>
      <c r="H169" s="164">
        <f t="shared" si="71"/>
      </c>
      <c r="I169" s="164">
        <f t="shared" si="133"/>
      </c>
      <c r="J169" s="165">
        <f t="shared" si="214"/>
      </c>
      <c r="K169" s="166">
        <f t="shared" si="267"/>
      </c>
      <c r="L169" s="167">
        <f t="shared" si="338"/>
      </c>
      <c r="M169" s="164">
        <f t="shared" si="383"/>
      </c>
      <c r="N169" s="166">
        <f t="shared" si="427"/>
      </c>
      <c r="O169" s="166">
        <f t="shared" si="458"/>
      </c>
      <c r="P169" s="161">
        <v>8</v>
      </c>
      <c r="Q169" s="168">
        <v>8</v>
      </c>
      <c r="R169" s="169">
        <f t="shared" si="27"/>
      </c>
      <c r="S169" s="165">
        <f t="shared" si="524"/>
      </c>
      <c r="T169" s="169">
        <f t="shared" si="152"/>
      </c>
      <c r="U169" s="169">
        <v>0.01</v>
      </c>
      <c r="V169" s="169">
        <f t="shared" si="289"/>
      </c>
      <c r="W169" s="169">
        <f t="shared" si="360"/>
      </c>
      <c r="X169" s="170">
        <v>0.188</v>
      </c>
      <c r="Y169" s="171">
        <v>10</v>
      </c>
      <c r="Z169" s="171">
        <f>F169*0.1</f>
      </c>
      <c r="AA169" s="171">
        <f t="shared" si="480"/>
      </c>
      <c r="AB169" s="166">
        <f t="shared" si="502"/>
      </c>
      <c r="AC169" s="166">
        <v>150</v>
      </c>
      <c r="AD169" s="172">
        <f t="shared" si="49"/>
      </c>
      <c r="AE169" s="168">
        <f t="shared" si="98"/>
      </c>
      <c r="AF169" s="169">
        <f t="shared" si="174"/>
      </c>
      <c r="AG169" s="169">
        <f t="shared" si="230"/>
      </c>
      <c r="AH169" s="168">
        <v>18</v>
      </c>
      <c r="AI169" s="169">
        <f t="shared" si="192"/>
      </c>
      <c r="AJ169" s="169"/>
      <c r="AK169" s="169"/>
      <c r="AL169" s="169"/>
      <c r="AM169" s="169"/>
      <c r="AN169" s="173"/>
      <c r="AO169" s="173"/>
      <c r="AP169" s="173"/>
      <c r="AQ169" s="173"/>
      <c r="AR169" s="173"/>
      <c r="AS169" s="173"/>
      <c r="AT169" s="173" t="s">
        <v>725</v>
      </c>
      <c r="AU169" s="173" t="s">
        <v>725</v>
      </c>
      <c r="AV169" s="173" t="s">
        <v>725</v>
      </c>
      <c r="AW169" s="173" t="s">
        <v>725</v>
      </c>
      <c r="AX169" s="173" t="s">
        <v>725</v>
      </c>
      <c r="AY169" s="173" t="s">
        <v>725</v>
      </c>
      <c r="AZ169" s="173" t="s">
        <v>725</v>
      </c>
      <c r="BA169" s="173" t="s">
        <v>725</v>
      </c>
      <c r="BB169" s="173" t="s">
        <v>725</v>
      </c>
      <c r="BC169" s="173" t="s">
        <v>725</v>
      </c>
      <c r="BD169" s="173" t="s">
        <v>725</v>
      </c>
      <c r="BE169" s="173" t="s">
        <v>725</v>
      </c>
      <c r="BF169" s="173" t="s">
        <v>725</v>
      </c>
      <c r="BG169" s="173" t="s">
        <v>725</v>
      </c>
      <c r="BH169" s="173" t="s">
        <v>725</v>
      </c>
      <c r="BI169" s="173" t="s">
        <v>725</v>
      </c>
      <c r="BJ169" s="173" t="s">
        <v>725</v>
      </c>
      <c r="BK169" s="173" t="s">
        <v>725</v>
      </c>
      <c r="BL169" s="173" t="s">
        <v>725</v>
      </c>
      <c r="BM169" s="173" t="s">
        <v>725</v>
      </c>
      <c r="BN169" s="173" t="s">
        <v>725</v>
      </c>
      <c r="BO169" s="173" t="s">
        <v>725</v>
      </c>
      <c r="BP169" s="173" t="s">
        <v>725</v>
      </c>
      <c r="BQ169" s="173" t="s">
        <v>725</v>
      </c>
      <c r="BR169" s="174"/>
      <c r="BS169" s="161" t="str">
        <v>#VALUE!</v>
      </c>
    </row>
    <row customHeight="true" ht="18.51851851851852" r="170">
      <c r="A170" s="161" t="s">
        <v>732</v>
      </c>
      <c r="B170" s="161" t="s">
        <v>730</v>
      </c>
      <c r="C170" s="161" t="s">
        <v>792</v>
      </c>
      <c r="D170" s="162" t="s">
        <v>728</v>
      </c>
      <c r="E170" s="176">
        <v>65</v>
      </c>
      <c r="F170" s="163">
        <v>94.99</v>
      </c>
      <c r="G170" s="164">
        <f t="shared" si="7"/>
      </c>
      <c r="H170" s="164">
        <f t="shared" si="71"/>
      </c>
      <c r="I170" s="164">
        <f t="shared" si="133"/>
      </c>
      <c r="J170" s="165">
        <f t="shared" si="214"/>
      </c>
      <c r="K170" s="166">
        <f t="shared" si="267"/>
      </c>
      <c r="L170" s="167">
        <f t="shared" si="338"/>
      </c>
      <c r="M170" s="164">
        <f t="shared" si="383"/>
      </c>
      <c r="N170" s="166">
        <f t="shared" si="427"/>
      </c>
      <c r="O170" s="166">
        <f t="shared" si="458"/>
      </c>
      <c r="P170" s="161">
        <v>8</v>
      </c>
      <c r="Q170" s="168">
        <v>8</v>
      </c>
      <c r="R170" s="169">
        <f t="shared" si="27"/>
      </c>
      <c r="S170" s="165">
        <f t="shared" si="524"/>
      </c>
      <c r="T170" s="169">
        <f t="shared" si="152"/>
      </c>
      <c r="U170" s="169">
        <v>0.01</v>
      </c>
      <c r="V170" s="169">
        <f t="shared" si="289"/>
      </c>
      <c r="W170" s="169">
        <f t="shared" si="360"/>
      </c>
      <c r="X170" s="170">
        <v>0.188</v>
      </c>
      <c r="Y170" s="171">
        <v>10</v>
      </c>
      <c r="Z170" s="171">
        <f>F170*0.15</f>
      </c>
      <c r="AA170" s="171">
        <f t="shared" si="480"/>
      </c>
      <c r="AB170" s="166">
        <f t="shared" si="502"/>
      </c>
      <c r="AC170" s="166">
        <v>150</v>
      </c>
      <c r="AD170" s="172">
        <f t="shared" si="49"/>
      </c>
      <c r="AE170" s="168">
        <f t="shared" si="98"/>
      </c>
      <c r="AF170" s="169">
        <f t="shared" si="174"/>
      </c>
      <c r="AG170" s="169">
        <f t="shared" si="230"/>
      </c>
      <c r="AH170" s="168">
        <v>18</v>
      </c>
      <c r="AI170" s="169">
        <f t="shared" ref="AI170:AI182" si="308">(K170-E170+AB170)/(K170-Z170)</f>
      </c>
      <c r="AJ170" s="169"/>
      <c r="AK170" s="169"/>
      <c r="AL170" s="169"/>
      <c r="AM170" s="169"/>
      <c r="AN170" s="173"/>
      <c r="AO170" s="173"/>
      <c r="AP170" s="173"/>
      <c r="AQ170" s="173"/>
      <c r="AR170" s="173"/>
      <c r="AS170" s="173"/>
      <c r="AT170" s="173" t="s">
        <v>725</v>
      </c>
      <c r="AU170" s="173" t="s">
        <v>725</v>
      </c>
      <c r="AV170" s="173" t="s">
        <v>725</v>
      </c>
      <c r="AW170" s="173" t="s">
        <v>725</v>
      </c>
      <c r="AX170" s="173" t="s">
        <v>725</v>
      </c>
      <c r="AY170" s="173" t="s">
        <v>725</v>
      </c>
      <c r="AZ170" s="173" t="s">
        <v>725</v>
      </c>
      <c r="BA170" s="173" t="s">
        <v>725</v>
      </c>
      <c r="BB170" s="173" t="s">
        <v>725</v>
      </c>
      <c r="BC170" s="173" t="s">
        <v>725</v>
      </c>
      <c r="BD170" s="173" t="s">
        <v>725</v>
      </c>
      <c r="BE170" s="173" t="s">
        <v>725</v>
      </c>
      <c r="BF170" s="173" t="s">
        <v>725</v>
      </c>
      <c r="BG170" s="173" t="s">
        <v>725</v>
      </c>
      <c r="BH170" s="173" t="s">
        <v>725</v>
      </c>
      <c r="BI170" s="173" t="s">
        <v>725</v>
      </c>
      <c r="BJ170" s="173" t="s">
        <v>725</v>
      </c>
      <c r="BK170" s="173" t="s">
        <v>725</v>
      </c>
      <c r="BL170" s="173" t="s">
        <v>725</v>
      </c>
      <c r="BM170" s="173" t="s">
        <v>725</v>
      </c>
      <c r="BN170" s="173" t="s">
        <v>725</v>
      </c>
      <c r="BO170" s="173" t="s">
        <v>725</v>
      </c>
      <c r="BP170" s="173" t="s">
        <v>725</v>
      </c>
      <c r="BQ170" s="173" t="s">
        <v>725</v>
      </c>
      <c r="BR170" s="174"/>
      <c r="BS170" s="161" t="str">
        <v>#VALUE!</v>
      </c>
    </row>
    <row customHeight="true" ht="18.51851851851852" r="171">
      <c r="A171" s="161" t="s">
        <v>733</v>
      </c>
      <c r="B171" s="161" t="s">
        <v>730</v>
      </c>
      <c r="C171" s="161" t="s">
        <v>792</v>
      </c>
      <c r="D171" s="162" t="s">
        <v>724</v>
      </c>
      <c r="E171" s="176">
        <v>65</v>
      </c>
      <c r="F171" s="163">
        <v>94.99</v>
      </c>
      <c r="G171" s="164">
        <f t="shared" si="7"/>
      </c>
      <c r="H171" s="164">
        <f t="shared" si="71"/>
      </c>
      <c r="I171" s="164">
        <f t="shared" si="133"/>
      </c>
      <c r="J171" s="165">
        <f t="shared" si="214"/>
      </c>
      <c r="K171" s="166">
        <f t="shared" si="267"/>
      </c>
      <c r="L171" s="167">
        <f t="shared" si="338"/>
      </c>
      <c r="M171" s="164">
        <f t="shared" si="383"/>
      </c>
      <c r="N171" s="166">
        <f t="shared" si="427"/>
      </c>
      <c r="O171" s="166">
        <f t="shared" si="458"/>
      </c>
      <c r="P171" s="161">
        <v>8</v>
      </c>
      <c r="Q171" s="168">
        <v>8</v>
      </c>
      <c r="R171" s="169">
        <f t="shared" si="27"/>
      </c>
      <c r="S171" s="165">
        <f t="shared" si="524"/>
      </c>
      <c r="T171" s="169">
        <f t="shared" si="152"/>
      </c>
      <c r="U171" s="169">
        <v>0.01</v>
      </c>
      <c r="V171" s="169">
        <f t="shared" si="289"/>
      </c>
      <c r="W171" s="169">
        <f t="shared" si="360"/>
      </c>
      <c r="X171" s="170">
        <v>0.188</v>
      </c>
      <c r="Y171" s="171">
        <v>10</v>
      </c>
      <c r="Z171" s="171">
        <v>0</v>
      </c>
      <c r="AA171" s="171">
        <f t="shared" si="480"/>
      </c>
      <c r="AB171" s="166">
        <f t="shared" si="502"/>
      </c>
      <c r="AC171" s="166">
        <v>150</v>
      </c>
      <c r="AD171" s="172">
        <f t="shared" si="49"/>
      </c>
      <c r="AE171" s="168">
        <f t="shared" si="98"/>
      </c>
      <c r="AF171" s="169">
        <f t="shared" si="174"/>
      </c>
      <c r="AG171" s="169">
        <f t="shared" si="230"/>
      </c>
      <c r="AH171" s="168">
        <v>18</v>
      </c>
      <c r="AI171" s="165">
        <f t="shared" si="308"/>
      </c>
      <c r="AJ171" s="165"/>
      <c r="AK171" s="165"/>
      <c r="AL171" s="165"/>
      <c r="AM171" s="165"/>
      <c r="AN171" s="173"/>
      <c r="AO171" s="173"/>
      <c r="AP171" s="173"/>
      <c r="AQ171" s="173"/>
      <c r="AR171" s="173"/>
      <c r="AS171" s="173"/>
      <c r="AT171" s="173" t="s">
        <v>725</v>
      </c>
      <c r="AU171" s="173" t="s">
        <v>725</v>
      </c>
      <c r="AV171" s="173" t="s">
        <v>725</v>
      </c>
      <c r="AW171" s="173" t="s">
        <v>725</v>
      </c>
      <c r="AX171" s="173" t="s">
        <v>725</v>
      </c>
      <c r="AY171" s="173" t="s">
        <v>725</v>
      </c>
      <c r="AZ171" s="173" t="s">
        <v>725</v>
      </c>
      <c r="BA171" s="173" t="s">
        <v>725</v>
      </c>
      <c r="BB171" s="173" t="s">
        <v>725</v>
      </c>
      <c r="BC171" s="173" t="s">
        <v>725</v>
      </c>
      <c r="BD171" s="173" t="s">
        <v>725</v>
      </c>
      <c r="BE171" s="173" t="s">
        <v>725</v>
      </c>
      <c r="BF171" s="173" t="s">
        <v>725</v>
      </c>
      <c r="BG171" s="173" t="s">
        <v>725</v>
      </c>
      <c r="BH171" s="173" t="s">
        <v>725</v>
      </c>
      <c r="BI171" s="173" t="s">
        <v>725</v>
      </c>
      <c r="BJ171" s="173" t="s">
        <v>725</v>
      </c>
      <c r="BK171" s="173" t="s">
        <v>725</v>
      </c>
      <c r="BL171" s="173" t="s">
        <v>725</v>
      </c>
      <c r="BM171" s="173" t="s">
        <v>725</v>
      </c>
      <c r="BN171" s="173" t="s">
        <v>725</v>
      </c>
      <c r="BO171" s="173" t="s">
        <v>725</v>
      </c>
      <c r="BP171" s="173" t="s">
        <v>725</v>
      </c>
      <c r="BQ171" s="173" t="s">
        <v>725</v>
      </c>
      <c r="BR171" s="174"/>
      <c r="BS171" s="161" t="str">
        <v>#VALUE!</v>
      </c>
    </row>
    <row customHeight="true" ht="18.51851851851852" r="172">
      <c r="A172" s="161" t="s">
        <v>733</v>
      </c>
      <c r="B172" s="161" t="s">
        <v>730</v>
      </c>
      <c r="C172" s="161" t="s">
        <v>792</v>
      </c>
      <c r="D172" s="162" t="s">
        <v>726</v>
      </c>
      <c r="E172" s="176">
        <v>65</v>
      </c>
      <c r="F172" s="163">
        <v>94.99</v>
      </c>
      <c r="G172" s="164">
        <f t="shared" si="7"/>
      </c>
      <c r="H172" s="164">
        <f t="shared" si="71"/>
      </c>
      <c r="I172" s="175">
        <f t="shared" si="133"/>
      </c>
      <c r="J172" s="165">
        <f t="shared" si="214"/>
      </c>
      <c r="K172" s="166">
        <f t="shared" si="267"/>
      </c>
      <c r="L172" s="167">
        <f t="shared" si="338"/>
      </c>
      <c r="M172" s="164">
        <f t="shared" si="383"/>
      </c>
      <c r="N172" s="166">
        <f t="shared" si="427"/>
      </c>
      <c r="O172" s="166">
        <f t="shared" si="458"/>
      </c>
      <c r="P172" s="161">
        <v>8</v>
      </c>
      <c r="Q172" s="168">
        <v>8</v>
      </c>
      <c r="R172" s="169">
        <f t="shared" si="27"/>
      </c>
      <c r="S172" s="165">
        <f t="shared" si="524"/>
      </c>
      <c r="T172" s="169">
        <f t="shared" si="152"/>
      </c>
      <c r="U172" s="169">
        <v>0.01</v>
      </c>
      <c r="V172" s="169">
        <f t="shared" si="289"/>
      </c>
      <c r="W172" s="169">
        <f t="shared" si="360"/>
      </c>
      <c r="X172" s="170">
        <v>0.188</v>
      </c>
      <c r="Y172" s="171">
        <v>10</v>
      </c>
      <c r="Z172" s="171">
        <f>F172*0.05</f>
      </c>
      <c r="AA172" s="171">
        <f t="shared" si="480"/>
      </c>
      <c r="AB172" s="166">
        <f t="shared" si="502"/>
      </c>
      <c r="AC172" s="166">
        <v>150</v>
      </c>
      <c r="AD172" s="172">
        <f t="shared" si="49"/>
      </c>
      <c r="AE172" s="168">
        <f t="shared" si="98"/>
      </c>
      <c r="AF172" s="169">
        <f t="shared" si="174"/>
      </c>
      <c r="AG172" s="169">
        <f t="shared" si="230"/>
      </c>
      <c r="AH172" s="168">
        <v>18</v>
      </c>
      <c r="AI172" s="165">
        <f t="shared" si="308"/>
      </c>
      <c r="AJ172" s="165"/>
      <c r="AK172" s="165"/>
      <c r="AL172" s="165"/>
      <c r="AM172" s="165"/>
      <c r="AN172" s="173"/>
      <c r="AO172" s="173"/>
      <c r="AP172" s="173"/>
      <c r="AQ172" s="173"/>
      <c r="AR172" s="173"/>
      <c r="AS172" s="173"/>
      <c r="AT172" s="173" t="s">
        <v>725</v>
      </c>
      <c r="AU172" s="173" t="s">
        <v>725</v>
      </c>
      <c r="AV172" s="173" t="s">
        <v>725</v>
      </c>
      <c r="AW172" s="173" t="s">
        <v>725</v>
      </c>
      <c r="AX172" s="173" t="s">
        <v>725</v>
      </c>
      <c r="AY172" s="173" t="s">
        <v>725</v>
      </c>
      <c r="AZ172" s="173" t="s">
        <v>725</v>
      </c>
      <c r="BA172" s="173" t="s">
        <v>725</v>
      </c>
      <c r="BB172" s="173" t="s">
        <v>725</v>
      </c>
      <c r="BC172" s="173" t="s">
        <v>725</v>
      </c>
      <c r="BD172" s="173" t="s">
        <v>725</v>
      </c>
      <c r="BE172" s="173" t="s">
        <v>725</v>
      </c>
      <c r="BF172" s="173" t="s">
        <v>725</v>
      </c>
      <c r="BG172" s="173" t="s">
        <v>725</v>
      </c>
      <c r="BH172" s="173" t="s">
        <v>725</v>
      </c>
      <c r="BI172" s="173" t="s">
        <v>725</v>
      </c>
      <c r="BJ172" s="173" t="s">
        <v>725</v>
      </c>
      <c r="BK172" s="173" t="s">
        <v>725</v>
      </c>
      <c r="BL172" s="173" t="s">
        <v>725</v>
      </c>
      <c r="BM172" s="173" t="s">
        <v>725</v>
      </c>
      <c r="BN172" s="173" t="s">
        <v>725</v>
      </c>
      <c r="BO172" s="173" t="s">
        <v>725</v>
      </c>
      <c r="BP172" s="173" t="s">
        <v>725</v>
      </c>
      <c r="BQ172" s="173" t="s">
        <v>725</v>
      </c>
      <c r="BR172" s="174"/>
      <c r="BS172" s="161" t="str">
        <v>#VALUE!</v>
      </c>
    </row>
    <row customHeight="true" ht="18.51851851851852" r="173">
      <c r="A173" s="161" t="s">
        <v>733</v>
      </c>
      <c r="B173" s="161" t="s">
        <v>730</v>
      </c>
      <c r="C173" s="161" t="s">
        <v>792</v>
      </c>
      <c r="D173" s="162" t="s">
        <v>727</v>
      </c>
      <c r="E173" s="176">
        <v>65</v>
      </c>
      <c r="F173" s="163">
        <v>94.99</v>
      </c>
      <c r="G173" s="164">
        <f t="shared" si="7"/>
      </c>
      <c r="H173" s="164">
        <f t="shared" si="71"/>
      </c>
      <c r="I173" s="164">
        <f t="shared" si="133"/>
      </c>
      <c r="J173" s="165">
        <f t="shared" si="214"/>
      </c>
      <c r="K173" s="166">
        <f t="shared" si="267"/>
      </c>
      <c r="L173" s="167">
        <f t="shared" si="338"/>
      </c>
      <c r="M173" s="164">
        <f t="shared" si="383"/>
      </c>
      <c r="N173" s="166">
        <f t="shared" si="427"/>
      </c>
      <c r="O173" s="166">
        <f t="shared" si="458"/>
      </c>
      <c r="P173" s="161">
        <v>8</v>
      </c>
      <c r="Q173" s="168">
        <v>8</v>
      </c>
      <c r="R173" s="169">
        <f t="shared" si="27"/>
      </c>
      <c r="S173" s="165">
        <f t="shared" si="524"/>
      </c>
      <c r="T173" s="169">
        <f t="shared" si="152"/>
      </c>
      <c r="U173" s="169">
        <v>0.01</v>
      </c>
      <c r="V173" s="169">
        <f t="shared" si="289"/>
      </c>
      <c r="W173" s="169">
        <f t="shared" si="360"/>
      </c>
      <c r="X173" s="170">
        <v>0.188</v>
      </c>
      <c r="Y173" s="171">
        <v>10</v>
      </c>
      <c r="Z173" s="171">
        <f>F173*0.1</f>
      </c>
      <c r="AA173" s="171">
        <f t="shared" si="480"/>
      </c>
      <c r="AB173" s="166">
        <f t="shared" si="502"/>
      </c>
      <c r="AC173" s="166">
        <v>150</v>
      </c>
      <c r="AD173" s="172">
        <f t="shared" si="49"/>
      </c>
      <c r="AE173" s="168">
        <f t="shared" si="98"/>
      </c>
      <c r="AF173" s="169">
        <f t="shared" si="174"/>
      </c>
      <c r="AG173" s="169">
        <f t="shared" si="230"/>
      </c>
      <c r="AH173" s="168">
        <v>18</v>
      </c>
      <c r="AI173" s="165">
        <f t="shared" si="308"/>
      </c>
      <c r="AJ173" s="165"/>
      <c r="AK173" s="165"/>
      <c r="AL173" s="165"/>
      <c r="AM173" s="165"/>
      <c r="AN173" s="173"/>
      <c r="AO173" s="173"/>
      <c r="AP173" s="173"/>
      <c r="AQ173" s="173"/>
      <c r="AR173" s="173"/>
      <c r="AS173" s="173"/>
      <c r="AT173" s="173" t="s">
        <v>725</v>
      </c>
      <c r="AU173" s="173" t="s">
        <v>725</v>
      </c>
      <c r="AV173" s="173" t="s">
        <v>725</v>
      </c>
      <c r="AW173" s="173" t="s">
        <v>725</v>
      </c>
      <c r="AX173" s="173" t="s">
        <v>725</v>
      </c>
      <c r="AY173" s="173" t="s">
        <v>725</v>
      </c>
      <c r="AZ173" s="173" t="s">
        <v>725</v>
      </c>
      <c r="BA173" s="173" t="s">
        <v>725</v>
      </c>
      <c r="BB173" s="173" t="s">
        <v>725</v>
      </c>
      <c r="BC173" s="173" t="s">
        <v>725</v>
      </c>
      <c r="BD173" s="173" t="s">
        <v>725</v>
      </c>
      <c r="BE173" s="173" t="s">
        <v>725</v>
      </c>
      <c r="BF173" s="173" t="s">
        <v>725</v>
      </c>
      <c r="BG173" s="173" t="s">
        <v>725</v>
      </c>
      <c r="BH173" s="173" t="s">
        <v>725</v>
      </c>
      <c r="BI173" s="173" t="s">
        <v>725</v>
      </c>
      <c r="BJ173" s="173" t="s">
        <v>725</v>
      </c>
      <c r="BK173" s="173" t="s">
        <v>725</v>
      </c>
      <c r="BL173" s="173" t="s">
        <v>725</v>
      </c>
      <c r="BM173" s="173" t="s">
        <v>725</v>
      </c>
      <c r="BN173" s="173" t="s">
        <v>725</v>
      </c>
      <c r="BO173" s="173" t="s">
        <v>725</v>
      </c>
      <c r="BP173" s="173" t="s">
        <v>725</v>
      </c>
      <c r="BQ173" s="173" t="s">
        <v>725</v>
      </c>
      <c r="BR173" s="174"/>
      <c r="BS173" s="161" t="str">
        <v>#VALUE!</v>
      </c>
    </row>
    <row customHeight="true" ht="18.51851851851852" r="174">
      <c r="A174" s="161" t="s">
        <v>733</v>
      </c>
      <c r="B174" s="161" t="s">
        <v>730</v>
      </c>
      <c r="C174" s="161" t="s">
        <v>792</v>
      </c>
      <c r="D174" s="162" t="s">
        <v>728</v>
      </c>
      <c r="E174" s="176">
        <v>65</v>
      </c>
      <c r="F174" s="163">
        <v>94.99</v>
      </c>
      <c r="G174" s="164">
        <f t="shared" si="7"/>
      </c>
      <c r="H174" s="164">
        <f t="shared" si="71"/>
      </c>
      <c r="I174" s="164">
        <f t="shared" si="133"/>
      </c>
      <c r="J174" s="165">
        <f t="shared" si="214"/>
      </c>
      <c r="K174" s="166">
        <f t="shared" si="267"/>
      </c>
      <c r="L174" s="167">
        <f t="shared" si="338"/>
      </c>
      <c r="M174" s="164">
        <f t="shared" si="383"/>
      </c>
      <c r="N174" s="166">
        <f t="shared" si="427"/>
      </c>
      <c r="O174" s="166">
        <f t="shared" si="458"/>
      </c>
      <c r="P174" s="161">
        <v>8</v>
      </c>
      <c r="Q174" s="168">
        <v>8</v>
      </c>
      <c r="R174" s="169">
        <f t="shared" si="27"/>
      </c>
      <c r="S174" s="165">
        <f t="shared" si="524"/>
      </c>
      <c r="T174" s="169">
        <f t="shared" si="152"/>
      </c>
      <c r="U174" s="169">
        <v>0.01</v>
      </c>
      <c r="V174" s="169">
        <f t="shared" si="289"/>
      </c>
      <c r="W174" s="169">
        <f t="shared" si="360"/>
      </c>
      <c r="X174" s="170">
        <v>0.188</v>
      </c>
      <c r="Y174" s="171">
        <v>10</v>
      </c>
      <c r="Z174" s="171">
        <f>F174*0.15</f>
      </c>
      <c r="AA174" s="171">
        <f t="shared" si="480"/>
      </c>
      <c r="AB174" s="166">
        <f t="shared" si="502"/>
      </c>
      <c r="AC174" s="166">
        <v>150</v>
      </c>
      <c r="AD174" s="172">
        <f t="shared" si="49"/>
      </c>
      <c r="AE174" s="168">
        <f t="shared" si="98"/>
      </c>
      <c r="AF174" s="169">
        <f t="shared" si="174"/>
      </c>
      <c r="AG174" s="169">
        <f t="shared" si="230"/>
      </c>
      <c r="AH174" s="168">
        <v>18</v>
      </c>
      <c r="AI174" s="165">
        <f t="shared" si="308"/>
      </c>
      <c r="AJ174" s="165"/>
      <c r="AK174" s="165"/>
      <c r="AL174" s="165"/>
      <c r="AM174" s="165"/>
      <c r="AN174" s="173"/>
      <c r="AO174" s="173"/>
      <c r="AP174" s="173"/>
      <c r="AQ174" s="173"/>
      <c r="AR174" s="173"/>
      <c r="AS174" s="173"/>
      <c r="AT174" s="173" t="s">
        <v>725</v>
      </c>
      <c r="AU174" s="173" t="s">
        <v>725</v>
      </c>
      <c r="AV174" s="173" t="s">
        <v>725</v>
      </c>
      <c r="AW174" s="173" t="s">
        <v>725</v>
      </c>
      <c r="AX174" s="173" t="s">
        <v>725</v>
      </c>
      <c r="AY174" s="173" t="s">
        <v>725</v>
      </c>
      <c r="AZ174" s="173" t="s">
        <v>725</v>
      </c>
      <c r="BA174" s="173" t="s">
        <v>725</v>
      </c>
      <c r="BB174" s="173" t="s">
        <v>725</v>
      </c>
      <c r="BC174" s="173" t="s">
        <v>725</v>
      </c>
      <c r="BD174" s="173" t="s">
        <v>725</v>
      </c>
      <c r="BE174" s="173" t="s">
        <v>725</v>
      </c>
      <c r="BF174" s="173" t="s">
        <v>725</v>
      </c>
      <c r="BG174" s="173" t="s">
        <v>725</v>
      </c>
      <c r="BH174" s="173" t="s">
        <v>725</v>
      </c>
      <c r="BI174" s="173" t="s">
        <v>725</v>
      </c>
      <c r="BJ174" s="173" t="s">
        <v>725</v>
      </c>
      <c r="BK174" s="173" t="s">
        <v>725</v>
      </c>
      <c r="BL174" s="173" t="s">
        <v>725</v>
      </c>
      <c r="BM174" s="173" t="s">
        <v>725</v>
      </c>
      <c r="BN174" s="173" t="s">
        <v>725</v>
      </c>
      <c r="BO174" s="173" t="s">
        <v>725</v>
      </c>
      <c r="BP174" s="173" t="s">
        <v>725</v>
      </c>
      <c r="BQ174" s="173" t="s">
        <v>725</v>
      </c>
      <c r="BR174" s="174"/>
      <c r="BS174" s="161" t="str">
        <v>#VALUE!</v>
      </c>
    </row>
    <row customHeight="true" ht="18.51851851851852" r="175">
      <c r="A175" s="161" t="s">
        <v>734</v>
      </c>
      <c r="B175" s="161" t="s">
        <v>730</v>
      </c>
      <c r="C175" s="161" t="s">
        <v>792</v>
      </c>
      <c r="D175" s="162" t="s">
        <v>724</v>
      </c>
      <c r="E175" s="176">
        <v>65</v>
      </c>
      <c r="F175" s="163">
        <v>94.99</v>
      </c>
      <c r="G175" s="164">
        <f t="shared" si="7"/>
      </c>
      <c r="H175" s="164">
        <f t="shared" si="71"/>
      </c>
      <c r="I175" s="164">
        <f t="shared" si="133"/>
      </c>
      <c r="J175" s="165">
        <f t="shared" si="214"/>
      </c>
      <c r="K175" s="166">
        <f t="shared" si="267"/>
      </c>
      <c r="L175" s="167">
        <f t="shared" si="338"/>
      </c>
      <c r="M175" s="164">
        <f t="shared" si="383"/>
      </c>
      <c r="N175" s="166">
        <f t="shared" si="427"/>
      </c>
      <c r="O175" s="166">
        <f t="shared" si="458"/>
      </c>
      <c r="P175" s="161">
        <v>8</v>
      </c>
      <c r="Q175" s="168">
        <v>8</v>
      </c>
      <c r="R175" s="169">
        <f t="shared" si="27"/>
      </c>
      <c r="S175" s="165">
        <f t="shared" si="524"/>
      </c>
      <c r="T175" s="169">
        <f t="shared" si="152"/>
      </c>
      <c r="U175" s="169">
        <v>0.01</v>
      </c>
      <c r="V175" s="169">
        <f t="shared" si="289"/>
      </c>
      <c r="W175" s="169">
        <f t="shared" si="360"/>
      </c>
      <c r="X175" s="170">
        <v>0.188</v>
      </c>
      <c r="Y175" s="171">
        <v>10</v>
      </c>
      <c r="Z175" s="171">
        <v>0</v>
      </c>
      <c r="AA175" s="171">
        <f t="shared" si="480"/>
      </c>
      <c r="AB175" s="166">
        <f t="shared" si="502"/>
      </c>
      <c r="AC175" s="166">
        <v>150</v>
      </c>
      <c r="AD175" s="172">
        <f t="shared" si="49"/>
      </c>
      <c r="AE175" s="168">
        <f t="shared" si="98"/>
      </c>
      <c r="AF175" s="169">
        <f t="shared" si="174"/>
      </c>
      <c r="AG175" s="169">
        <f t="shared" si="230"/>
      </c>
      <c r="AH175" s="168">
        <v>18</v>
      </c>
      <c r="AI175" s="169">
        <f t="shared" si="308"/>
      </c>
      <c r="AJ175" s="169"/>
      <c r="AK175" s="169"/>
      <c r="AL175" s="169"/>
      <c r="AM175" s="169"/>
      <c r="AN175" s="173"/>
      <c r="AO175" s="173"/>
      <c r="AP175" s="173"/>
      <c r="AQ175" s="173"/>
      <c r="AR175" s="173"/>
      <c r="AS175" s="173"/>
      <c r="AT175" s="173" t="s">
        <v>725</v>
      </c>
      <c r="AU175" s="173" t="s">
        <v>725</v>
      </c>
      <c r="AV175" s="173" t="s">
        <v>725</v>
      </c>
      <c r="AW175" s="173" t="s">
        <v>725</v>
      </c>
      <c r="AX175" s="173" t="s">
        <v>725</v>
      </c>
      <c r="AY175" s="173" t="s">
        <v>725</v>
      </c>
      <c r="AZ175" s="173" t="s">
        <v>725</v>
      </c>
      <c r="BA175" s="173" t="s">
        <v>725</v>
      </c>
      <c r="BB175" s="173" t="s">
        <v>725</v>
      </c>
      <c r="BC175" s="173" t="s">
        <v>725</v>
      </c>
      <c r="BD175" s="173" t="s">
        <v>725</v>
      </c>
      <c r="BE175" s="173" t="s">
        <v>725</v>
      </c>
      <c r="BF175" s="173" t="s">
        <v>725</v>
      </c>
      <c r="BG175" s="173" t="s">
        <v>725</v>
      </c>
      <c r="BH175" s="173" t="s">
        <v>725</v>
      </c>
      <c r="BI175" s="173" t="s">
        <v>725</v>
      </c>
      <c r="BJ175" s="173" t="s">
        <v>725</v>
      </c>
      <c r="BK175" s="173" t="s">
        <v>725</v>
      </c>
      <c r="BL175" s="173" t="s">
        <v>725</v>
      </c>
      <c r="BM175" s="173" t="s">
        <v>725</v>
      </c>
      <c r="BN175" s="173" t="s">
        <v>725</v>
      </c>
      <c r="BO175" s="173" t="s">
        <v>725</v>
      </c>
      <c r="BP175" s="173" t="s">
        <v>725</v>
      </c>
      <c r="BQ175" s="173" t="s">
        <v>725</v>
      </c>
      <c r="BR175" s="174"/>
      <c r="BS175" s="161" t="str">
        <v>#VALUE!</v>
      </c>
    </row>
    <row customHeight="true" ht="18.51851851851852" r="176">
      <c r="A176" s="161" t="s">
        <v>734</v>
      </c>
      <c r="B176" s="161" t="s">
        <v>730</v>
      </c>
      <c r="C176" s="161" t="s">
        <v>792</v>
      </c>
      <c r="D176" s="162" t="s">
        <v>726</v>
      </c>
      <c r="E176" s="176">
        <v>65</v>
      </c>
      <c r="F176" s="163">
        <v>94.99</v>
      </c>
      <c r="G176" s="164">
        <f t="shared" si="7"/>
      </c>
      <c r="H176" s="164">
        <f t="shared" si="71"/>
      </c>
      <c r="I176" s="175">
        <f t="shared" si="133"/>
      </c>
      <c r="J176" s="165">
        <f t="shared" si="214"/>
      </c>
      <c r="K176" s="166">
        <f t="shared" si="267"/>
      </c>
      <c r="L176" s="167">
        <f t="shared" si="338"/>
      </c>
      <c r="M176" s="164">
        <f t="shared" si="383"/>
      </c>
      <c r="N176" s="166">
        <f t="shared" si="427"/>
      </c>
      <c r="O176" s="166">
        <f t="shared" si="458"/>
      </c>
      <c r="P176" s="161">
        <v>8</v>
      </c>
      <c r="Q176" s="168">
        <v>8</v>
      </c>
      <c r="R176" s="169">
        <f t="shared" si="27"/>
      </c>
      <c r="S176" s="165">
        <f t="shared" si="524"/>
      </c>
      <c r="T176" s="169">
        <f t="shared" si="152"/>
      </c>
      <c r="U176" s="169">
        <v>0.01</v>
      </c>
      <c r="V176" s="169">
        <f t="shared" si="289"/>
      </c>
      <c r="W176" s="169">
        <f t="shared" si="360"/>
      </c>
      <c r="X176" s="170">
        <v>0.188</v>
      </c>
      <c r="Y176" s="171">
        <v>10</v>
      </c>
      <c r="Z176" s="171">
        <f>F176*0.05</f>
      </c>
      <c r="AA176" s="171">
        <f t="shared" si="480"/>
      </c>
      <c r="AB176" s="166">
        <f t="shared" si="502"/>
      </c>
      <c r="AC176" s="166">
        <v>150</v>
      </c>
      <c r="AD176" s="172">
        <f t="shared" si="49"/>
      </c>
      <c r="AE176" s="168">
        <f t="shared" si="98"/>
      </c>
      <c r="AF176" s="169">
        <f t="shared" si="174"/>
      </c>
      <c r="AG176" s="169">
        <f t="shared" si="230"/>
      </c>
      <c r="AH176" s="168">
        <v>18</v>
      </c>
      <c r="AI176" s="169">
        <f t="shared" si="308"/>
      </c>
      <c r="AJ176" s="169"/>
      <c r="AK176" s="169"/>
      <c r="AL176" s="169"/>
      <c r="AM176" s="169"/>
      <c r="AN176" s="173"/>
      <c r="AO176" s="173"/>
      <c r="AP176" s="173"/>
      <c r="AQ176" s="173"/>
      <c r="AR176" s="173"/>
      <c r="AS176" s="173"/>
      <c r="AT176" s="173" t="s">
        <v>725</v>
      </c>
      <c r="AU176" s="173" t="s">
        <v>725</v>
      </c>
      <c r="AV176" s="173" t="s">
        <v>725</v>
      </c>
      <c r="AW176" s="173" t="s">
        <v>725</v>
      </c>
      <c r="AX176" s="173" t="s">
        <v>725</v>
      </c>
      <c r="AY176" s="173" t="s">
        <v>725</v>
      </c>
      <c r="AZ176" s="173" t="s">
        <v>725</v>
      </c>
      <c r="BA176" s="173" t="s">
        <v>725</v>
      </c>
      <c r="BB176" s="173" t="s">
        <v>725</v>
      </c>
      <c r="BC176" s="173" t="s">
        <v>725</v>
      </c>
      <c r="BD176" s="173" t="s">
        <v>725</v>
      </c>
      <c r="BE176" s="173" t="s">
        <v>725</v>
      </c>
      <c r="BF176" s="173" t="s">
        <v>725</v>
      </c>
      <c r="BG176" s="173" t="s">
        <v>725</v>
      </c>
      <c r="BH176" s="173" t="s">
        <v>725</v>
      </c>
      <c r="BI176" s="173" t="s">
        <v>725</v>
      </c>
      <c r="BJ176" s="173" t="s">
        <v>725</v>
      </c>
      <c r="BK176" s="173" t="s">
        <v>725</v>
      </c>
      <c r="BL176" s="173" t="s">
        <v>725</v>
      </c>
      <c r="BM176" s="173" t="s">
        <v>725</v>
      </c>
      <c r="BN176" s="173" t="s">
        <v>725</v>
      </c>
      <c r="BO176" s="173" t="s">
        <v>725</v>
      </c>
      <c r="BP176" s="173" t="s">
        <v>725</v>
      </c>
      <c r="BQ176" s="173" t="s">
        <v>725</v>
      </c>
      <c r="BR176" s="174"/>
      <c r="BS176" s="161" t="str">
        <v>#VALUE!</v>
      </c>
    </row>
    <row customHeight="true" ht="18.51851851851852" r="177">
      <c r="A177" s="161" t="s">
        <v>734</v>
      </c>
      <c r="B177" s="161" t="s">
        <v>730</v>
      </c>
      <c r="C177" s="161" t="s">
        <v>792</v>
      </c>
      <c r="D177" s="162" t="s">
        <v>727</v>
      </c>
      <c r="E177" s="176">
        <v>65</v>
      </c>
      <c r="F177" s="163">
        <v>94.99</v>
      </c>
      <c r="G177" s="164">
        <f t="shared" si="7"/>
      </c>
      <c r="H177" s="164">
        <f t="shared" si="71"/>
      </c>
      <c r="I177" s="164">
        <f t="shared" si="133"/>
      </c>
      <c r="J177" s="165">
        <f t="shared" si="214"/>
      </c>
      <c r="K177" s="166">
        <f t="shared" si="267"/>
      </c>
      <c r="L177" s="167">
        <f t="shared" si="338"/>
      </c>
      <c r="M177" s="164">
        <f t="shared" si="383"/>
      </c>
      <c r="N177" s="166">
        <f t="shared" si="427"/>
      </c>
      <c r="O177" s="166">
        <f t="shared" si="458"/>
      </c>
      <c r="P177" s="161">
        <v>8</v>
      </c>
      <c r="Q177" s="168">
        <v>8</v>
      </c>
      <c r="R177" s="169">
        <f t="shared" si="27"/>
      </c>
      <c r="S177" s="165">
        <f t="shared" si="524"/>
      </c>
      <c r="T177" s="169">
        <f t="shared" si="152"/>
      </c>
      <c r="U177" s="169">
        <v>0.01</v>
      </c>
      <c r="V177" s="169">
        <f t="shared" si="289"/>
      </c>
      <c r="W177" s="169">
        <f t="shared" si="360"/>
      </c>
      <c r="X177" s="170">
        <v>0.188</v>
      </c>
      <c r="Y177" s="171">
        <v>10</v>
      </c>
      <c r="Z177" s="171">
        <f>F177*0.1</f>
      </c>
      <c r="AA177" s="171">
        <f t="shared" si="480"/>
      </c>
      <c r="AB177" s="166">
        <f t="shared" si="502"/>
      </c>
      <c r="AC177" s="166">
        <v>150</v>
      </c>
      <c r="AD177" s="172">
        <f t="shared" si="49"/>
      </c>
      <c r="AE177" s="168">
        <f t="shared" si="98"/>
      </c>
      <c r="AF177" s="169">
        <f t="shared" si="174"/>
      </c>
      <c r="AG177" s="169">
        <f t="shared" si="230"/>
      </c>
      <c r="AH177" s="168">
        <v>18</v>
      </c>
      <c r="AI177" s="169">
        <f t="shared" si="308"/>
      </c>
      <c r="AJ177" s="169"/>
      <c r="AK177" s="169"/>
      <c r="AL177" s="169"/>
      <c r="AM177" s="169"/>
      <c r="AN177" s="173"/>
      <c r="AO177" s="173"/>
      <c r="AP177" s="173"/>
      <c r="AQ177" s="173"/>
      <c r="AR177" s="173"/>
      <c r="AS177" s="173"/>
      <c r="AT177" s="173" t="s">
        <v>725</v>
      </c>
      <c r="AU177" s="173" t="s">
        <v>725</v>
      </c>
      <c r="AV177" s="173" t="s">
        <v>725</v>
      </c>
      <c r="AW177" s="173" t="s">
        <v>725</v>
      </c>
      <c r="AX177" s="173" t="s">
        <v>725</v>
      </c>
      <c r="AY177" s="173" t="s">
        <v>725</v>
      </c>
      <c r="AZ177" s="173" t="s">
        <v>725</v>
      </c>
      <c r="BA177" s="173" t="s">
        <v>725</v>
      </c>
      <c r="BB177" s="173" t="s">
        <v>725</v>
      </c>
      <c r="BC177" s="173" t="s">
        <v>725</v>
      </c>
      <c r="BD177" s="173" t="s">
        <v>725</v>
      </c>
      <c r="BE177" s="173" t="s">
        <v>725</v>
      </c>
      <c r="BF177" s="173" t="s">
        <v>725</v>
      </c>
      <c r="BG177" s="173" t="s">
        <v>725</v>
      </c>
      <c r="BH177" s="173" t="s">
        <v>725</v>
      </c>
      <c r="BI177" s="173" t="s">
        <v>725</v>
      </c>
      <c r="BJ177" s="173" t="s">
        <v>725</v>
      </c>
      <c r="BK177" s="173" t="s">
        <v>725</v>
      </c>
      <c r="BL177" s="173" t="s">
        <v>725</v>
      </c>
      <c r="BM177" s="173" t="s">
        <v>725</v>
      </c>
      <c r="BN177" s="173" t="s">
        <v>725</v>
      </c>
      <c r="BO177" s="173" t="s">
        <v>725</v>
      </c>
      <c r="BP177" s="173" t="s">
        <v>725</v>
      </c>
      <c r="BQ177" s="173" t="s">
        <v>725</v>
      </c>
      <c r="BR177" s="174"/>
      <c r="BS177" s="161" t="str">
        <v>#VALUE!</v>
      </c>
    </row>
    <row customHeight="true" ht="18.51851851851852" r="178">
      <c r="A178" s="161" t="s">
        <v>734</v>
      </c>
      <c r="B178" s="161" t="s">
        <v>730</v>
      </c>
      <c r="C178" s="161" t="s">
        <v>792</v>
      </c>
      <c r="D178" s="162" t="s">
        <v>728</v>
      </c>
      <c r="E178" s="176">
        <v>65</v>
      </c>
      <c r="F178" s="163">
        <v>94.99</v>
      </c>
      <c r="G178" s="164">
        <f t="shared" si="7"/>
      </c>
      <c r="H178" s="164">
        <f t="shared" si="71"/>
      </c>
      <c r="I178" s="164">
        <f t="shared" si="133"/>
      </c>
      <c r="J178" s="165">
        <f t="shared" si="214"/>
      </c>
      <c r="K178" s="166">
        <f t="shared" si="267"/>
      </c>
      <c r="L178" s="167">
        <f t="shared" si="338"/>
      </c>
      <c r="M178" s="164">
        <f t="shared" si="383"/>
      </c>
      <c r="N178" s="166">
        <f t="shared" si="427"/>
      </c>
      <c r="O178" s="166">
        <f t="shared" si="458"/>
      </c>
      <c r="P178" s="161">
        <v>8</v>
      </c>
      <c r="Q178" s="168">
        <v>8</v>
      </c>
      <c r="R178" s="169">
        <f t="shared" si="27"/>
      </c>
      <c r="S178" s="165">
        <f t="shared" si="524"/>
      </c>
      <c r="T178" s="169">
        <f t="shared" si="152"/>
      </c>
      <c r="U178" s="169">
        <v>0.01</v>
      </c>
      <c r="V178" s="169">
        <f t="shared" si="289"/>
      </c>
      <c r="W178" s="169">
        <f t="shared" si="360"/>
      </c>
      <c r="X178" s="170">
        <v>0.188</v>
      </c>
      <c r="Y178" s="171">
        <v>10</v>
      </c>
      <c r="Z178" s="171">
        <f>F178*0.15</f>
      </c>
      <c r="AA178" s="171">
        <f t="shared" si="480"/>
      </c>
      <c r="AB178" s="166">
        <f t="shared" si="502"/>
      </c>
      <c r="AC178" s="166">
        <v>150</v>
      </c>
      <c r="AD178" s="172">
        <f t="shared" si="49"/>
      </c>
      <c r="AE178" s="168">
        <f t="shared" si="98"/>
      </c>
      <c r="AF178" s="169">
        <f t="shared" si="174"/>
      </c>
      <c r="AG178" s="169">
        <f t="shared" si="230"/>
      </c>
      <c r="AH178" s="168">
        <v>18</v>
      </c>
      <c r="AI178" s="169">
        <f t="shared" si="308"/>
      </c>
      <c r="AJ178" s="169"/>
      <c r="AK178" s="169"/>
      <c r="AL178" s="169"/>
      <c r="AM178" s="169"/>
      <c r="AN178" s="173"/>
      <c r="AO178" s="173"/>
      <c r="AP178" s="173"/>
      <c r="AQ178" s="173"/>
      <c r="AR178" s="173"/>
      <c r="AS178" s="173"/>
      <c r="AT178" s="173" t="s">
        <v>725</v>
      </c>
      <c r="AU178" s="173" t="s">
        <v>725</v>
      </c>
      <c r="AV178" s="173" t="s">
        <v>725</v>
      </c>
      <c r="AW178" s="173" t="s">
        <v>725</v>
      </c>
      <c r="AX178" s="173" t="s">
        <v>725</v>
      </c>
      <c r="AY178" s="173" t="s">
        <v>725</v>
      </c>
      <c r="AZ178" s="173" t="s">
        <v>725</v>
      </c>
      <c r="BA178" s="173" t="s">
        <v>725</v>
      </c>
      <c r="BB178" s="173" t="s">
        <v>725</v>
      </c>
      <c r="BC178" s="173" t="s">
        <v>725</v>
      </c>
      <c r="BD178" s="173" t="s">
        <v>725</v>
      </c>
      <c r="BE178" s="173" t="s">
        <v>725</v>
      </c>
      <c r="BF178" s="173" t="s">
        <v>725</v>
      </c>
      <c r="BG178" s="173" t="s">
        <v>725</v>
      </c>
      <c r="BH178" s="173" t="s">
        <v>725</v>
      </c>
      <c r="BI178" s="173" t="s">
        <v>725</v>
      </c>
      <c r="BJ178" s="173" t="s">
        <v>725</v>
      </c>
      <c r="BK178" s="173" t="s">
        <v>725</v>
      </c>
      <c r="BL178" s="173" t="s">
        <v>725</v>
      </c>
      <c r="BM178" s="173" t="s">
        <v>725</v>
      </c>
      <c r="BN178" s="173" t="s">
        <v>725</v>
      </c>
      <c r="BO178" s="173" t="s">
        <v>725</v>
      </c>
      <c r="BP178" s="173" t="s">
        <v>725</v>
      </c>
      <c r="BQ178" s="173" t="s">
        <v>725</v>
      </c>
      <c r="BR178" s="174"/>
      <c r="BS178" s="161" t="str">
        <v>#VALUE!</v>
      </c>
    </row>
    <row customHeight="true" ht="18.51851851851852" r="179">
      <c r="A179" s="161" t="s">
        <v>735</v>
      </c>
      <c r="B179" s="161" t="s">
        <v>730</v>
      </c>
      <c r="C179" s="161" t="s">
        <v>792</v>
      </c>
      <c r="D179" s="178" t="s">
        <v>736</v>
      </c>
      <c r="E179" s="166">
        <v>69</v>
      </c>
      <c r="F179" s="163">
        <v>99.99</v>
      </c>
      <c r="G179" s="164">
        <f t="shared" si="7"/>
      </c>
      <c r="H179" s="164">
        <f t="shared" si="71"/>
      </c>
      <c r="I179" s="164">
        <f t="shared" si="133"/>
      </c>
      <c r="J179" s="165">
        <f t="shared" si="214"/>
      </c>
      <c r="K179" s="166">
        <f t="shared" si="267"/>
      </c>
      <c r="L179" s="167">
        <f t="shared" si="338"/>
      </c>
      <c r="M179" s="164">
        <f t="shared" si="383"/>
      </c>
      <c r="N179" s="166">
        <f t="shared" si="427"/>
      </c>
      <c r="O179" s="166">
        <f t="shared" si="458"/>
      </c>
      <c r="P179" s="161">
        <v>8</v>
      </c>
      <c r="Q179" s="168">
        <v>8</v>
      </c>
      <c r="R179" s="169">
        <f t="shared" si="27"/>
      </c>
      <c r="S179" s="165">
        <f t="shared" si="524"/>
      </c>
      <c r="T179" s="169">
        <f t="shared" si="152"/>
      </c>
      <c r="U179" s="169">
        <v>0.01</v>
      </c>
      <c r="V179" s="169">
        <f t="shared" si="289"/>
      </c>
      <c r="W179" s="169">
        <f t="shared" si="360"/>
      </c>
      <c r="X179" s="170">
        <v>0.188</v>
      </c>
      <c r="Y179" s="171">
        <v>10</v>
      </c>
      <c r="Z179" s="171">
        <f t="shared" ref="Z179:Z182" si="402">F179*0</f>
      </c>
      <c r="AA179" s="171">
        <f t="shared" si="480"/>
      </c>
      <c r="AB179" s="166">
        <f t="shared" si="502"/>
      </c>
      <c r="AC179" s="166">
        <v>150</v>
      </c>
      <c r="AD179" s="172">
        <f t="shared" si="49"/>
      </c>
      <c r="AE179" s="168">
        <f t="shared" si="98"/>
      </c>
      <c r="AF179" s="169">
        <f t="shared" si="174"/>
      </c>
      <c r="AG179" s="169">
        <f t="shared" si="230"/>
      </c>
      <c r="AH179" s="168">
        <v>18</v>
      </c>
      <c r="AI179" s="169">
        <f t="shared" si="308"/>
      </c>
      <c r="AJ179" s="173"/>
      <c r="AK179" s="173"/>
      <c r="AL179" s="173"/>
      <c r="AM179" s="173"/>
      <c r="AN179" s="173"/>
      <c r="AO179" s="173"/>
      <c r="AP179" s="173"/>
      <c r="AQ179" s="173"/>
      <c r="AR179" s="173"/>
      <c r="AS179" s="173"/>
      <c r="AT179" s="173" t="s">
        <v>725</v>
      </c>
      <c r="AU179" s="173" t="s">
        <v>725</v>
      </c>
      <c r="AV179" s="173" t="s">
        <v>725</v>
      </c>
      <c r="AW179" s="173" t="s">
        <v>725</v>
      </c>
      <c r="AX179" s="173" t="s">
        <v>725</v>
      </c>
      <c r="AY179" s="173" t="s">
        <v>725</v>
      </c>
      <c r="AZ179" s="173" t="s">
        <v>725</v>
      </c>
      <c r="BA179" s="173" t="s">
        <v>725</v>
      </c>
      <c r="BB179" s="173" t="s">
        <v>725</v>
      </c>
      <c r="BC179" s="173" t="s">
        <v>725</v>
      </c>
      <c r="BD179" s="173" t="s">
        <v>725</v>
      </c>
      <c r="BE179" s="173" t="s">
        <v>725</v>
      </c>
      <c r="BF179" s="173" t="s">
        <v>725</v>
      </c>
      <c r="BG179" s="173" t="s">
        <v>725</v>
      </c>
      <c r="BH179" s="173" t="s">
        <v>725</v>
      </c>
      <c r="BI179" s="173" t="s">
        <v>725</v>
      </c>
      <c r="BJ179" s="173" t="s">
        <v>725</v>
      </c>
      <c r="BK179" s="173" t="s">
        <v>725</v>
      </c>
      <c r="BL179" s="173" t="s">
        <v>725</v>
      </c>
      <c r="BM179" s="173" t="s">
        <v>725</v>
      </c>
      <c r="BN179" s="173" t="s">
        <v>725</v>
      </c>
      <c r="BO179" s="173" t="s">
        <v>725</v>
      </c>
      <c r="BP179" s="173" t="s">
        <v>725</v>
      </c>
      <c r="BQ179" s="173" t="s">
        <v>725</v>
      </c>
      <c r="BR179" s="180">
        <f t="shared" ref="BR179:BR182" si="243">IF(E179&lt;#REF!,1,0)</f>
      </c>
      <c r="BS179" s="161" t="str">
        <v>#VALUE!</v>
      </c>
    </row>
    <row customHeight="true" ht="18.51851851851852" r="180">
      <c r="A180" s="161" t="s">
        <v>737</v>
      </c>
      <c r="B180" s="161" t="s">
        <v>730</v>
      </c>
      <c r="C180" s="161" t="s">
        <v>792</v>
      </c>
      <c r="D180" s="178" t="s">
        <v>738</v>
      </c>
      <c r="E180" s="166">
        <v>69</v>
      </c>
      <c r="F180" s="163">
        <v>99.99</v>
      </c>
      <c r="G180" s="164">
        <f t="shared" si="7"/>
      </c>
      <c r="H180" s="164">
        <f t="shared" si="71"/>
      </c>
      <c r="I180" s="164">
        <f t="shared" si="133"/>
      </c>
      <c r="J180" s="165">
        <f t="shared" si="214"/>
      </c>
      <c r="K180" s="166">
        <f t="shared" si="267"/>
      </c>
      <c r="L180" s="167">
        <f t="shared" si="338"/>
      </c>
      <c r="M180" s="164">
        <f t="shared" si="383"/>
      </c>
      <c r="N180" s="166">
        <f t="shared" si="427"/>
      </c>
      <c r="O180" s="166">
        <f t="shared" si="458"/>
      </c>
      <c r="P180" s="161">
        <v>8</v>
      </c>
      <c r="Q180" s="168">
        <v>8</v>
      </c>
      <c r="R180" s="169">
        <f t="shared" si="27"/>
      </c>
      <c r="S180" s="165">
        <f t="shared" si="524"/>
      </c>
      <c r="T180" s="169">
        <f t="shared" si="152"/>
      </c>
      <c r="U180" s="169">
        <v>0.01</v>
      </c>
      <c r="V180" s="169">
        <f t="shared" si="289"/>
      </c>
      <c r="W180" s="169">
        <f t="shared" si="360"/>
      </c>
      <c r="X180" s="170">
        <v>0.188</v>
      </c>
      <c r="Y180" s="171">
        <v>10</v>
      </c>
      <c r="Z180" s="171">
        <f t="shared" si="402"/>
      </c>
      <c r="AA180" s="171">
        <f t="shared" si="480"/>
      </c>
      <c r="AB180" s="166">
        <f t="shared" si="502"/>
      </c>
      <c r="AC180" s="166">
        <v>150</v>
      </c>
      <c r="AD180" s="172">
        <f t="shared" si="49"/>
      </c>
      <c r="AE180" s="168">
        <f t="shared" si="98"/>
      </c>
      <c r="AF180" s="169">
        <f t="shared" si="174"/>
      </c>
      <c r="AG180" s="169">
        <f t="shared" si="230"/>
      </c>
      <c r="AH180" s="168">
        <v>18</v>
      </c>
      <c r="AI180" s="169">
        <f t="shared" si="308"/>
      </c>
      <c r="AJ180" s="173"/>
      <c r="AK180" s="173"/>
      <c r="AL180" s="173"/>
      <c r="AM180" s="173"/>
      <c r="AN180" s="173"/>
      <c r="AO180" s="173"/>
      <c r="AP180" s="173"/>
      <c r="AQ180" s="173"/>
      <c r="AR180" s="173"/>
      <c r="AS180" s="173"/>
      <c r="AT180" s="173" t="s">
        <v>725</v>
      </c>
      <c r="AU180" s="173" t="s">
        <v>725</v>
      </c>
      <c r="AV180" s="173" t="s">
        <v>725</v>
      </c>
      <c r="AW180" s="173" t="s">
        <v>725</v>
      </c>
      <c r="AX180" s="173" t="s">
        <v>725</v>
      </c>
      <c r="AY180" s="173" t="s">
        <v>725</v>
      </c>
      <c r="AZ180" s="173" t="s">
        <v>725</v>
      </c>
      <c r="BA180" s="173" t="s">
        <v>725</v>
      </c>
      <c r="BB180" s="173" t="s">
        <v>725</v>
      </c>
      <c r="BC180" s="173" t="s">
        <v>725</v>
      </c>
      <c r="BD180" s="173" t="s">
        <v>725</v>
      </c>
      <c r="BE180" s="173" t="s">
        <v>725</v>
      </c>
      <c r="BF180" s="173" t="s">
        <v>725</v>
      </c>
      <c r="BG180" s="173" t="s">
        <v>725</v>
      </c>
      <c r="BH180" s="173" t="s">
        <v>725</v>
      </c>
      <c r="BI180" s="173" t="s">
        <v>725</v>
      </c>
      <c r="BJ180" s="173" t="s">
        <v>725</v>
      </c>
      <c r="BK180" s="173" t="s">
        <v>725</v>
      </c>
      <c r="BL180" s="173" t="s">
        <v>725</v>
      </c>
      <c r="BM180" s="173" t="s">
        <v>725</v>
      </c>
      <c r="BN180" s="173" t="s">
        <v>725</v>
      </c>
      <c r="BO180" s="173" t="s">
        <v>725</v>
      </c>
      <c r="BP180" s="173" t="s">
        <v>725</v>
      </c>
      <c r="BQ180" s="173" t="s">
        <v>725</v>
      </c>
      <c r="BR180" s="180">
        <f t="shared" si="243"/>
      </c>
      <c r="BS180" s="161" t="str">
        <v>#VALUE!</v>
      </c>
    </row>
    <row customHeight="true" ht="18.51851851851852" r="181">
      <c r="A181" s="161" t="s">
        <v>739</v>
      </c>
      <c r="B181" s="161" t="s">
        <v>730</v>
      </c>
      <c r="C181" s="161" t="s">
        <v>792</v>
      </c>
      <c r="D181" s="178" t="s">
        <v>740</v>
      </c>
      <c r="E181" s="166">
        <v>69</v>
      </c>
      <c r="F181" s="163">
        <v>99.99</v>
      </c>
      <c r="G181" s="164">
        <f t="shared" si="7"/>
      </c>
      <c r="H181" s="164">
        <f t="shared" si="71"/>
      </c>
      <c r="I181" s="164">
        <f t="shared" si="133"/>
      </c>
      <c r="J181" s="165">
        <f t="shared" si="214"/>
      </c>
      <c r="K181" s="166">
        <f t="shared" si="267"/>
      </c>
      <c r="L181" s="167">
        <f t="shared" si="338"/>
      </c>
      <c r="M181" s="164">
        <f t="shared" si="383"/>
      </c>
      <c r="N181" s="166">
        <f t="shared" si="427"/>
      </c>
      <c r="O181" s="166">
        <f t="shared" si="458"/>
      </c>
      <c r="P181" s="161">
        <v>8</v>
      </c>
      <c r="Q181" s="168">
        <v>8</v>
      </c>
      <c r="R181" s="169">
        <f t="shared" si="27"/>
      </c>
      <c r="S181" s="165">
        <f t="shared" si="524"/>
      </c>
      <c r="T181" s="169">
        <f t="shared" si="152"/>
      </c>
      <c r="U181" s="169">
        <v>0.01</v>
      </c>
      <c r="V181" s="169">
        <f t="shared" si="289"/>
      </c>
      <c r="W181" s="169">
        <f t="shared" si="360"/>
      </c>
      <c r="X181" s="170">
        <v>0.188</v>
      </c>
      <c r="Y181" s="171">
        <v>10</v>
      </c>
      <c r="Z181" s="171">
        <f t="shared" si="402"/>
      </c>
      <c r="AA181" s="171">
        <f t="shared" si="480"/>
      </c>
      <c r="AB181" s="166">
        <f t="shared" si="502"/>
      </c>
      <c r="AC181" s="166">
        <v>150</v>
      </c>
      <c r="AD181" s="172">
        <f t="shared" si="49"/>
      </c>
      <c r="AE181" s="168">
        <f t="shared" si="98"/>
      </c>
      <c r="AF181" s="169">
        <f t="shared" si="174"/>
      </c>
      <c r="AG181" s="169">
        <f t="shared" si="230"/>
      </c>
      <c r="AH181" s="168">
        <v>18</v>
      </c>
      <c r="AI181" s="169">
        <f t="shared" si="308"/>
      </c>
      <c r="AJ181" s="173"/>
      <c r="AK181" s="173"/>
      <c r="AL181" s="173"/>
      <c r="AM181" s="173"/>
      <c r="AN181" s="173"/>
      <c r="AO181" s="173"/>
      <c r="AP181" s="173"/>
      <c r="AQ181" s="173"/>
      <c r="AR181" s="173"/>
      <c r="AS181" s="173"/>
      <c r="AT181" s="173" t="s">
        <v>725</v>
      </c>
      <c r="AU181" s="173" t="s">
        <v>725</v>
      </c>
      <c r="AV181" s="173" t="s">
        <v>725</v>
      </c>
      <c r="AW181" s="173" t="s">
        <v>725</v>
      </c>
      <c r="AX181" s="173" t="s">
        <v>725</v>
      </c>
      <c r="AY181" s="173" t="s">
        <v>725</v>
      </c>
      <c r="AZ181" s="173" t="s">
        <v>725</v>
      </c>
      <c r="BA181" s="173" t="s">
        <v>725</v>
      </c>
      <c r="BB181" s="173" t="s">
        <v>725</v>
      </c>
      <c r="BC181" s="173" t="s">
        <v>725</v>
      </c>
      <c r="BD181" s="173" t="s">
        <v>725</v>
      </c>
      <c r="BE181" s="173" t="s">
        <v>725</v>
      </c>
      <c r="BF181" s="173" t="s">
        <v>725</v>
      </c>
      <c r="BG181" s="173" t="s">
        <v>725</v>
      </c>
      <c r="BH181" s="173" t="s">
        <v>725</v>
      </c>
      <c r="BI181" s="173" t="s">
        <v>725</v>
      </c>
      <c r="BJ181" s="173" t="s">
        <v>725</v>
      </c>
      <c r="BK181" s="173" t="s">
        <v>725</v>
      </c>
      <c r="BL181" s="173" t="s">
        <v>725</v>
      </c>
      <c r="BM181" s="173" t="s">
        <v>725</v>
      </c>
      <c r="BN181" s="173" t="s">
        <v>725</v>
      </c>
      <c r="BO181" s="173" t="s">
        <v>725</v>
      </c>
      <c r="BP181" s="173" t="s">
        <v>725</v>
      </c>
      <c r="BQ181" s="173" t="s">
        <v>725</v>
      </c>
      <c r="BR181" s="180">
        <f t="shared" si="243"/>
      </c>
      <c r="BS181" s="161" t="str">
        <v>#VALUE!</v>
      </c>
    </row>
    <row customHeight="true" ht="18.51851851851852" r="182">
      <c r="A182" s="161" t="s">
        <v>741</v>
      </c>
      <c r="B182" s="161" t="s">
        <v>730</v>
      </c>
      <c r="C182" s="161" t="s">
        <v>792</v>
      </c>
      <c r="D182" s="178" t="s">
        <v>742</v>
      </c>
      <c r="E182" s="166">
        <v>69</v>
      </c>
      <c r="F182" s="163">
        <v>99.99</v>
      </c>
      <c r="G182" s="164">
        <f t="shared" si="7"/>
      </c>
      <c r="H182" s="164">
        <f t="shared" si="71"/>
      </c>
      <c r="I182" s="164">
        <f t="shared" si="133"/>
      </c>
      <c r="J182" s="165">
        <f t="shared" si="214"/>
      </c>
      <c r="K182" s="166">
        <f t="shared" si="267"/>
      </c>
      <c r="L182" s="167">
        <f t="shared" si="338"/>
      </c>
      <c r="M182" s="164">
        <f t="shared" si="383"/>
      </c>
      <c r="N182" s="166">
        <f t="shared" si="427"/>
      </c>
      <c r="O182" s="166">
        <f t="shared" si="458"/>
      </c>
      <c r="P182" s="161">
        <v>8</v>
      </c>
      <c r="Q182" s="168">
        <v>8</v>
      </c>
      <c r="R182" s="169">
        <f t="shared" si="27"/>
      </c>
      <c r="S182" s="165">
        <f t="shared" si="524"/>
      </c>
      <c r="T182" s="169">
        <f t="shared" si="152"/>
      </c>
      <c r="U182" s="169">
        <v>0.01</v>
      </c>
      <c r="V182" s="169">
        <f t="shared" si="289"/>
      </c>
      <c r="W182" s="169">
        <f t="shared" si="360"/>
      </c>
      <c r="X182" s="170">
        <v>0.188</v>
      </c>
      <c r="Y182" s="171">
        <v>10</v>
      </c>
      <c r="Z182" s="171">
        <f t="shared" si="402"/>
      </c>
      <c r="AA182" s="171">
        <f t="shared" si="480"/>
      </c>
      <c r="AB182" s="166">
        <f t="shared" si="502"/>
      </c>
      <c r="AC182" s="166">
        <v>150</v>
      </c>
      <c r="AD182" s="172">
        <f t="shared" si="49"/>
      </c>
      <c r="AE182" s="168">
        <f t="shared" si="98"/>
      </c>
      <c r="AF182" s="169">
        <f t="shared" si="174"/>
      </c>
      <c r="AG182" s="169">
        <f t="shared" si="230"/>
      </c>
      <c r="AH182" s="168">
        <v>18</v>
      </c>
      <c r="AI182" s="169">
        <f t="shared" si="308"/>
      </c>
      <c r="AJ182" s="169"/>
      <c r="AK182" s="169"/>
      <c r="AL182" s="169"/>
      <c r="AM182" s="169"/>
      <c r="AN182" s="173"/>
      <c r="AO182" s="173"/>
      <c r="AP182" s="173"/>
      <c r="AQ182" s="173"/>
      <c r="AR182" s="173"/>
      <c r="AS182" s="173"/>
      <c r="AT182" s="173" t="s">
        <v>725</v>
      </c>
      <c r="AU182" s="173" t="s">
        <v>725</v>
      </c>
      <c r="AV182" s="173" t="s">
        <v>725</v>
      </c>
      <c r="AW182" s="173" t="s">
        <v>725</v>
      </c>
      <c r="AX182" s="173" t="s">
        <v>725</v>
      </c>
      <c r="AY182" s="173" t="s">
        <v>725</v>
      </c>
      <c r="AZ182" s="173" t="s">
        <v>725</v>
      </c>
      <c r="BA182" s="173" t="s">
        <v>725</v>
      </c>
      <c r="BB182" s="173" t="s">
        <v>725</v>
      </c>
      <c r="BC182" s="173" t="s">
        <v>725</v>
      </c>
      <c r="BD182" s="173" t="s">
        <v>725</v>
      </c>
      <c r="BE182" s="173" t="s">
        <v>725</v>
      </c>
      <c r="BF182" s="173" t="s">
        <v>725</v>
      </c>
      <c r="BG182" s="173" t="s">
        <v>725</v>
      </c>
      <c r="BH182" s="173" t="s">
        <v>725</v>
      </c>
      <c r="BI182" s="173" t="s">
        <v>725</v>
      </c>
      <c r="BJ182" s="173" t="s">
        <v>725</v>
      </c>
      <c r="BK182" s="173" t="s">
        <v>725</v>
      </c>
      <c r="BL182" s="173" t="s">
        <v>725</v>
      </c>
      <c r="BM182" s="173" t="s">
        <v>725</v>
      </c>
      <c r="BN182" s="173" t="s">
        <v>725</v>
      </c>
      <c r="BO182" s="173" t="s">
        <v>725</v>
      </c>
      <c r="BP182" s="173" t="s">
        <v>725</v>
      </c>
      <c r="BQ182" s="173" t="s">
        <v>725</v>
      </c>
      <c r="BR182" s="180">
        <f t="shared" si="243"/>
      </c>
      <c r="BS182" s="161" t="str">
        <v>#VALUE!</v>
      </c>
    </row>
    <row customHeight="true" ht="18.51851851851852" r="183">
      <c r="G183" s="181"/>
      <c r="H183" s="181"/>
      <c r="S183" s="181"/>
      <c r="AE183" s="188"/>
      <c r="AI183" s="181"/>
    </row>
    <row customHeight="true" ht="18.51851851851852" r="184">
      <c r="A184" s="161" t="s">
        <v>721</v>
      </c>
      <c r="B184" s="161" t="s">
        <v>722</v>
      </c>
      <c r="C184" s="161" t="s">
        <v>792</v>
      </c>
      <c r="D184" s="162" t="s">
        <v>793</v>
      </c>
      <c r="E184" s="176">
        <v>82</v>
      </c>
      <c r="F184" s="163">
        <v>119.99</v>
      </c>
      <c r="G184" s="164">
        <f t="shared" ref="G184:G207" si="8">(F184-Z184)</f>
      </c>
      <c r="H184" s="164">
        <f t="shared" ref="H184:H207" si="72">(F184-Z184)/1.2</f>
      </c>
      <c r="I184" s="164">
        <f t="shared" ref="I184:I207" si="134">E184-N184/Q184-AB184-Y184-O184-Z184-AA184</f>
      </c>
      <c r="J184" s="165">
        <f t="shared" ref="J184:J207" si="215">I184/E184</f>
      </c>
      <c r="K184" s="166">
        <f t="shared" ref="K184:K207" si="268">F184/1.2</f>
      </c>
      <c r="L184" s="167">
        <f t="shared" ref="L184:L207" si="339">(K184-E184)/K184</f>
      </c>
      <c r="M184" s="164">
        <f t="shared" ref="M184:M207" si="384">F184/1.2-E184</f>
      </c>
      <c r="N184" s="166">
        <f t="shared" ref="N184:N207" si="428">AD184+AH184</f>
      </c>
      <c r="O184" s="166">
        <f t="shared" ref="O184:O207" si="459">IFERROR(IF(A184="UK",8.95/P184,IF(A184="DE",7.75/P184,IF(A184="FR",14.25/P184,IF(A184="IT",15.25/P184,IF(A184="ES",19.25/P184,IF(A184="NL",16.75/P184,IF(A184="PL",14.05/P184,IF(A184="SE",18.25/P184,IF(A184="BE",14.25/P184))))))))),0)</f>
      </c>
      <c r="P184" s="161">
        <v>3</v>
      </c>
      <c r="Q184" s="168">
        <v>9</v>
      </c>
      <c r="R184" s="169">
        <f t="shared" ref="R184:R207" si="28">Y184/E184</f>
      </c>
      <c r="S184" s="165">
        <f t="shared" ref="S184:S187" si="88">Y184/H184</f>
      </c>
      <c r="T184" s="169">
        <f t="shared" ref="T184:T207" si="153">Z184/E184</f>
      </c>
      <c r="U184" s="169">
        <v>0.01</v>
      </c>
      <c r="V184" s="169">
        <f t="shared" ref="V184:V207" si="290">N184/(E184*Q184)</f>
      </c>
      <c r="W184" s="169">
        <f t="shared" ref="W184:W207" si="361">O184/E184</f>
      </c>
      <c r="X184" s="170">
        <v>0.178</v>
      </c>
      <c r="Y184" s="171">
        <v>10</v>
      </c>
      <c r="Z184" s="171">
        <f>F184*0</f>
      </c>
      <c r="AA184" s="171">
        <f t="shared" ref="AA184:AA207" si="481">E184*U184</f>
      </c>
      <c r="AB184" s="166">
        <f t="shared" ref="AB184:AB207" si="503">E184*X184</f>
      </c>
      <c r="AC184" s="166">
        <v>250</v>
      </c>
      <c r="AD184" s="172">
        <f t="shared" ref="AD184:AD207" si="50">AC184/1.13</f>
      </c>
      <c r="AE184" s="168">
        <f t="shared" ref="AE184:AE207" si="99">AH184/Q184</f>
      </c>
      <c r="AF184" s="169">
        <f t="shared" ref="AF184:AF207" si="175">AD184/(E184*Q184)</f>
      </c>
      <c r="AG184" s="169">
        <f t="shared" ref="AG184:AG207" si="231">AE184/E184</f>
      </c>
      <c r="AH184" s="168">
        <v>25</v>
      </c>
      <c r="AI184" s="169">
        <f t="shared" ref="AI184:AI194" si="193">(H184-E184+AB184)/H184</f>
      </c>
      <c r="AJ184" s="169"/>
      <c r="AK184" s="169"/>
      <c r="AL184" s="169"/>
      <c r="AM184" s="169"/>
      <c r="AN184" s="169"/>
      <c r="AO184" s="169"/>
      <c r="AP184" s="169"/>
      <c r="AQ184" s="169"/>
      <c r="AR184" s="169"/>
      <c r="AS184" s="169"/>
      <c r="AT184" s="173" t="s">
        <v>725</v>
      </c>
      <c r="AU184" s="173" t="s">
        <v>725</v>
      </c>
      <c r="AV184" s="173" t="s">
        <v>725</v>
      </c>
      <c r="AW184" s="173" t="s">
        <v>725</v>
      </c>
      <c r="AX184" s="173" t="s">
        <v>725</v>
      </c>
      <c r="AY184" s="173" t="s">
        <v>725</v>
      </c>
      <c r="AZ184" s="173" t="s">
        <v>725</v>
      </c>
      <c r="BA184" s="173" t="s">
        <v>725</v>
      </c>
      <c r="BB184" s="173" t="s">
        <v>725</v>
      </c>
      <c r="BC184" s="173" t="s">
        <v>725</v>
      </c>
      <c r="BD184" s="173" t="s">
        <v>725</v>
      </c>
      <c r="BE184" s="173" t="s">
        <v>725</v>
      </c>
      <c r="BF184" s="173" t="s">
        <v>725</v>
      </c>
      <c r="BG184" s="173" t="s">
        <v>725</v>
      </c>
      <c r="BH184" s="173" t="s">
        <v>725</v>
      </c>
      <c r="BI184" s="173" t="s">
        <v>725</v>
      </c>
      <c r="BJ184" s="173" t="s">
        <v>725</v>
      </c>
      <c r="BK184" s="173" t="s">
        <v>725</v>
      </c>
      <c r="BL184" s="173" t="s">
        <v>725</v>
      </c>
      <c r="BM184" s="173" t="s">
        <v>725</v>
      </c>
      <c r="BN184" s="173" t="s">
        <v>725</v>
      </c>
      <c r="BO184" s="173" t="s">
        <v>725</v>
      </c>
      <c r="BP184" s="173" t="s">
        <v>725</v>
      </c>
      <c r="BQ184" s="173" t="s">
        <v>725</v>
      </c>
      <c r="BR184" s="174"/>
      <c r="BS184" s="161" t="str">
        <v>#VALUE!</v>
      </c>
    </row>
    <row customHeight="true" ht="18.51851851851852" r="185">
      <c r="A185" s="161" t="s">
        <v>721</v>
      </c>
      <c r="B185" s="161" t="s">
        <v>722</v>
      </c>
      <c r="C185" s="161" t="s">
        <v>792</v>
      </c>
      <c r="D185" s="162" t="s">
        <v>794</v>
      </c>
      <c r="E185" s="176">
        <v>82</v>
      </c>
      <c r="F185" s="163">
        <v>119.99</v>
      </c>
      <c r="G185" s="164">
        <f t="shared" si="8"/>
      </c>
      <c r="H185" s="164">
        <f t="shared" si="72"/>
      </c>
      <c r="I185" s="164">
        <f t="shared" si="134"/>
      </c>
      <c r="J185" s="165">
        <f t="shared" si="215"/>
      </c>
      <c r="K185" s="166">
        <f t="shared" si="268"/>
      </c>
      <c r="L185" s="167">
        <f t="shared" si="339"/>
      </c>
      <c r="M185" s="164">
        <f t="shared" si="384"/>
      </c>
      <c r="N185" s="166">
        <f t="shared" si="428"/>
      </c>
      <c r="O185" s="166">
        <f t="shared" si="459"/>
      </c>
      <c r="P185" s="161">
        <v>3</v>
      </c>
      <c r="Q185" s="168">
        <v>9</v>
      </c>
      <c r="R185" s="169">
        <f t="shared" si="28"/>
      </c>
      <c r="S185" s="165">
        <f t="shared" si="88"/>
      </c>
      <c r="T185" s="169">
        <f t="shared" si="153"/>
      </c>
      <c r="U185" s="169">
        <v>0.01</v>
      </c>
      <c r="V185" s="169">
        <f t="shared" si="290"/>
      </c>
      <c r="W185" s="169">
        <f t="shared" si="361"/>
      </c>
      <c r="X185" s="170">
        <v>0.178</v>
      </c>
      <c r="Y185" s="171">
        <v>10</v>
      </c>
      <c r="Z185" s="171">
        <f>F185*0.05</f>
      </c>
      <c r="AA185" s="171">
        <f t="shared" si="481"/>
      </c>
      <c r="AB185" s="166">
        <f t="shared" si="503"/>
      </c>
      <c r="AC185" s="166">
        <v>250</v>
      </c>
      <c r="AD185" s="172">
        <f t="shared" si="50"/>
      </c>
      <c r="AE185" s="168">
        <f t="shared" si="99"/>
      </c>
      <c r="AF185" s="169">
        <f t="shared" si="175"/>
      </c>
      <c r="AG185" s="169">
        <f t="shared" si="231"/>
      </c>
      <c r="AH185" s="168">
        <v>25</v>
      </c>
      <c r="AI185" s="169">
        <f t="shared" si="193"/>
      </c>
      <c r="AJ185" s="169"/>
      <c r="AK185" s="169"/>
      <c r="AL185" s="169"/>
      <c r="AM185" s="169"/>
      <c r="AN185" s="169"/>
      <c r="AO185" s="169"/>
      <c r="AP185" s="169"/>
      <c r="AQ185" s="169"/>
      <c r="AR185" s="169"/>
      <c r="AS185" s="169"/>
      <c r="AT185" s="173" t="s">
        <v>725</v>
      </c>
      <c r="AU185" s="173" t="s">
        <v>725</v>
      </c>
      <c r="AV185" s="173" t="s">
        <v>725</v>
      </c>
      <c r="AW185" s="173" t="s">
        <v>725</v>
      </c>
      <c r="AX185" s="173" t="s">
        <v>725</v>
      </c>
      <c r="AY185" s="173" t="s">
        <v>725</v>
      </c>
      <c r="AZ185" s="173" t="s">
        <v>725</v>
      </c>
      <c r="BA185" s="173" t="s">
        <v>725</v>
      </c>
      <c r="BB185" s="173" t="s">
        <v>725</v>
      </c>
      <c r="BC185" s="173" t="s">
        <v>725</v>
      </c>
      <c r="BD185" s="173" t="s">
        <v>725</v>
      </c>
      <c r="BE185" s="173" t="s">
        <v>725</v>
      </c>
      <c r="BF185" s="173" t="s">
        <v>725</v>
      </c>
      <c r="BG185" s="173" t="s">
        <v>725</v>
      </c>
      <c r="BH185" s="173" t="s">
        <v>725</v>
      </c>
      <c r="BI185" s="173" t="s">
        <v>725</v>
      </c>
      <c r="BJ185" s="173" t="s">
        <v>725</v>
      </c>
      <c r="BK185" s="173" t="s">
        <v>725</v>
      </c>
      <c r="BL185" s="173" t="s">
        <v>725</v>
      </c>
      <c r="BM185" s="173" t="s">
        <v>725</v>
      </c>
      <c r="BN185" s="173" t="s">
        <v>725</v>
      </c>
      <c r="BO185" s="173" t="s">
        <v>725</v>
      </c>
      <c r="BP185" s="173" t="s">
        <v>725</v>
      </c>
      <c r="BQ185" s="173" t="s">
        <v>725</v>
      </c>
      <c r="BR185" s="174"/>
      <c r="BS185" s="161" t="str">
        <v>#VALUE!</v>
      </c>
    </row>
    <row customHeight="true" ht="18.51851851851852" r="186">
      <c r="A186" s="161" t="s">
        <v>721</v>
      </c>
      <c r="B186" s="161" t="s">
        <v>722</v>
      </c>
      <c r="C186" s="161" t="s">
        <v>792</v>
      </c>
      <c r="D186" s="162" t="s">
        <v>795</v>
      </c>
      <c r="E186" s="176">
        <v>82</v>
      </c>
      <c r="F186" s="163">
        <v>119.99</v>
      </c>
      <c r="G186" s="164">
        <f t="shared" si="8"/>
      </c>
      <c r="H186" s="164">
        <f t="shared" si="72"/>
      </c>
      <c r="I186" s="164">
        <f t="shared" si="134"/>
      </c>
      <c r="J186" s="165">
        <f t="shared" si="215"/>
      </c>
      <c r="K186" s="166">
        <f t="shared" si="268"/>
      </c>
      <c r="L186" s="167">
        <f t="shared" si="339"/>
      </c>
      <c r="M186" s="164">
        <f t="shared" si="384"/>
      </c>
      <c r="N186" s="166">
        <f t="shared" si="428"/>
      </c>
      <c r="O186" s="166">
        <f t="shared" si="459"/>
      </c>
      <c r="P186" s="161">
        <v>3</v>
      </c>
      <c r="Q186" s="168">
        <v>9</v>
      </c>
      <c r="R186" s="169">
        <f t="shared" si="28"/>
      </c>
      <c r="S186" s="165">
        <f t="shared" si="88"/>
      </c>
      <c r="T186" s="169">
        <f t="shared" si="153"/>
      </c>
      <c r="U186" s="169">
        <v>0.01</v>
      </c>
      <c r="V186" s="169">
        <f t="shared" si="290"/>
      </c>
      <c r="W186" s="169">
        <f t="shared" si="361"/>
      </c>
      <c r="X186" s="170">
        <v>0.178</v>
      </c>
      <c r="Y186" s="171">
        <v>10</v>
      </c>
      <c r="Z186" s="171">
        <f>F186*0.1</f>
      </c>
      <c r="AA186" s="171">
        <f t="shared" si="481"/>
      </c>
      <c r="AB186" s="166">
        <f t="shared" si="503"/>
      </c>
      <c r="AC186" s="166">
        <v>250</v>
      </c>
      <c r="AD186" s="172">
        <f t="shared" si="50"/>
      </c>
      <c r="AE186" s="168">
        <f t="shared" si="99"/>
      </c>
      <c r="AF186" s="169">
        <f t="shared" si="175"/>
      </c>
      <c r="AG186" s="169">
        <f t="shared" si="231"/>
      </c>
      <c r="AH186" s="168">
        <v>25</v>
      </c>
      <c r="AI186" s="169">
        <f t="shared" si="193"/>
      </c>
      <c r="AJ186" s="169"/>
      <c r="AK186" s="169"/>
      <c r="AL186" s="169"/>
      <c r="AM186" s="169"/>
      <c r="AN186" s="169"/>
      <c r="AO186" s="169"/>
      <c r="AP186" s="169"/>
      <c r="AQ186" s="169"/>
      <c r="AR186" s="169"/>
      <c r="AS186" s="169"/>
      <c r="AT186" s="173" t="s">
        <v>725</v>
      </c>
      <c r="AU186" s="173" t="s">
        <v>725</v>
      </c>
      <c r="AV186" s="173" t="s">
        <v>725</v>
      </c>
      <c r="AW186" s="173" t="s">
        <v>725</v>
      </c>
      <c r="AX186" s="173" t="s">
        <v>725</v>
      </c>
      <c r="AY186" s="173" t="s">
        <v>725</v>
      </c>
      <c r="AZ186" s="173" t="s">
        <v>725</v>
      </c>
      <c r="BA186" s="173" t="s">
        <v>725</v>
      </c>
      <c r="BB186" s="173" t="s">
        <v>725</v>
      </c>
      <c r="BC186" s="173" t="s">
        <v>725</v>
      </c>
      <c r="BD186" s="173" t="s">
        <v>725</v>
      </c>
      <c r="BE186" s="173" t="s">
        <v>725</v>
      </c>
      <c r="BF186" s="173" t="s">
        <v>725</v>
      </c>
      <c r="BG186" s="173" t="s">
        <v>725</v>
      </c>
      <c r="BH186" s="173" t="s">
        <v>725</v>
      </c>
      <c r="BI186" s="173" t="s">
        <v>725</v>
      </c>
      <c r="BJ186" s="173" t="s">
        <v>725</v>
      </c>
      <c r="BK186" s="173" t="s">
        <v>725</v>
      </c>
      <c r="BL186" s="173" t="s">
        <v>725</v>
      </c>
      <c r="BM186" s="173" t="s">
        <v>725</v>
      </c>
      <c r="BN186" s="173" t="s">
        <v>725</v>
      </c>
      <c r="BO186" s="173" t="s">
        <v>725</v>
      </c>
      <c r="BP186" s="173" t="s">
        <v>725</v>
      </c>
      <c r="BQ186" s="173" t="s">
        <v>725</v>
      </c>
      <c r="BR186" s="174"/>
      <c r="BS186" s="161" t="str">
        <v>#VALUE!</v>
      </c>
    </row>
    <row customHeight="true" ht="18.51851851851852" r="187">
      <c r="A187" s="161" t="s">
        <v>721</v>
      </c>
      <c r="B187" s="161" t="s">
        <v>722</v>
      </c>
      <c r="C187" s="161" t="s">
        <v>792</v>
      </c>
      <c r="D187" s="162" t="s">
        <v>796</v>
      </c>
      <c r="E187" s="176">
        <v>82</v>
      </c>
      <c r="F187" s="163">
        <v>119.99</v>
      </c>
      <c r="G187" s="164">
        <f t="shared" si="8"/>
      </c>
      <c r="H187" s="164">
        <f t="shared" si="72"/>
      </c>
      <c r="I187" s="164">
        <f t="shared" si="134"/>
      </c>
      <c r="J187" s="165">
        <f t="shared" si="215"/>
      </c>
      <c r="K187" s="166">
        <f t="shared" si="268"/>
      </c>
      <c r="L187" s="167">
        <f t="shared" si="339"/>
      </c>
      <c r="M187" s="164">
        <f t="shared" si="384"/>
      </c>
      <c r="N187" s="166">
        <f t="shared" si="428"/>
      </c>
      <c r="O187" s="166">
        <f t="shared" si="459"/>
      </c>
      <c r="P187" s="161">
        <v>3</v>
      </c>
      <c r="Q187" s="168">
        <v>9</v>
      </c>
      <c r="R187" s="169">
        <f t="shared" si="28"/>
      </c>
      <c r="S187" s="165">
        <f t="shared" si="88"/>
      </c>
      <c r="T187" s="169">
        <f t="shared" si="153"/>
      </c>
      <c r="U187" s="169">
        <v>0.01</v>
      </c>
      <c r="V187" s="169">
        <f t="shared" si="290"/>
      </c>
      <c r="W187" s="169">
        <f t="shared" si="361"/>
      </c>
      <c r="X187" s="170">
        <v>0.178</v>
      </c>
      <c r="Y187" s="171">
        <v>10</v>
      </c>
      <c r="Z187" s="171">
        <f>F187*0.15</f>
      </c>
      <c r="AA187" s="171">
        <f t="shared" si="481"/>
      </c>
      <c r="AB187" s="166">
        <f t="shared" si="503"/>
      </c>
      <c r="AC187" s="166">
        <v>250</v>
      </c>
      <c r="AD187" s="172">
        <f t="shared" si="50"/>
      </c>
      <c r="AE187" s="168">
        <f t="shared" si="99"/>
      </c>
      <c r="AF187" s="169">
        <f t="shared" si="175"/>
      </c>
      <c r="AG187" s="169">
        <f t="shared" si="231"/>
      </c>
      <c r="AH187" s="168">
        <v>25</v>
      </c>
      <c r="AI187" s="169">
        <f t="shared" si="193"/>
      </c>
      <c r="AJ187" s="169"/>
      <c r="AK187" s="169"/>
      <c r="AL187" s="169"/>
      <c r="AM187" s="169"/>
      <c r="AN187" s="169"/>
      <c r="AO187" s="169"/>
      <c r="AP187" s="169"/>
      <c r="AQ187" s="169"/>
      <c r="AR187" s="169"/>
      <c r="AS187" s="169"/>
      <c r="AT187" s="173" t="s">
        <v>725</v>
      </c>
      <c r="AU187" s="173" t="s">
        <v>725</v>
      </c>
      <c r="AV187" s="173" t="s">
        <v>725</v>
      </c>
      <c r="AW187" s="173" t="s">
        <v>725</v>
      </c>
      <c r="AX187" s="173" t="s">
        <v>725</v>
      </c>
      <c r="AY187" s="173" t="s">
        <v>725</v>
      </c>
      <c r="AZ187" s="173" t="s">
        <v>725</v>
      </c>
      <c r="BA187" s="173" t="s">
        <v>725</v>
      </c>
      <c r="BB187" s="173" t="s">
        <v>725</v>
      </c>
      <c r="BC187" s="173" t="s">
        <v>725</v>
      </c>
      <c r="BD187" s="173" t="s">
        <v>725</v>
      </c>
      <c r="BE187" s="173" t="s">
        <v>725</v>
      </c>
      <c r="BF187" s="173" t="s">
        <v>725</v>
      </c>
      <c r="BG187" s="173" t="s">
        <v>725</v>
      </c>
      <c r="BH187" s="173" t="s">
        <v>725</v>
      </c>
      <c r="BI187" s="173" t="s">
        <v>725</v>
      </c>
      <c r="BJ187" s="173" t="s">
        <v>725</v>
      </c>
      <c r="BK187" s="173" t="s">
        <v>725</v>
      </c>
      <c r="BL187" s="173" t="s">
        <v>725</v>
      </c>
      <c r="BM187" s="173" t="s">
        <v>725</v>
      </c>
      <c r="BN187" s="173" t="s">
        <v>725</v>
      </c>
      <c r="BO187" s="173" t="s">
        <v>725</v>
      </c>
      <c r="BP187" s="173" t="s">
        <v>725</v>
      </c>
      <c r="BQ187" s="173" t="s">
        <v>725</v>
      </c>
      <c r="BR187" s="174"/>
      <c r="BS187" s="161" t="str">
        <v>#VALUE!</v>
      </c>
    </row>
    <row customHeight="true" ht="18.51851851851852" r="188">
      <c r="A188" s="161" t="s">
        <v>729</v>
      </c>
      <c r="B188" s="161" t="s">
        <v>730</v>
      </c>
      <c r="C188" s="161" t="s">
        <v>792</v>
      </c>
      <c r="D188" s="162" t="s">
        <v>793</v>
      </c>
      <c r="E188" s="176">
        <v>89</v>
      </c>
      <c r="F188" s="163">
        <v>129.99</v>
      </c>
      <c r="G188" s="164">
        <f t="shared" si="8"/>
      </c>
      <c r="H188" s="164">
        <f t="shared" si="72"/>
      </c>
      <c r="I188" s="164">
        <f t="shared" si="134"/>
      </c>
      <c r="J188" s="165">
        <f t="shared" si="215"/>
      </c>
      <c r="K188" s="166">
        <f t="shared" si="268"/>
      </c>
      <c r="L188" s="167">
        <f t="shared" si="339"/>
      </c>
      <c r="M188" s="164">
        <f t="shared" si="384"/>
      </c>
      <c r="N188" s="166">
        <f t="shared" si="428"/>
      </c>
      <c r="O188" s="166">
        <f t="shared" si="459"/>
      </c>
      <c r="P188" s="161">
        <v>3</v>
      </c>
      <c r="Q188" s="168">
        <v>8</v>
      </c>
      <c r="R188" s="169">
        <f t="shared" si="28"/>
      </c>
      <c r="S188" s="165">
        <f t="shared" ref="S188:S207" si="525">Y188/F188</f>
      </c>
      <c r="T188" s="169">
        <f t="shared" si="153"/>
      </c>
      <c r="U188" s="169">
        <v>0.01</v>
      </c>
      <c r="V188" s="169">
        <f t="shared" si="290"/>
      </c>
      <c r="W188" s="169">
        <f t="shared" si="361"/>
      </c>
      <c r="X188" s="170">
        <v>0.188</v>
      </c>
      <c r="Y188" s="171">
        <v>12</v>
      </c>
      <c r="Z188" s="171">
        <v>0</v>
      </c>
      <c r="AA188" s="171">
        <f t="shared" si="481"/>
      </c>
      <c r="AB188" s="166">
        <f t="shared" si="503"/>
      </c>
      <c r="AC188" s="166">
        <v>250</v>
      </c>
      <c r="AD188" s="172">
        <f t="shared" si="50"/>
      </c>
      <c r="AE188" s="168">
        <f t="shared" si="99"/>
      </c>
      <c r="AF188" s="169">
        <f t="shared" si="175"/>
      </c>
      <c r="AG188" s="169">
        <f t="shared" si="231"/>
      </c>
      <c r="AH188" s="168">
        <v>30</v>
      </c>
      <c r="AI188" s="169">
        <f t="shared" si="193"/>
      </c>
      <c r="AJ188" s="169"/>
      <c r="AK188" s="169"/>
      <c r="AL188" s="169"/>
      <c r="AM188" s="169"/>
      <c r="AN188" s="173"/>
      <c r="AO188" s="173"/>
      <c r="AP188" s="173"/>
      <c r="AQ188" s="173"/>
      <c r="AR188" s="173"/>
      <c r="AS188" s="173"/>
      <c r="AT188" s="173" t="s">
        <v>725</v>
      </c>
      <c r="AU188" s="173" t="s">
        <v>725</v>
      </c>
      <c r="AV188" s="173" t="s">
        <v>725</v>
      </c>
      <c r="AW188" s="173" t="s">
        <v>725</v>
      </c>
      <c r="AX188" s="173" t="s">
        <v>725</v>
      </c>
      <c r="AY188" s="173" t="s">
        <v>725</v>
      </c>
      <c r="AZ188" s="173" t="s">
        <v>725</v>
      </c>
      <c r="BA188" s="173" t="s">
        <v>725</v>
      </c>
      <c r="BB188" s="173" t="s">
        <v>725</v>
      </c>
      <c r="BC188" s="173" t="s">
        <v>725</v>
      </c>
      <c r="BD188" s="173" t="s">
        <v>725</v>
      </c>
      <c r="BE188" s="173" t="s">
        <v>725</v>
      </c>
      <c r="BF188" s="173" t="s">
        <v>725</v>
      </c>
      <c r="BG188" s="173" t="s">
        <v>725</v>
      </c>
      <c r="BH188" s="173" t="s">
        <v>725</v>
      </c>
      <c r="BI188" s="173" t="s">
        <v>725</v>
      </c>
      <c r="BJ188" s="173" t="s">
        <v>725</v>
      </c>
      <c r="BK188" s="173" t="s">
        <v>725</v>
      </c>
      <c r="BL188" s="173" t="s">
        <v>725</v>
      </c>
      <c r="BM188" s="173" t="s">
        <v>725</v>
      </c>
      <c r="BN188" s="173" t="s">
        <v>725</v>
      </c>
      <c r="BO188" s="173" t="s">
        <v>725</v>
      </c>
      <c r="BP188" s="173" t="s">
        <v>725</v>
      </c>
      <c r="BQ188" s="173" t="s">
        <v>725</v>
      </c>
      <c r="BR188" s="174"/>
      <c r="BS188" s="161" t="str">
        <v>#VALUE!</v>
      </c>
    </row>
    <row customHeight="true" ht="18.51851851851852" r="189">
      <c r="A189" s="161" t="s">
        <v>729</v>
      </c>
      <c r="B189" s="161" t="s">
        <v>730</v>
      </c>
      <c r="C189" s="161" t="s">
        <v>792</v>
      </c>
      <c r="D189" s="162" t="s">
        <v>794</v>
      </c>
      <c r="E189" s="176">
        <v>89</v>
      </c>
      <c r="F189" s="163">
        <v>129.99</v>
      </c>
      <c r="G189" s="164">
        <f t="shared" si="8"/>
      </c>
      <c r="H189" s="164">
        <f t="shared" si="72"/>
      </c>
      <c r="I189" s="164">
        <f t="shared" si="134"/>
      </c>
      <c r="J189" s="165">
        <f t="shared" si="215"/>
      </c>
      <c r="K189" s="166">
        <f t="shared" si="268"/>
      </c>
      <c r="L189" s="167">
        <f t="shared" si="339"/>
      </c>
      <c r="M189" s="164">
        <f t="shared" si="384"/>
      </c>
      <c r="N189" s="166">
        <f t="shared" si="428"/>
      </c>
      <c r="O189" s="166">
        <f t="shared" si="459"/>
      </c>
      <c r="P189" s="161">
        <v>3</v>
      </c>
      <c r="Q189" s="168">
        <v>8</v>
      </c>
      <c r="R189" s="169">
        <f t="shared" si="28"/>
      </c>
      <c r="S189" s="165">
        <f t="shared" si="525"/>
      </c>
      <c r="T189" s="169">
        <f t="shared" si="153"/>
      </c>
      <c r="U189" s="169">
        <v>0.01</v>
      </c>
      <c r="V189" s="169">
        <f t="shared" si="290"/>
      </c>
      <c r="W189" s="169">
        <f t="shared" si="361"/>
      </c>
      <c r="X189" s="170">
        <v>0.188</v>
      </c>
      <c r="Y189" s="171">
        <v>12</v>
      </c>
      <c r="Z189" s="171">
        <f>F189*0.05</f>
      </c>
      <c r="AA189" s="171">
        <f t="shared" si="481"/>
      </c>
      <c r="AB189" s="166">
        <f t="shared" si="503"/>
      </c>
      <c r="AC189" s="166">
        <v>250</v>
      </c>
      <c r="AD189" s="172">
        <f t="shared" si="50"/>
      </c>
      <c r="AE189" s="168">
        <f t="shared" si="99"/>
      </c>
      <c r="AF189" s="169">
        <f t="shared" si="175"/>
      </c>
      <c r="AG189" s="169">
        <f t="shared" si="231"/>
      </c>
      <c r="AH189" s="168">
        <v>30</v>
      </c>
      <c r="AI189" s="169">
        <f t="shared" si="193"/>
      </c>
      <c r="AJ189" s="169"/>
      <c r="AK189" s="169"/>
      <c r="AL189" s="169"/>
      <c r="AM189" s="169"/>
      <c r="AN189" s="173"/>
      <c r="AO189" s="173"/>
      <c r="AP189" s="173"/>
      <c r="AQ189" s="173"/>
      <c r="AR189" s="173"/>
      <c r="AS189" s="173"/>
      <c r="AT189" s="173" t="s">
        <v>725</v>
      </c>
      <c r="AU189" s="173" t="s">
        <v>725</v>
      </c>
      <c r="AV189" s="173" t="s">
        <v>725</v>
      </c>
      <c r="AW189" s="173" t="s">
        <v>725</v>
      </c>
      <c r="AX189" s="173" t="s">
        <v>725</v>
      </c>
      <c r="AY189" s="173" t="s">
        <v>725</v>
      </c>
      <c r="AZ189" s="173" t="s">
        <v>725</v>
      </c>
      <c r="BA189" s="173" t="s">
        <v>725</v>
      </c>
      <c r="BB189" s="173" t="s">
        <v>725</v>
      </c>
      <c r="BC189" s="173" t="s">
        <v>725</v>
      </c>
      <c r="BD189" s="173" t="s">
        <v>725</v>
      </c>
      <c r="BE189" s="173" t="s">
        <v>725</v>
      </c>
      <c r="BF189" s="173" t="s">
        <v>725</v>
      </c>
      <c r="BG189" s="173" t="s">
        <v>725</v>
      </c>
      <c r="BH189" s="173" t="s">
        <v>725</v>
      </c>
      <c r="BI189" s="173" t="s">
        <v>725</v>
      </c>
      <c r="BJ189" s="173" t="s">
        <v>725</v>
      </c>
      <c r="BK189" s="173" t="s">
        <v>725</v>
      </c>
      <c r="BL189" s="173" t="s">
        <v>725</v>
      </c>
      <c r="BM189" s="173" t="s">
        <v>725</v>
      </c>
      <c r="BN189" s="173" t="s">
        <v>725</v>
      </c>
      <c r="BO189" s="173" t="s">
        <v>725</v>
      </c>
      <c r="BP189" s="173" t="s">
        <v>725</v>
      </c>
      <c r="BQ189" s="173" t="s">
        <v>725</v>
      </c>
      <c r="BR189" s="174"/>
      <c r="BS189" s="161" t="str">
        <v>#VALUE!</v>
      </c>
    </row>
    <row customHeight="true" ht="18.51851851851852" r="190">
      <c r="A190" s="161" t="s">
        <v>729</v>
      </c>
      <c r="B190" s="161" t="s">
        <v>730</v>
      </c>
      <c r="C190" s="161" t="s">
        <v>792</v>
      </c>
      <c r="D190" s="162" t="s">
        <v>795</v>
      </c>
      <c r="E190" s="176">
        <v>89</v>
      </c>
      <c r="F190" s="163">
        <v>129.99</v>
      </c>
      <c r="G190" s="164">
        <f t="shared" si="8"/>
      </c>
      <c r="H190" s="164">
        <f t="shared" si="72"/>
      </c>
      <c r="I190" s="164">
        <f t="shared" si="134"/>
      </c>
      <c r="J190" s="165">
        <f t="shared" si="215"/>
      </c>
      <c r="K190" s="166">
        <f t="shared" si="268"/>
      </c>
      <c r="L190" s="167">
        <f t="shared" si="339"/>
      </c>
      <c r="M190" s="164">
        <f t="shared" si="384"/>
      </c>
      <c r="N190" s="166">
        <f t="shared" si="428"/>
      </c>
      <c r="O190" s="166">
        <f t="shared" si="459"/>
      </c>
      <c r="P190" s="161">
        <v>3</v>
      </c>
      <c r="Q190" s="168">
        <v>8</v>
      </c>
      <c r="R190" s="169">
        <f t="shared" si="28"/>
      </c>
      <c r="S190" s="165">
        <f t="shared" si="525"/>
      </c>
      <c r="T190" s="169">
        <f t="shared" si="153"/>
      </c>
      <c r="U190" s="169">
        <v>0.01</v>
      </c>
      <c r="V190" s="169">
        <f t="shared" si="290"/>
      </c>
      <c r="W190" s="169">
        <f t="shared" si="361"/>
      </c>
      <c r="X190" s="170">
        <v>0.188</v>
      </c>
      <c r="Y190" s="171">
        <v>12</v>
      </c>
      <c r="Z190" s="171">
        <f>F190*0.1</f>
      </c>
      <c r="AA190" s="171">
        <f t="shared" si="481"/>
      </c>
      <c r="AB190" s="166">
        <f t="shared" si="503"/>
      </c>
      <c r="AC190" s="166">
        <v>250</v>
      </c>
      <c r="AD190" s="172">
        <f t="shared" si="50"/>
      </c>
      <c r="AE190" s="168">
        <f t="shared" si="99"/>
      </c>
      <c r="AF190" s="169">
        <f t="shared" si="175"/>
      </c>
      <c r="AG190" s="169">
        <f t="shared" si="231"/>
      </c>
      <c r="AH190" s="168">
        <v>30</v>
      </c>
      <c r="AI190" s="169">
        <f t="shared" si="193"/>
      </c>
      <c r="AJ190" s="169"/>
      <c r="AK190" s="169"/>
      <c r="AL190" s="169"/>
      <c r="AM190" s="169"/>
      <c r="AN190" s="173"/>
      <c r="AO190" s="173"/>
      <c r="AP190" s="173"/>
      <c r="AQ190" s="173"/>
      <c r="AR190" s="173"/>
      <c r="AS190" s="173"/>
      <c r="AT190" s="173" t="s">
        <v>725</v>
      </c>
      <c r="AU190" s="173" t="s">
        <v>725</v>
      </c>
      <c r="AV190" s="173" t="s">
        <v>725</v>
      </c>
      <c r="AW190" s="173" t="s">
        <v>725</v>
      </c>
      <c r="AX190" s="173" t="s">
        <v>725</v>
      </c>
      <c r="AY190" s="173" t="s">
        <v>725</v>
      </c>
      <c r="AZ190" s="173" t="s">
        <v>725</v>
      </c>
      <c r="BA190" s="173" t="s">
        <v>725</v>
      </c>
      <c r="BB190" s="173" t="s">
        <v>725</v>
      </c>
      <c r="BC190" s="173" t="s">
        <v>725</v>
      </c>
      <c r="BD190" s="173" t="s">
        <v>725</v>
      </c>
      <c r="BE190" s="173" t="s">
        <v>725</v>
      </c>
      <c r="BF190" s="173" t="s">
        <v>725</v>
      </c>
      <c r="BG190" s="173" t="s">
        <v>725</v>
      </c>
      <c r="BH190" s="173" t="s">
        <v>725</v>
      </c>
      <c r="BI190" s="173" t="s">
        <v>725</v>
      </c>
      <c r="BJ190" s="173" t="s">
        <v>725</v>
      </c>
      <c r="BK190" s="173" t="s">
        <v>725</v>
      </c>
      <c r="BL190" s="173" t="s">
        <v>725</v>
      </c>
      <c r="BM190" s="173" t="s">
        <v>725</v>
      </c>
      <c r="BN190" s="173" t="s">
        <v>725</v>
      </c>
      <c r="BO190" s="173" t="s">
        <v>725</v>
      </c>
      <c r="BP190" s="173" t="s">
        <v>725</v>
      </c>
      <c r="BQ190" s="173" t="s">
        <v>725</v>
      </c>
      <c r="BR190" s="174"/>
      <c r="BS190" s="161" t="str">
        <v>#VALUE!</v>
      </c>
    </row>
    <row customHeight="true" ht="18.51851851851852" r="191">
      <c r="A191" s="161" t="s">
        <v>729</v>
      </c>
      <c r="B191" s="161" t="s">
        <v>730</v>
      </c>
      <c r="C191" s="161" t="s">
        <v>792</v>
      </c>
      <c r="D191" s="162" t="s">
        <v>796</v>
      </c>
      <c r="E191" s="176">
        <v>89</v>
      </c>
      <c r="F191" s="163">
        <v>129.99</v>
      </c>
      <c r="G191" s="164">
        <f t="shared" si="8"/>
      </c>
      <c r="H191" s="164">
        <f t="shared" si="72"/>
      </c>
      <c r="I191" s="164">
        <f t="shared" si="134"/>
      </c>
      <c r="J191" s="165">
        <f t="shared" si="215"/>
      </c>
      <c r="K191" s="166">
        <f t="shared" si="268"/>
      </c>
      <c r="L191" s="167">
        <f t="shared" si="339"/>
      </c>
      <c r="M191" s="164">
        <f t="shared" si="384"/>
      </c>
      <c r="N191" s="166">
        <f t="shared" si="428"/>
      </c>
      <c r="O191" s="166">
        <f t="shared" si="459"/>
      </c>
      <c r="P191" s="161">
        <v>3</v>
      </c>
      <c r="Q191" s="168">
        <v>8</v>
      </c>
      <c r="R191" s="169">
        <f t="shared" si="28"/>
      </c>
      <c r="S191" s="165">
        <f t="shared" si="525"/>
      </c>
      <c r="T191" s="169">
        <f t="shared" si="153"/>
      </c>
      <c r="U191" s="169">
        <v>0.01</v>
      </c>
      <c r="V191" s="169">
        <f t="shared" si="290"/>
      </c>
      <c r="W191" s="169">
        <f t="shared" si="361"/>
      </c>
      <c r="X191" s="170">
        <v>0.188</v>
      </c>
      <c r="Y191" s="171">
        <v>12</v>
      </c>
      <c r="Z191" s="171">
        <f>F191*0.15</f>
      </c>
      <c r="AA191" s="171">
        <f t="shared" si="481"/>
      </c>
      <c r="AB191" s="166">
        <f t="shared" si="503"/>
      </c>
      <c r="AC191" s="166">
        <v>250</v>
      </c>
      <c r="AD191" s="172">
        <f t="shared" si="50"/>
      </c>
      <c r="AE191" s="168">
        <f t="shared" si="99"/>
      </c>
      <c r="AF191" s="169">
        <f t="shared" si="175"/>
      </c>
      <c r="AG191" s="169">
        <f t="shared" si="231"/>
      </c>
      <c r="AH191" s="168">
        <v>30</v>
      </c>
      <c r="AI191" s="169">
        <f t="shared" si="193"/>
      </c>
      <c r="AJ191" s="169"/>
      <c r="AK191" s="169"/>
      <c r="AL191" s="169"/>
      <c r="AM191" s="169"/>
      <c r="AN191" s="173"/>
      <c r="AO191" s="173"/>
      <c r="AP191" s="173"/>
      <c r="AQ191" s="173"/>
      <c r="AR191" s="173"/>
      <c r="AS191" s="173"/>
      <c r="AT191" s="173" t="s">
        <v>725</v>
      </c>
      <c r="AU191" s="173" t="s">
        <v>725</v>
      </c>
      <c r="AV191" s="173" t="s">
        <v>725</v>
      </c>
      <c r="AW191" s="173" t="s">
        <v>725</v>
      </c>
      <c r="AX191" s="173" t="s">
        <v>725</v>
      </c>
      <c r="AY191" s="173" t="s">
        <v>725</v>
      </c>
      <c r="AZ191" s="173" t="s">
        <v>725</v>
      </c>
      <c r="BA191" s="173" t="s">
        <v>725</v>
      </c>
      <c r="BB191" s="173" t="s">
        <v>725</v>
      </c>
      <c r="BC191" s="173" t="s">
        <v>725</v>
      </c>
      <c r="BD191" s="173" t="s">
        <v>725</v>
      </c>
      <c r="BE191" s="173" t="s">
        <v>725</v>
      </c>
      <c r="BF191" s="173" t="s">
        <v>725</v>
      </c>
      <c r="BG191" s="173" t="s">
        <v>725</v>
      </c>
      <c r="BH191" s="173" t="s">
        <v>725</v>
      </c>
      <c r="BI191" s="173" t="s">
        <v>725</v>
      </c>
      <c r="BJ191" s="173" t="s">
        <v>725</v>
      </c>
      <c r="BK191" s="173" t="s">
        <v>725</v>
      </c>
      <c r="BL191" s="173" t="s">
        <v>725</v>
      </c>
      <c r="BM191" s="173" t="s">
        <v>725</v>
      </c>
      <c r="BN191" s="173" t="s">
        <v>725</v>
      </c>
      <c r="BO191" s="173" t="s">
        <v>725</v>
      </c>
      <c r="BP191" s="173" t="s">
        <v>725</v>
      </c>
      <c r="BQ191" s="173" t="s">
        <v>725</v>
      </c>
      <c r="BR191" s="174"/>
      <c r="BS191" s="161" t="str">
        <v>#VALUE!</v>
      </c>
    </row>
    <row customHeight="true" ht="18.51851851851852" r="192">
      <c r="A192" s="161" t="s">
        <v>732</v>
      </c>
      <c r="B192" s="161" t="s">
        <v>730</v>
      </c>
      <c r="C192" s="161" t="s">
        <v>792</v>
      </c>
      <c r="D192" s="162" t="s">
        <v>793</v>
      </c>
      <c r="E192" s="176">
        <v>93</v>
      </c>
      <c r="F192" s="163">
        <v>134.99</v>
      </c>
      <c r="G192" s="164">
        <f t="shared" si="8"/>
      </c>
      <c r="H192" s="164">
        <f t="shared" si="72"/>
      </c>
      <c r="I192" s="164">
        <f t="shared" si="134"/>
      </c>
      <c r="J192" s="165">
        <f t="shared" si="215"/>
      </c>
      <c r="K192" s="166">
        <f t="shared" si="268"/>
      </c>
      <c r="L192" s="167">
        <f t="shared" si="339"/>
      </c>
      <c r="M192" s="164">
        <f t="shared" si="384"/>
      </c>
      <c r="N192" s="166">
        <f t="shared" si="428"/>
      </c>
      <c r="O192" s="166">
        <f t="shared" si="459"/>
      </c>
      <c r="P192" s="161">
        <v>3</v>
      </c>
      <c r="Q192" s="168">
        <v>8</v>
      </c>
      <c r="R192" s="169">
        <f t="shared" si="28"/>
      </c>
      <c r="S192" s="165">
        <f t="shared" si="525"/>
      </c>
      <c r="T192" s="169">
        <f t="shared" si="153"/>
      </c>
      <c r="U192" s="169">
        <v>0.01</v>
      </c>
      <c r="V192" s="169">
        <f t="shared" si="290"/>
      </c>
      <c r="W192" s="169">
        <f t="shared" si="361"/>
      </c>
      <c r="X192" s="170">
        <v>0.188</v>
      </c>
      <c r="Y192" s="171">
        <v>12</v>
      </c>
      <c r="Z192" s="171">
        <v>0</v>
      </c>
      <c r="AA192" s="171">
        <f t="shared" si="481"/>
      </c>
      <c r="AB192" s="166">
        <f t="shared" si="503"/>
      </c>
      <c r="AC192" s="166">
        <v>250</v>
      </c>
      <c r="AD192" s="172">
        <f t="shared" si="50"/>
      </c>
      <c r="AE192" s="168">
        <f t="shared" si="99"/>
      </c>
      <c r="AF192" s="169">
        <f t="shared" si="175"/>
      </c>
      <c r="AG192" s="169">
        <f t="shared" si="231"/>
      </c>
      <c r="AH192" s="168">
        <v>30</v>
      </c>
      <c r="AI192" s="169">
        <f t="shared" si="193"/>
      </c>
      <c r="AJ192" s="169"/>
      <c r="AK192" s="169"/>
      <c r="AL192" s="169"/>
      <c r="AM192" s="169"/>
      <c r="AN192" s="173"/>
      <c r="AO192" s="173"/>
      <c r="AP192" s="173"/>
      <c r="AQ192" s="173"/>
      <c r="AR192" s="173"/>
      <c r="AS192" s="173"/>
      <c r="AT192" s="173" t="s">
        <v>725</v>
      </c>
      <c r="AU192" s="173" t="s">
        <v>725</v>
      </c>
      <c r="AV192" s="173" t="s">
        <v>725</v>
      </c>
      <c r="AW192" s="173" t="s">
        <v>725</v>
      </c>
      <c r="AX192" s="173" t="s">
        <v>725</v>
      </c>
      <c r="AY192" s="173" t="s">
        <v>725</v>
      </c>
      <c r="AZ192" s="173" t="s">
        <v>725</v>
      </c>
      <c r="BA192" s="173" t="s">
        <v>725</v>
      </c>
      <c r="BB192" s="173" t="s">
        <v>725</v>
      </c>
      <c r="BC192" s="173" t="s">
        <v>725</v>
      </c>
      <c r="BD192" s="173" t="s">
        <v>725</v>
      </c>
      <c r="BE192" s="173" t="s">
        <v>725</v>
      </c>
      <c r="BF192" s="173" t="s">
        <v>725</v>
      </c>
      <c r="BG192" s="173" t="s">
        <v>725</v>
      </c>
      <c r="BH192" s="173" t="s">
        <v>725</v>
      </c>
      <c r="BI192" s="173" t="s">
        <v>725</v>
      </c>
      <c r="BJ192" s="173" t="s">
        <v>725</v>
      </c>
      <c r="BK192" s="173" t="s">
        <v>725</v>
      </c>
      <c r="BL192" s="173" t="s">
        <v>725</v>
      </c>
      <c r="BM192" s="173" t="s">
        <v>725</v>
      </c>
      <c r="BN192" s="173" t="s">
        <v>725</v>
      </c>
      <c r="BO192" s="173" t="s">
        <v>725</v>
      </c>
      <c r="BP192" s="173" t="s">
        <v>725</v>
      </c>
      <c r="BQ192" s="173" t="s">
        <v>725</v>
      </c>
      <c r="BR192" s="174"/>
      <c r="BS192" s="161" t="str">
        <v>#VALUE!</v>
      </c>
    </row>
    <row customHeight="true" ht="18.51851851851852" r="193">
      <c r="A193" s="161" t="s">
        <v>732</v>
      </c>
      <c r="B193" s="161" t="s">
        <v>730</v>
      </c>
      <c r="C193" s="161" t="s">
        <v>792</v>
      </c>
      <c r="D193" s="162" t="s">
        <v>794</v>
      </c>
      <c r="E193" s="176">
        <v>93</v>
      </c>
      <c r="F193" s="163">
        <v>134.99</v>
      </c>
      <c r="G193" s="164">
        <f t="shared" si="8"/>
      </c>
      <c r="H193" s="164">
        <f t="shared" si="72"/>
      </c>
      <c r="I193" s="164">
        <f t="shared" si="134"/>
      </c>
      <c r="J193" s="165">
        <f t="shared" si="215"/>
      </c>
      <c r="K193" s="166">
        <f t="shared" si="268"/>
      </c>
      <c r="L193" s="167">
        <f t="shared" si="339"/>
      </c>
      <c r="M193" s="164">
        <f t="shared" si="384"/>
      </c>
      <c r="N193" s="166">
        <f t="shared" si="428"/>
      </c>
      <c r="O193" s="166">
        <f t="shared" si="459"/>
      </c>
      <c r="P193" s="161">
        <v>3</v>
      </c>
      <c r="Q193" s="168">
        <v>8</v>
      </c>
      <c r="R193" s="169">
        <f t="shared" si="28"/>
      </c>
      <c r="S193" s="165">
        <f t="shared" si="525"/>
      </c>
      <c r="T193" s="169">
        <f t="shared" si="153"/>
      </c>
      <c r="U193" s="169">
        <v>0.01</v>
      </c>
      <c r="V193" s="169">
        <f t="shared" si="290"/>
      </c>
      <c r="W193" s="169">
        <f t="shared" si="361"/>
      </c>
      <c r="X193" s="170">
        <v>0.188</v>
      </c>
      <c r="Y193" s="171">
        <v>12</v>
      </c>
      <c r="Z193" s="171">
        <f>F193*0.05</f>
      </c>
      <c r="AA193" s="171">
        <f t="shared" si="481"/>
      </c>
      <c r="AB193" s="166">
        <f t="shared" si="503"/>
      </c>
      <c r="AC193" s="166">
        <v>250</v>
      </c>
      <c r="AD193" s="172">
        <f t="shared" si="50"/>
      </c>
      <c r="AE193" s="168">
        <f t="shared" si="99"/>
      </c>
      <c r="AF193" s="169">
        <f t="shared" si="175"/>
      </c>
      <c r="AG193" s="169">
        <f t="shared" si="231"/>
      </c>
      <c r="AH193" s="168">
        <v>30</v>
      </c>
      <c r="AI193" s="169">
        <f t="shared" si="193"/>
      </c>
      <c r="AJ193" s="169"/>
      <c r="AK193" s="169"/>
      <c r="AL193" s="169"/>
      <c r="AM193" s="169"/>
      <c r="AN193" s="173"/>
      <c r="AO193" s="173"/>
      <c r="AP193" s="173"/>
      <c r="AQ193" s="173"/>
      <c r="AR193" s="173"/>
      <c r="AS193" s="173"/>
      <c r="AT193" s="173" t="s">
        <v>725</v>
      </c>
      <c r="AU193" s="173" t="s">
        <v>725</v>
      </c>
      <c r="AV193" s="173" t="s">
        <v>725</v>
      </c>
      <c r="AW193" s="173" t="s">
        <v>725</v>
      </c>
      <c r="AX193" s="173" t="s">
        <v>725</v>
      </c>
      <c r="AY193" s="173" t="s">
        <v>725</v>
      </c>
      <c r="AZ193" s="173" t="s">
        <v>725</v>
      </c>
      <c r="BA193" s="173" t="s">
        <v>725</v>
      </c>
      <c r="BB193" s="173" t="s">
        <v>725</v>
      </c>
      <c r="BC193" s="173" t="s">
        <v>725</v>
      </c>
      <c r="BD193" s="173" t="s">
        <v>725</v>
      </c>
      <c r="BE193" s="173" t="s">
        <v>725</v>
      </c>
      <c r="BF193" s="173" t="s">
        <v>725</v>
      </c>
      <c r="BG193" s="173" t="s">
        <v>725</v>
      </c>
      <c r="BH193" s="173" t="s">
        <v>725</v>
      </c>
      <c r="BI193" s="173" t="s">
        <v>725</v>
      </c>
      <c r="BJ193" s="173" t="s">
        <v>725</v>
      </c>
      <c r="BK193" s="173" t="s">
        <v>725</v>
      </c>
      <c r="BL193" s="173" t="s">
        <v>725</v>
      </c>
      <c r="BM193" s="173" t="s">
        <v>725</v>
      </c>
      <c r="BN193" s="173" t="s">
        <v>725</v>
      </c>
      <c r="BO193" s="173" t="s">
        <v>725</v>
      </c>
      <c r="BP193" s="173" t="s">
        <v>725</v>
      </c>
      <c r="BQ193" s="173" t="s">
        <v>725</v>
      </c>
      <c r="BR193" s="174"/>
      <c r="BS193" s="161" t="str">
        <v>#VALUE!</v>
      </c>
    </row>
    <row customHeight="true" ht="18.51851851851852" r="194">
      <c r="A194" s="161" t="s">
        <v>732</v>
      </c>
      <c r="B194" s="161" t="s">
        <v>730</v>
      </c>
      <c r="C194" s="161" t="s">
        <v>792</v>
      </c>
      <c r="D194" s="162" t="s">
        <v>795</v>
      </c>
      <c r="E194" s="176">
        <v>93</v>
      </c>
      <c r="F194" s="163">
        <v>134.99</v>
      </c>
      <c r="G194" s="164">
        <f t="shared" si="8"/>
      </c>
      <c r="H194" s="164">
        <f t="shared" si="72"/>
      </c>
      <c r="I194" s="164">
        <f t="shared" si="134"/>
      </c>
      <c r="J194" s="165">
        <f t="shared" si="215"/>
      </c>
      <c r="K194" s="166">
        <f t="shared" si="268"/>
      </c>
      <c r="L194" s="167">
        <f t="shared" si="339"/>
      </c>
      <c r="M194" s="164">
        <f t="shared" si="384"/>
      </c>
      <c r="N194" s="166">
        <f t="shared" si="428"/>
      </c>
      <c r="O194" s="166">
        <f t="shared" si="459"/>
      </c>
      <c r="P194" s="161">
        <v>3</v>
      </c>
      <c r="Q194" s="168">
        <v>8</v>
      </c>
      <c r="R194" s="169">
        <f t="shared" si="28"/>
      </c>
      <c r="S194" s="165">
        <f t="shared" si="525"/>
      </c>
      <c r="T194" s="169">
        <f t="shared" si="153"/>
      </c>
      <c r="U194" s="169">
        <v>0.01</v>
      </c>
      <c r="V194" s="169">
        <f t="shared" si="290"/>
      </c>
      <c r="W194" s="169">
        <f t="shared" si="361"/>
      </c>
      <c r="X194" s="170">
        <v>0.188</v>
      </c>
      <c r="Y194" s="171">
        <v>12</v>
      </c>
      <c r="Z194" s="171">
        <f>F194*0.1</f>
      </c>
      <c r="AA194" s="171">
        <f t="shared" si="481"/>
      </c>
      <c r="AB194" s="166">
        <f t="shared" si="503"/>
      </c>
      <c r="AC194" s="166">
        <v>250</v>
      </c>
      <c r="AD194" s="172">
        <f t="shared" si="50"/>
      </c>
      <c r="AE194" s="168">
        <f t="shared" si="99"/>
      </c>
      <c r="AF194" s="169">
        <f t="shared" si="175"/>
      </c>
      <c r="AG194" s="169">
        <f t="shared" si="231"/>
      </c>
      <c r="AH194" s="168">
        <v>30</v>
      </c>
      <c r="AI194" s="169">
        <f t="shared" si="193"/>
      </c>
      <c r="AJ194" s="169"/>
      <c r="AK194" s="169"/>
      <c r="AL194" s="169"/>
      <c r="AM194" s="169"/>
      <c r="AN194" s="173"/>
      <c r="AO194" s="173"/>
      <c r="AP194" s="173"/>
      <c r="AQ194" s="173"/>
      <c r="AR194" s="173"/>
      <c r="AS194" s="173"/>
      <c r="AT194" s="173" t="s">
        <v>725</v>
      </c>
      <c r="AU194" s="173" t="s">
        <v>725</v>
      </c>
      <c r="AV194" s="173" t="s">
        <v>725</v>
      </c>
      <c r="AW194" s="173" t="s">
        <v>725</v>
      </c>
      <c r="AX194" s="173" t="s">
        <v>725</v>
      </c>
      <c r="AY194" s="173" t="s">
        <v>725</v>
      </c>
      <c r="AZ194" s="173" t="s">
        <v>725</v>
      </c>
      <c r="BA194" s="173" t="s">
        <v>725</v>
      </c>
      <c r="BB194" s="173" t="s">
        <v>725</v>
      </c>
      <c r="BC194" s="173" t="s">
        <v>725</v>
      </c>
      <c r="BD194" s="173" t="s">
        <v>725</v>
      </c>
      <c r="BE194" s="173" t="s">
        <v>725</v>
      </c>
      <c r="BF194" s="173" t="s">
        <v>725</v>
      </c>
      <c r="BG194" s="173" t="s">
        <v>725</v>
      </c>
      <c r="BH194" s="173" t="s">
        <v>725</v>
      </c>
      <c r="BI194" s="173" t="s">
        <v>725</v>
      </c>
      <c r="BJ194" s="173" t="s">
        <v>725</v>
      </c>
      <c r="BK194" s="173" t="s">
        <v>725</v>
      </c>
      <c r="BL194" s="173" t="s">
        <v>725</v>
      </c>
      <c r="BM194" s="173" t="s">
        <v>725</v>
      </c>
      <c r="BN194" s="173" t="s">
        <v>725</v>
      </c>
      <c r="BO194" s="173" t="s">
        <v>725</v>
      </c>
      <c r="BP194" s="173" t="s">
        <v>725</v>
      </c>
      <c r="BQ194" s="173" t="s">
        <v>725</v>
      </c>
      <c r="BR194" s="174"/>
      <c r="BS194" s="161" t="str">
        <v>#VALUE!</v>
      </c>
    </row>
    <row customHeight="true" ht="18.51851851851852" r="195">
      <c r="A195" s="161" t="s">
        <v>732</v>
      </c>
      <c r="B195" s="161" t="s">
        <v>730</v>
      </c>
      <c r="C195" s="161" t="s">
        <v>792</v>
      </c>
      <c r="D195" s="162" t="s">
        <v>796</v>
      </c>
      <c r="E195" s="176">
        <v>93</v>
      </c>
      <c r="F195" s="163">
        <v>134.99</v>
      </c>
      <c r="G195" s="164">
        <f t="shared" si="8"/>
      </c>
      <c r="H195" s="164">
        <f t="shared" si="72"/>
      </c>
      <c r="I195" s="164">
        <f t="shared" si="134"/>
      </c>
      <c r="J195" s="165">
        <f t="shared" si="215"/>
      </c>
      <c r="K195" s="166">
        <f t="shared" si="268"/>
      </c>
      <c r="L195" s="167">
        <f t="shared" si="339"/>
      </c>
      <c r="M195" s="164">
        <f t="shared" si="384"/>
      </c>
      <c r="N195" s="166">
        <f t="shared" si="428"/>
      </c>
      <c r="O195" s="166">
        <f t="shared" si="459"/>
      </c>
      <c r="P195" s="161">
        <v>3</v>
      </c>
      <c r="Q195" s="168">
        <v>8</v>
      </c>
      <c r="R195" s="169">
        <f t="shared" si="28"/>
      </c>
      <c r="S195" s="165">
        <f t="shared" si="525"/>
      </c>
      <c r="T195" s="169">
        <f t="shared" si="153"/>
      </c>
      <c r="U195" s="169">
        <v>0.01</v>
      </c>
      <c r="V195" s="169">
        <f t="shared" si="290"/>
      </c>
      <c r="W195" s="169">
        <f t="shared" si="361"/>
      </c>
      <c r="X195" s="170">
        <v>0.188</v>
      </c>
      <c r="Y195" s="171">
        <v>12</v>
      </c>
      <c r="Z195" s="171">
        <f>F195*0.15</f>
      </c>
      <c r="AA195" s="171">
        <f t="shared" si="481"/>
      </c>
      <c r="AB195" s="166">
        <f t="shared" si="503"/>
      </c>
      <c r="AC195" s="166">
        <v>250</v>
      </c>
      <c r="AD195" s="172">
        <f t="shared" si="50"/>
      </c>
      <c r="AE195" s="168">
        <f t="shared" si="99"/>
      </c>
      <c r="AF195" s="169">
        <f t="shared" si="175"/>
      </c>
      <c r="AG195" s="169">
        <f t="shared" si="231"/>
      </c>
      <c r="AH195" s="168">
        <v>30</v>
      </c>
      <c r="AI195" s="169">
        <f t="shared" ref="AI195:AI207" si="309">(K195-E195+AB195)/(K195-Z195)</f>
      </c>
      <c r="AJ195" s="169"/>
      <c r="AK195" s="169"/>
      <c r="AL195" s="169"/>
      <c r="AM195" s="169"/>
      <c r="AN195" s="173"/>
      <c r="AO195" s="173"/>
      <c r="AP195" s="173"/>
      <c r="AQ195" s="173"/>
      <c r="AR195" s="173"/>
      <c r="AS195" s="173"/>
      <c r="AT195" s="173" t="s">
        <v>725</v>
      </c>
      <c r="AU195" s="173" t="s">
        <v>725</v>
      </c>
      <c r="AV195" s="173" t="s">
        <v>725</v>
      </c>
      <c r="AW195" s="173" t="s">
        <v>725</v>
      </c>
      <c r="AX195" s="173" t="s">
        <v>725</v>
      </c>
      <c r="AY195" s="173" t="s">
        <v>725</v>
      </c>
      <c r="AZ195" s="173" t="s">
        <v>725</v>
      </c>
      <c r="BA195" s="173" t="s">
        <v>725</v>
      </c>
      <c r="BB195" s="173" t="s">
        <v>725</v>
      </c>
      <c r="BC195" s="173" t="s">
        <v>725</v>
      </c>
      <c r="BD195" s="173" t="s">
        <v>725</v>
      </c>
      <c r="BE195" s="173" t="s">
        <v>725</v>
      </c>
      <c r="BF195" s="173" t="s">
        <v>725</v>
      </c>
      <c r="BG195" s="173" t="s">
        <v>725</v>
      </c>
      <c r="BH195" s="173" t="s">
        <v>725</v>
      </c>
      <c r="BI195" s="173" t="s">
        <v>725</v>
      </c>
      <c r="BJ195" s="173" t="s">
        <v>725</v>
      </c>
      <c r="BK195" s="173" t="s">
        <v>725</v>
      </c>
      <c r="BL195" s="173" t="s">
        <v>725</v>
      </c>
      <c r="BM195" s="173" t="s">
        <v>725</v>
      </c>
      <c r="BN195" s="173" t="s">
        <v>725</v>
      </c>
      <c r="BO195" s="173" t="s">
        <v>725</v>
      </c>
      <c r="BP195" s="173" t="s">
        <v>725</v>
      </c>
      <c r="BQ195" s="173" t="s">
        <v>725</v>
      </c>
      <c r="BR195" s="174"/>
      <c r="BS195" s="161" t="str">
        <v>#VALUE!</v>
      </c>
    </row>
    <row customHeight="true" ht="18.51851851851852" r="196">
      <c r="A196" s="161" t="s">
        <v>733</v>
      </c>
      <c r="B196" s="161" t="s">
        <v>730</v>
      </c>
      <c r="C196" s="161" t="s">
        <v>792</v>
      </c>
      <c r="D196" s="162" t="s">
        <v>793</v>
      </c>
      <c r="E196" s="176">
        <v>93</v>
      </c>
      <c r="F196" s="163">
        <v>134.99</v>
      </c>
      <c r="G196" s="164">
        <f t="shared" si="8"/>
      </c>
      <c r="H196" s="164">
        <f t="shared" si="72"/>
      </c>
      <c r="I196" s="164">
        <f t="shared" si="134"/>
      </c>
      <c r="J196" s="165">
        <f t="shared" si="215"/>
      </c>
      <c r="K196" s="166">
        <f t="shared" si="268"/>
      </c>
      <c r="L196" s="167">
        <f t="shared" si="339"/>
      </c>
      <c r="M196" s="164">
        <f t="shared" si="384"/>
      </c>
      <c r="N196" s="166">
        <f t="shared" si="428"/>
      </c>
      <c r="O196" s="166">
        <f t="shared" si="459"/>
      </c>
      <c r="P196" s="161">
        <v>3</v>
      </c>
      <c r="Q196" s="168">
        <v>8</v>
      </c>
      <c r="R196" s="169">
        <f t="shared" si="28"/>
      </c>
      <c r="S196" s="165">
        <f t="shared" si="525"/>
      </c>
      <c r="T196" s="169">
        <f t="shared" si="153"/>
      </c>
      <c r="U196" s="169">
        <v>0.01</v>
      </c>
      <c r="V196" s="169">
        <f t="shared" si="290"/>
      </c>
      <c r="W196" s="169">
        <f t="shared" si="361"/>
      </c>
      <c r="X196" s="170">
        <v>0.188</v>
      </c>
      <c r="Y196" s="171">
        <v>12</v>
      </c>
      <c r="Z196" s="171">
        <v>0</v>
      </c>
      <c r="AA196" s="171">
        <f t="shared" si="481"/>
      </c>
      <c r="AB196" s="166">
        <f t="shared" si="503"/>
      </c>
      <c r="AC196" s="166">
        <v>250</v>
      </c>
      <c r="AD196" s="172">
        <f t="shared" si="50"/>
      </c>
      <c r="AE196" s="168">
        <f t="shared" si="99"/>
      </c>
      <c r="AF196" s="169">
        <f t="shared" si="175"/>
      </c>
      <c r="AG196" s="169">
        <f t="shared" si="231"/>
      </c>
      <c r="AH196" s="168">
        <v>30</v>
      </c>
      <c r="AI196" s="165">
        <f t="shared" si="309"/>
      </c>
      <c r="AJ196" s="165"/>
      <c r="AK196" s="165"/>
      <c r="AL196" s="165"/>
      <c r="AM196" s="165"/>
      <c r="AN196" s="173"/>
      <c r="AO196" s="173"/>
      <c r="AP196" s="173"/>
      <c r="AQ196" s="173"/>
      <c r="AR196" s="173"/>
      <c r="AS196" s="173"/>
      <c r="AT196" s="173" t="s">
        <v>725</v>
      </c>
      <c r="AU196" s="173" t="s">
        <v>725</v>
      </c>
      <c r="AV196" s="173" t="s">
        <v>725</v>
      </c>
      <c r="AW196" s="173" t="s">
        <v>725</v>
      </c>
      <c r="AX196" s="173" t="s">
        <v>725</v>
      </c>
      <c r="AY196" s="173" t="s">
        <v>725</v>
      </c>
      <c r="AZ196" s="173" t="s">
        <v>725</v>
      </c>
      <c r="BA196" s="173" t="s">
        <v>725</v>
      </c>
      <c r="BB196" s="173" t="s">
        <v>725</v>
      </c>
      <c r="BC196" s="173" t="s">
        <v>725</v>
      </c>
      <c r="BD196" s="173" t="s">
        <v>725</v>
      </c>
      <c r="BE196" s="173" t="s">
        <v>725</v>
      </c>
      <c r="BF196" s="173" t="s">
        <v>725</v>
      </c>
      <c r="BG196" s="173" t="s">
        <v>725</v>
      </c>
      <c r="BH196" s="173" t="s">
        <v>725</v>
      </c>
      <c r="BI196" s="173" t="s">
        <v>725</v>
      </c>
      <c r="BJ196" s="173" t="s">
        <v>725</v>
      </c>
      <c r="BK196" s="173" t="s">
        <v>725</v>
      </c>
      <c r="BL196" s="173" t="s">
        <v>725</v>
      </c>
      <c r="BM196" s="173" t="s">
        <v>725</v>
      </c>
      <c r="BN196" s="173" t="s">
        <v>725</v>
      </c>
      <c r="BO196" s="173" t="s">
        <v>725</v>
      </c>
      <c r="BP196" s="173" t="s">
        <v>725</v>
      </c>
      <c r="BQ196" s="173" t="s">
        <v>725</v>
      </c>
      <c r="BR196" s="174"/>
      <c r="BS196" s="161" t="str">
        <v>#VALUE!</v>
      </c>
    </row>
    <row customHeight="true" ht="18.51851851851852" r="197">
      <c r="A197" s="161" t="s">
        <v>733</v>
      </c>
      <c r="B197" s="161" t="s">
        <v>730</v>
      </c>
      <c r="C197" s="161" t="s">
        <v>792</v>
      </c>
      <c r="D197" s="162" t="s">
        <v>794</v>
      </c>
      <c r="E197" s="176">
        <v>93</v>
      </c>
      <c r="F197" s="163">
        <v>134.99</v>
      </c>
      <c r="G197" s="164">
        <f t="shared" si="8"/>
      </c>
      <c r="H197" s="164">
        <f t="shared" si="72"/>
      </c>
      <c r="I197" s="164">
        <f t="shared" si="134"/>
      </c>
      <c r="J197" s="165">
        <f t="shared" si="215"/>
      </c>
      <c r="K197" s="166">
        <f t="shared" si="268"/>
      </c>
      <c r="L197" s="167">
        <f t="shared" si="339"/>
      </c>
      <c r="M197" s="164">
        <f t="shared" si="384"/>
      </c>
      <c r="N197" s="166">
        <f t="shared" si="428"/>
      </c>
      <c r="O197" s="166">
        <f t="shared" si="459"/>
      </c>
      <c r="P197" s="161">
        <v>3</v>
      </c>
      <c r="Q197" s="168">
        <v>8</v>
      </c>
      <c r="R197" s="169">
        <f t="shared" si="28"/>
      </c>
      <c r="S197" s="165">
        <f t="shared" si="525"/>
      </c>
      <c r="T197" s="169">
        <f t="shared" si="153"/>
      </c>
      <c r="U197" s="169">
        <v>0.01</v>
      </c>
      <c r="V197" s="169">
        <f t="shared" si="290"/>
      </c>
      <c r="W197" s="169">
        <f t="shared" si="361"/>
      </c>
      <c r="X197" s="170">
        <v>0.188</v>
      </c>
      <c r="Y197" s="171">
        <v>12</v>
      </c>
      <c r="Z197" s="171">
        <f>F197*0.05</f>
      </c>
      <c r="AA197" s="171">
        <f t="shared" si="481"/>
      </c>
      <c r="AB197" s="166">
        <f t="shared" si="503"/>
      </c>
      <c r="AC197" s="166">
        <v>250</v>
      </c>
      <c r="AD197" s="172">
        <f t="shared" si="50"/>
      </c>
      <c r="AE197" s="168">
        <f t="shared" si="99"/>
      </c>
      <c r="AF197" s="169">
        <f t="shared" si="175"/>
      </c>
      <c r="AG197" s="169">
        <f t="shared" si="231"/>
      </c>
      <c r="AH197" s="168">
        <v>30</v>
      </c>
      <c r="AI197" s="165">
        <f t="shared" si="309"/>
      </c>
      <c r="AJ197" s="165"/>
      <c r="AK197" s="165"/>
      <c r="AL197" s="165"/>
      <c r="AM197" s="165"/>
      <c r="AN197" s="173"/>
      <c r="AO197" s="173"/>
      <c r="AP197" s="173"/>
      <c r="AQ197" s="173"/>
      <c r="AR197" s="173"/>
      <c r="AS197" s="173"/>
      <c r="AT197" s="173" t="s">
        <v>725</v>
      </c>
      <c r="AU197" s="173" t="s">
        <v>725</v>
      </c>
      <c r="AV197" s="173" t="s">
        <v>725</v>
      </c>
      <c r="AW197" s="173" t="s">
        <v>725</v>
      </c>
      <c r="AX197" s="173" t="s">
        <v>725</v>
      </c>
      <c r="AY197" s="173" t="s">
        <v>725</v>
      </c>
      <c r="AZ197" s="173" t="s">
        <v>725</v>
      </c>
      <c r="BA197" s="173" t="s">
        <v>725</v>
      </c>
      <c r="BB197" s="173" t="s">
        <v>725</v>
      </c>
      <c r="BC197" s="173" t="s">
        <v>725</v>
      </c>
      <c r="BD197" s="173" t="s">
        <v>725</v>
      </c>
      <c r="BE197" s="173" t="s">
        <v>725</v>
      </c>
      <c r="BF197" s="173" t="s">
        <v>725</v>
      </c>
      <c r="BG197" s="173" t="s">
        <v>725</v>
      </c>
      <c r="BH197" s="173" t="s">
        <v>725</v>
      </c>
      <c r="BI197" s="173" t="s">
        <v>725</v>
      </c>
      <c r="BJ197" s="173" t="s">
        <v>725</v>
      </c>
      <c r="BK197" s="173" t="s">
        <v>725</v>
      </c>
      <c r="BL197" s="173" t="s">
        <v>725</v>
      </c>
      <c r="BM197" s="173" t="s">
        <v>725</v>
      </c>
      <c r="BN197" s="173" t="s">
        <v>725</v>
      </c>
      <c r="BO197" s="173" t="s">
        <v>725</v>
      </c>
      <c r="BP197" s="173" t="s">
        <v>725</v>
      </c>
      <c r="BQ197" s="173" t="s">
        <v>725</v>
      </c>
      <c r="BR197" s="174"/>
      <c r="BS197" s="161" t="str">
        <v>#VALUE!</v>
      </c>
    </row>
    <row customHeight="true" ht="18.51851851851852" r="198">
      <c r="A198" s="161" t="s">
        <v>733</v>
      </c>
      <c r="B198" s="161" t="s">
        <v>730</v>
      </c>
      <c r="C198" s="161" t="s">
        <v>792</v>
      </c>
      <c r="D198" s="162" t="s">
        <v>795</v>
      </c>
      <c r="E198" s="176">
        <v>93</v>
      </c>
      <c r="F198" s="163">
        <v>134.99</v>
      </c>
      <c r="G198" s="164">
        <f t="shared" si="8"/>
      </c>
      <c r="H198" s="164">
        <f t="shared" si="72"/>
      </c>
      <c r="I198" s="164">
        <f t="shared" si="134"/>
      </c>
      <c r="J198" s="165">
        <f t="shared" si="215"/>
      </c>
      <c r="K198" s="166">
        <f t="shared" si="268"/>
      </c>
      <c r="L198" s="167">
        <f t="shared" si="339"/>
      </c>
      <c r="M198" s="164">
        <f t="shared" si="384"/>
      </c>
      <c r="N198" s="166">
        <f t="shared" si="428"/>
      </c>
      <c r="O198" s="166">
        <f t="shared" si="459"/>
      </c>
      <c r="P198" s="161">
        <v>3</v>
      </c>
      <c r="Q198" s="168">
        <v>8</v>
      </c>
      <c r="R198" s="169">
        <f t="shared" si="28"/>
      </c>
      <c r="S198" s="165">
        <f t="shared" si="525"/>
      </c>
      <c r="T198" s="169">
        <f t="shared" si="153"/>
      </c>
      <c r="U198" s="169">
        <v>0.01</v>
      </c>
      <c r="V198" s="169">
        <f t="shared" si="290"/>
      </c>
      <c r="W198" s="169">
        <f t="shared" si="361"/>
      </c>
      <c r="X198" s="170">
        <v>0.188</v>
      </c>
      <c r="Y198" s="171">
        <v>12</v>
      </c>
      <c r="Z198" s="171">
        <f>F198*0.1</f>
      </c>
      <c r="AA198" s="171">
        <f t="shared" si="481"/>
      </c>
      <c r="AB198" s="166">
        <f t="shared" si="503"/>
      </c>
      <c r="AC198" s="166">
        <v>250</v>
      </c>
      <c r="AD198" s="172">
        <f t="shared" si="50"/>
      </c>
      <c r="AE198" s="168">
        <f t="shared" si="99"/>
      </c>
      <c r="AF198" s="169">
        <f t="shared" si="175"/>
      </c>
      <c r="AG198" s="169">
        <f t="shared" si="231"/>
      </c>
      <c r="AH198" s="168">
        <v>30</v>
      </c>
      <c r="AI198" s="165">
        <f t="shared" si="309"/>
      </c>
      <c r="AJ198" s="165"/>
      <c r="AK198" s="165"/>
      <c r="AL198" s="165"/>
      <c r="AM198" s="165"/>
      <c r="AN198" s="173"/>
      <c r="AO198" s="173"/>
      <c r="AP198" s="173"/>
      <c r="AQ198" s="173"/>
      <c r="AR198" s="173"/>
      <c r="AS198" s="173"/>
      <c r="AT198" s="173" t="s">
        <v>725</v>
      </c>
      <c r="AU198" s="173" t="s">
        <v>725</v>
      </c>
      <c r="AV198" s="173" t="s">
        <v>725</v>
      </c>
      <c r="AW198" s="173" t="s">
        <v>725</v>
      </c>
      <c r="AX198" s="173" t="s">
        <v>725</v>
      </c>
      <c r="AY198" s="173" t="s">
        <v>725</v>
      </c>
      <c r="AZ198" s="173" t="s">
        <v>725</v>
      </c>
      <c r="BA198" s="173" t="s">
        <v>725</v>
      </c>
      <c r="BB198" s="173" t="s">
        <v>725</v>
      </c>
      <c r="BC198" s="173" t="s">
        <v>725</v>
      </c>
      <c r="BD198" s="173" t="s">
        <v>725</v>
      </c>
      <c r="BE198" s="173" t="s">
        <v>725</v>
      </c>
      <c r="BF198" s="173" t="s">
        <v>725</v>
      </c>
      <c r="BG198" s="173" t="s">
        <v>725</v>
      </c>
      <c r="BH198" s="173" t="s">
        <v>725</v>
      </c>
      <c r="BI198" s="173" t="s">
        <v>725</v>
      </c>
      <c r="BJ198" s="173" t="s">
        <v>725</v>
      </c>
      <c r="BK198" s="173" t="s">
        <v>725</v>
      </c>
      <c r="BL198" s="173" t="s">
        <v>725</v>
      </c>
      <c r="BM198" s="173" t="s">
        <v>725</v>
      </c>
      <c r="BN198" s="173" t="s">
        <v>725</v>
      </c>
      <c r="BO198" s="173" t="s">
        <v>725</v>
      </c>
      <c r="BP198" s="173" t="s">
        <v>725</v>
      </c>
      <c r="BQ198" s="173" t="s">
        <v>725</v>
      </c>
      <c r="BR198" s="174"/>
      <c r="BS198" s="161" t="str">
        <v>#VALUE!</v>
      </c>
    </row>
    <row customHeight="true" ht="18.51851851851852" r="199">
      <c r="A199" s="161" t="s">
        <v>733</v>
      </c>
      <c r="B199" s="161" t="s">
        <v>730</v>
      </c>
      <c r="C199" s="161" t="s">
        <v>792</v>
      </c>
      <c r="D199" s="162" t="s">
        <v>796</v>
      </c>
      <c r="E199" s="176">
        <v>93</v>
      </c>
      <c r="F199" s="163">
        <v>134.99</v>
      </c>
      <c r="G199" s="164">
        <f t="shared" si="8"/>
      </c>
      <c r="H199" s="164">
        <f t="shared" si="72"/>
      </c>
      <c r="I199" s="164">
        <f t="shared" si="134"/>
      </c>
      <c r="J199" s="165">
        <f t="shared" si="215"/>
      </c>
      <c r="K199" s="166">
        <f t="shared" si="268"/>
      </c>
      <c r="L199" s="167">
        <f t="shared" si="339"/>
      </c>
      <c r="M199" s="164">
        <f t="shared" si="384"/>
      </c>
      <c r="N199" s="166">
        <f t="shared" si="428"/>
      </c>
      <c r="O199" s="166">
        <f t="shared" si="459"/>
      </c>
      <c r="P199" s="161">
        <v>3</v>
      </c>
      <c r="Q199" s="168">
        <v>8</v>
      </c>
      <c r="R199" s="169">
        <f t="shared" si="28"/>
      </c>
      <c r="S199" s="165">
        <f t="shared" si="525"/>
      </c>
      <c r="T199" s="169">
        <f t="shared" si="153"/>
      </c>
      <c r="U199" s="169">
        <v>0.01</v>
      </c>
      <c r="V199" s="169">
        <f t="shared" si="290"/>
      </c>
      <c r="W199" s="169">
        <f t="shared" si="361"/>
      </c>
      <c r="X199" s="170">
        <v>0.188</v>
      </c>
      <c r="Y199" s="171">
        <v>12</v>
      </c>
      <c r="Z199" s="171">
        <f>F199*0.15</f>
      </c>
      <c r="AA199" s="171">
        <f t="shared" si="481"/>
      </c>
      <c r="AB199" s="166">
        <f t="shared" si="503"/>
      </c>
      <c r="AC199" s="166">
        <v>250</v>
      </c>
      <c r="AD199" s="172">
        <f t="shared" si="50"/>
      </c>
      <c r="AE199" s="168">
        <f t="shared" si="99"/>
      </c>
      <c r="AF199" s="169">
        <f t="shared" si="175"/>
      </c>
      <c r="AG199" s="169">
        <f t="shared" si="231"/>
      </c>
      <c r="AH199" s="168">
        <v>30</v>
      </c>
      <c r="AI199" s="165">
        <f t="shared" si="309"/>
      </c>
      <c r="AJ199" s="165"/>
      <c r="AK199" s="165"/>
      <c r="AL199" s="165"/>
      <c r="AM199" s="165"/>
      <c r="AN199" s="173"/>
      <c r="AO199" s="173"/>
      <c r="AP199" s="173"/>
      <c r="AQ199" s="173"/>
      <c r="AR199" s="173"/>
      <c r="AS199" s="173"/>
      <c r="AT199" s="173" t="s">
        <v>725</v>
      </c>
      <c r="AU199" s="173" t="s">
        <v>725</v>
      </c>
      <c r="AV199" s="173" t="s">
        <v>725</v>
      </c>
      <c r="AW199" s="173" t="s">
        <v>725</v>
      </c>
      <c r="AX199" s="173" t="s">
        <v>725</v>
      </c>
      <c r="AY199" s="173" t="s">
        <v>725</v>
      </c>
      <c r="AZ199" s="173" t="s">
        <v>725</v>
      </c>
      <c r="BA199" s="173" t="s">
        <v>725</v>
      </c>
      <c r="BB199" s="173" t="s">
        <v>725</v>
      </c>
      <c r="BC199" s="173" t="s">
        <v>725</v>
      </c>
      <c r="BD199" s="173" t="s">
        <v>725</v>
      </c>
      <c r="BE199" s="173" t="s">
        <v>725</v>
      </c>
      <c r="BF199" s="173" t="s">
        <v>725</v>
      </c>
      <c r="BG199" s="173" t="s">
        <v>725</v>
      </c>
      <c r="BH199" s="173" t="s">
        <v>725</v>
      </c>
      <c r="BI199" s="173" t="s">
        <v>725</v>
      </c>
      <c r="BJ199" s="173" t="s">
        <v>725</v>
      </c>
      <c r="BK199" s="173" t="s">
        <v>725</v>
      </c>
      <c r="BL199" s="173" t="s">
        <v>725</v>
      </c>
      <c r="BM199" s="173" t="s">
        <v>725</v>
      </c>
      <c r="BN199" s="173" t="s">
        <v>725</v>
      </c>
      <c r="BO199" s="173" t="s">
        <v>725</v>
      </c>
      <c r="BP199" s="173" t="s">
        <v>725</v>
      </c>
      <c r="BQ199" s="173" t="s">
        <v>725</v>
      </c>
      <c r="BR199" s="174"/>
      <c r="BS199" s="161" t="str">
        <v>#VALUE!</v>
      </c>
    </row>
    <row customHeight="true" ht="18.51851851851852" r="200">
      <c r="A200" s="161" t="s">
        <v>734</v>
      </c>
      <c r="B200" s="161" t="s">
        <v>730</v>
      </c>
      <c r="C200" s="161" t="s">
        <v>792</v>
      </c>
      <c r="D200" s="162" t="s">
        <v>793</v>
      </c>
      <c r="E200" s="176">
        <v>93</v>
      </c>
      <c r="F200" s="163">
        <v>134.99</v>
      </c>
      <c r="G200" s="164">
        <f t="shared" si="8"/>
      </c>
      <c r="H200" s="164">
        <f t="shared" si="72"/>
      </c>
      <c r="I200" s="164">
        <f t="shared" si="134"/>
      </c>
      <c r="J200" s="165">
        <f t="shared" si="215"/>
      </c>
      <c r="K200" s="166">
        <f t="shared" si="268"/>
      </c>
      <c r="L200" s="167">
        <f t="shared" si="339"/>
      </c>
      <c r="M200" s="164">
        <f t="shared" si="384"/>
      </c>
      <c r="N200" s="166">
        <f t="shared" si="428"/>
      </c>
      <c r="O200" s="166">
        <f t="shared" si="459"/>
      </c>
      <c r="P200" s="161">
        <v>3</v>
      </c>
      <c r="Q200" s="168">
        <v>8</v>
      </c>
      <c r="R200" s="169">
        <f t="shared" si="28"/>
      </c>
      <c r="S200" s="165">
        <f t="shared" si="525"/>
      </c>
      <c r="T200" s="169">
        <f t="shared" si="153"/>
      </c>
      <c r="U200" s="169">
        <v>0.01</v>
      </c>
      <c r="V200" s="169">
        <f t="shared" si="290"/>
      </c>
      <c r="W200" s="169">
        <f t="shared" si="361"/>
      </c>
      <c r="X200" s="170">
        <v>0.188</v>
      </c>
      <c r="Y200" s="171">
        <v>12</v>
      </c>
      <c r="Z200" s="171">
        <v>0</v>
      </c>
      <c r="AA200" s="171">
        <f t="shared" si="481"/>
      </c>
      <c r="AB200" s="166">
        <f t="shared" si="503"/>
      </c>
      <c r="AC200" s="166">
        <v>250</v>
      </c>
      <c r="AD200" s="172">
        <f t="shared" si="50"/>
      </c>
      <c r="AE200" s="168">
        <f t="shared" si="99"/>
      </c>
      <c r="AF200" s="169">
        <f t="shared" si="175"/>
      </c>
      <c r="AG200" s="169">
        <f t="shared" si="231"/>
      </c>
      <c r="AH200" s="168">
        <v>30</v>
      </c>
      <c r="AI200" s="169">
        <f t="shared" si="309"/>
      </c>
      <c r="AJ200" s="169"/>
      <c r="AK200" s="169"/>
      <c r="AL200" s="169"/>
      <c r="AM200" s="169"/>
      <c r="AN200" s="173"/>
      <c r="AO200" s="173"/>
      <c r="AP200" s="173"/>
      <c r="AQ200" s="173"/>
      <c r="AR200" s="173"/>
      <c r="AS200" s="173"/>
      <c r="AT200" s="173" t="s">
        <v>725</v>
      </c>
      <c r="AU200" s="173" t="s">
        <v>725</v>
      </c>
      <c r="AV200" s="173" t="s">
        <v>725</v>
      </c>
      <c r="AW200" s="173" t="s">
        <v>725</v>
      </c>
      <c r="AX200" s="173" t="s">
        <v>725</v>
      </c>
      <c r="AY200" s="173" t="s">
        <v>725</v>
      </c>
      <c r="AZ200" s="173" t="s">
        <v>725</v>
      </c>
      <c r="BA200" s="173" t="s">
        <v>725</v>
      </c>
      <c r="BB200" s="173" t="s">
        <v>725</v>
      </c>
      <c r="BC200" s="173" t="s">
        <v>725</v>
      </c>
      <c r="BD200" s="173" t="s">
        <v>725</v>
      </c>
      <c r="BE200" s="173" t="s">
        <v>725</v>
      </c>
      <c r="BF200" s="173" t="s">
        <v>725</v>
      </c>
      <c r="BG200" s="173" t="s">
        <v>725</v>
      </c>
      <c r="BH200" s="173" t="s">
        <v>725</v>
      </c>
      <c r="BI200" s="173" t="s">
        <v>725</v>
      </c>
      <c r="BJ200" s="173" t="s">
        <v>725</v>
      </c>
      <c r="BK200" s="173" t="s">
        <v>725</v>
      </c>
      <c r="BL200" s="173" t="s">
        <v>725</v>
      </c>
      <c r="BM200" s="173" t="s">
        <v>725</v>
      </c>
      <c r="BN200" s="173" t="s">
        <v>725</v>
      </c>
      <c r="BO200" s="173" t="s">
        <v>725</v>
      </c>
      <c r="BP200" s="173" t="s">
        <v>725</v>
      </c>
      <c r="BQ200" s="173" t="s">
        <v>725</v>
      </c>
      <c r="BR200" s="174"/>
      <c r="BS200" s="161" t="str">
        <v>#VALUE!</v>
      </c>
    </row>
    <row customHeight="true" ht="18.51851851851852" r="201">
      <c r="A201" s="161" t="s">
        <v>734</v>
      </c>
      <c r="B201" s="161" t="s">
        <v>730</v>
      </c>
      <c r="C201" s="161" t="s">
        <v>792</v>
      </c>
      <c r="D201" s="162" t="s">
        <v>794</v>
      </c>
      <c r="E201" s="176">
        <v>93</v>
      </c>
      <c r="F201" s="163">
        <v>134.99</v>
      </c>
      <c r="G201" s="164">
        <f t="shared" si="8"/>
      </c>
      <c r="H201" s="164">
        <f t="shared" si="72"/>
      </c>
      <c r="I201" s="164">
        <f t="shared" si="134"/>
      </c>
      <c r="J201" s="165">
        <f t="shared" si="215"/>
      </c>
      <c r="K201" s="166">
        <f t="shared" si="268"/>
      </c>
      <c r="L201" s="167">
        <f t="shared" si="339"/>
      </c>
      <c r="M201" s="164">
        <f t="shared" si="384"/>
      </c>
      <c r="N201" s="166">
        <f t="shared" si="428"/>
      </c>
      <c r="O201" s="166">
        <f t="shared" si="459"/>
      </c>
      <c r="P201" s="161">
        <v>3</v>
      </c>
      <c r="Q201" s="168">
        <v>8</v>
      </c>
      <c r="R201" s="169">
        <f t="shared" si="28"/>
      </c>
      <c r="S201" s="165">
        <f t="shared" si="525"/>
      </c>
      <c r="T201" s="169">
        <f t="shared" si="153"/>
      </c>
      <c r="U201" s="169">
        <v>0.01</v>
      </c>
      <c r="V201" s="169">
        <f t="shared" si="290"/>
      </c>
      <c r="W201" s="169">
        <f t="shared" si="361"/>
      </c>
      <c r="X201" s="170">
        <v>0.188</v>
      </c>
      <c r="Y201" s="171">
        <v>12</v>
      </c>
      <c r="Z201" s="171">
        <f>F201*0.05</f>
      </c>
      <c r="AA201" s="171">
        <f t="shared" si="481"/>
      </c>
      <c r="AB201" s="166">
        <f t="shared" si="503"/>
      </c>
      <c r="AC201" s="166">
        <v>250</v>
      </c>
      <c r="AD201" s="172">
        <f t="shared" si="50"/>
      </c>
      <c r="AE201" s="168">
        <f t="shared" si="99"/>
      </c>
      <c r="AF201" s="169">
        <f t="shared" si="175"/>
      </c>
      <c r="AG201" s="169">
        <f t="shared" si="231"/>
      </c>
      <c r="AH201" s="168">
        <v>30</v>
      </c>
      <c r="AI201" s="169">
        <f t="shared" si="309"/>
      </c>
      <c r="AJ201" s="169"/>
      <c r="AK201" s="169"/>
      <c r="AL201" s="169"/>
      <c r="AM201" s="169"/>
      <c r="AN201" s="173"/>
      <c r="AO201" s="173"/>
      <c r="AP201" s="173"/>
      <c r="AQ201" s="173"/>
      <c r="AR201" s="173"/>
      <c r="AS201" s="173"/>
      <c r="AT201" s="173" t="s">
        <v>725</v>
      </c>
      <c r="AU201" s="173" t="s">
        <v>725</v>
      </c>
      <c r="AV201" s="173" t="s">
        <v>725</v>
      </c>
      <c r="AW201" s="173" t="s">
        <v>725</v>
      </c>
      <c r="AX201" s="173" t="s">
        <v>725</v>
      </c>
      <c r="AY201" s="173" t="s">
        <v>725</v>
      </c>
      <c r="AZ201" s="173" t="s">
        <v>725</v>
      </c>
      <c r="BA201" s="173" t="s">
        <v>725</v>
      </c>
      <c r="BB201" s="173" t="s">
        <v>725</v>
      </c>
      <c r="BC201" s="173" t="s">
        <v>725</v>
      </c>
      <c r="BD201" s="173" t="s">
        <v>725</v>
      </c>
      <c r="BE201" s="173" t="s">
        <v>725</v>
      </c>
      <c r="BF201" s="173" t="s">
        <v>725</v>
      </c>
      <c r="BG201" s="173" t="s">
        <v>725</v>
      </c>
      <c r="BH201" s="173" t="s">
        <v>725</v>
      </c>
      <c r="BI201" s="173" t="s">
        <v>725</v>
      </c>
      <c r="BJ201" s="173" t="s">
        <v>725</v>
      </c>
      <c r="BK201" s="173" t="s">
        <v>725</v>
      </c>
      <c r="BL201" s="173" t="s">
        <v>725</v>
      </c>
      <c r="BM201" s="173" t="s">
        <v>725</v>
      </c>
      <c r="BN201" s="173" t="s">
        <v>725</v>
      </c>
      <c r="BO201" s="173" t="s">
        <v>725</v>
      </c>
      <c r="BP201" s="173" t="s">
        <v>725</v>
      </c>
      <c r="BQ201" s="173" t="s">
        <v>725</v>
      </c>
      <c r="BR201" s="174"/>
      <c r="BS201" s="161" t="str">
        <v>#VALUE!</v>
      </c>
    </row>
    <row customHeight="true" ht="18.51851851851852" r="202">
      <c r="A202" s="161" t="s">
        <v>734</v>
      </c>
      <c r="B202" s="161" t="s">
        <v>730</v>
      </c>
      <c r="C202" s="161" t="s">
        <v>792</v>
      </c>
      <c r="D202" s="162" t="s">
        <v>795</v>
      </c>
      <c r="E202" s="176">
        <v>93</v>
      </c>
      <c r="F202" s="163">
        <v>134.99</v>
      </c>
      <c r="G202" s="164">
        <f t="shared" si="8"/>
      </c>
      <c r="H202" s="164">
        <f t="shared" si="72"/>
      </c>
      <c r="I202" s="164">
        <f t="shared" si="134"/>
      </c>
      <c r="J202" s="165">
        <f t="shared" si="215"/>
      </c>
      <c r="K202" s="166">
        <f t="shared" si="268"/>
      </c>
      <c r="L202" s="167">
        <f t="shared" si="339"/>
      </c>
      <c r="M202" s="164">
        <f t="shared" si="384"/>
      </c>
      <c r="N202" s="166">
        <f t="shared" si="428"/>
      </c>
      <c r="O202" s="166">
        <f t="shared" si="459"/>
      </c>
      <c r="P202" s="161">
        <v>3</v>
      </c>
      <c r="Q202" s="168">
        <v>8</v>
      </c>
      <c r="R202" s="169">
        <f t="shared" si="28"/>
      </c>
      <c r="S202" s="165">
        <f t="shared" si="525"/>
      </c>
      <c r="T202" s="169">
        <f t="shared" si="153"/>
      </c>
      <c r="U202" s="169">
        <v>0.01</v>
      </c>
      <c r="V202" s="169">
        <f t="shared" si="290"/>
      </c>
      <c r="W202" s="169">
        <f t="shared" si="361"/>
      </c>
      <c r="X202" s="170">
        <v>0.188</v>
      </c>
      <c r="Y202" s="171">
        <v>12</v>
      </c>
      <c r="Z202" s="171">
        <f>F202*0.1</f>
      </c>
      <c r="AA202" s="171">
        <f t="shared" si="481"/>
      </c>
      <c r="AB202" s="166">
        <f t="shared" si="503"/>
      </c>
      <c r="AC202" s="166">
        <v>250</v>
      </c>
      <c r="AD202" s="172">
        <f t="shared" si="50"/>
      </c>
      <c r="AE202" s="168">
        <f t="shared" si="99"/>
      </c>
      <c r="AF202" s="169">
        <f t="shared" si="175"/>
      </c>
      <c r="AG202" s="169">
        <f t="shared" si="231"/>
      </c>
      <c r="AH202" s="168">
        <v>30</v>
      </c>
      <c r="AI202" s="169">
        <f t="shared" si="309"/>
      </c>
      <c r="AJ202" s="169"/>
      <c r="AK202" s="169"/>
      <c r="AL202" s="169"/>
      <c r="AM202" s="169"/>
      <c r="AN202" s="173"/>
      <c r="AO202" s="173"/>
      <c r="AP202" s="173"/>
      <c r="AQ202" s="173"/>
      <c r="AR202" s="173"/>
      <c r="AS202" s="173"/>
      <c r="AT202" s="173" t="s">
        <v>725</v>
      </c>
      <c r="AU202" s="173" t="s">
        <v>725</v>
      </c>
      <c r="AV202" s="173" t="s">
        <v>725</v>
      </c>
      <c r="AW202" s="173" t="s">
        <v>725</v>
      </c>
      <c r="AX202" s="173" t="s">
        <v>725</v>
      </c>
      <c r="AY202" s="173" t="s">
        <v>725</v>
      </c>
      <c r="AZ202" s="173" t="s">
        <v>725</v>
      </c>
      <c r="BA202" s="173" t="s">
        <v>725</v>
      </c>
      <c r="BB202" s="173" t="s">
        <v>725</v>
      </c>
      <c r="BC202" s="173" t="s">
        <v>725</v>
      </c>
      <c r="BD202" s="173" t="s">
        <v>725</v>
      </c>
      <c r="BE202" s="173" t="s">
        <v>725</v>
      </c>
      <c r="BF202" s="173" t="s">
        <v>725</v>
      </c>
      <c r="BG202" s="173" t="s">
        <v>725</v>
      </c>
      <c r="BH202" s="173" t="s">
        <v>725</v>
      </c>
      <c r="BI202" s="173" t="s">
        <v>725</v>
      </c>
      <c r="BJ202" s="173" t="s">
        <v>725</v>
      </c>
      <c r="BK202" s="173" t="s">
        <v>725</v>
      </c>
      <c r="BL202" s="173" t="s">
        <v>725</v>
      </c>
      <c r="BM202" s="173" t="s">
        <v>725</v>
      </c>
      <c r="BN202" s="173" t="s">
        <v>725</v>
      </c>
      <c r="BO202" s="173" t="s">
        <v>725</v>
      </c>
      <c r="BP202" s="173" t="s">
        <v>725</v>
      </c>
      <c r="BQ202" s="173" t="s">
        <v>725</v>
      </c>
      <c r="BR202" s="174"/>
      <c r="BS202" s="161" t="str">
        <v>#VALUE!</v>
      </c>
    </row>
    <row customHeight="true" ht="18.51851851851852" r="203">
      <c r="A203" s="161" t="s">
        <v>734</v>
      </c>
      <c r="B203" s="161" t="s">
        <v>730</v>
      </c>
      <c r="C203" s="161" t="s">
        <v>792</v>
      </c>
      <c r="D203" s="162" t="s">
        <v>796</v>
      </c>
      <c r="E203" s="176">
        <v>93</v>
      </c>
      <c r="F203" s="163">
        <v>134.99</v>
      </c>
      <c r="G203" s="164">
        <f t="shared" si="8"/>
      </c>
      <c r="H203" s="164">
        <f t="shared" si="72"/>
      </c>
      <c r="I203" s="164">
        <f t="shared" si="134"/>
      </c>
      <c r="J203" s="165">
        <f t="shared" si="215"/>
      </c>
      <c r="K203" s="166">
        <f t="shared" si="268"/>
      </c>
      <c r="L203" s="167">
        <f t="shared" si="339"/>
      </c>
      <c r="M203" s="164">
        <f t="shared" si="384"/>
      </c>
      <c r="N203" s="166">
        <f t="shared" si="428"/>
      </c>
      <c r="O203" s="166">
        <f t="shared" si="459"/>
      </c>
      <c r="P203" s="161">
        <v>3</v>
      </c>
      <c r="Q203" s="168">
        <v>8</v>
      </c>
      <c r="R203" s="169">
        <f t="shared" si="28"/>
      </c>
      <c r="S203" s="165">
        <f t="shared" si="525"/>
      </c>
      <c r="T203" s="169">
        <f t="shared" si="153"/>
      </c>
      <c r="U203" s="169">
        <v>0.01</v>
      </c>
      <c r="V203" s="169">
        <f t="shared" si="290"/>
      </c>
      <c r="W203" s="169">
        <f t="shared" si="361"/>
      </c>
      <c r="X203" s="170">
        <v>0.188</v>
      </c>
      <c r="Y203" s="171">
        <v>12</v>
      </c>
      <c r="Z203" s="171">
        <f>F203*0.15</f>
      </c>
      <c r="AA203" s="171">
        <f t="shared" si="481"/>
      </c>
      <c r="AB203" s="166">
        <f t="shared" si="503"/>
      </c>
      <c r="AC203" s="166">
        <v>250</v>
      </c>
      <c r="AD203" s="172">
        <f t="shared" si="50"/>
      </c>
      <c r="AE203" s="168">
        <f t="shared" si="99"/>
      </c>
      <c r="AF203" s="169">
        <f t="shared" si="175"/>
      </c>
      <c r="AG203" s="169">
        <f t="shared" si="231"/>
      </c>
      <c r="AH203" s="168">
        <v>30</v>
      </c>
      <c r="AI203" s="169">
        <f t="shared" si="309"/>
      </c>
      <c r="AJ203" s="169"/>
      <c r="AK203" s="169"/>
      <c r="AL203" s="169"/>
      <c r="AM203" s="169"/>
      <c r="AN203" s="173"/>
      <c r="AO203" s="173"/>
      <c r="AP203" s="173"/>
      <c r="AQ203" s="173"/>
      <c r="AR203" s="173"/>
      <c r="AS203" s="173"/>
      <c r="AT203" s="173" t="s">
        <v>725</v>
      </c>
      <c r="AU203" s="173" t="s">
        <v>725</v>
      </c>
      <c r="AV203" s="173" t="s">
        <v>725</v>
      </c>
      <c r="AW203" s="173" t="s">
        <v>725</v>
      </c>
      <c r="AX203" s="173" t="s">
        <v>725</v>
      </c>
      <c r="AY203" s="173" t="s">
        <v>725</v>
      </c>
      <c r="AZ203" s="173" t="s">
        <v>725</v>
      </c>
      <c r="BA203" s="173" t="s">
        <v>725</v>
      </c>
      <c r="BB203" s="173" t="s">
        <v>725</v>
      </c>
      <c r="BC203" s="173" t="s">
        <v>725</v>
      </c>
      <c r="BD203" s="173" t="s">
        <v>725</v>
      </c>
      <c r="BE203" s="173" t="s">
        <v>725</v>
      </c>
      <c r="BF203" s="173" t="s">
        <v>725</v>
      </c>
      <c r="BG203" s="173" t="s">
        <v>725</v>
      </c>
      <c r="BH203" s="173" t="s">
        <v>725</v>
      </c>
      <c r="BI203" s="173" t="s">
        <v>725</v>
      </c>
      <c r="BJ203" s="173" t="s">
        <v>725</v>
      </c>
      <c r="BK203" s="173" t="s">
        <v>725</v>
      </c>
      <c r="BL203" s="173" t="s">
        <v>725</v>
      </c>
      <c r="BM203" s="173" t="s">
        <v>725</v>
      </c>
      <c r="BN203" s="173" t="s">
        <v>725</v>
      </c>
      <c r="BO203" s="173" t="s">
        <v>725</v>
      </c>
      <c r="BP203" s="173" t="s">
        <v>725</v>
      </c>
      <c r="BQ203" s="173" t="s">
        <v>725</v>
      </c>
      <c r="BR203" s="174"/>
      <c r="BS203" s="161" t="str">
        <v>#VALUE!</v>
      </c>
    </row>
    <row customHeight="true" ht="18.51851851851852" r="204">
      <c r="A204" s="161" t="s">
        <v>735</v>
      </c>
      <c r="B204" s="161" t="s">
        <v>730</v>
      </c>
      <c r="C204" s="161" t="s">
        <v>792</v>
      </c>
      <c r="D204" s="178" t="s">
        <v>797</v>
      </c>
      <c r="E204" s="176">
        <v>93</v>
      </c>
      <c r="F204" s="163">
        <v>134.99</v>
      </c>
      <c r="G204" s="164">
        <f t="shared" si="8"/>
      </c>
      <c r="H204" s="164">
        <f t="shared" si="72"/>
      </c>
      <c r="I204" s="164">
        <f t="shared" si="134"/>
      </c>
      <c r="J204" s="165">
        <f t="shared" si="215"/>
      </c>
      <c r="K204" s="166">
        <f t="shared" si="268"/>
      </c>
      <c r="L204" s="167">
        <f t="shared" si="339"/>
      </c>
      <c r="M204" s="164">
        <f t="shared" si="384"/>
      </c>
      <c r="N204" s="166">
        <f t="shared" si="428"/>
      </c>
      <c r="O204" s="166">
        <f t="shared" si="459"/>
      </c>
      <c r="P204" s="161">
        <v>3</v>
      </c>
      <c r="Q204" s="168">
        <v>8</v>
      </c>
      <c r="R204" s="169">
        <f t="shared" si="28"/>
      </c>
      <c r="S204" s="165">
        <f t="shared" si="525"/>
      </c>
      <c r="T204" s="169">
        <f t="shared" si="153"/>
      </c>
      <c r="U204" s="169">
        <v>0.01</v>
      </c>
      <c r="V204" s="169">
        <f t="shared" si="290"/>
      </c>
      <c r="W204" s="169">
        <f t="shared" si="361"/>
      </c>
      <c r="X204" s="170">
        <v>0.188</v>
      </c>
      <c r="Y204" s="171">
        <v>12</v>
      </c>
      <c r="Z204" s="171">
        <f t="shared" ref="Z204:Z207" si="403">F204*0</f>
      </c>
      <c r="AA204" s="171">
        <f t="shared" si="481"/>
      </c>
      <c r="AB204" s="166">
        <f t="shared" si="503"/>
      </c>
      <c r="AC204" s="166">
        <v>250</v>
      </c>
      <c r="AD204" s="172">
        <f t="shared" si="50"/>
      </c>
      <c r="AE204" s="168">
        <f t="shared" si="99"/>
      </c>
      <c r="AF204" s="169">
        <f t="shared" si="175"/>
      </c>
      <c r="AG204" s="169">
        <f t="shared" si="231"/>
      </c>
      <c r="AH204" s="168">
        <v>30</v>
      </c>
      <c r="AI204" s="169">
        <f t="shared" si="309"/>
      </c>
      <c r="AJ204" s="173"/>
      <c r="AK204" s="173"/>
      <c r="AL204" s="173"/>
      <c r="AM204" s="173"/>
      <c r="AN204" s="173"/>
      <c r="AO204" s="173"/>
      <c r="AP204" s="173"/>
      <c r="AQ204" s="173"/>
      <c r="AR204" s="173"/>
      <c r="AS204" s="173"/>
      <c r="AT204" s="173" t="s">
        <v>725</v>
      </c>
      <c r="AU204" s="173" t="s">
        <v>725</v>
      </c>
      <c r="AV204" s="173" t="s">
        <v>725</v>
      </c>
      <c r="AW204" s="173" t="s">
        <v>725</v>
      </c>
      <c r="AX204" s="173" t="s">
        <v>725</v>
      </c>
      <c r="AY204" s="173" t="s">
        <v>725</v>
      </c>
      <c r="AZ204" s="173" t="s">
        <v>725</v>
      </c>
      <c r="BA204" s="173" t="s">
        <v>725</v>
      </c>
      <c r="BB204" s="173" t="s">
        <v>725</v>
      </c>
      <c r="BC204" s="173" t="s">
        <v>725</v>
      </c>
      <c r="BD204" s="173" t="s">
        <v>725</v>
      </c>
      <c r="BE204" s="173" t="s">
        <v>725</v>
      </c>
      <c r="BF204" s="173" t="s">
        <v>725</v>
      </c>
      <c r="BG204" s="173" t="s">
        <v>725</v>
      </c>
      <c r="BH204" s="173" t="s">
        <v>725</v>
      </c>
      <c r="BI204" s="173" t="s">
        <v>725</v>
      </c>
      <c r="BJ204" s="173" t="s">
        <v>725</v>
      </c>
      <c r="BK204" s="173" t="s">
        <v>725</v>
      </c>
      <c r="BL204" s="173" t="s">
        <v>725</v>
      </c>
      <c r="BM204" s="173" t="s">
        <v>725</v>
      </c>
      <c r="BN204" s="173" t="s">
        <v>725</v>
      </c>
      <c r="BO204" s="173" t="s">
        <v>725</v>
      </c>
      <c r="BP204" s="173" t="s">
        <v>725</v>
      </c>
      <c r="BQ204" s="173" t="s">
        <v>725</v>
      </c>
      <c r="BR204" s="180">
        <f t="shared" ref="BR204:BR207" si="244">IF(E204&lt;#REF!,1,0)</f>
      </c>
      <c r="BS204" s="161" t="str">
        <v>#VALUE!</v>
      </c>
    </row>
    <row customHeight="true" ht="18.51851851851852" r="205">
      <c r="A205" s="161" t="s">
        <v>737</v>
      </c>
      <c r="B205" s="161" t="s">
        <v>730</v>
      </c>
      <c r="C205" s="161" t="s">
        <v>792</v>
      </c>
      <c r="D205" s="178" t="s">
        <v>798</v>
      </c>
      <c r="E205" s="176">
        <v>93</v>
      </c>
      <c r="F205" s="163">
        <v>134.99</v>
      </c>
      <c r="G205" s="164">
        <f t="shared" si="8"/>
      </c>
      <c r="H205" s="164">
        <f t="shared" si="72"/>
      </c>
      <c r="I205" s="164">
        <f t="shared" si="134"/>
      </c>
      <c r="J205" s="165">
        <f t="shared" si="215"/>
      </c>
      <c r="K205" s="166">
        <f t="shared" si="268"/>
      </c>
      <c r="L205" s="167">
        <f t="shared" si="339"/>
      </c>
      <c r="M205" s="164">
        <f t="shared" si="384"/>
      </c>
      <c r="N205" s="166">
        <f t="shared" si="428"/>
      </c>
      <c r="O205" s="166">
        <f t="shared" si="459"/>
      </c>
      <c r="P205" s="161">
        <v>3</v>
      </c>
      <c r="Q205" s="168">
        <v>8</v>
      </c>
      <c r="R205" s="169">
        <f t="shared" si="28"/>
      </c>
      <c r="S205" s="165">
        <f t="shared" si="525"/>
      </c>
      <c r="T205" s="169">
        <f t="shared" si="153"/>
      </c>
      <c r="U205" s="169">
        <v>0.01</v>
      </c>
      <c r="V205" s="169">
        <f t="shared" si="290"/>
      </c>
      <c r="W205" s="169">
        <f t="shared" si="361"/>
      </c>
      <c r="X205" s="170">
        <v>0.188</v>
      </c>
      <c r="Y205" s="171">
        <v>12</v>
      </c>
      <c r="Z205" s="171">
        <f t="shared" si="403"/>
      </c>
      <c r="AA205" s="171">
        <f t="shared" si="481"/>
      </c>
      <c r="AB205" s="166">
        <f t="shared" si="503"/>
      </c>
      <c r="AC205" s="166">
        <v>250</v>
      </c>
      <c r="AD205" s="172">
        <f t="shared" si="50"/>
      </c>
      <c r="AE205" s="168">
        <f t="shared" si="99"/>
      </c>
      <c r="AF205" s="169">
        <f t="shared" si="175"/>
      </c>
      <c r="AG205" s="169">
        <f t="shared" si="231"/>
      </c>
      <c r="AH205" s="168">
        <v>30</v>
      </c>
      <c r="AI205" s="169">
        <f t="shared" si="309"/>
      </c>
      <c r="AJ205" s="173"/>
      <c r="AK205" s="173"/>
      <c r="AL205" s="173"/>
      <c r="AM205" s="173"/>
      <c r="AN205" s="173"/>
      <c r="AO205" s="173"/>
      <c r="AP205" s="173"/>
      <c r="AQ205" s="173"/>
      <c r="AR205" s="173"/>
      <c r="AS205" s="173"/>
      <c r="AT205" s="173" t="s">
        <v>725</v>
      </c>
      <c r="AU205" s="173" t="s">
        <v>725</v>
      </c>
      <c r="AV205" s="173" t="s">
        <v>725</v>
      </c>
      <c r="AW205" s="173" t="s">
        <v>725</v>
      </c>
      <c r="AX205" s="173" t="s">
        <v>725</v>
      </c>
      <c r="AY205" s="173" t="s">
        <v>725</v>
      </c>
      <c r="AZ205" s="173" t="s">
        <v>725</v>
      </c>
      <c r="BA205" s="173" t="s">
        <v>725</v>
      </c>
      <c r="BB205" s="173" t="s">
        <v>725</v>
      </c>
      <c r="BC205" s="173" t="s">
        <v>725</v>
      </c>
      <c r="BD205" s="173" t="s">
        <v>725</v>
      </c>
      <c r="BE205" s="173" t="s">
        <v>725</v>
      </c>
      <c r="BF205" s="173" t="s">
        <v>725</v>
      </c>
      <c r="BG205" s="173" t="s">
        <v>725</v>
      </c>
      <c r="BH205" s="173" t="s">
        <v>725</v>
      </c>
      <c r="BI205" s="173" t="s">
        <v>725</v>
      </c>
      <c r="BJ205" s="173" t="s">
        <v>725</v>
      </c>
      <c r="BK205" s="173" t="s">
        <v>725</v>
      </c>
      <c r="BL205" s="173" t="s">
        <v>725</v>
      </c>
      <c r="BM205" s="173" t="s">
        <v>725</v>
      </c>
      <c r="BN205" s="173" t="s">
        <v>725</v>
      </c>
      <c r="BO205" s="173" t="s">
        <v>725</v>
      </c>
      <c r="BP205" s="173" t="s">
        <v>725</v>
      </c>
      <c r="BQ205" s="173" t="s">
        <v>725</v>
      </c>
      <c r="BR205" s="180">
        <f t="shared" si="244"/>
      </c>
      <c r="BS205" s="161" t="str">
        <v>#VALUE!</v>
      </c>
    </row>
    <row customHeight="true" ht="18.51851851851852" r="206">
      <c r="A206" s="161" t="s">
        <v>739</v>
      </c>
      <c r="B206" s="161" t="s">
        <v>730</v>
      </c>
      <c r="C206" s="161" t="s">
        <v>792</v>
      </c>
      <c r="D206" s="178" t="s">
        <v>799</v>
      </c>
      <c r="E206" s="176">
        <v>93</v>
      </c>
      <c r="F206" s="163">
        <v>134.99</v>
      </c>
      <c r="G206" s="164">
        <f t="shared" si="8"/>
      </c>
      <c r="H206" s="164">
        <f t="shared" si="72"/>
      </c>
      <c r="I206" s="164">
        <f t="shared" si="134"/>
      </c>
      <c r="J206" s="165">
        <f t="shared" si="215"/>
      </c>
      <c r="K206" s="166">
        <f t="shared" si="268"/>
      </c>
      <c r="L206" s="167">
        <f t="shared" si="339"/>
      </c>
      <c r="M206" s="164">
        <f t="shared" si="384"/>
      </c>
      <c r="N206" s="166">
        <f t="shared" si="428"/>
      </c>
      <c r="O206" s="166">
        <f t="shared" si="459"/>
      </c>
      <c r="P206" s="161">
        <v>3</v>
      </c>
      <c r="Q206" s="168">
        <v>8</v>
      </c>
      <c r="R206" s="169">
        <f t="shared" si="28"/>
      </c>
      <c r="S206" s="165">
        <f t="shared" si="525"/>
      </c>
      <c r="T206" s="169">
        <f t="shared" si="153"/>
      </c>
      <c r="U206" s="169">
        <v>0.01</v>
      </c>
      <c r="V206" s="169">
        <f t="shared" si="290"/>
      </c>
      <c r="W206" s="169">
        <f t="shared" si="361"/>
      </c>
      <c r="X206" s="170">
        <v>0.188</v>
      </c>
      <c r="Y206" s="171">
        <v>12</v>
      </c>
      <c r="Z206" s="171">
        <f t="shared" si="403"/>
      </c>
      <c r="AA206" s="171">
        <f t="shared" si="481"/>
      </c>
      <c r="AB206" s="166">
        <f t="shared" si="503"/>
      </c>
      <c r="AC206" s="166">
        <v>250</v>
      </c>
      <c r="AD206" s="172">
        <f t="shared" si="50"/>
      </c>
      <c r="AE206" s="168">
        <f t="shared" si="99"/>
      </c>
      <c r="AF206" s="169">
        <f t="shared" si="175"/>
      </c>
      <c r="AG206" s="169">
        <f t="shared" si="231"/>
      </c>
      <c r="AH206" s="168">
        <v>30</v>
      </c>
      <c r="AI206" s="169">
        <f t="shared" si="309"/>
      </c>
      <c r="AJ206" s="173"/>
      <c r="AK206" s="173"/>
      <c r="AL206" s="173"/>
      <c r="AM206" s="173"/>
      <c r="AN206" s="173"/>
      <c r="AO206" s="173"/>
      <c r="AP206" s="173"/>
      <c r="AQ206" s="173"/>
      <c r="AR206" s="173"/>
      <c r="AS206" s="173"/>
      <c r="AT206" s="173" t="s">
        <v>725</v>
      </c>
      <c r="AU206" s="173" t="s">
        <v>725</v>
      </c>
      <c r="AV206" s="173" t="s">
        <v>725</v>
      </c>
      <c r="AW206" s="173" t="s">
        <v>725</v>
      </c>
      <c r="AX206" s="173" t="s">
        <v>725</v>
      </c>
      <c r="AY206" s="173" t="s">
        <v>725</v>
      </c>
      <c r="AZ206" s="173" t="s">
        <v>725</v>
      </c>
      <c r="BA206" s="173" t="s">
        <v>725</v>
      </c>
      <c r="BB206" s="173" t="s">
        <v>725</v>
      </c>
      <c r="BC206" s="173" t="s">
        <v>725</v>
      </c>
      <c r="BD206" s="173" t="s">
        <v>725</v>
      </c>
      <c r="BE206" s="173" t="s">
        <v>725</v>
      </c>
      <c r="BF206" s="173" t="s">
        <v>725</v>
      </c>
      <c r="BG206" s="173" t="s">
        <v>725</v>
      </c>
      <c r="BH206" s="173" t="s">
        <v>725</v>
      </c>
      <c r="BI206" s="173" t="s">
        <v>725</v>
      </c>
      <c r="BJ206" s="173" t="s">
        <v>725</v>
      </c>
      <c r="BK206" s="173" t="s">
        <v>725</v>
      </c>
      <c r="BL206" s="173" t="s">
        <v>725</v>
      </c>
      <c r="BM206" s="173" t="s">
        <v>725</v>
      </c>
      <c r="BN206" s="173" t="s">
        <v>725</v>
      </c>
      <c r="BO206" s="173" t="s">
        <v>725</v>
      </c>
      <c r="BP206" s="173" t="s">
        <v>725</v>
      </c>
      <c r="BQ206" s="173" t="s">
        <v>725</v>
      </c>
      <c r="BR206" s="180">
        <f t="shared" si="244"/>
      </c>
      <c r="BS206" s="161" t="str">
        <v>#VALUE!</v>
      </c>
    </row>
    <row customHeight="true" ht="18.51851851851852" r="207">
      <c r="A207" s="161" t="s">
        <v>741</v>
      </c>
      <c r="B207" s="161" t="s">
        <v>730</v>
      </c>
      <c r="C207" s="161" t="s">
        <v>792</v>
      </c>
      <c r="D207" s="178" t="s">
        <v>800</v>
      </c>
      <c r="E207" s="176">
        <v>93</v>
      </c>
      <c r="F207" s="163">
        <v>134.99</v>
      </c>
      <c r="G207" s="164">
        <f t="shared" si="8"/>
      </c>
      <c r="H207" s="164">
        <f t="shared" si="72"/>
      </c>
      <c r="I207" s="164">
        <f t="shared" si="134"/>
      </c>
      <c r="J207" s="165">
        <f t="shared" si="215"/>
      </c>
      <c r="K207" s="166">
        <f t="shared" si="268"/>
      </c>
      <c r="L207" s="167">
        <f t="shared" si="339"/>
      </c>
      <c r="M207" s="164">
        <f t="shared" si="384"/>
      </c>
      <c r="N207" s="166">
        <f t="shared" si="428"/>
      </c>
      <c r="O207" s="166">
        <f t="shared" si="459"/>
      </c>
      <c r="P207" s="161">
        <v>3</v>
      </c>
      <c r="Q207" s="168">
        <v>8</v>
      </c>
      <c r="R207" s="169">
        <f t="shared" si="28"/>
      </c>
      <c r="S207" s="165">
        <f t="shared" si="525"/>
      </c>
      <c r="T207" s="169">
        <f t="shared" si="153"/>
      </c>
      <c r="U207" s="169">
        <v>0.01</v>
      </c>
      <c r="V207" s="169">
        <f t="shared" si="290"/>
      </c>
      <c r="W207" s="169">
        <f t="shared" si="361"/>
      </c>
      <c r="X207" s="170">
        <v>0.188</v>
      </c>
      <c r="Y207" s="171">
        <v>12</v>
      </c>
      <c r="Z207" s="171">
        <f t="shared" si="403"/>
      </c>
      <c r="AA207" s="171">
        <f t="shared" si="481"/>
      </c>
      <c r="AB207" s="166">
        <f t="shared" si="503"/>
      </c>
      <c r="AC207" s="166">
        <v>250</v>
      </c>
      <c r="AD207" s="172">
        <f t="shared" si="50"/>
      </c>
      <c r="AE207" s="168">
        <f t="shared" si="99"/>
      </c>
      <c r="AF207" s="169">
        <f t="shared" si="175"/>
      </c>
      <c r="AG207" s="169">
        <f t="shared" si="231"/>
      </c>
      <c r="AH207" s="168">
        <v>30</v>
      </c>
      <c r="AI207" s="169">
        <f t="shared" si="309"/>
      </c>
      <c r="AJ207" s="169"/>
      <c r="AK207" s="169"/>
      <c r="AL207" s="169"/>
      <c r="AM207" s="169"/>
      <c r="AN207" s="173"/>
      <c r="AO207" s="173"/>
      <c r="AP207" s="173"/>
      <c r="AQ207" s="173"/>
      <c r="AR207" s="173"/>
      <c r="AS207" s="173"/>
      <c r="AT207" s="173" t="s">
        <v>725</v>
      </c>
      <c r="AU207" s="173" t="s">
        <v>725</v>
      </c>
      <c r="AV207" s="173" t="s">
        <v>725</v>
      </c>
      <c r="AW207" s="173" t="s">
        <v>725</v>
      </c>
      <c r="AX207" s="173" t="s">
        <v>725</v>
      </c>
      <c r="AY207" s="173" t="s">
        <v>725</v>
      </c>
      <c r="AZ207" s="173" t="s">
        <v>725</v>
      </c>
      <c r="BA207" s="173" t="s">
        <v>725</v>
      </c>
      <c r="BB207" s="173" t="s">
        <v>725</v>
      </c>
      <c r="BC207" s="173" t="s">
        <v>725</v>
      </c>
      <c r="BD207" s="173" t="s">
        <v>725</v>
      </c>
      <c r="BE207" s="173" t="s">
        <v>725</v>
      </c>
      <c r="BF207" s="173" t="s">
        <v>725</v>
      </c>
      <c r="BG207" s="173" t="s">
        <v>725</v>
      </c>
      <c r="BH207" s="173" t="s">
        <v>725</v>
      </c>
      <c r="BI207" s="173" t="s">
        <v>725</v>
      </c>
      <c r="BJ207" s="173" t="s">
        <v>725</v>
      </c>
      <c r="BK207" s="173" t="s">
        <v>725</v>
      </c>
      <c r="BL207" s="173" t="s">
        <v>725</v>
      </c>
      <c r="BM207" s="173" t="s">
        <v>725</v>
      </c>
      <c r="BN207" s="173" t="s">
        <v>725</v>
      </c>
      <c r="BO207" s="173" t="s">
        <v>725</v>
      </c>
      <c r="BP207" s="173" t="s">
        <v>725</v>
      </c>
      <c r="BQ207" s="173" t="s">
        <v>725</v>
      </c>
      <c r="BR207" s="180">
        <f t="shared" si="244"/>
      </c>
      <c r="BS207" s="161" t="str">
        <v>#VALUE!</v>
      </c>
    </row>
    <row customHeight="true" ht="18.51851851851852" r="208">
      <c r="S208" s="181"/>
      <c r="AE208" s="188"/>
      <c r="AI208" s="181"/>
    </row>
    <row customHeight="true" ht="18.51851851851852" r="209">
      <c r="A209" s="161" t="s">
        <v>721</v>
      </c>
      <c r="B209" s="161" t="s">
        <v>722</v>
      </c>
      <c r="C209" s="161" t="s">
        <v>792</v>
      </c>
      <c r="D209" s="162" t="s">
        <v>793</v>
      </c>
      <c r="E209" s="176">
        <v>70</v>
      </c>
      <c r="F209" s="163">
        <v>99</v>
      </c>
      <c r="G209" s="164">
        <f t="shared" ref="G209:G232" si="9">(F209-Z209)</f>
      </c>
      <c r="H209" s="164">
        <f t="shared" ref="H209:H232" si="73">(F209-Z209)/1.2</f>
      </c>
      <c r="I209" s="164">
        <f t="shared" ref="I209:I232" si="135">E209-N209/Q209-AB209-Y209-O209-Z209-AA209</f>
      </c>
      <c r="J209" s="165">
        <f t="shared" ref="J209:J232" si="216">I209/E209</f>
      </c>
      <c r="K209" s="166">
        <f t="shared" ref="K209:K232" si="269">F209/1.2</f>
      </c>
      <c r="L209" s="167">
        <f t="shared" ref="L209:L232" si="340">(K209-E209)/K209</f>
      </c>
      <c r="M209" s="164">
        <f t="shared" ref="M209:M232" si="385">F209/1.2-E209</f>
      </c>
      <c r="N209" s="166">
        <f t="shared" ref="N209:N232" si="429">AD209+AH209</f>
      </c>
      <c r="O209" s="166">
        <f t="shared" ref="O209:O232" si="460">IFERROR(IF(A209="UK",8.95/P209,IF(A209="DE",7.75/P209,IF(A209="FR",14.25/P209,IF(A209="IT",15.25/P209,IF(A209="ES",19.25/P209,IF(A209="NL",16.75/P209,IF(A209="PL",14.05/P209,IF(A209="SE",18.25/P209,IF(A209="BE",14.25/P209))))))))),0)</f>
      </c>
      <c r="P209" s="161">
        <v>3</v>
      </c>
      <c r="Q209" s="168">
        <v>9</v>
      </c>
      <c r="R209" s="169">
        <f t="shared" ref="R209:R232" si="29">Y209/E209</f>
      </c>
      <c r="S209" s="165">
        <f t="shared" ref="S209:S212" si="89">Y209/H209</f>
      </c>
      <c r="T209" s="169">
        <f t="shared" ref="T209:T232" si="154">Z209/E209</f>
      </c>
      <c r="U209" s="169">
        <v>0.01</v>
      </c>
      <c r="V209" s="169">
        <f t="shared" ref="V209:V232" si="291">N209/(E209*Q209)</f>
      </c>
      <c r="W209" s="169">
        <f t="shared" ref="W209:W232" si="362">O209/E209</f>
      </c>
      <c r="X209" s="170">
        <v>0.178</v>
      </c>
      <c r="Y209" s="171">
        <v>10</v>
      </c>
      <c r="Z209" s="171">
        <f>F209*0</f>
      </c>
      <c r="AA209" s="171">
        <f t="shared" ref="AA209:AA232" si="482">E209*U209</f>
      </c>
      <c r="AB209" s="166">
        <f t="shared" ref="AB209:AB232" si="504">E209*X209</f>
      </c>
      <c r="AC209" s="166">
        <v>220</v>
      </c>
      <c r="AD209" s="172">
        <f t="shared" ref="AD209:AD232" si="51">AC209/1.13</f>
      </c>
      <c r="AE209" s="168">
        <f t="shared" ref="AE209:AE232" si="100">AH209/Q209</f>
      </c>
      <c r="AF209" s="169">
        <f t="shared" ref="AF209:AF232" si="176">AD209/(E209*Q209)</f>
      </c>
      <c r="AG209" s="169">
        <f t="shared" ref="AG209:AG232" si="232">AE209/E209</f>
      </c>
      <c r="AH209" s="168">
        <v>25</v>
      </c>
      <c r="AI209" s="169">
        <f t="shared" ref="AI209:AI219" si="194">(H209-E209+AB209)/H209</f>
      </c>
      <c r="AJ209" s="169"/>
      <c r="AK209" s="169"/>
      <c r="AL209" s="169"/>
      <c r="AM209" s="169"/>
      <c r="AN209" s="169"/>
      <c r="AO209" s="169"/>
      <c r="AP209" s="169"/>
      <c r="AQ209" s="169"/>
      <c r="AR209" s="169"/>
      <c r="AS209" s="169"/>
      <c r="AT209" s="173" t="s">
        <v>725</v>
      </c>
      <c r="AU209" s="173" t="s">
        <v>725</v>
      </c>
      <c r="AV209" s="173" t="s">
        <v>725</v>
      </c>
      <c r="AW209" s="173" t="s">
        <v>725</v>
      </c>
      <c r="AX209" s="173" t="s">
        <v>725</v>
      </c>
      <c r="AY209" s="173" t="s">
        <v>725</v>
      </c>
      <c r="AZ209" s="173" t="s">
        <v>725</v>
      </c>
      <c r="BA209" s="173" t="s">
        <v>725</v>
      </c>
      <c r="BB209" s="173" t="s">
        <v>725</v>
      </c>
      <c r="BC209" s="173" t="s">
        <v>725</v>
      </c>
      <c r="BD209" s="173" t="s">
        <v>725</v>
      </c>
      <c r="BE209" s="173" t="s">
        <v>725</v>
      </c>
      <c r="BF209" s="173" t="s">
        <v>725</v>
      </c>
      <c r="BG209" s="173" t="s">
        <v>725</v>
      </c>
      <c r="BH209" s="173" t="s">
        <v>725</v>
      </c>
      <c r="BI209" s="173" t="s">
        <v>725</v>
      </c>
      <c r="BJ209" s="173" t="s">
        <v>725</v>
      </c>
      <c r="BK209" s="173" t="s">
        <v>725</v>
      </c>
      <c r="BL209" s="173" t="s">
        <v>725</v>
      </c>
      <c r="BM209" s="173" t="s">
        <v>725</v>
      </c>
      <c r="BN209" s="173" t="s">
        <v>725</v>
      </c>
      <c r="BO209" s="173" t="s">
        <v>725</v>
      </c>
      <c r="BP209" s="173" t="s">
        <v>725</v>
      </c>
      <c r="BQ209" s="173" t="s">
        <v>725</v>
      </c>
      <c r="BR209" s="174"/>
      <c r="BS209" s="161" t="str">
        <v>#VALUE!</v>
      </c>
    </row>
    <row customHeight="true" ht="18.51851851851852" r="210">
      <c r="A210" s="161" t="s">
        <v>721</v>
      </c>
      <c r="B210" s="161" t="s">
        <v>722</v>
      </c>
      <c r="C210" s="161" t="s">
        <v>792</v>
      </c>
      <c r="D210" s="162" t="s">
        <v>794</v>
      </c>
      <c r="E210" s="176">
        <v>82</v>
      </c>
      <c r="F210" s="163">
        <v>119.99</v>
      </c>
      <c r="G210" s="164">
        <f t="shared" si="9"/>
      </c>
      <c r="H210" s="164">
        <f t="shared" si="73"/>
      </c>
      <c r="I210" s="164">
        <f t="shared" si="135"/>
      </c>
      <c r="J210" s="165">
        <f t="shared" si="216"/>
      </c>
      <c r="K210" s="166">
        <f t="shared" si="269"/>
      </c>
      <c r="L210" s="167">
        <f t="shared" si="340"/>
      </c>
      <c r="M210" s="164">
        <f t="shared" si="385"/>
      </c>
      <c r="N210" s="166">
        <f t="shared" si="429"/>
      </c>
      <c r="O210" s="166">
        <f t="shared" si="460"/>
      </c>
      <c r="P210" s="161">
        <v>3</v>
      </c>
      <c r="Q210" s="168">
        <v>9</v>
      </c>
      <c r="R210" s="169">
        <f t="shared" si="29"/>
      </c>
      <c r="S210" s="165">
        <f t="shared" si="89"/>
      </c>
      <c r="T210" s="169">
        <f t="shared" si="154"/>
      </c>
      <c r="U210" s="169">
        <v>0.01</v>
      </c>
      <c r="V210" s="169">
        <f t="shared" si="291"/>
      </c>
      <c r="W210" s="169">
        <f t="shared" si="362"/>
      </c>
      <c r="X210" s="170">
        <v>0.178</v>
      </c>
      <c r="Y210" s="171">
        <v>10</v>
      </c>
      <c r="Z210" s="171">
        <f>F210*0.05</f>
      </c>
      <c r="AA210" s="171">
        <f t="shared" si="482"/>
      </c>
      <c r="AB210" s="166">
        <f t="shared" si="504"/>
      </c>
      <c r="AC210" s="166">
        <v>220</v>
      </c>
      <c r="AD210" s="172">
        <f t="shared" si="51"/>
      </c>
      <c r="AE210" s="168">
        <f t="shared" si="100"/>
      </c>
      <c r="AF210" s="169">
        <f t="shared" si="176"/>
      </c>
      <c r="AG210" s="169">
        <f t="shared" si="232"/>
      </c>
      <c r="AH210" s="168">
        <v>25</v>
      </c>
      <c r="AI210" s="169">
        <f t="shared" si="194"/>
      </c>
      <c r="AJ210" s="169"/>
      <c r="AK210" s="169"/>
      <c r="AL210" s="169"/>
      <c r="AM210" s="169"/>
      <c r="AN210" s="169"/>
      <c r="AO210" s="169"/>
      <c r="AP210" s="169"/>
      <c r="AQ210" s="169"/>
      <c r="AR210" s="169"/>
      <c r="AS210" s="169"/>
      <c r="AT210" s="173" t="s">
        <v>725</v>
      </c>
      <c r="AU210" s="173" t="s">
        <v>725</v>
      </c>
      <c r="AV210" s="173" t="s">
        <v>725</v>
      </c>
      <c r="AW210" s="173" t="s">
        <v>725</v>
      </c>
      <c r="AX210" s="173" t="s">
        <v>725</v>
      </c>
      <c r="AY210" s="173" t="s">
        <v>725</v>
      </c>
      <c r="AZ210" s="173" t="s">
        <v>725</v>
      </c>
      <c r="BA210" s="173" t="s">
        <v>725</v>
      </c>
      <c r="BB210" s="173" t="s">
        <v>725</v>
      </c>
      <c r="BC210" s="173" t="s">
        <v>725</v>
      </c>
      <c r="BD210" s="173" t="s">
        <v>725</v>
      </c>
      <c r="BE210" s="173" t="s">
        <v>725</v>
      </c>
      <c r="BF210" s="173" t="s">
        <v>725</v>
      </c>
      <c r="BG210" s="173" t="s">
        <v>725</v>
      </c>
      <c r="BH210" s="173" t="s">
        <v>725</v>
      </c>
      <c r="BI210" s="173" t="s">
        <v>725</v>
      </c>
      <c r="BJ210" s="173" t="s">
        <v>725</v>
      </c>
      <c r="BK210" s="173" t="s">
        <v>725</v>
      </c>
      <c r="BL210" s="173" t="s">
        <v>725</v>
      </c>
      <c r="BM210" s="173" t="s">
        <v>725</v>
      </c>
      <c r="BN210" s="173" t="s">
        <v>725</v>
      </c>
      <c r="BO210" s="173" t="s">
        <v>725</v>
      </c>
      <c r="BP210" s="173" t="s">
        <v>725</v>
      </c>
      <c r="BQ210" s="173" t="s">
        <v>725</v>
      </c>
      <c r="BR210" s="174"/>
      <c r="BS210" s="161" t="str">
        <v>#VALUE!</v>
      </c>
    </row>
    <row customHeight="true" ht="18.51851851851852" r="211">
      <c r="A211" s="161" t="s">
        <v>721</v>
      </c>
      <c r="B211" s="161" t="s">
        <v>722</v>
      </c>
      <c r="C211" s="161" t="s">
        <v>792</v>
      </c>
      <c r="D211" s="162" t="s">
        <v>795</v>
      </c>
      <c r="E211" s="176">
        <v>82</v>
      </c>
      <c r="F211" s="163">
        <v>119.99</v>
      </c>
      <c r="G211" s="164">
        <f t="shared" si="9"/>
      </c>
      <c r="H211" s="164">
        <f t="shared" si="73"/>
      </c>
      <c r="I211" s="164">
        <f t="shared" si="135"/>
      </c>
      <c r="J211" s="165">
        <f t="shared" si="216"/>
      </c>
      <c r="K211" s="166">
        <f t="shared" si="269"/>
      </c>
      <c r="L211" s="167">
        <f t="shared" si="340"/>
      </c>
      <c r="M211" s="164">
        <f t="shared" si="385"/>
      </c>
      <c r="N211" s="166">
        <f t="shared" si="429"/>
      </c>
      <c r="O211" s="166">
        <f t="shared" si="460"/>
      </c>
      <c r="P211" s="161">
        <v>3</v>
      </c>
      <c r="Q211" s="168">
        <v>9</v>
      </c>
      <c r="R211" s="169">
        <f t="shared" si="29"/>
      </c>
      <c r="S211" s="165">
        <f t="shared" si="89"/>
      </c>
      <c r="T211" s="169">
        <f t="shared" si="154"/>
      </c>
      <c r="U211" s="169">
        <v>0.01</v>
      </c>
      <c r="V211" s="169">
        <f t="shared" si="291"/>
      </c>
      <c r="W211" s="169">
        <f t="shared" si="362"/>
      </c>
      <c r="X211" s="170">
        <v>0.178</v>
      </c>
      <c r="Y211" s="171">
        <v>10</v>
      </c>
      <c r="Z211" s="171">
        <f>F211*0.1</f>
      </c>
      <c r="AA211" s="171">
        <f t="shared" si="482"/>
      </c>
      <c r="AB211" s="166">
        <f t="shared" si="504"/>
      </c>
      <c r="AC211" s="166">
        <v>220</v>
      </c>
      <c r="AD211" s="172">
        <f t="shared" si="51"/>
      </c>
      <c r="AE211" s="168">
        <f t="shared" si="100"/>
      </c>
      <c r="AF211" s="169">
        <f t="shared" si="176"/>
      </c>
      <c r="AG211" s="169">
        <f t="shared" si="232"/>
      </c>
      <c r="AH211" s="168">
        <v>25</v>
      </c>
      <c r="AI211" s="169">
        <f t="shared" si="194"/>
      </c>
      <c r="AJ211" s="169"/>
      <c r="AK211" s="169"/>
      <c r="AL211" s="169"/>
      <c r="AM211" s="169"/>
      <c r="AN211" s="169"/>
      <c r="AO211" s="169"/>
      <c r="AP211" s="169"/>
      <c r="AQ211" s="169"/>
      <c r="AR211" s="169"/>
      <c r="AS211" s="169"/>
      <c r="AT211" s="173" t="s">
        <v>725</v>
      </c>
      <c r="AU211" s="173" t="s">
        <v>725</v>
      </c>
      <c r="AV211" s="173" t="s">
        <v>725</v>
      </c>
      <c r="AW211" s="173" t="s">
        <v>725</v>
      </c>
      <c r="AX211" s="173" t="s">
        <v>725</v>
      </c>
      <c r="AY211" s="173" t="s">
        <v>725</v>
      </c>
      <c r="AZ211" s="173" t="s">
        <v>725</v>
      </c>
      <c r="BA211" s="173" t="s">
        <v>725</v>
      </c>
      <c r="BB211" s="173" t="s">
        <v>725</v>
      </c>
      <c r="BC211" s="173" t="s">
        <v>725</v>
      </c>
      <c r="BD211" s="173" t="s">
        <v>725</v>
      </c>
      <c r="BE211" s="173" t="s">
        <v>725</v>
      </c>
      <c r="BF211" s="173" t="s">
        <v>725</v>
      </c>
      <c r="BG211" s="173" t="s">
        <v>725</v>
      </c>
      <c r="BH211" s="173" t="s">
        <v>725</v>
      </c>
      <c r="BI211" s="173" t="s">
        <v>725</v>
      </c>
      <c r="BJ211" s="173" t="s">
        <v>725</v>
      </c>
      <c r="BK211" s="173" t="s">
        <v>725</v>
      </c>
      <c r="BL211" s="173" t="s">
        <v>725</v>
      </c>
      <c r="BM211" s="173" t="s">
        <v>725</v>
      </c>
      <c r="BN211" s="173" t="s">
        <v>725</v>
      </c>
      <c r="BO211" s="173" t="s">
        <v>725</v>
      </c>
      <c r="BP211" s="173" t="s">
        <v>725</v>
      </c>
      <c r="BQ211" s="173" t="s">
        <v>725</v>
      </c>
      <c r="BR211" s="174"/>
      <c r="BS211" s="161" t="str">
        <v>#VALUE!</v>
      </c>
    </row>
    <row customHeight="true" ht="18.51851851851852" r="212">
      <c r="A212" s="161" t="s">
        <v>721</v>
      </c>
      <c r="B212" s="161" t="s">
        <v>722</v>
      </c>
      <c r="C212" s="161" t="s">
        <v>792</v>
      </c>
      <c r="D212" s="162" t="s">
        <v>796</v>
      </c>
      <c r="E212" s="176">
        <v>82</v>
      </c>
      <c r="F212" s="163">
        <v>119.99</v>
      </c>
      <c r="G212" s="164">
        <f t="shared" si="9"/>
      </c>
      <c r="H212" s="164">
        <f t="shared" si="73"/>
      </c>
      <c r="I212" s="164">
        <f t="shared" si="135"/>
      </c>
      <c r="J212" s="165">
        <f t="shared" si="216"/>
      </c>
      <c r="K212" s="166">
        <f t="shared" si="269"/>
      </c>
      <c r="L212" s="167">
        <f t="shared" si="340"/>
      </c>
      <c r="M212" s="164">
        <f t="shared" si="385"/>
      </c>
      <c r="N212" s="166">
        <f t="shared" si="429"/>
      </c>
      <c r="O212" s="166">
        <f t="shared" si="460"/>
      </c>
      <c r="P212" s="161">
        <v>3</v>
      </c>
      <c r="Q212" s="168">
        <v>9</v>
      </c>
      <c r="R212" s="169">
        <f t="shared" si="29"/>
      </c>
      <c r="S212" s="165">
        <f t="shared" si="89"/>
      </c>
      <c r="T212" s="169">
        <f t="shared" si="154"/>
      </c>
      <c r="U212" s="169">
        <v>0.01</v>
      </c>
      <c r="V212" s="169">
        <f t="shared" si="291"/>
      </c>
      <c r="W212" s="169">
        <f t="shared" si="362"/>
      </c>
      <c r="X212" s="170">
        <v>0.178</v>
      </c>
      <c r="Y212" s="171">
        <v>10</v>
      </c>
      <c r="Z212" s="171">
        <f>F212*0.15</f>
      </c>
      <c r="AA212" s="171">
        <f t="shared" si="482"/>
      </c>
      <c r="AB212" s="166">
        <f t="shared" si="504"/>
      </c>
      <c r="AC212" s="166">
        <v>220</v>
      </c>
      <c r="AD212" s="172">
        <f t="shared" si="51"/>
      </c>
      <c r="AE212" s="168">
        <f t="shared" si="100"/>
      </c>
      <c r="AF212" s="169">
        <f t="shared" si="176"/>
      </c>
      <c r="AG212" s="169">
        <f t="shared" si="232"/>
      </c>
      <c r="AH212" s="168">
        <v>25</v>
      </c>
      <c r="AI212" s="169">
        <f t="shared" si="194"/>
      </c>
      <c r="AJ212" s="169"/>
      <c r="AK212" s="169"/>
      <c r="AL212" s="169"/>
      <c r="AM212" s="169"/>
      <c r="AN212" s="169"/>
      <c r="AO212" s="169"/>
      <c r="AP212" s="169"/>
      <c r="AQ212" s="169"/>
      <c r="AR212" s="169"/>
      <c r="AS212" s="169"/>
      <c r="AT212" s="173" t="s">
        <v>725</v>
      </c>
      <c r="AU212" s="173" t="s">
        <v>725</v>
      </c>
      <c r="AV212" s="173" t="s">
        <v>725</v>
      </c>
      <c r="AW212" s="173" t="s">
        <v>725</v>
      </c>
      <c r="AX212" s="173" t="s">
        <v>725</v>
      </c>
      <c r="AY212" s="173" t="s">
        <v>725</v>
      </c>
      <c r="AZ212" s="173" t="s">
        <v>725</v>
      </c>
      <c r="BA212" s="173" t="s">
        <v>725</v>
      </c>
      <c r="BB212" s="173" t="s">
        <v>725</v>
      </c>
      <c r="BC212" s="173" t="s">
        <v>725</v>
      </c>
      <c r="BD212" s="173" t="s">
        <v>725</v>
      </c>
      <c r="BE212" s="173" t="s">
        <v>725</v>
      </c>
      <c r="BF212" s="173" t="s">
        <v>725</v>
      </c>
      <c r="BG212" s="173" t="s">
        <v>725</v>
      </c>
      <c r="BH212" s="173" t="s">
        <v>725</v>
      </c>
      <c r="BI212" s="173" t="s">
        <v>725</v>
      </c>
      <c r="BJ212" s="173" t="s">
        <v>725</v>
      </c>
      <c r="BK212" s="173" t="s">
        <v>725</v>
      </c>
      <c r="BL212" s="173" t="s">
        <v>725</v>
      </c>
      <c r="BM212" s="173" t="s">
        <v>725</v>
      </c>
      <c r="BN212" s="173" t="s">
        <v>725</v>
      </c>
      <c r="BO212" s="173" t="s">
        <v>725</v>
      </c>
      <c r="BP212" s="173" t="s">
        <v>725</v>
      </c>
      <c r="BQ212" s="173" t="s">
        <v>725</v>
      </c>
      <c r="BR212" s="174"/>
      <c r="BS212" s="161" t="str">
        <v>#VALUE!</v>
      </c>
    </row>
    <row customHeight="true" ht="18.51851851851852" r="213">
      <c r="A213" s="161" t="s">
        <v>729</v>
      </c>
      <c r="B213" s="161" t="s">
        <v>730</v>
      </c>
      <c r="C213" s="161" t="s">
        <v>792</v>
      </c>
      <c r="D213" s="162" t="s">
        <v>793</v>
      </c>
      <c r="E213" s="176">
        <v>89</v>
      </c>
      <c r="F213" s="163">
        <v>129.99</v>
      </c>
      <c r="G213" s="164">
        <f t="shared" si="9"/>
      </c>
      <c r="H213" s="164">
        <f t="shared" si="73"/>
      </c>
      <c r="I213" s="164">
        <f t="shared" si="135"/>
      </c>
      <c r="J213" s="165">
        <f t="shared" si="216"/>
      </c>
      <c r="K213" s="166">
        <f t="shared" si="269"/>
      </c>
      <c r="L213" s="167">
        <f t="shared" si="340"/>
      </c>
      <c r="M213" s="164">
        <f t="shared" si="385"/>
      </c>
      <c r="N213" s="166">
        <f t="shared" si="429"/>
      </c>
      <c r="O213" s="166">
        <f t="shared" si="460"/>
      </c>
      <c r="P213" s="161">
        <v>3</v>
      </c>
      <c r="Q213" s="168">
        <v>8</v>
      </c>
      <c r="R213" s="169">
        <f t="shared" si="29"/>
      </c>
      <c r="S213" s="165">
        <f t="shared" ref="S213:S232" si="526">Y213/F213</f>
      </c>
      <c r="T213" s="169">
        <f t="shared" si="154"/>
      </c>
      <c r="U213" s="169">
        <v>0.01</v>
      </c>
      <c r="V213" s="169">
        <f t="shared" si="291"/>
      </c>
      <c r="W213" s="169">
        <f t="shared" si="362"/>
      </c>
      <c r="X213" s="170">
        <v>0.188</v>
      </c>
      <c r="Y213" s="171">
        <v>10</v>
      </c>
      <c r="Z213" s="171">
        <v>0</v>
      </c>
      <c r="AA213" s="171">
        <f t="shared" si="482"/>
      </c>
      <c r="AB213" s="166">
        <f t="shared" si="504"/>
      </c>
      <c r="AC213" s="166">
        <v>220</v>
      </c>
      <c r="AD213" s="172">
        <f t="shared" si="51"/>
      </c>
      <c r="AE213" s="168">
        <f t="shared" si="100"/>
      </c>
      <c r="AF213" s="169">
        <f t="shared" si="176"/>
      </c>
      <c r="AG213" s="169">
        <f t="shared" si="232"/>
      </c>
      <c r="AH213" s="168">
        <v>30</v>
      </c>
      <c r="AI213" s="169">
        <f t="shared" si="194"/>
      </c>
      <c r="AJ213" s="169"/>
      <c r="AK213" s="169"/>
      <c r="AL213" s="169"/>
      <c r="AM213" s="169"/>
      <c r="AN213" s="173"/>
      <c r="AO213" s="173"/>
      <c r="AP213" s="173"/>
      <c r="AQ213" s="173"/>
      <c r="AR213" s="173"/>
      <c r="AS213" s="173"/>
      <c r="AT213" s="173" t="s">
        <v>725</v>
      </c>
      <c r="AU213" s="173" t="s">
        <v>725</v>
      </c>
      <c r="AV213" s="173" t="s">
        <v>725</v>
      </c>
      <c r="AW213" s="173" t="s">
        <v>725</v>
      </c>
      <c r="AX213" s="173" t="s">
        <v>725</v>
      </c>
      <c r="AY213" s="173" t="s">
        <v>725</v>
      </c>
      <c r="AZ213" s="173" t="s">
        <v>725</v>
      </c>
      <c r="BA213" s="173" t="s">
        <v>725</v>
      </c>
      <c r="BB213" s="173" t="s">
        <v>725</v>
      </c>
      <c r="BC213" s="173" t="s">
        <v>725</v>
      </c>
      <c r="BD213" s="173" t="s">
        <v>725</v>
      </c>
      <c r="BE213" s="173" t="s">
        <v>725</v>
      </c>
      <c r="BF213" s="173" t="s">
        <v>725</v>
      </c>
      <c r="BG213" s="173" t="s">
        <v>725</v>
      </c>
      <c r="BH213" s="173" t="s">
        <v>725</v>
      </c>
      <c r="BI213" s="173" t="s">
        <v>725</v>
      </c>
      <c r="BJ213" s="173" t="s">
        <v>725</v>
      </c>
      <c r="BK213" s="173" t="s">
        <v>725</v>
      </c>
      <c r="BL213" s="173" t="s">
        <v>725</v>
      </c>
      <c r="BM213" s="173" t="s">
        <v>725</v>
      </c>
      <c r="BN213" s="173" t="s">
        <v>725</v>
      </c>
      <c r="BO213" s="173" t="s">
        <v>725</v>
      </c>
      <c r="BP213" s="173" t="s">
        <v>725</v>
      </c>
      <c r="BQ213" s="173" t="s">
        <v>725</v>
      </c>
      <c r="BR213" s="174"/>
      <c r="BS213" s="161" t="str">
        <v>#VALUE!</v>
      </c>
    </row>
    <row customHeight="true" ht="18.51851851851852" r="214">
      <c r="A214" s="161" t="s">
        <v>729</v>
      </c>
      <c r="B214" s="161" t="s">
        <v>730</v>
      </c>
      <c r="C214" s="161" t="s">
        <v>792</v>
      </c>
      <c r="D214" s="162" t="s">
        <v>794</v>
      </c>
      <c r="E214" s="176">
        <v>89</v>
      </c>
      <c r="F214" s="163">
        <v>129.99</v>
      </c>
      <c r="G214" s="164">
        <f t="shared" si="9"/>
      </c>
      <c r="H214" s="164">
        <f t="shared" si="73"/>
      </c>
      <c r="I214" s="164">
        <f t="shared" si="135"/>
      </c>
      <c r="J214" s="165">
        <f t="shared" si="216"/>
      </c>
      <c r="K214" s="166">
        <f t="shared" si="269"/>
      </c>
      <c r="L214" s="167">
        <f t="shared" si="340"/>
      </c>
      <c r="M214" s="164">
        <f t="shared" si="385"/>
      </c>
      <c r="N214" s="166">
        <f t="shared" si="429"/>
      </c>
      <c r="O214" s="166">
        <f t="shared" si="460"/>
      </c>
      <c r="P214" s="161">
        <v>3</v>
      </c>
      <c r="Q214" s="168">
        <v>8</v>
      </c>
      <c r="R214" s="169">
        <f t="shared" si="29"/>
      </c>
      <c r="S214" s="165">
        <f t="shared" si="526"/>
      </c>
      <c r="T214" s="169">
        <f t="shared" si="154"/>
      </c>
      <c r="U214" s="169">
        <v>0.01</v>
      </c>
      <c r="V214" s="169">
        <f t="shared" si="291"/>
      </c>
      <c r="W214" s="169">
        <f t="shared" si="362"/>
      </c>
      <c r="X214" s="170">
        <v>0.188</v>
      </c>
      <c r="Y214" s="171">
        <v>10</v>
      </c>
      <c r="Z214" s="171">
        <f>F214*0.05</f>
      </c>
      <c r="AA214" s="171">
        <f t="shared" si="482"/>
      </c>
      <c r="AB214" s="166">
        <f t="shared" si="504"/>
      </c>
      <c r="AC214" s="166">
        <v>220</v>
      </c>
      <c r="AD214" s="172">
        <f t="shared" si="51"/>
      </c>
      <c r="AE214" s="168">
        <f t="shared" si="100"/>
      </c>
      <c r="AF214" s="169">
        <f t="shared" si="176"/>
      </c>
      <c r="AG214" s="169">
        <f t="shared" si="232"/>
      </c>
      <c r="AH214" s="168">
        <v>30</v>
      </c>
      <c r="AI214" s="169">
        <f t="shared" si="194"/>
      </c>
      <c r="AJ214" s="169"/>
      <c r="AK214" s="169"/>
      <c r="AL214" s="169"/>
      <c r="AM214" s="169"/>
      <c r="AN214" s="173"/>
      <c r="AO214" s="173"/>
      <c r="AP214" s="173"/>
      <c r="AQ214" s="173"/>
      <c r="AR214" s="173"/>
      <c r="AS214" s="173"/>
      <c r="AT214" s="173" t="s">
        <v>725</v>
      </c>
      <c r="AU214" s="173" t="s">
        <v>725</v>
      </c>
      <c r="AV214" s="173" t="s">
        <v>725</v>
      </c>
      <c r="AW214" s="173" t="s">
        <v>725</v>
      </c>
      <c r="AX214" s="173" t="s">
        <v>725</v>
      </c>
      <c r="AY214" s="173" t="s">
        <v>725</v>
      </c>
      <c r="AZ214" s="173" t="s">
        <v>725</v>
      </c>
      <c r="BA214" s="173" t="s">
        <v>725</v>
      </c>
      <c r="BB214" s="173" t="s">
        <v>725</v>
      </c>
      <c r="BC214" s="173" t="s">
        <v>725</v>
      </c>
      <c r="BD214" s="173" t="s">
        <v>725</v>
      </c>
      <c r="BE214" s="173" t="s">
        <v>725</v>
      </c>
      <c r="BF214" s="173" t="s">
        <v>725</v>
      </c>
      <c r="BG214" s="173" t="s">
        <v>725</v>
      </c>
      <c r="BH214" s="173" t="s">
        <v>725</v>
      </c>
      <c r="BI214" s="173" t="s">
        <v>725</v>
      </c>
      <c r="BJ214" s="173" t="s">
        <v>725</v>
      </c>
      <c r="BK214" s="173" t="s">
        <v>725</v>
      </c>
      <c r="BL214" s="173" t="s">
        <v>725</v>
      </c>
      <c r="BM214" s="173" t="s">
        <v>725</v>
      </c>
      <c r="BN214" s="173" t="s">
        <v>725</v>
      </c>
      <c r="BO214" s="173" t="s">
        <v>725</v>
      </c>
      <c r="BP214" s="173" t="s">
        <v>725</v>
      </c>
      <c r="BQ214" s="173" t="s">
        <v>725</v>
      </c>
      <c r="BR214" s="174"/>
      <c r="BS214" s="161" t="str">
        <v>#VALUE!</v>
      </c>
    </row>
    <row customHeight="true" ht="18.51851851851852" r="215">
      <c r="A215" s="161" t="s">
        <v>729</v>
      </c>
      <c r="B215" s="161" t="s">
        <v>730</v>
      </c>
      <c r="C215" s="161" t="s">
        <v>792</v>
      </c>
      <c r="D215" s="162" t="s">
        <v>795</v>
      </c>
      <c r="E215" s="176">
        <v>89</v>
      </c>
      <c r="F215" s="163">
        <v>129.99</v>
      </c>
      <c r="G215" s="164">
        <f t="shared" si="9"/>
      </c>
      <c r="H215" s="164">
        <f t="shared" si="73"/>
      </c>
      <c r="I215" s="164">
        <f t="shared" si="135"/>
      </c>
      <c r="J215" s="165">
        <f t="shared" si="216"/>
      </c>
      <c r="K215" s="166">
        <f t="shared" si="269"/>
      </c>
      <c r="L215" s="167">
        <f t="shared" si="340"/>
      </c>
      <c r="M215" s="164">
        <f t="shared" si="385"/>
      </c>
      <c r="N215" s="166">
        <f t="shared" si="429"/>
      </c>
      <c r="O215" s="166">
        <f t="shared" si="460"/>
      </c>
      <c r="P215" s="161">
        <v>3</v>
      </c>
      <c r="Q215" s="168">
        <v>8</v>
      </c>
      <c r="R215" s="169">
        <f t="shared" si="29"/>
      </c>
      <c r="S215" s="165">
        <f t="shared" si="526"/>
      </c>
      <c r="T215" s="169">
        <f t="shared" si="154"/>
      </c>
      <c r="U215" s="169">
        <v>0.01</v>
      </c>
      <c r="V215" s="169">
        <f t="shared" si="291"/>
      </c>
      <c r="W215" s="169">
        <f t="shared" si="362"/>
      </c>
      <c r="X215" s="170">
        <v>0.188</v>
      </c>
      <c r="Y215" s="171">
        <v>10</v>
      </c>
      <c r="Z215" s="171">
        <f>F215*0.1</f>
      </c>
      <c r="AA215" s="171">
        <f t="shared" si="482"/>
      </c>
      <c r="AB215" s="166">
        <f t="shared" si="504"/>
      </c>
      <c r="AC215" s="166">
        <v>220</v>
      </c>
      <c r="AD215" s="172">
        <f t="shared" si="51"/>
      </c>
      <c r="AE215" s="168">
        <f t="shared" si="100"/>
      </c>
      <c r="AF215" s="169">
        <f t="shared" si="176"/>
      </c>
      <c r="AG215" s="169">
        <f t="shared" si="232"/>
      </c>
      <c r="AH215" s="168">
        <v>30</v>
      </c>
      <c r="AI215" s="169">
        <f t="shared" si="194"/>
      </c>
      <c r="AJ215" s="169"/>
      <c r="AK215" s="169"/>
      <c r="AL215" s="169"/>
      <c r="AM215" s="169"/>
      <c r="AN215" s="173"/>
      <c r="AO215" s="173"/>
      <c r="AP215" s="173"/>
      <c r="AQ215" s="173"/>
      <c r="AR215" s="173"/>
      <c r="AS215" s="173"/>
      <c r="AT215" s="173" t="s">
        <v>725</v>
      </c>
      <c r="AU215" s="173" t="s">
        <v>725</v>
      </c>
      <c r="AV215" s="173" t="s">
        <v>725</v>
      </c>
      <c r="AW215" s="173" t="s">
        <v>725</v>
      </c>
      <c r="AX215" s="173" t="s">
        <v>725</v>
      </c>
      <c r="AY215" s="173" t="s">
        <v>725</v>
      </c>
      <c r="AZ215" s="173" t="s">
        <v>725</v>
      </c>
      <c r="BA215" s="173" t="s">
        <v>725</v>
      </c>
      <c r="BB215" s="173" t="s">
        <v>725</v>
      </c>
      <c r="BC215" s="173" t="s">
        <v>725</v>
      </c>
      <c r="BD215" s="173" t="s">
        <v>725</v>
      </c>
      <c r="BE215" s="173" t="s">
        <v>725</v>
      </c>
      <c r="BF215" s="173" t="s">
        <v>725</v>
      </c>
      <c r="BG215" s="173" t="s">
        <v>725</v>
      </c>
      <c r="BH215" s="173" t="s">
        <v>725</v>
      </c>
      <c r="BI215" s="173" t="s">
        <v>725</v>
      </c>
      <c r="BJ215" s="173" t="s">
        <v>725</v>
      </c>
      <c r="BK215" s="173" t="s">
        <v>725</v>
      </c>
      <c r="BL215" s="173" t="s">
        <v>725</v>
      </c>
      <c r="BM215" s="173" t="s">
        <v>725</v>
      </c>
      <c r="BN215" s="173" t="s">
        <v>725</v>
      </c>
      <c r="BO215" s="173" t="s">
        <v>725</v>
      </c>
      <c r="BP215" s="173" t="s">
        <v>725</v>
      </c>
      <c r="BQ215" s="173" t="s">
        <v>725</v>
      </c>
      <c r="BR215" s="174"/>
      <c r="BS215" s="161" t="str">
        <v>#VALUE!</v>
      </c>
    </row>
    <row customHeight="true" ht="18.51851851851852" r="216">
      <c r="A216" s="161" t="s">
        <v>729</v>
      </c>
      <c r="B216" s="161" t="s">
        <v>730</v>
      </c>
      <c r="C216" s="161" t="s">
        <v>792</v>
      </c>
      <c r="D216" s="162" t="s">
        <v>796</v>
      </c>
      <c r="E216" s="176">
        <v>89</v>
      </c>
      <c r="F216" s="163">
        <v>129.99</v>
      </c>
      <c r="G216" s="164">
        <f t="shared" si="9"/>
      </c>
      <c r="H216" s="164">
        <f t="shared" si="73"/>
      </c>
      <c r="I216" s="164">
        <f t="shared" si="135"/>
      </c>
      <c r="J216" s="165">
        <f t="shared" si="216"/>
      </c>
      <c r="K216" s="166">
        <f t="shared" si="269"/>
      </c>
      <c r="L216" s="167">
        <f t="shared" si="340"/>
      </c>
      <c r="M216" s="164">
        <f t="shared" si="385"/>
      </c>
      <c r="N216" s="166">
        <f t="shared" si="429"/>
      </c>
      <c r="O216" s="166">
        <f t="shared" si="460"/>
      </c>
      <c r="P216" s="161">
        <v>3</v>
      </c>
      <c r="Q216" s="168">
        <v>8</v>
      </c>
      <c r="R216" s="169">
        <f t="shared" si="29"/>
      </c>
      <c r="S216" s="165">
        <f t="shared" si="526"/>
      </c>
      <c r="T216" s="169">
        <f t="shared" si="154"/>
      </c>
      <c r="U216" s="169">
        <v>0.01</v>
      </c>
      <c r="V216" s="169">
        <f t="shared" si="291"/>
      </c>
      <c r="W216" s="169">
        <f t="shared" si="362"/>
      </c>
      <c r="X216" s="170">
        <v>0.188</v>
      </c>
      <c r="Y216" s="171">
        <v>10</v>
      </c>
      <c r="Z216" s="171">
        <f>F216*0.15</f>
      </c>
      <c r="AA216" s="171">
        <f t="shared" si="482"/>
      </c>
      <c r="AB216" s="166">
        <f t="shared" si="504"/>
      </c>
      <c r="AC216" s="166">
        <v>220</v>
      </c>
      <c r="AD216" s="172">
        <f t="shared" si="51"/>
      </c>
      <c r="AE216" s="168">
        <f t="shared" si="100"/>
      </c>
      <c r="AF216" s="169">
        <f t="shared" si="176"/>
      </c>
      <c r="AG216" s="169">
        <f t="shared" si="232"/>
      </c>
      <c r="AH216" s="168">
        <v>30</v>
      </c>
      <c r="AI216" s="169">
        <f t="shared" si="194"/>
      </c>
      <c r="AJ216" s="169"/>
      <c r="AK216" s="169"/>
      <c r="AL216" s="169"/>
      <c r="AM216" s="169"/>
      <c r="AN216" s="173"/>
      <c r="AO216" s="173"/>
      <c r="AP216" s="173"/>
      <c r="AQ216" s="173"/>
      <c r="AR216" s="173"/>
      <c r="AS216" s="173"/>
      <c r="AT216" s="173" t="s">
        <v>725</v>
      </c>
      <c r="AU216" s="173" t="s">
        <v>725</v>
      </c>
      <c r="AV216" s="173" t="s">
        <v>725</v>
      </c>
      <c r="AW216" s="173" t="s">
        <v>725</v>
      </c>
      <c r="AX216" s="173" t="s">
        <v>725</v>
      </c>
      <c r="AY216" s="173" t="s">
        <v>725</v>
      </c>
      <c r="AZ216" s="173" t="s">
        <v>725</v>
      </c>
      <c r="BA216" s="173" t="s">
        <v>725</v>
      </c>
      <c r="BB216" s="173" t="s">
        <v>725</v>
      </c>
      <c r="BC216" s="173" t="s">
        <v>725</v>
      </c>
      <c r="BD216" s="173" t="s">
        <v>725</v>
      </c>
      <c r="BE216" s="173" t="s">
        <v>725</v>
      </c>
      <c r="BF216" s="173" t="s">
        <v>725</v>
      </c>
      <c r="BG216" s="173" t="s">
        <v>725</v>
      </c>
      <c r="BH216" s="173" t="s">
        <v>725</v>
      </c>
      <c r="BI216" s="173" t="s">
        <v>725</v>
      </c>
      <c r="BJ216" s="173" t="s">
        <v>725</v>
      </c>
      <c r="BK216" s="173" t="s">
        <v>725</v>
      </c>
      <c r="BL216" s="173" t="s">
        <v>725</v>
      </c>
      <c r="BM216" s="173" t="s">
        <v>725</v>
      </c>
      <c r="BN216" s="173" t="s">
        <v>725</v>
      </c>
      <c r="BO216" s="173" t="s">
        <v>725</v>
      </c>
      <c r="BP216" s="173" t="s">
        <v>725</v>
      </c>
      <c r="BQ216" s="173" t="s">
        <v>725</v>
      </c>
      <c r="BR216" s="174"/>
      <c r="BS216" s="161" t="str">
        <v>#VALUE!</v>
      </c>
    </row>
    <row customHeight="true" ht="18.51851851851852" r="217">
      <c r="A217" s="161" t="s">
        <v>732</v>
      </c>
      <c r="B217" s="161" t="s">
        <v>730</v>
      </c>
      <c r="C217" s="161" t="s">
        <v>792</v>
      </c>
      <c r="D217" s="162" t="s">
        <v>793</v>
      </c>
      <c r="E217" s="176">
        <v>93</v>
      </c>
      <c r="F217" s="163">
        <v>134.99</v>
      </c>
      <c r="G217" s="164">
        <f t="shared" si="9"/>
      </c>
      <c r="H217" s="164">
        <f t="shared" si="73"/>
      </c>
      <c r="I217" s="164">
        <f t="shared" si="135"/>
      </c>
      <c r="J217" s="165">
        <f t="shared" si="216"/>
      </c>
      <c r="K217" s="166">
        <f t="shared" si="269"/>
      </c>
      <c r="L217" s="167">
        <f t="shared" si="340"/>
      </c>
      <c r="M217" s="164">
        <f t="shared" si="385"/>
      </c>
      <c r="N217" s="166">
        <f t="shared" si="429"/>
      </c>
      <c r="O217" s="166">
        <f t="shared" si="460"/>
      </c>
      <c r="P217" s="161">
        <v>3</v>
      </c>
      <c r="Q217" s="168">
        <v>8</v>
      </c>
      <c r="R217" s="169">
        <f t="shared" si="29"/>
      </c>
      <c r="S217" s="165">
        <f t="shared" si="526"/>
      </c>
      <c r="T217" s="169">
        <f t="shared" si="154"/>
      </c>
      <c r="U217" s="169">
        <v>0.01</v>
      </c>
      <c r="V217" s="169">
        <f t="shared" si="291"/>
      </c>
      <c r="W217" s="169">
        <f t="shared" si="362"/>
      </c>
      <c r="X217" s="170">
        <v>0.188</v>
      </c>
      <c r="Y217" s="171">
        <v>10</v>
      </c>
      <c r="Z217" s="171">
        <v>0</v>
      </c>
      <c r="AA217" s="171">
        <f t="shared" si="482"/>
      </c>
      <c r="AB217" s="166">
        <f t="shared" si="504"/>
      </c>
      <c r="AC217" s="166">
        <v>220</v>
      </c>
      <c r="AD217" s="172">
        <f t="shared" si="51"/>
      </c>
      <c r="AE217" s="168">
        <f t="shared" si="100"/>
      </c>
      <c r="AF217" s="169">
        <f t="shared" si="176"/>
      </c>
      <c r="AG217" s="169">
        <f t="shared" si="232"/>
      </c>
      <c r="AH217" s="168">
        <v>30</v>
      </c>
      <c r="AI217" s="169">
        <f t="shared" si="194"/>
      </c>
      <c r="AJ217" s="169"/>
      <c r="AK217" s="169"/>
      <c r="AL217" s="169"/>
      <c r="AM217" s="169"/>
      <c r="AN217" s="173"/>
      <c r="AO217" s="173"/>
      <c r="AP217" s="173"/>
      <c r="AQ217" s="173"/>
      <c r="AR217" s="173"/>
      <c r="AS217" s="173"/>
      <c r="AT217" s="173" t="s">
        <v>725</v>
      </c>
      <c r="AU217" s="173" t="s">
        <v>725</v>
      </c>
      <c r="AV217" s="173" t="s">
        <v>725</v>
      </c>
      <c r="AW217" s="173" t="s">
        <v>725</v>
      </c>
      <c r="AX217" s="173" t="s">
        <v>725</v>
      </c>
      <c r="AY217" s="173" t="s">
        <v>725</v>
      </c>
      <c r="AZ217" s="173" t="s">
        <v>725</v>
      </c>
      <c r="BA217" s="173" t="s">
        <v>725</v>
      </c>
      <c r="BB217" s="173" t="s">
        <v>725</v>
      </c>
      <c r="BC217" s="173" t="s">
        <v>725</v>
      </c>
      <c r="BD217" s="173" t="s">
        <v>725</v>
      </c>
      <c r="BE217" s="173" t="s">
        <v>725</v>
      </c>
      <c r="BF217" s="173" t="s">
        <v>725</v>
      </c>
      <c r="BG217" s="173" t="s">
        <v>725</v>
      </c>
      <c r="BH217" s="173" t="s">
        <v>725</v>
      </c>
      <c r="BI217" s="173" t="s">
        <v>725</v>
      </c>
      <c r="BJ217" s="173" t="s">
        <v>725</v>
      </c>
      <c r="BK217" s="173" t="s">
        <v>725</v>
      </c>
      <c r="BL217" s="173" t="s">
        <v>725</v>
      </c>
      <c r="BM217" s="173" t="s">
        <v>725</v>
      </c>
      <c r="BN217" s="173" t="s">
        <v>725</v>
      </c>
      <c r="BO217" s="173" t="s">
        <v>725</v>
      </c>
      <c r="BP217" s="173" t="s">
        <v>725</v>
      </c>
      <c r="BQ217" s="173" t="s">
        <v>725</v>
      </c>
      <c r="BR217" s="174"/>
      <c r="BS217" s="161" t="str">
        <v>#VALUE!</v>
      </c>
    </row>
    <row customHeight="true" ht="18.51851851851852" r="218">
      <c r="A218" s="161" t="s">
        <v>732</v>
      </c>
      <c r="B218" s="161" t="s">
        <v>730</v>
      </c>
      <c r="C218" s="161" t="s">
        <v>792</v>
      </c>
      <c r="D218" s="162" t="s">
        <v>794</v>
      </c>
      <c r="E218" s="176">
        <v>93</v>
      </c>
      <c r="F218" s="163">
        <v>134.99</v>
      </c>
      <c r="G218" s="164">
        <f t="shared" si="9"/>
      </c>
      <c r="H218" s="164">
        <f t="shared" si="73"/>
      </c>
      <c r="I218" s="164">
        <f t="shared" si="135"/>
      </c>
      <c r="J218" s="165">
        <f t="shared" si="216"/>
      </c>
      <c r="K218" s="166">
        <f t="shared" si="269"/>
      </c>
      <c r="L218" s="167">
        <f t="shared" si="340"/>
      </c>
      <c r="M218" s="164">
        <f t="shared" si="385"/>
      </c>
      <c r="N218" s="166">
        <f t="shared" si="429"/>
      </c>
      <c r="O218" s="166">
        <f t="shared" si="460"/>
      </c>
      <c r="P218" s="161">
        <v>3</v>
      </c>
      <c r="Q218" s="168">
        <v>8</v>
      </c>
      <c r="R218" s="169">
        <f t="shared" si="29"/>
      </c>
      <c r="S218" s="165">
        <f t="shared" si="526"/>
      </c>
      <c r="T218" s="169">
        <f t="shared" si="154"/>
      </c>
      <c r="U218" s="169">
        <v>0.01</v>
      </c>
      <c r="V218" s="169">
        <f t="shared" si="291"/>
      </c>
      <c r="W218" s="169">
        <f t="shared" si="362"/>
      </c>
      <c r="X218" s="170">
        <v>0.188</v>
      </c>
      <c r="Y218" s="171">
        <v>10</v>
      </c>
      <c r="Z218" s="171">
        <f>F218*0.05</f>
      </c>
      <c r="AA218" s="171">
        <f t="shared" si="482"/>
      </c>
      <c r="AB218" s="166">
        <f t="shared" si="504"/>
      </c>
      <c r="AC218" s="166">
        <v>220</v>
      </c>
      <c r="AD218" s="172">
        <f t="shared" si="51"/>
      </c>
      <c r="AE218" s="168">
        <f t="shared" si="100"/>
      </c>
      <c r="AF218" s="169">
        <f t="shared" si="176"/>
      </c>
      <c r="AG218" s="169">
        <f t="shared" si="232"/>
      </c>
      <c r="AH218" s="168">
        <v>30</v>
      </c>
      <c r="AI218" s="169">
        <f t="shared" si="194"/>
      </c>
      <c r="AJ218" s="169"/>
      <c r="AK218" s="169"/>
      <c r="AL218" s="169"/>
      <c r="AM218" s="169"/>
      <c r="AN218" s="173"/>
      <c r="AO218" s="173"/>
      <c r="AP218" s="173"/>
      <c r="AQ218" s="173"/>
      <c r="AR218" s="173"/>
      <c r="AS218" s="173"/>
      <c r="AT218" s="173" t="s">
        <v>725</v>
      </c>
      <c r="AU218" s="173" t="s">
        <v>725</v>
      </c>
      <c r="AV218" s="173" t="s">
        <v>725</v>
      </c>
      <c r="AW218" s="173" t="s">
        <v>725</v>
      </c>
      <c r="AX218" s="173" t="s">
        <v>725</v>
      </c>
      <c r="AY218" s="173" t="s">
        <v>725</v>
      </c>
      <c r="AZ218" s="173" t="s">
        <v>725</v>
      </c>
      <c r="BA218" s="173" t="s">
        <v>725</v>
      </c>
      <c r="BB218" s="173" t="s">
        <v>725</v>
      </c>
      <c r="BC218" s="173" t="s">
        <v>725</v>
      </c>
      <c r="BD218" s="173" t="s">
        <v>725</v>
      </c>
      <c r="BE218" s="173" t="s">
        <v>725</v>
      </c>
      <c r="BF218" s="173" t="s">
        <v>725</v>
      </c>
      <c r="BG218" s="173" t="s">
        <v>725</v>
      </c>
      <c r="BH218" s="173" t="s">
        <v>725</v>
      </c>
      <c r="BI218" s="173" t="s">
        <v>725</v>
      </c>
      <c r="BJ218" s="173" t="s">
        <v>725</v>
      </c>
      <c r="BK218" s="173" t="s">
        <v>725</v>
      </c>
      <c r="BL218" s="173" t="s">
        <v>725</v>
      </c>
      <c r="BM218" s="173" t="s">
        <v>725</v>
      </c>
      <c r="BN218" s="173" t="s">
        <v>725</v>
      </c>
      <c r="BO218" s="173" t="s">
        <v>725</v>
      </c>
      <c r="BP218" s="173" t="s">
        <v>725</v>
      </c>
      <c r="BQ218" s="173" t="s">
        <v>725</v>
      </c>
      <c r="BR218" s="174"/>
      <c r="BS218" s="161" t="str">
        <v>#VALUE!</v>
      </c>
    </row>
    <row customHeight="true" ht="18.51851851851852" r="219">
      <c r="A219" s="161" t="s">
        <v>732</v>
      </c>
      <c r="B219" s="161" t="s">
        <v>730</v>
      </c>
      <c r="C219" s="161" t="s">
        <v>792</v>
      </c>
      <c r="D219" s="162" t="s">
        <v>795</v>
      </c>
      <c r="E219" s="176">
        <v>93</v>
      </c>
      <c r="F219" s="163">
        <v>134.99</v>
      </c>
      <c r="G219" s="164">
        <f t="shared" si="9"/>
      </c>
      <c r="H219" s="164">
        <f t="shared" si="73"/>
      </c>
      <c r="I219" s="164">
        <f t="shared" si="135"/>
      </c>
      <c r="J219" s="165">
        <f t="shared" si="216"/>
      </c>
      <c r="K219" s="166">
        <f t="shared" si="269"/>
      </c>
      <c r="L219" s="167">
        <f t="shared" si="340"/>
      </c>
      <c r="M219" s="164">
        <f t="shared" si="385"/>
      </c>
      <c r="N219" s="166">
        <f t="shared" si="429"/>
      </c>
      <c r="O219" s="166">
        <f t="shared" si="460"/>
      </c>
      <c r="P219" s="161">
        <v>3</v>
      </c>
      <c r="Q219" s="168">
        <v>8</v>
      </c>
      <c r="R219" s="169">
        <f t="shared" si="29"/>
      </c>
      <c r="S219" s="165">
        <f t="shared" si="526"/>
      </c>
      <c r="T219" s="169">
        <f t="shared" si="154"/>
      </c>
      <c r="U219" s="169">
        <v>0.01</v>
      </c>
      <c r="V219" s="169">
        <f t="shared" si="291"/>
      </c>
      <c r="W219" s="169">
        <f t="shared" si="362"/>
      </c>
      <c r="X219" s="170">
        <v>0.188</v>
      </c>
      <c r="Y219" s="171">
        <v>10</v>
      </c>
      <c r="Z219" s="171">
        <f>F219*0.1</f>
      </c>
      <c r="AA219" s="171">
        <f t="shared" si="482"/>
      </c>
      <c r="AB219" s="166">
        <f t="shared" si="504"/>
      </c>
      <c r="AC219" s="166">
        <v>220</v>
      </c>
      <c r="AD219" s="172">
        <f t="shared" si="51"/>
      </c>
      <c r="AE219" s="168">
        <f t="shared" si="100"/>
      </c>
      <c r="AF219" s="169">
        <f t="shared" si="176"/>
      </c>
      <c r="AG219" s="169">
        <f t="shared" si="232"/>
      </c>
      <c r="AH219" s="168">
        <v>30</v>
      </c>
      <c r="AI219" s="169">
        <f t="shared" si="194"/>
      </c>
      <c r="AJ219" s="169"/>
      <c r="AK219" s="169"/>
      <c r="AL219" s="169"/>
      <c r="AM219" s="169"/>
      <c r="AN219" s="173"/>
      <c r="AO219" s="173"/>
      <c r="AP219" s="173"/>
      <c r="AQ219" s="173"/>
      <c r="AR219" s="173"/>
      <c r="AS219" s="173"/>
      <c r="AT219" s="173" t="s">
        <v>725</v>
      </c>
      <c r="AU219" s="173" t="s">
        <v>725</v>
      </c>
      <c r="AV219" s="173" t="s">
        <v>725</v>
      </c>
      <c r="AW219" s="173" t="s">
        <v>725</v>
      </c>
      <c r="AX219" s="173" t="s">
        <v>725</v>
      </c>
      <c r="AY219" s="173" t="s">
        <v>725</v>
      </c>
      <c r="AZ219" s="173" t="s">
        <v>725</v>
      </c>
      <c r="BA219" s="173" t="s">
        <v>725</v>
      </c>
      <c r="BB219" s="173" t="s">
        <v>725</v>
      </c>
      <c r="BC219" s="173" t="s">
        <v>725</v>
      </c>
      <c r="BD219" s="173" t="s">
        <v>725</v>
      </c>
      <c r="BE219" s="173" t="s">
        <v>725</v>
      </c>
      <c r="BF219" s="173" t="s">
        <v>725</v>
      </c>
      <c r="BG219" s="173" t="s">
        <v>725</v>
      </c>
      <c r="BH219" s="173" t="s">
        <v>725</v>
      </c>
      <c r="BI219" s="173" t="s">
        <v>725</v>
      </c>
      <c r="BJ219" s="173" t="s">
        <v>725</v>
      </c>
      <c r="BK219" s="173" t="s">
        <v>725</v>
      </c>
      <c r="BL219" s="173" t="s">
        <v>725</v>
      </c>
      <c r="BM219" s="173" t="s">
        <v>725</v>
      </c>
      <c r="BN219" s="173" t="s">
        <v>725</v>
      </c>
      <c r="BO219" s="173" t="s">
        <v>725</v>
      </c>
      <c r="BP219" s="173" t="s">
        <v>725</v>
      </c>
      <c r="BQ219" s="173" t="s">
        <v>725</v>
      </c>
      <c r="BR219" s="174"/>
      <c r="BS219" s="161" t="str">
        <v>#VALUE!</v>
      </c>
    </row>
    <row customHeight="true" ht="18.51851851851852" r="220">
      <c r="A220" s="161" t="s">
        <v>732</v>
      </c>
      <c r="B220" s="161" t="s">
        <v>730</v>
      </c>
      <c r="C220" s="161" t="s">
        <v>792</v>
      </c>
      <c r="D220" s="162" t="s">
        <v>796</v>
      </c>
      <c r="E220" s="176">
        <v>93</v>
      </c>
      <c r="F220" s="163">
        <v>134.99</v>
      </c>
      <c r="G220" s="164">
        <f t="shared" si="9"/>
      </c>
      <c r="H220" s="164">
        <f t="shared" si="73"/>
      </c>
      <c r="I220" s="164">
        <f t="shared" si="135"/>
      </c>
      <c r="J220" s="165">
        <f t="shared" si="216"/>
      </c>
      <c r="K220" s="166">
        <f t="shared" si="269"/>
      </c>
      <c r="L220" s="167">
        <f t="shared" si="340"/>
      </c>
      <c r="M220" s="164">
        <f t="shared" si="385"/>
      </c>
      <c r="N220" s="166">
        <f t="shared" si="429"/>
      </c>
      <c r="O220" s="166">
        <f t="shared" si="460"/>
      </c>
      <c r="P220" s="161">
        <v>3</v>
      </c>
      <c r="Q220" s="168">
        <v>8</v>
      </c>
      <c r="R220" s="169">
        <f t="shared" si="29"/>
      </c>
      <c r="S220" s="165">
        <f t="shared" si="526"/>
      </c>
      <c r="T220" s="169">
        <f t="shared" si="154"/>
      </c>
      <c r="U220" s="169">
        <v>0.01</v>
      </c>
      <c r="V220" s="169">
        <f t="shared" si="291"/>
      </c>
      <c r="W220" s="169">
        <f t="shared" si="362"/>
      </c>
      <c r="X220" s="170">
        <v>0.188</v>
      </c>
      <c r="Y220" s="171">
        <v>10</v>
      </c>
      <c r="Z220" s="171">
        <f>F220*0.15</f>
      </c>
      <c r="AA220" s="171">
        <f t="shared" si="482"/>
      </c>
      <c r="AB220" s="166">
        <f t="shared" si="504"/>
      </c>
      <c r="AC220" s="166">
        <v>220</v>
      </c>
      <c r="AD220" s="172">
        <f t="shared" si="51"/>
      </c>
      <c r="AE220" s="168">
        <f t="shared" si="100"/>
      </c>
      <c r="AF220" s="169">
        <f t="shared" si="176"/>
      </c>
      <c r="AG220" s="169">
        <f t="shared" si="232"/>
      </c>
      <c r="AH220" s="168">
        <v>30</v>
      </c>
      <c r="AI220" s="169">
        <f t="shared" ref="AI220:AI232" si="310">(K220-E220+AB220)/(K220-Z220)</f>
      </c>
      <c r="AJ220" s="169"/>
      <c r="AK220" s="169"/>
      <c r="AL220" s="169"/>
      <c r="AM220" s="169"/>
      <c r="AN220" s="173"/>
      <c r="AO220" s="173"/>
      <c r="AP220" s="173"/>
      <c r="AQ220" s="173"/>
      <c r="AR220" s="173"/>
      <c r="AS220" s="173"/>
      <c r="AT220" s="173" t="s">
        <v>725</v>
      </c>
      <c r="AU220" s="173" t="s">
        <v>725</v>
      </c>
      <c r="AV220" s="173" t="s">
        <v>725</v>
      </c>
      <c r="AW220" s="173" t="s">
        <v>725</v>
      </c>
      <c r="AX220" s="173" t="s">
        <v>725</v>
      </c>
      <c r="AY220" s="173" t="s">
        <v>725</v>
      </c>
      <c r="AZ220" s="173" t="s">
        <v>725</v>
      </c>
      <c r="BA220" s="173" t="s">
        <v>725</v>
      </c>
      <c r="BB220" s="173" t="s">
        <v>725</v>
      </c>
      <c r="BC220" s="173" t="s">
        <v>725</v>
      </c>
      <c r="BD220" s="173" t="s">
        <v>725</v>
      </c>
      <c r="BE220" s="173" t="s">
        <v>725</v>
      </c>
      <c r="BF220" s="173" t="s">
        <v>725</v>
      </c>
      <c r="BG220" s="173" t="s">
        <v>725</v>
      </c>
      <c r="BH220" s="173" t="s">
        <v>725</v>
      </c>
      <c r="BI220" s="173" t="s">
        <v>725</v>
      </c>
      <c r="BJ220" s="173" t="s">
        <v>725</v>
      </c>
      <c r="BK220" s="173" t="s">
        <v>725</v>
      </c>
      <c r="BL220" s="173" t="s">
        <v>725</v>
      </c>
      <c r="BM220" s="173" t="s">
        <v>725</v>
      </c>
      <c r="BN220" s="173" t="s">
        <v>725</v>
      </c>
      <c r="BO220" s="173" t="s">
        <v>725</v>
      </c>
      <c r="BP220" s="173" t="s">
        <v>725</v>
      </c>
      <c r="BQ220" s="173" t="s">
        <v>725</v>
      </c>
      <c r="BR220" s="174"/>
      <c r="BS220" s="161" t="str">
        <v>#VALUE!</v>
      </c>
    </row>
    <row customHeight="true" ht="18.51851851851852" r="221">
      <c r="A221" s="161" t="s">
        <v>733</v>
      </c>
      <c r="B221" s="161" t="s">
        <v>730</v>
      </c>
      <c r="C221" s="161" t="s">
        <v>792</v>
      </c>
      <c r="D221" s="162" t="s">
        <v>793</v>
      </c>
      <c r="E221" s="176">
        <v>93</v>
      </c>
      <c r="F221" s="163">
        <v>134.99</v>
      </c>
      <c r="G221" s="164">
        <f t="shared" si="9"/>
      </c>
      <c r="H221" s="164">
        <f t="shared" si="73"/>
      </c>
      <c r="I221" s="164">
        <f t="shared" si="135"/>
      </c>
      <c r="J221" s="165">
        <f t="shared" si="216"/>
      </c>
      <c r="K221" s="166">
        <f t="shared" si="269"/>
      </c>
      <c r="L221" s="167">
        <f t="shared" si="340"/>
      </c>
      <c r="M221" s="164">
        <f t="shared" si="385"/>
      </c>
      <c r="N221" s="166">
        <f t="shared" si="429"/>
      </c>
      <c r="O221" s="166">
        <f t="shared" si="460"/>
      </c>
      <c r="P221" s="161">
        <v>3</v>
      </c>
      <c r="Q221" s="168">
        <v>8</v>
      </c>
      <c r="R221" s="169">
        <f t="shared" si="29"/>
      </c>
      <c r="S221" s="165">
        <f t="shared" si="526"/>
      </c>
      <c r="T221" s="169">
        <f t="shared" si="154"/>
      </c>
      <c r="U221" s="169">
        <v>0.01</v>
      </c>
      <c r="V221" s="169">
        <f t="shared" si="291"/>
      </c>
      <c r="W221" s="169">
        <f t="shared" si="362"/>
      </c>
      <c r="X221" s="170">
        <v>0.188</v>
      </c>
      <c r="Y221" s="171">
        <v>10</v>
      </c>
      <c r="Z221" s="171">
        <v>0</v>
      </c>
      <c r="AA221" s="171">
        <f t="shared" si="482"/>
      </c>
      <c r="AB221" s="166">
        <f t="shared" si="504"/>
      </c>
      <c r="AC221" s="166">
        <v>220</v>
      </c>
      <c r="AD221" s="172">
        <f t="shared" si="51"/>
      </c>
      <c r="AE221" s="168">
        <f t="shared" si="100"/>
      </c>
      <c r="AF221" s="169">
        <f t="shared" si="176"/>
      </c>
      <c r="AG221" s="169">
        <f t="shared" si="232"/>
      </c>
      <c r="AH221" s="168">
        <v>30</v>
      </c>
      <c r="AI221" s="165">
        <f t="shared" si="310"/>
      </c>
      <c r="AJ221" s="165"/>
      <c r="AK221" s="165"/>
      <c r="AL221" s="165"/>
      <c r="AM221" s="165"/>
      <c r="AN221" s="173"/>
      <c r="AO221" s="173"/>
      <c r="AP221" s="173"/>
      <c r="AQ221" s="173"/>
      <c r="AR221" s="173"/>
      <c r="AS221" s="173"/>
      <c r="AT221" s="173" t="s">
        <v>725</v>
      </c>
      <c r="AU221" s="173" t="s">
        <v>725</v>
      </c>
      <c r="AV221" s="173" t="s">
        <v>725</v>
      </c>
      <c r="AW221" s="173" t="s">
        <v>725</v>
      </c>
      <c r="AX221" s="173" t="s">
        <v>725</v>
      </c>
      <c r="AY221" s="173" t="s">
        <v>725</v>
      </c>
      <c r="AZ221" s="173" t="s">
        <v>725</v>
      </c>
      <c r="BA221" s="173" t="s">
        <v>725</v>
      </c>
      <c r="BB221" s="173" t="s">
        <v>725</v>
      </c>
      <c r="BC221" s="173" t="s">
        <v>725</v>
      </c>
      <c r="BD221" s="173" t="s">
        <v>725</v>
      </c>
      <c r="BE221" s="173" t="s">
        <v>725</v>
      </c>
      <c r="BF221" s="173" t="s">
        <v>725</v>
      </c>
      <c r="BG221" s="173" t="s">
        <v>725</v>
      </c>
      <c r="BH221" s="173" t="s">
        <v>725</v>
      </c>
      <c r="BI221" s="173" t="s">
        <v>725</v>
      </c>
      <c r="BJ221" s="173" t="s">
        <v>725</v>
      </c>
      <c r="BK221" s="173" t="s">
        <v>725</v>
      </c>
      <c r="BL221" s="173" t="s">
        <v>725</v>
      </c>
      <c r="BM221" s="173" t="s">
        <v>725</v>
      </c>
      <c r="BN221" s="173" t="s">
        <v>725</v>
      </c>
      <c r="BO221" s="173" t="s">
        <v>725</v>
      </c>
      <c r="BP221" s="173" t="s">
        <v>725</v>
      </c>
      <c r="BQ221" s="173" t="s">
        <v>725</v>
      </c>
      <c r="BR221" s="174"/>
      <c r="BS221" s="161" t="str">
        <v>#VALUE!</v>
      </c>
    </row>
    <row customHeight="true" ht="18.51851851851852" r="222">
      <c r="A222" s="161" t="s">
        <v>733</v>
      </c>
      <c r="B222" s="161" t="s">
        <v>730</v>
      </c>
      <c r="C222" s="161" t="s">
        <v>792</v>
      </c>
      <c r="D222" s="162" t="s">
        <v>794</v>
      </c>
      <c r="E222" s="176">
        <v>93</v>
      </c>
      <c r="F222" s="163">
        <v>134.99</v>
      </c>
      <c r="G222" s="164">
        <f t="shared" si="9"/>
      </c>
      <c r="H222" s="164">
        <f t="shared" si="73"/>
      </c>
      <c r="I222" s="164">
        <f t="shared" si="135"/>
      </c>
      <c r="J222" s="165">
        <f t="shared" si="216"/>
      </c>
      <c r="K222" s="166">
        <f t="shared" si="269"/>
      </c>
      <c r="L222" s="167">
        <f t="shared" si="340"/>
      </c>
      <c r="M222" s="164">
        <f t="shared" si="385"/>
      </c>
      <c r="N222" s="166">
        <f t="shared" si="429"/>
      </c>
      <c r="O222" s="166">
        <f t="shared" si="460"/>
      </c>
      <c r="P222" s="161">
        <v>3</v>
      </c>
      <c r="Q222" s="168">
        <v>8</v>
      </c>
      <c r="R222" s="169">
        <f t="shared" si="29"/>
      </c>
      <c r="S222" s="165">
        <f t="shared" si="526"/>
      </c>
      <c r="T222" s="169">
        <f t="shared" si="154"/>
      </c>
      <c r="U222" s="169">
        <v>0.01</v>
      </c>
      <c r="V222" s="169">
        <f t="shared" si="291"/>
      </c>
      <c r="W222" s="169">
        <f t="shared" si="362"/>
      </c>
      <c r="X222" s="170">
        <v>0.188</v>
      </c>
      <c r="Y222" s="171">
        <v>10</v>
      </c>
      <c r="Z222" s="171">
        <f>F222*0.05</f>
      </c>
      <c r="AA222" s="171">
        <f t="shared" si="482"/>
      </c>
      <c r="AB222" s="166">
        <f t="shared" si="504"/>
      </c>
      <c r="AC222" s="166">
        <v>220</v>
      </c>
      <c r="AD222" s="172">
        <f t="shared" si="51"/>
      </c>
      <c r="AE222" s="168">
        <f t="shared" si="100"/>
      </c>
      <c r="AF222" s="169">
        <f t="shared" si="176"/>
      </c>
      <c r="AG222" s="169">
        <f t="shared" si="232"/>
      </c>
      <c r="AH222" s="168">
        <v>30</v>
      </c>
      <c r="AI222" s="165">
        <f t="shared" si="310"/>
      </c>
      <c r="AJ222" s="165"/>
      <c r="AK222" s="165"/>
      <c r="AL222" s="165"/>
      <c r="AM222" s="165"/>
      <c r="AN222" s="173"/>
      <c r="AO222" s="173"/>
      <c r="AP222" s="173"/>
      <c r="AQ222" s="173"/>
      <c r="AR222" s="173"/>
      <c r="AS222" s="173"/>
      <c r="AT222" s="173" t="s">
        <v>725</v>
      </c>
      <c r="AU222" s="173" t="s">
        <v>725</v>
      </c>
      <c r="AV222" s="173" t="s">
        <v>725</v>
      </c>
      <c r="AW222" s="173" t="s">
        <v>725</v>
      </c>
      <c r="AX222" s="173" t="s">
        <v>725</v>
      </c>
      <c r="AY222" s="173" t="s">
        <v>725</v>
      </c>
      <c r="AZ222" s="173" t="s">
        <v>725</v>
      </c>
      <c r="BA222" s="173" t="s">
        <v>725</v>
      </c>
      <c r="BB222" s="173" t="s">
        <v>725</v>
      </c>
      <c r="BC222" s="173" t="s">
        <v>725</v>
      </c>
      <c r="BD222" s="173" t="s">
        <v>725</v>
      </c>
      <c r="BE222" s="173" t="s">
        <v>725</v>
      </c>
      <c r="BF222" s="173" t="s">
        <v>725</v>
      </c>
      <c r="BG222" s="173" t="s">
        <v>725</v>
      </c>
      <c r="BH222" s="173" t="s">
        <v>725</v>
      </c>
      <c r="BI222" s="173" t="s">
        <v>725</v>
      </c>
      <c r="BJ222" s="173" t="s">
        <v>725</v>
      </c>
      <c r="BK222" s="173" t="s">
        <v>725</v>
      </c>
      <c r="BL222" s="173" t="s">
        <v>725</v>
      </c>
      <c r="BM222" s="173" t="s">
        <v>725</v>
      </c>
      <c r="BN222" s="173" t="s">
        <v>725</v>
      </c>
      <c r="BO222" s="173" t="s">
        <v>725</v>
      </c>
      <c r="BP222" s="173" t="s">
        <v>725</v>
      </c>
      <c r="BQ222" s="173" t="s">
        <v>725</v>
      </c>
      <c r="BR222" s="174"/>
      <c r="BS222" s="161" t="str">
        <v>#VALUE!</v>
      </c>
    </row>
    <row customHeight="true" ht="18.51851851851852" r="223">
      <c r="A223" s="161" t="s">
        <v>733</v>
      </c>
      <c r="B223" s="161" t="s">
        <v>730</v>
      </c>
      <c r="C223" s="161" t="s">
        <v>792</v>
      </c>
      <c r="D223" s="162" t="s">
        <v>795</v>
      </c>
      <c r="E223" s="176">
        <v>93</v>
      </c>
      <c r="F223" s="163">
        <v>134.99</v>
      </c>
      <c r="G223" s="164">
        <f t="shared" si="9"/>
      </c>
      <c r="H223" s="164">
        <f t="shared" si="73"/>
      </c>
      <c r="I223" s="164">
        <f t="shared" si="135"/>
      </c>
      <c r="J223" s="165">
        <f t="shared" si="216"/>
      </c>
      <c r="K223" s="166">
        <f t="shared" si="269"/>
      </c>
      <c r="L223" s="167">
        <f t="shared" si="340"/>
      </c>
      <c r="M223" s="164">
        <f t="shared" si="385"/>
      </c>
      <c r="N223" s="166">
        <f t="shared" si="429"/>
      </c>
      <c r="O223" s="166">
        <f t="shared" si="460"/>
      </c>
      <c r="P223" s="161">
        <v>3</v>
      </c>
      <c r="Q223" s="168">
        <v>8</v>
      </c>
      <c r="R223" s="169">
        <f t="shared" si="29"/>
      </c>
      <c r="S223" s="165">
        <f t="shared" si="526"/>
      </c>
      <c r="T223" s="169">
        <f t="shared" si="154"/>
      </c>
      <c r="U223" s="169">
        <v>0.01</v>
      </c>
      <c r="V223" s="169">
        <f t="shared" si="291"/>
      </c>
      <c r="W223" s="169">
        <f t="shared" si="362"/>
      </c>
      <c r="X223" s="170">
        <v>0.188</v>
      </c>
      <c r="Y223" s="171">
        <v>10</v>
      </c>
      <c r="Z223" s="171">
        <f>F223*0.1</f>
      </c>
      <c r="AA223" s="171">
        <f t="shared" si="482"/>
      </c>
      <c r="AB223" s="166">
        <f t="shared" si="504"/>
      </c>
      <c r="AC223" s="166">
        <v>220</v>
      </c>
      <c r="AD223" s="172">
        <f t="shared" si="51"/>
      </c>
      <c r="AE223" s="168">
        <f t="shared" si="100"/>
      </c>
      <c r="AF223" s="169">
        <f t="shared" si="176"/>
      </c>
      <c r="AG223" s="169">
        <f t="shared" si="232"/>
      </c>
      <c r="AH223" s="168">
        <v>30</v>
      </c>
      <c r="AI223" s="165">
        <f t="shared" si="310"/>
      </c>
      <c r="AJ223" s="165"/>
      <c r="AK223" s="165"/>
      <c r="AL223" s="165"/>
      <c r="AM223" s="165"/>
      <c r="AN223" s="173"/>
      <c r="AO223" s="173"/>
      <c r="AP223" s="173"/>
      <c r="AQ223" s="173"/>
      <c r="AR223" s="173"/>
      <c r="AS223" s="173"/>
      <c r="AT223" s="173" t="s">
        <v>725</v>
      </c>
      <c r="AU223" s="173" t="s">
        <v>725</v>
      </c>
      <c r="AV223" s="173" t="s">
        <v>725</v>
      </c>
      <c r="AW223" s="173" t="s">
        <v>725</v>
      </c>
      <c r="AX223" s="173" t="s">
        <v>725</v>
      </c>
      <c r="AY223" s="173" t="s">
        <v>725</v>
      </c>
      <c r="AZ223" s="173" t="s">
        <v>725</v>
      </c>
      <c r="BA223" s="173" t="s">
        <v>725</v>
      </c>
      <c r="BB223" s="173" t="s">
        <v>725</v>
      </c>
      <c r="BC223" s="173" t="s">
        <v>725</v>
      </c>
      <c r="BD223" s="173" t="s">
        <v>725</v>
      </c>
      <c r="BE223" s="173" t="s">
        <v>725</v>
      </c>
      <c r="BF223" s="173" t="s">
        <v>725</v>
      </c>
      <c r="BG223" s="173" t="s">
        <v>725</v>
      </c>
      <c r="BH223" s="173" t="s">
        <v>725</v>
      </c>
      <c r="BI223" s="173" t="s">
        <v>725</v>
      </c>
      <c r="BJ223" s="173" t="s">
        <v>725</v>
      </c>
      <c r="BK223" s="173" t="s">
        <v>725</v>
      </c>
      <c r="BL223" s="173" t="s">
        <v>725</v>
      </c>
      <c r="BM223" s="173" t="s">
        <v>725</v>
      </c>
      <c r="BN223" s="173" t="s">
        <v>725</v>
      </c>
      <c r="BO223" s="173" t="s">
        <v>725</v>
      </c>
      <c r="BP223" s="173" t="s">
        <v>725</v>
      </c>
      <c r="BQ223" s="173" t="s">
        <v>725</v>
      </c>
      <c r="BR223" s="174"/>
      <c r="BS223" s="161" t="str">
        <v>#VALUE!</v>
      </c>
    </row>
    <row customHeight="true" ht="18.51851851851852" r="224">
      <c r="A224" s="161" t="s">
        <v>733</v>
      </c>
      <c r="B224" s="161" t="s">
        <v>730</v>
      </c>
      <c r="C224" s="161" t="s">
        <v>792</v>
      </c>
      <c r="D224" s="162" t="s">
        <v>796</v>
      </c>
      <c r="E224" s="176">
        <v>93</v>
      </c>
      <c r="F224" s="163">
        <v>134.99</v>
      </c>
      <c r="G224" s="164">
        <f t="shared" si="9"/>
      </c>
      <c r="H224" s="164">
        <f t="shared" si="73"/>
      </c>
      <c r="I224" s="164">
        <f t="shared" si="135"/>
      </c>
      <c r="J224" s="165">
        <f t="shared" si="216"/>
      </c>
      <c r="K224" s="166">
        <f t="shared" si="269"/>
      </c>
      <c r="L224" s="167">
        <f t="shared" si="340"/>
      </c>
      <c r="M224" s="164">
        <f t="shared" si="385"/>
      </c>
      <c r="N224" s="166">
        <f t="shared" si="429"/>
      </c>
      <c r="O224" s="166">
        <f t="shared" si="460"/>
      </c>
      <c r="P224" s="161">
        <v>3</v>
      </c>
      <c r="Q224" s="168">
        <v>8</v>
      </c>
      <c r="R224" s="169">
        <f t="shared" si="29"/>
      </c>
      <c r="S224" s="165">
        <f t="shared" si="526"/>
      </c>
      <c r="T224" s="169">
        <f t="shared" si="154"/>
      </c>
      <c r="U224" s="169">
        <v>0.01</v>
      </c>
      <c r="V224" s="169">
        <f t="shared" si="291"/>
      </c>
      <c r="W224" s="169">
        <f t="shared" si="362"/>
      </c>
      <c r="X224" s="170">
        <v>0.188</v>
      </c>
      <c r="Y224" s="171">
        <v>10</v>
      </c>
      <c r="Z224" s="171">
        <f>F224*0.15</f>
      </c>
      <c r="AA224" s="171">
        <f t="shared" si="482"/>
      </c>
      <c r="AB224" s="166">
        <f t="shared" si="504"/>
      </c>
      <c r="AC224" s="166">
        <v>220</v>
      </c>
      <c r="AD224" s="172">
        <f t="shared" si="51"/>
      </c>
      <c r="AE224" s="168">
        <f t="shared" si="100"/>
      </c>
      <c r="AF224" s="169">
        <f t="shared" si="176"/>
      </c>
      <c r="AG224" s="169">
        <f t="shared" si="232"/>
      </c>
      <c r="AH224" s="168">
        <v>30</v>
      </c>
      <c r="AI224" s="165">
        <f t="shared" si="310"/>
      </c>
      <c r="AJ224" s="165"/>
      <c r="AK224" s="165"/>
      <c r="AL224" s="165"/>
      <c r="AM224" s="165"/>
      <c r="AN224" s="173"/>
      <c r="AO224" s="173"/>
      <c r="AP224" s="173"/>
      <c r="AQ224" s="173"/>
      <c r="AR224" s="173"/>
      <c r="AS224" s="173"/>
      <c r="AT224" s="173" t="s">
        <v>725</v>
      </c>
      <c r="AU224" s="173" t="s">
        <v>725</v>
      </c>
      <c r="AV224" s="173" t="s">
        <v>725</v>
      </c>
      <c r="AW224" s="173" t="s">
        <v>725</v>
      </c>
      <c r="AX224" s="173" t="s">
        <v>725</v>
      </c>
      <c r="AY224" s="173" t="s">
        <v>725</v>
      </c>
      <c r="AZ224" s="173" t="s">
        <v>725</v>
      </c>
      <c r="BA224" s="173" t="s">
        <v>725</v>
      </c>
      <c r="BB224" s="173" t="s">
        <v>725</v>
      </c>
      <c r="BC224" s="173" t="s">
        <v>725</v>
      </c>
      <c r="BD224" s="173" t="s">
        <v>725</v>
      </c>
      <c r="BE224" s="173" t="s">
        <v>725</v>
      </c>
      <c r="BF224" s="173" t="s">
        <v>725</v>
      </c>
      <c r="BG224" s="173" t="s">
        <v>725</v>
      </c>
      <c r="BH224" s="173" t="s">
        <v>725</v>
      </c>
      <c r="BI224" s="173" t="s">
        <v>725</v>
      </c>
      <c r="BJ224" s="173" t="s">
        <v>725</v>
      </c>
      <c r="BK224" s="173" t="s">
        <v>725</v>
      </c>
      <c r="BL224" s="173" t="s">
        <v>725</v>
      </c>
      <c r="BM224" s="173" t="s">
        <v>725</v>
      </c>
      <c r="BN224" s="173" t="s">
        <v>725</v>
      </c>
      <c r="BO224" s="173" t="s">
        <v>725</v>
      </c>
      <c r="BP224" s="173" t="s">
        <v>725</v>
      </c>
      <c r="BQ224" s="173" t="s">
        <v>725</v>
      </c>
      <c r="BR224" s="174"/>
      <c r="BS224" s="161" t="str">
        <v>#VALUE!</v>
      </c>
    </row>
    <row customHeight="true" ht="18.51851851851852" r="225">
      <c r="A225" s="161" t="s">
        <v>734</v>
      </c>
      <c r="B225" s="161" t="s">
        <v>730</v>
      </c>
      <c r="C225" s="161" t="s">
        <v>792</v>
      </c>
      <c r="D225" s="162" t="s">
        <v>793</v>
      </c>
      <c r="E225" s="176">
        <v>93</v>
      </c>
      <c r="F225" s="163">
        <v>134.99</v>
      </c>
      <c r="G225" s="164">
        <f t="shared" si="9"/>
      </c>
      <c r="H225" s="164">
        <f t="shared" si="73"/>
      </c>
      <c r="I225" s="164">
        <f t="shared" si="135"/>
      </c>
      <c r="J225" s="165">
        <f t="shared" si="216"/>
      </c>
      <c r="K225" s="166">
        <f t="shared" si="269"/>
      </c>
      <c r="L225" s="167">
        <f t="shared" si="340"/>
      </c>
      <c r="M225" s="164">
        <f t="shared" si="385"/>
      </c>
      <c r="N225" s="166">
        <f t="shared" si="429"/>
      </c>
      <c r="O225" s="166">
        <f t="shared" si="460"/>
      </c>
      <c r="P225" s="161">
        <v>3</v>
      </c>
      <c r="Q225" s="168">
        <v>8</v>
      </c>
      <c r="R225" s="169">
        <f t="shared" si="29"/>
      </c>
      <c r="S225" s="165">
        <f t="shared" si="526"/>
      </c>
      <c r="T225" s="169">
        <f t="shared" si="154"/>
      </c>
      <c r="U225" s="169">
        <v>0.01</v>
      </c>
      <c r="V225" s="169">
        <f t="shared" si="291"/>
      </c>
      <c r="W225" s="169">
        <f t="shared" si="362"/>
      </c>
      <c r="X225" s="170">
        <v>0.188</v>
      </c>
      <c r="Y225" s="171">
        <v>10</v>
      </c>
      <c r="Z225" s="171">
        <v>0</v>
      </c>
      <c r="AA225" s="171">
        <f t="shared" si="482"/>
      </c>
      <c r="AB225" s="166">
        <f t="shared" si="504"/>
      </c>
      <c r="AC225" s="166">
        <v>220</v>
      </c>
      <c r="AD225" s="172">
        <f t="shared" si="51"/>
      </c>
      <c r="AE225" s="168">
        <f t="shared" si="100"/>
      </c>
      <c r="AF225" s="169">
        <f t="shared" si="176"/>
      </c>
      <c r="AG225" s="169">
        <f t="shared" si="232"/>
      </c>
      <c r="AH225" s="168">
        <v>30</v>
      </c>
      <c r="AI225" s="169">
        <f t="shared" si="310"/>
      </c>
      <c r="AJ225" s="169"/>
      <c r="AK225" s="169"/>
      <c r="AL225" s="169"/>
      <c r="AM225" s="169"/>
      <c r="AN225" s="173"/>
      <c r="AO225" s="173"/>
      <c r="AP225" s="173"/>
      <c r="AQ225" s="173"/>
      <c r="AR225" s="173"/>
      <c r="AS225" s="173"/>
      <c r="AT225" s="173" t="s">
        <v>725</v>
      </c>
      <c r="AU225" s="173" t="s">
        <v>725</v>
      </c>
      <c r="AV225" s="173" t="s">
        <v>725</v>
      </c>
      <c r="AW225" s="173" t="s">
        <v>725</v>
      </c>
      <c r="AX225" s="173" t="s">
        <v>725</v>
      </c>
      <c r="AY225" s="173" t="s">
        <v>725</v>
      </c>
      <c r="AZ225" s="173" t="s">
        <v>725</v>
      </c>
      <c r="BA225" s="173" t="s">
        <v>725</v>
      </c>
      <c r="BB225" s="173" t="s">
        <v>725</v>
      </c>
      <c r="BC225" s="173" t="s">
        <v>725</v>
      </c>
      <c r="BD225" s="173" t="s">
        <v>725</v>
      </c>
      <c r="BE225" s="173" t="s">
        <v>725</v>
      </c>
      <c r="BF225" s="173" t="s">
        <v>725</v>
      </c>
      <c r="BG225" s="173" t="s">
        <v>725</v>
      </c>
      <c r="BH225" s="173" t="s">
        <v>725</v>
      </c>
      <c r="BI225" s="173" t="s">
        <v>725</v>
      </c>
      <c r="BJ225" s="173" t="s">
        <v>725</v>
      </c>
      <c r="BK225" s="173" t="s">
        <v>725</v>
      </c>
      <c r="BL225" s="173" t="s">
        <v>725</v>
      </c>
      <c r="BM225" s="173" t="s">
        <v>725</v>
      </c>
      <c r="BN225" s="173" t="s">
        <v>725</v>
      </c>
      <c r="BO225" s="173" t="s">
        <v>725</v>
      </c>
      <c r="BP225" s="173" t="s">
        <v>725</v>
      </c>
      <c r="BQ225" s="173" t="s">
        <v>725</v>
      </c>
      <c r="BR225" s="174"/>
      <c r="BS225" s="161" t="str">
        <v>#VALUE!</v>
      </c>
    </row>
    <row customHeight="true" ht="18.51851851851852" r="226">
      <c r="A226" s="161" t="s">
        <v>734</v>
      </c>
      <c r="B226" s="161" t="s">
        <v>730</v>
      </c>
      <c r="C226" s="161" t="s">
        <v>792</v>
      </c>
      <c r="D226" s="162" t="s">
        <v>794</v>
      </c>
      <c r="E226" s="176">
        <v>93</v>
      </c>
      <c r="F226" s="163">
        <v>134.99</v>
      </c>
      <c r="G226" s="164">
        <f t="shared" si="9"/>
      </c>
      <c r="H226" s="164">
        <f t="shared" si="73"/>
      </c>
      <c r="I226" s="164">
        <f t="shared" si="135"/>
      </c>
      <c r="J226" s="165">
        <f t="shared" si="216"/>
      </c>
      <c r="K226" s="166">
        <f t="shared" si="269"/>
      </c>
      <c r="L226" s="167">
        <f t="shared" si="340"/>
      </c>
      <c r="M226" s="164">
        <f t="shared" si="385"/>
      </c>
      <c r="N226" s="166">
        <f t="shared" si="429"/>
      </c>
      <c r="O226" s="166">
        <f t="shared" si="460"/>
      </c>
      <c r="P226" s="161">
        <v>3</v>
      </c>
      <c r="Q226" s="168">
        <v>8</v>
      </c>
      <c r="R226" s="169">
        <f t="shared" si="29"/>
      </c>
      <c r="S226" s="165">
        <f t="shared" si="526"/>
      </c>
      <c r="T226" s="169">
        <f t="shared" si="154"/>
      </c>
      <c r="U226" s="169">
        <v>0.01</v>
      </c>
      <c r="V226" s="169">
        <f t="shared" si="291"/>
      </c>
      <c r="W226" s="169">
        <f t="shared" si="362"/>
      </c>
      <c r="X226" s="170">
        <v>0.188</v>
      </c>
      <c r="Y226" s="171">
        <v>10</v>
      </c>
      <c r="Z226" s="171">
        <f>F226*0.05</f>
      </c>
      <c r="AA226" s="171">
        <f t="shared" si="482"/>
      </c>
      <c r="AB226" s="166">
        <f t="shared" si="504"/>
      </c>
      <c r="AC226" s="166">
        <v>220</v>
      </c>
      <c r="AD226" s="172">
        <f t="shared" si="51"/>
      </c>
      <c r="AE226" s="168">
        <f t="shared" si="100"/>
      </c>
      <c r="AF226" s="169">
        <f t="shared" si="176"/>
      </c>
      <c r="AG226" s="169">
        <f t="shared" si="232"/>
      </c>
      <c r="AH226" s="168">
        <v>30</v>
      </c>
      <c r="AI226" s="169">
        <f t="shared" si="310"/>
      </c>
      <c r="AJ226" s="169"/>
      <c r="AK226" s="169"/>
      <c r="AL226" s="169"/>
      <c r="AM226" s="169"/>
      <c r="AN226" s="173"/>
      <c r="AO226" s="173"/>
      <c r="AP226" s="173"/>
      <c r="AQ226" s="173"/>
      <c r="AR226" s="173"/>
      <c r="AS226" s="173"/>
      <c r="AT226" s="173" t="s">
        <v>725</v>
      </c>
      <c r="AU226" s="173" t="s">
        <v>725</v>
      </c>
      <c r="AV226" s="173" t="s">
        <v>725</v>
      </c>
      <c r="AW226" s="173" t="s">
        <v>725</v>
      </c>
      <c r="AX226" s="173" t="s">
        <v>725</v>
      </c>
      <c r="AY226" s="173" t="s">
        <v>725</v>
      </c>
      <c r="AZ226" s="173" t="s">
        <v>725</v>
      </c>
      <c r="BA226" s="173" t="s">
        <v>725</v>
      </c>
      <c r="BB226" s="173" t="s">
        <v>725</v>
      </c>
      <c r="BC226" s="173" t="s">
        <v>725</v>
      </c>
      <c r="BD226" s="173" t="s">
        <v>725</v>
      </c>
      <c r="BE226" s="173" t="s">
        <v>725</v>
      </c>
      <c r="BF226" s="173" t="s">
        <v>725</v>
      </c>
      <c r="BG226" s="173" t="s">
        <v>725</v>
      </c>
      <c r="BH226" s="173" t="s">
        <v>725</v>
      </c>
      <c r="BI226" s="173" t="s">
        <v>725</v>
      </c>
      <c r="BJ226" s="173" t="s">
        <v>725</v>
      </c>
      <c r="BK226" s="173" t="s">
        <v>725</v>
      </c>
      <c r="BL226" s="173" t="s">
        <v>725</v>
      </c>
      <c r="BM226" s="173" t="s">
        <v>725</v>
      </c>
      <c r="BN226" s="173" t="s">
        <v>725</v>
      </c>
      <c r="BO226" s="173" t="s">
        <v>725</v>
      </c>
      <c r="BP226" s="173" t="s">
        <v>725</v>
      </c>
      <c r="BQ226" s="173" t="s">
        <v>725</v>
      </c>
      <c r="BR226" s="174"/>
      <c r="BS226" s="161" t="str">
        <v>#VALUE!</v>
      </c>
    </row>
    <row customHeight="true" ht="18.51851851851852" r="227">
      <c r="A227" s="161" t="s">
        <v>734</v>
      </c>
      <c r="B227" s="161" t="s">
        <v>730</v>
      </c>
      <c r="C227" s="161" t="s">
        <v>792</v>
      </c>
      <c r="D227" s="162" t="s">
        <v>795</v>
      </c>
      <c r="E227" s="176">
        <v>93</v>
      </c>
      <c r="F227" s="163">
        <v>134.99</v>
      </c>
      <c r="G227" s="164">
        <f t="shared" si="9"/>
      </c>
      <c r="H227" s="164">
        <f t="shared" si="73"/>
      </c>
      <c r="I227" s="164">
        <f t="shared" si="135"/>
      </c>
      <c r="J227" s="165">
        <f t="shared" si="216"/>
      </c>
      <c r="K227" s="166">
        <f t="shared" si="269"/>
      </c>
      <c r="L227" s="167">
        <f t="shared" si="340"/>
      </c>
      <c r="M227" s="164">
        <f t="shared" si="385"/>
      </c>
      <c r="N227" s="166">
        <f t="shared" si="429"/>
      </c>
      <c r="O227" s="166">
        <f t="shared" si="460"/>
      </c>
      <c r="P227" s="161">
        <v>3</v>
      </c>
      <c r="Q227" s="168">
        <v>8</v>
      </c>
      <c r="R227" s="169">
        <f t="shared" si="29"/>
      </c>
      <c r="S227" s="165">
        <f t="shared" si="526"/>
      </c>
      <c r="T227" s="169">
        <f t="shared" si="154"/>
      </c>
      <c r="U227" s="169">
        <v>0.01</v>
      </c>
      <c r="V227" s="169">
        <f t="shared" si="291"/>
      </c>
      <c r="W227" s="169">
        <f t="shared" si="362"/>
      </c>
      <c r="X227" s="170">
        <v>0.188</v>
      </c>
      <c r="Y227" s="171">
        <v>10</v>
      </c>
      <c r="Z227" s="171">
        <f>F227*0.1</f>
      </c>
      <c r="AA227" s="171">
        <f t="shared" si="482"/>
      </c>
      <c r="AB227" s="166">
        <f t="shared" si="504"/>
      </c>
      <c r="AC227" s="166">
        <v>220</v>
      </c>
      <c r="AD227" s="172">
        <f t="shared" si="51"/>
      </c>
      <c r="AE227" s="168">
        <f t="shared" si="100"/>
      </c>
      <c r="AF227" s="169">
        <f t="shared" si="176"/>
      </c>
      <c r="AG227" s="169">
        <f t="shared" si="232"/>
      </c>
      <c r="AH227" s="168">
        <v>30</v>
      </c>
      <c r="AI227" s="169">
        <f t="shared" si="310"/>
      </c>
      <c r="AJ227" s="169"/>
      <c r="AK227" s="169"/>
      <c r="AL227" s="169"/>
      <c r="AM227" s="169"/>
      <c r="AN227" s="173"/>
      <c r="AO227" s="173"/>
      <c r="AP227" s="173"/>
      <c r="AQ227" s="173"/>
      <c r="AR227" s="173"/>
      <c r="AS227" s="173"/>
      <c r="AT227" s="173" t="s">
        <v>725</v>
      </c>
      <c r="AU227" s="173" t="s">
        <v>725</v>
      </c>
      <c r="AV227" s="173" t="s">
        <v>725</v>
      </c>
      <c r="AW227" s="173" t="s">
        <v>725</v>
      </c>
      <c r="AX227" s="173" t="s">
        <v>725</v>
      </c>
      <c r="AY227" s="173" t="s">
        <v>725</v>
      </c>
      <c r="AZ227" s="173" t="s">
        <v>725</v>
      </c>
      <c r="BA227" s="173" t="s">
        <v>725</v>
      </c>
      <c r="BB227" s="173" t="s">
        <v>725</v>
      </c>
      <c r="BC227" s="173" t="s">
        <v>725</v>
      </c>
      <c r="BD227" s="173" t="s">
        <v>725</v>
      </c>
      <c r="BE227" s="173" t="s">
        <v>725</v>
      </c>
      <c r="BF227" s="173" t="s">
        <v>725</v>
      </c>
      <c r="BG227" s="173" t="s">
        <v>725</v>
      </c>
      <c r="BH227" s="173" t="s">
        <v>725</v>
      </c>
      <c r="BI227" s="173" t="s">
        <v>725</v>
      </c>
      <c r="BJ227" s="173" t="s">
        <v>725</v>
      </c>
      <c r="BK227" s="173" t="s">
        <v>725</v>
      </c>
      <c r="BL227" s="173" t="s">
        <v>725</v>
      </c>
      <c r="BM227" s="173" t="s">
        <v>725</v>
      </c>
      <c r="BN227" s="173" t="s">
        <v>725</v>
      </c>
      <c r="BO227" s="173" t="s">
        <v>725</v>
      </c>
      <c r="BP227" s="173" t="s">
        <v>725</v>
      </c>
      <c r="BQ227" s="173" t="s">
        <v>725</v>
      </c>
      <c r="BR227" s="174"/>
      <c r="BS227" s="161" t="str">
        <v>#VALUE!</v>
      </c>
    </row>
    <row customHeight="true" ht="18.51851851851852" r="228">
      <c r="A228" s="161" t="s">
        <v>734</v>
      </c>
      <c r="B228" s="161" t="s">
        <v>730</v>
      </c>
      <c r="C228" s="161" t="s">
        <v>792</v>
      </c>
      <c r="D228" s="162" t="s">
        <v>796</v>
      </c>
      <c r="E228" s="176">
        <v>93</v>
      </c>
      <c r="F228" s="163">
        <v>134.99</v>
      </c>
      <c r="G228" s="164">
        <f t="shared" si="9"/>
      </c>
      <c r="H228" s="164">
        <f t="shared" si="73"/>
      </c>
      <c r="I228" s="164">
        <f t="shared" si="135"/>
      </c>
      <c r="J228" s="165">
        <f t="shared" si="216"/>
      </c>
      <c r="K228" s="166">
        <f t="shared" si="269"/>
      </c>
      <c r="L228" s="167">
        <f t="shared" si="340"/>
      </c>
      <c r="M228" s="164">
        <f t="shared" si="385"/>
      </c>
      <c r="N228" s="166">
        <f t="shared" si="429"/>
      </c>
      <c r="O228" s="166">
        <f t="shared" si="460"/>
      </c>
      <c r="P228" s="161">
        <v>3</v>
      </c>
      <c r="Q228" s="168">
        <v>8</v>
      </c>
      <c r="R228" s="169">
        <f t="shared" si="29"/>
      </c>
      <c r="S228" s="165">
        <f t="shared" si="526"/>
      </c>
      <c r="T228" s="169">
        <f t="shared" si="154"/>
      </c>
      <c r="U228" s="169">
        <v>0.01</v>
      </c>
      <c r="V228" s="169">
        <f t="shared" si="291"/>
      </c>
      <c r="W228" s="169">
        <f t="shared" si="362"/>
      </c>
      <c r="X228" s="170">
        <v>0.188</v>
      </c>
      <c r="Y228" s="171">
        <v>10</v>
      </c>
      <c r="Z228" s="171">
        <f>F228*0.15</f>
      </c>
      <c r="AA228" s="171">
        <f t="shared" si="482"/>
      </c>
      <c r="AB228" s="166">
        <f t="shared" si="504"/>
      </c>
      <c r="AC228" s="166">
        <v>220</v>
      </c>
      <c r="AD228" s="172">
        <f t="shared" si="51"/>
      </c>
      <c r="AE228" s="168">
        <f t="shared" si="100"/>
      </c>
      <c r="AF228" s="169">
        <f t="shared" si="176"/>
      </c>
      <c r="AG228" s="169">
        <f t="shared" si="232"/>
      </c>
      <c r="AH228" s="168">
        <v>30</v>
      </c>
      <c r="AI228" s="169">
        <f t="shared" si="310"/>
      </c>
      <c r="AJ228" s="169"/>
      <c r="AK228" s="169"/>
      <c r="AL228" s="169"/>
      <c r="AM228" s="169"/>
      <c r="AN228" s="173"/>
      <c r="AO228" s="173"/>
      <c r="AP228" s="173"/>
      <c r="AQ228" s="173"/>
      <c r="AR228" s="173"/>
      <c r="AS228" s="173"/>
      <c r="AT228" s="173" t="s">
        <v>725</v>
      </c>
      <c r="AU228" s="173" t="s">
        <v>725</v>
      </c>
      <c r="AV228" s="173" t="s">
        <v>725</v>
      </c>
      <c r="AW228" s="173" t="s">
        <v>725</v>
      </c>
      <c r="AX228" s="173" t="s">
        <v>725</v>
      </c>
      <c r="AY228" s="173" t="s">
        <v>725</v>
      </c>
      <c r="AZ228" s="173" t="s">
        <v>725</v>
      </c>
      <c r="BA228" s="173" t="s">
        <v>725</v>
      </c>
      <c r="BB228" s="173" t="s">
        <v>725</v>
      </c>
      <c r="BC228" s="173" t="s">
        <v>725</v>
      </c>
      <c r="BD228" s="173" t="s">
        <v>725</v>
      </c>
      <c r="BE228" s="173" t="s">
        <v>725</v>
      </c>
      <c r="BF228" s="173" t="s">
        <v>725</v>
      </c>
      <c r="BG228" s="173" t="s">
        <v>725</v>
      </c>
      <c r="BH228" s="173" t="s">
        <v>725</v>
      </c>
      <c r="BI228" s="173" t="s">
        <v>725</v>
      </c>
      <c r="BJ228" s="173" t="s">
        <v>725</v>
      </c>
      <c r="BK228" s="173" t="s">
        <v>725</v>
      </c>
      <c r="BL228" s="173" t="s">
        <v>725</v>
      </c>
      <c r="BM228" s="173" t="s">
        <v>725</v>
      </c>
      <c r="BN228" s="173" t="s">
        <v>725</v>
      </c>
      <c r="BO228" s="173" t="s">
        <v>725</v>
      </c>
      <c r="BP228" s="173" t="s">
        <v>725</v>
      </c>
      <c r="BQ228" s="173" t="s">
        <v>725</v>
      </c>
      <c r="BR228" s="174"/>
      <c r="BS228" s="161" t="str">
        <v>#VALUE!</v>
      </c>
    </row>
    <row customHeight="true" ht="18.51851851851852" r="229">
      <c r="A229" s="161" t="s">
        <v>735</v>
      </c>
      <c r="B229" s="161" t="s">
        <v>730</v>
      </c>
      <c r="C229" s="161" t="s">
        <v>792</v>
      </c>
      <c r="D229" s="178" t="s">
        <v>797</v>
      </c>
      <c r="E229" s="176">
        <v>89</v>
      </c>
      <c r="F229" s="163">
        <v>129.99</v>
      </c>
      <c r="G229" s="164">
        <f t="shared" si="9"/>
      </c>
      <c r="H229" s="164">
        <f t="shared" si="73"/>
      </c>
      <c r="I229" s="164">
        <f t="shared" si="135"/>
      </c>
      <c r="J229" s="165">
        <f t="shared" si="216"/>
      </c>
      <c r="K229" s="166">
        <f t="shared" si="269"/>
      </c>
      <c r="L229" s="167">
        <f t="shared" si="340"/>
      </c>
      <c r="M229" s="164">
        <f t="shared" si="385"/>
      </c>
      <c r="N229" s="166">
        <f t="shared" si="429"/>
      </c>
      <c r="O229" s="166">
        <f t="shared" si="460"/>
      </c>
      <c r="P229" s="161">
        <v>3</v>
      </c>
      <c r="Q229" s="168">
        <v>8</v>
      </c>
      <c r="R229" s="169">
        <f t="shared" si="29"/>
      </c>
      <c r="S229" s="165">
        <f t="shared" si="526"/>
      </c>
      <c r="T229" s="169">
        <f t="shared" si="154"/>
      </c>
      <c r="U229" s="169">
        <v>0.01</v>
      </c>
      <c r="V229" s="169">
        <f t="shared" si="291"/>
      </c>
      <c r="W229" s="169">
        <f t="shared" si="362"/>
      </c>
      <c r="X229" s="170">
        <v>0.188</v>
      </c>
      <c r="Y229" s="171">
        <v>0</v>
      </c>
      <c r="Z229" s="171">
        <f t="shared" ref="Z229:Z232" si="404">F229*0</f>
      </c>
      <c r="AA229" s="171">
        <f t="shared" si="482"/>
      </c>
      <c r="AB229" s="166">
        <f t="shared" si="504"/>
      </c>
      <c r="AC229" s="166">
        <v>220</v>
      </c>
      <c r="AD229" s="172">
        <f t="shared" si="51"/>
      </c>
      <c r="AE229" s="168">
        <f t="shared" si="100"/>
      </c>
      <c r="AF229" s="169">
        <f t="shared" si="176"/>
      </c>
      <c r="AG229" s="169">
        <f t="shared" si="232"/>
      </c>
      <c r="AH229" s="168">
        <v>30</v>
      </c>
      <c r="AI229" s="169">
        <f t="shared" si="310"/>
      </c>
      <c r="AJ229" s="173"/>
      <c r="AK229" s="173"/>
      <c r="AL229" s="173"/>
      <c r="AM229" s="173"/>
      <c r="AN229" s="173"/>
      <c r="AO229" s="173"/>
      <c r="AP229" s="173"/>
      <c r="AQ229" s="173"/>
      <c r="AR229" s="173"/>
      <c r="AS229" s="173"/>
      <c r="AT229" s="173" t="s">
        <v>725</v>
      </c>
      <c r="AU229" s="173" t="s">
        <v>725</v>
      </c>
      <c r="AV229" s="173" t="s">
        <v>725</v>
      </c>
      <c r="AW229" s="173" t="s">
        <v>725</v>
      </c>
      <c r="AX229" s="173" t="s">
        <v>725</v>
      </c>
      <c r="AY229" s="173" t="s">
        <v>725</v>
      </c>
      <c r="AZ229" s="173" t="s">
        <v>725</v>
      </c>
      <c r="BA229" s="173" t="s">
        <v>725</v>
      </c>
      <c r="BB229" s="173" t="s">
        <v>725</v>
      </c>
      <c r="BC229" s="173" t="s">
        <v>725</v>
      </c>
      <c r="BD229" s="173" t="s">
        <v>725</v>
      </c>
      <c r="BE229" s="173" t="s">
        <v>725</v>
      </c>
      <c r="BF229" s="173" t="s">
        <v>725</v>
      </c>
      <c r="BG229" s="173" t="s">
        <v>725</v>
      </c>
      <c r="BH229" s="173" t="s">
        <v>725</v>
      </c>
      <c r="BI229" s="173" t="s">
        <v>725</v>
      </c>
      <c r="BJ229" s="173" t="s">
        <v>725</v>
      </c>
      <c r="BK229" s="173" t="s">
        <v>725</v>
      </c>
      <c r="BL229" s="173" t="s">
        <v>725</v>
      </c>
      <c r="BM229" s="173" t="s">
        <v>725</v>
      </c>
      <c r="BN229" s="173" t="s">
        <v>725</v>
      </c>
      <c r="BO229" s="173" t="s">
        <v>725</v>
      </c>
      <c r="BP229" s="173" t="s">
        <v>725</v>
      </c>
      <c r="BQ229" s="173" t="s">
        <v>725</v>
      </c>
      <c r="BR229" s="180">
        <f t="shared" ref="BR229:BR232" si="245">IF(E229&lt;#REF!,1,0)</f>
      </c>
      <c r="BS229" s="161" t="str">
        <v>#VALUE!</v>
      </c>
    </row>
    <row customHeight="true" ht="18.51851851851852" r="230">
      <c r="A230" s="161" t="s">
        <v>737</v>
      </c>
      <c r="B230" s="161" t="s">
        <v>730</v>
      </c>
      <c r="C230" s="161" t="s">
        <v>792</v>
      </c>
      <c r="D230" s="178" t="s">
        <v>798</v>
      </c>
      <c r="E230" s="176">
        <v>89</v>
      </c>
      <c r="F230" s="163">
        <v>129.99</v>
      </c>
      <c r="G230" s="164">
        <f t="shared" si="9"/>
      </c>
      <c r="H230" s="164">
        <f t="shared" si="73"/>
      </c>
      <c r="I230" s="164">
        <f t="shared" si="135"/>
      </c>
      <c r="J230" s="165">
        <f t="shared" si="216"/>
      </c>
      <c r="K230" s="166">
        <f t="shared" si="269"/>
      </c>
      <c r="L230" s="167">
        <f t="shared" si="340"/>
      </c>
      <c r="M230" s="164">
        <f t="shared" si="385"/>
      </c>
      <c r="N230" s="166">
        <f t="shared" si="429"/>
      </c>
      <c r="O230" s="166">
        <f t="shared" si="460"/>
      </c>
      <c r="P230" s="161">
        <v>3</v>
      </c>
      <c r="Q230" s="168">
        <v>8</v>
      </c>
      <c r="R230" s="169">
        <f t="shared" si="29"/>
      </c>
      <c r="S230" s="165">
        <f t="shared" si="526"/>
      </c>
      <c r="T230" s="169">
        <f t="shared" si="154"/>
      </c>
      <c r="U230" s="169">
        <v>0.01</v>
      </c>
      <c r="V230" s="169">
        <f t="shared" si="291"/>
      </c>
      <c r="W230" s="169">
        <f t="shared" si="362"/>
      </c>
      <c r="X230" s="170">
        <v>0.188</v>
      </c>
      <c r="Y230" s="171">
        <v>0</v>
      </c>
      <c r="Z230" s="171">
        <f t="shared" si="404"/>
      </c>
      <c r="AA230" s="171">
        <f t="shared" si="482"/>
      </c>
      <c r="AB230" s="166">
        <f t="shared" si="504"/>
      </c>
      <c r="AC230" s="166">
        <v>220</v>
      </c>
      <c r="AD230" s="172">
        <f t="shared" si="51"/>
      </c>
      <c r="AE230" s="168">
        <f t="shared" si="100"/>
      </c>
      <c r="AF230" s="169">
        <f t="shared" si="176"/>
      </c>
      <c r="AG230" s="169">
        <f t="shared" si="232"/>
      </c>
      <c r="AH230" s="168">
        <v>30</v>
      </c>
      <c r="AI230" s="169">
        <f t="shared" si="310"/>
      </c>
      <c r="AJ230" s="173"/>
      <c r="AK230" s="173"/>
      <c r="AL230" s="173"/>
      <c r="AM230" s="173"/>
      <c r="AN230" s="173"/>
      <c r="AO230" s="173"/>
      <c r="AP230" s="173"/>
      <c r="AQ230" s="173"/>
      <c r="AR230" s="173"/>
      <c r="AS230" s="173"/>
      <c r="AT230" s="173" t="s">
        <v>725</v>
      </c>
      <c r="AU230" s="173" t="s">
        <v>725</v>
      </c>
      <c r="AV230" s="173" t="s">
        <v>725</v>
      </c>
      <c r="AW230" s="173" t="s">
        <v>725</v>
      </c>
      <c r="AX230" s="173" t="s">
        <v>725</v>
      </c>
      <c r="AY230" s="173" t="s">
        <v>725</v>
      </c>
      <c r="AZ230" s="173" t="s">
        <v>725</v>
      </c>
      <c r="BA230" s="173" t="s">
        <v>725</v>
      </c>
      <c r="BB230" s="173" t="s">
        <v>725</v>
      </c>
      <c r="BC230" s="173" t="s">
        <v>725</v>
      </c>
      <c r="BD230" s="173" t="s">
        <v>725</v>
      </c>
      <c r="BE230" s="173" t="s">
        <v>725</v>
      </c>
      <c r="BF230" s="173" t="s">
        <v>725</v>
      </c>
      <c r="BG230" s="173" t="s">
        <v>725</v>
      </c>
      <c r="BH230" s="173" t="s">
        <v>725</v>
      </c>
      <c r="BI230" s="173" t="s">
        <v>725</v>
      </c>
      <c r="BJ230" s="173" t="s">
        <v>725</v>
      </c>
      <c r="BK230" s="173" t="s">
        <v>725</v>
      </c>
      <c r="BL230" s="173" t="s">
        <v>725</v>
      </c>
      <c r="BM230" s="173" t="s">
        <v>725</v>
      </c>
      <c r="BN230" s="173" t="s">
        <v>725</v>
      </c>
      <c r="BO230" s="173" t="s">
        <v>725</v>
      </c>
      <c r="BP230" s="173" t="s">
        <v>725</v>
      </c>
      <c r="BQ230" s="173" t="s">
        <v>725</v>
      </c>
      <c r="BR230" s="180">
        <f t="shared" si="245"/>
      </c>
      <c r="BS230" s="161" t="str">
        <v>#VALUE!</v>
      </c>
    </row>
    <row customHeight="true" ht="18.51851851851852" r="231">
      <c r="A231" s="161" t="s">
        <v>739</v>
      </c>
      <c r="B231" s="161" t="s">
        <v>730</v>
      </c>
      <c r="C231" s="161" t="s">
        <v>792</v>
      </c>
      <c r="D231" s="178" t="s">
        <v>799</v>
      </c>
      <c r="E231" s="176">
        <v>89</v>
      </c>
      <c r="F231" s="163">
        <v>129.99</v>
      </c>
      <c r="G231" s="164">
        <f t="shared" si="9"/>
      </c>
      <c r="H231" s="164">
        <f t="shared" si="73"/>
      </c>
      <c r="I231" s="164">
        <f t="shared" si="135"/>
      </c>
      <c r="J231" s="165">
        <f t="shared" si="216"/>
      </c>
      <c r="K231" s="166">
        <f t="shared" si="269"/>
      </c>
      <c r="L231" s="167">
        <f t="shared" si="340"/>
      </c>
      <c r="M231" s="164">
        <f t="shared" si="385"/>
      </c>
      <c r="N231" s="166">
        <f t="shared" si="429"/>
      </c>
      <c r="O231" s="166">
        <f t="shared" si="460"/>
      </c>
      <c r="P231" s="161">
        <v>3</v>
      </c>
      <c r="Q231" s="168">
        <v>8</v>
      </c>
      <c r="R231" s="169">
        <f t="shared" si="29"/>
      </c>
      <c r="S231" s="165">
        <f t="shared" si="526"/>
      </c>
      <c r="T231" s="169">
        <f t="shared" si="154"/>
      </c>
      <c r="U231" s="169">
        <v>0.01</v>
      </c>
      <c r="V231" s="169">
        <f t="shared" si="291"/>
      </c>
      <c r="W231" s="169">
        <f t="shared" si="362"/>
      </c>
      <c r="X231" s="170">
        <v>0.188</v>
      </c>
      <c r="Y231" s="171">
        <v>0</v>
      </c>
      <c r="Z231" s="171">
        <f t="shared" si="404"/>
      </c>
      <c r="AA231" s="171">
        <f t="shared" si="482"/>
      </c>
      <c r="AB231" s="166">
        <f t="shared" si="504"/>
      </c>
      <c r="AC231" s="166">
        <v>220</v>
      </c>
      <c r="AD231" s="172">
        <f t="shared" si="51"/>
      </c>
      <c r="AE231" s="168">
        <f t="shared" si="100"/>
      </c>
      <c r="AF231" s="169">
        <f t="shared" si="176"/>
      </c>
      <c r="AG231" s="169">
        <f t="shared" si="232"/>
      </c>
      <c r="AH231" s="168">
        <v>30</v>
      </c>
      <c r="AI231" s="169">
        <f t="shared" si="310"/>
      </c>
      <c r="AJ231" s="173"/>
      <c r="AK231" s="173"/>
      <c r="AL231" s="173"/>
      <c r="AM231" s="173"/>
      <c r="AN231" s="173"/>
      <c r="AO231" s="173"/>
      <c r="AP231" s="173"/>
      <c r="AQ231" s="173"/>
      <c r="AR231" s="173"/>
      <c r="AS231" s="173"/>
      <c r="AT231" s="173" t="s">
        <v>725</v>
      </c>
      <c r="AU231" s="173" t="s">
        <v>725</v>
      </c>
      <c r="AV231" s="173" t="s">
        <v>725</v>
      </c>
      <c r="AW231" s="173" t="s">
        <v>725</v>
      </c>
      <c r="AX231" s="173" t="s">
        <v>725</v>
      </c>
      <c r="AY231" s="173" t="s">
        <v>725</v>
      </c>
      <c r="AZ231" s="173" t="s">
        <v>725</v>
      </c>
      <c r="BA231" s="173" t="s">
        <v>725</v>
      </c>
      <c r="BB231" s="173" t="s">
        <v>725</v>
      </c>
      <c r="BC231" s="173" t="s">
        <v>725</v>
      </c>
      <c r="BD231" s="173" t="s">
        <v>725</v>
      </c>
      <c r="BE231" s="173" t="s">
        <v>725</v>
      </c>
      <c r="BF231" s="173" t="s">
        <v>725</v>
      </c>
      <c r="BG231" s="173" t="s">
        <v>725</v>
      </c>
      <c r="BH231" s="173" t="s">
        <v>725</v>
      </c>
      <c r="BI231" s="173" t="s">
        <v>725</v>
      </c>
      <c r="BJ231" s="173" t="s">
        <v>725</v>
      </c>
      <c r="BK231" s="173" t="s">
        <v>725</v>
      </c>
      <c r="BL231" s="173" t="s">
        <v>725</v>
      </c>
      <c r="BM231" s="173" t="s">
        <v>725</v>
      </c>
      <c r="BN231" s="173" t="s">
        <v>725</v>
      </c>
      <c r="BO231" s="173" t="s">
        <v>725</v>
      </c>
      <c r="BP231" s="173" t="s">
        <v>725</v>
      </c>
      <c r="BQ231" s="173" t="s">
        <v>725</v>
      </c>
      <c r="BR231" s="180">
        <f t="shared" si="245"/>
      </c>
      <c r="BS231" s="161" t="str">
        <v>#VALUE!</v>
      </c>
    </row>
    <row customHeight="true" ht="18.51851851851852" r="232">
      <c r="A232" s="161" t="s">
        <v>741</v>
      </c>
      <c r="B232" s="161" t="s">
        <v>730</v>
      </c>
      <c r="C232" s="161" t="s">
        <v>792</v>
      </c>
      <c r="D232" s="178" t="s">
        <v>800</v>
      </c>
      <c r="E232" s="176">
        <v>89</v>
      </c>
      <c r="F232" s="163">
        <v>129.99</v>
      </c>
      <c r="G232" s="164">
        <f t="shared" si="9"/>
      </c>
      <c r="H232" s="164">
        <f t="shared" si="73"/>
      </c>
      <c r="I232" s="164">
        <f t="shared" si="135"/>
      </c>
      <c r="J232" s="165">
        <f t="shared" si="216"/>
      </c>
      <c r="K232" s="166">
        <f t="shared" si="269"/>
      </c>
      <c r="L232" s="167">
        <f t="shared" si="340"/>
      </c>
      <c r="M232" s="164">
        <f t="shared" si="385"/>
      </c>
      <c r="N232" s="166">
        <f t="shared" si="429"/>
      </c>
      <c r="O232" s="166">
        <f t="shared" si="460"/>
      </c>
      <c r="P232" s="161">
        <v>3</v>
      </c>
      <c r="Q232" s="168">
        <v>8</v>
      </c>
      <c r="R232" s="169">
        <f t="shared" si="29"/>
      </c>
      <c r="S232" s="165">
        <f t="shared" si="526"/>
      </c>
      <c r="T232" s="169">
        <f t="shared" si="154"/>
      </c>
      <c r="U232" s="169">
        <v>0.01</v>
      </c>
      <c r="V232" s="169">
        <f t="shared" si="291"/>
      </c>
      <c r="W232" s="169">
        <f t="shared" si="362"/>
      </c>
      <c r="X232" s="170">
        <v>0.188</v>
      </c>
      <c r="Y232" s="171">
        <v>0</v>
      </c>
      <c r="Z232" s="171">
        <f t="shared" si="404"/>
      </c>
      <c r="AA232" s="171">
        <f t="shared" si="482"/>
      </c>
      <c r="AB232" s="166">
        <f t="shared" si="504"/>
      </c>
      <c r="AC232" s="166">
        <v>220</v>
      </c>
      <c r="AD232" s="172">
        <f t="shared" si="51"/>
      </c>
      <c r="AE232" s="168">
        <f t="shared" si="100"/>
      </c>
      <c r="AF232" s="169">
        <f t="shared" si="176"/>
      </c>
      <c r="AG232" s="169">
        <f t="shared" si="232"/>
      </c>
      <c r="AH232" s="168">
        <v>30</v>
      </c>
      <c r="AI232" s="169">
        <f t="shared" si="310"/>
      </c>
      <c r="AJ232" s="169"/>
      <c r="AK232" s="169"/>
      <c r="AL232" s="169"/>
      <c r="AM232" s="169"/>
      <c r="AN232" s="173"/>
      <c r="AO232" s="173"/>
      <c r="AP232" s="173"/>
      <c r="AQ232" s="173"/>
      <c r="AR232" s="173"/>
      <c r="AS232" s="173"/>
      <c r="AT232" s="173" t="s">
        <v>725</v>
      </c>
      <c r="AU232" s="173" t="s">
        <v>725</v>
      </c>
      <c r="AV232" s="173" t="s">
        <v>725</v>
      </c>
      <c r="AW232" s="173" t="s">
        <v>725</v>
      </c>
      <c r="AX232" s="173" t="s">
        <v>725</v>
      </c>
      <c r="AY232" s="173" t="s">
        <v>725</v>
      </c>
      <c r="AZ232" s="173" t="s">
        <v>725</v>
      </c>
      <c r="BA232" s="173" t="s">
        <v>725</v>
      </c>
      <c r="BB232" s="173" t="s">
        <v>725</v>
      </c>
      <c r="BC232" s="173" t="s">
        <v>725</v>
      </c>
      <c r="BD232" s="173" t="s">
        <v>725</v>
      </c>
      <c r="BE232" s="173" t="s">
        <v>725</v>
      </c>
      <c r="BF232" s="173" t="s">
        <v>725</v>
      </c>
      <c r="BG232" s="173" t="s">
        <v>725</v>
      </c>
      <c r="BH232" s="173" t="s">
        <v>725</v>
      </c>
      <c r="BI232" s="173" t="s">
        <v>725</v>
      </c>
      <c r="BJ232" s="173" t="s">
        <v>725</v>
      </c>
      <c r="BK232" s="173" t="s">
        <v>725</v>
      </c>
      <c r="BL232" s="173" t="s">
        <v>725</v>
      </c>
      <c r="BM232" s="173" t="s">
        <v>725</v>
      </c>
      <c r="BN232" s="173" t="s">
        <v>725</v>
      </c>
      <c r="BO232" s="173" t="s">
        <v>725</v>
      </c>
      <c r="BP232" s="173" t="s">
        <v>725</v>
      </c>
      <c r="BQ232" s="173" t="s">
        <v>725</v>
      </c>
      <c r="BR232" s="180">
        <f t="shared" si="245"/>
      </c>
      <c r="BS232" s="161" t="str">
        <v>#VALUE!</v>
      </c>
    </row>
    <row customHeight="true" ht="18.51851851851852" r="233">
      <c r="G233" s="181"/>
      <c r="H233" s="181"/>
      <c r="S233" s="181"/>
      <c r="AE233" s="188"/>
      <c r="AI233" s="181"/>
    </row>
    <row customHeight="true" ht="18.51851851851852" r="234">
      <c r="A234" s="161" t="s">
        <v>721</v>
      </c>
      <c r="B234" s="161" t="s">
        <v>730</v>
      </c>
      <c r="C234" s="183" t="s">
        <v>801</v>
      </c>
      <c r="D234" s="189" t="s">
        <v>802</v>
      </c>
      <c r="E234" s="186">
        <v>8.9</v>
      </c>
      <c r="F234" s="163">
        <v>12.99</v>
      </c>
      <c r="G234" s="164">
        <f t="shared" ref="G234:G252" si="10">(F234-Z234)</f>
      </c>
      <c r="H234" s="164">
        <f t="shared" ref="H234:H252" si="74">(F234-Z234)/1.2</f>
      </c>
      <c r="I234" s="164">
        <f t="shared" ref="I234:I252" si="136">E234-N234/Q234-AB234-Y234-O234-Z234-AA234</f>
      </c>
      <c r="J234" s="165">
        <f t="shared" ref="J234:J252" si="217">I234/E234</f>
      </c>
      <c r="K234" s="166">
        <f t="shared" ref="K234:K252" si="270">F234/1.2</f>
      </c>
      <c r="L234" s="167">
        <f t="shared" ref="L234:L252" si="341">(K234-E234)/K234</f>
      </c>
      <c r="M234" s="164">
        <f t="shared" ref="M234:M252" si="386">F234/1.2-E234</f>
      </c>
      <c r="N234" s="166">
        <f>AD234+AH235</f>
      </c>
      <c r="O234" s="166">
        <f t="shared" ref="O234:O252" si="461">IFERROR(IF(A234="UK",8.95/P234,IF(A234="DE",7.75/P234,IF(A234="FR",14.25/P234,IF(A234="IT",15.25/P234,IF(A234="ES",19.25/P234,IF(A234="NL",16.75/P234,IF(A234="PL",14.05/P234,IF(A234="SE",18.25/P234,IF(A234="BE",14.25/P234))))))))),0)</f>
      </c>
      <c r="P234" s="161">
        <v>48</v>
      </c>
      <c r="Q234" s="168">
        <v>9</v>
      </c>
      <c r="R234" s="169">
        <f t="shared" ref="R234:R252" si="30">Y234/E234</f>
      </c>
      <c r="S234" s="165">
        <f t="shared" ref="S234:S252" si="527">Y234/F234</f>
      </c>
      <c r="T234" s="169">
        <f t="shared" ref="T234:T252" si="155">Z234/E234</f>
      </c>
      <c r="U234" s="169">
        <v>0.01</v>
      </c>
      <c r="V234" s="169">
        <f t="shared" ref="V234:V252" si="292">N234/(E234*Q234)</f>
      </c>
      <c r="W234" s="169">
        <f t="shared" ref="W234:W252" si="363">O234/E234</f>
      </c>
      <c r="X234" s="170">
        <v>0.158</v>
      </c>
      <c r="Y234" s="171">
        <v>2.5</v>
      </c>
      <c r="Z234" s="171">
        <v>0</v>
      </c>
      <c r="AA234" s="171">
        <f t="shared" ref="AA234:AA252" si="483">E234*U234</f>
      </c>
      <c r="AB234" s="166">
        <f t="shared" ref="AB234:AB252" si="505">E234*X234</f>
      </c>
      <c r="AC234" s="166">
        <v>17.8</v>
      </c>
      <c r="AD234" s="172">
        <f t="shared" ref="AD234:AD252" si="52">AC234/1.13</f>
      </c>
      <c r="AE234" s="168">
        <f>AH235/Q234</f>
      </c>
      <c r="AF234" s="169">
        <f t="shared" ref="AF234:AF252" si="177">AD234/(E234*Q234)</f>
      </c>
      <c r="AG234" s="169">
        <f t="shared" ref="AG234:AG252" si="319">AE234/Q234/E234</f>
      </c>
      <c r="AH234" s="168">
        <v>4</v>
      </c>
      <c r="AI234" s="169">
        <f t="shared" ref="AI234:AI252" si="195">(H234-E234+AB234)/H234</f>
      </c>
      <c r="AJ234" s="169"/>
      <c r="AK234" s="169"/>
      <c r="AL234" s="169"/>
      <c r="AM234" s="169"/>
      <c r="AN234" s="173"/>
      <c r="AO234" s="173"/>
      <c r="AP234" s="173"/>
      <c r="AQ234" s="173"/>
      <c r="AR234" s="173"/>
      <c r="AS234" s="173"/>
      <c r="AT234" s="173" t="s">
        <v>725</v>
      </c>
      <c r="AU234" s="173" t="s">
        <v>725</v>
      </c>
      <c r="AV234" s="173" t="s">
        <v>725</v>
      </c>
      <c r="AW234" s="173" t="s">
        <v>725</v>
      </c>
      <c r="AX234" s="173" t="s">
        <v>725</v>
      </c>
      <c r="AY234" s="173" t="s">
        <v>725</v>
      </c>
      <c r="AZ234" s="173" t="s">
        <v>725</v>
      </c>
      <c r="BA234" s="173" t="s">
        <v>725</v>
      </c>
      <c r="BB234" s="173" t="s">
        <v>725</v>
      </c>
      <c r="BC234" s="173" t="s">
        <v>725</v>
      </c>
      <c r="BD234" s="173" t="s">
        <v>725</v>
      </c>
      <c r="BE234" s="173" t="s">
        <v>725</v>
      </c>
      <c r="BF234" s="173" t="s">
        <v>725</v>
      </c>
      <c r="BG234" s="173" t="s">
        <v>725</v>
      </c>
      <c r="BH234" s="173" t="s">
        <v>725</v>
      </c>
      <c r="BI234" s="173" t="s">
        <v>725</v>
      </c>
      <c r="BJ234" s="173" t="s">
        <v>725</v>
      </c>
      <c r="BK234" s="173" t="s">
        <v>725</v>
      </c>
      <c r="BL234" s="173" t="s">
        <v>725</v>
      </c>
      <c r="BM234" s="173" t="s">
        <v>725</v>
      </c>
      <c r="BN234" s="173" t="s">
        <v>725</v>
      </c>
      <c r="BO234" s="173" t="s">
        <v>725</v>
      </c>
      <c r="BP234" s="173" t="s">
        <v>725</v>
      </c>
      <c r="BQ234" s="173" t="s">
        <v>725</v>
      </c>
      <c r="BR234" s="174"/>
      <c r="BS234" s="161" t="str">
        <v>#VALUE!</v>
      </c>
    </row>
    <row customHeight="true" ht="18.51851851851852" r="235">
      <c r="A235" s="161" t="s">
        <v>721</v>
      </c>
      <c r="B235" s="161" t="s">
        <v>730</v>
      </c>
      <c r="C235" s="183" t="s">
        <v>801</v>
      </c>
      <c r="D235" s="189" t="s">
        <v>803</v>
      </c>
      <c r="E235" s="186">
        <v>8.9</v>
      </c>
      <c r="F235" s="163">
        <v>12.99</v>
      </c>
      <c r="G235" s="164">
        <f t="shared" si="10"/>
      </c>
      <c r="H235" s="164">
        <f t="shared" si="74"/>
      </c>
      <c r="I235" s="175">
        <f t="shared" si="136"/>
      </c>
      <c r="J235" s="165">
        <f t="shared" si="217"/>
      </c>
      <c r="K235" s="166">
        <f t="shared" si="270"/>
      </c>
      <c r="L235" s="167">
        <f t="shared" si="341"/>
      </c>
      <c r="M235" s="164">
        <f t="shared" si="386"/>
      </c>
      <c r="N235" s="166">
        <f t="shared" ref="N235:N236" si="430">AD235+AH235</f>
      </c>
      <c r="O235" s="166">
        <f t="shared" si="461"/>
      </c>
      <c r="P235" s="161">
        <v>48</v>
      </c>
      <c r="Q235" s="168">
        <v>9</v>
      </c>
      <c r="R235" s="169">
        <f t="shared" si="30"/>
      </c>
      <c r="S235" s="165">
        <f t="shared" si="527"/>
      </c>
      <c r="T235" s="169">
        <f t="shared" si="155"/>
      </c>
      <c r="U235" s="169">
        <v>0.01</v>
      </c>
      <c r="V235" s="169">
        <f t="shared" si="292"/>
      </c>
      <c r="W235" s="169">
        <f t="shared" si="363"/>
      </c>
      <c r="X235" s="170">
        <v>0.158</v>
      </c>
      <c r="Y235" s="171">
        <v>2.5</v>
      </c>
      <c r="Z235" s="171">
        <f>F235*0.1</f>
      </c>
      <c r="AA235" s="171">
        <f t="shared" si="483"/>
      </c>
      <c r="AB235" s="166">
        <f t="shared" si="505"/>
      </c>
      <c r="AC235" s="166">
        <v>17.8</v>
      </c>
      <c r="AD235" s="172">
        <f t="shared" si="52"/>
      </c>
      <c r="AE235" s="168">
        <f t="shared" ref="AE235:AE236" si="101">AH235/Q235</f>
      </c>
      <c r="AF235" s="169">
        <f t="shared" si="177"/>
      </c>
      <c r="AG235" s="169">
        <f t="shared" si="319"/>
      </c>
      <c r="AH235" s="168">
        <v>4</v>
      </c>
      <c r="AI235" s="169">
        <f t="shared" si="195"/>
      </c>
      <c r="AJ235" s="169"/>
      <c r="AK235" s="169"/>
      <c r="AL235" s="169"/>
      <c r="AM235" s="169"/>
      <c r="AN235" s="173"/>
      <c r="AO235" s="173"/>
      <c r="AP235" s="173"/>
      <c r="AQ235" s="173"/>
      <c r="AR235" s="173"/>
      <c r="AS235" s="173"/>
      <c r="AT235" s="173" t="s">
        <v>725</v>
      </c>
      <c r="AU235" s="173" t="s">
        <v>725</v>
      </c>
      <c r="AV235" s="173" t="s">
        <v>725</v>
      </c>
      <c r="AW235" s="173" t="s">
        <v>725</v>
      </c>
      <c r="AX235" s="173" t="s">
        <v>725</v>
      </c>
      <c r="AY235" s="173" t="s">
        <v>725</v>
      </c>
      <c r="AZ235" s="173" t="s">
        <v>725</v>
      </c>
      <c r="BA235" s="173" t="s">
        <v>725</v>
      </c>
      <c r="BB235" s="173" t="s">
        <v>725</v>
      </c>
      <c r="BC235" s="173" t="s">
        <v>725</v>
      </c>
      <c r="BD235" s="173" t="s">
        <v>725</v>
      </c>
      <c r="BE235" s="173" t="s">
        <v>725</v>
      </c>
      <c r="BF235" s="173" t="s">
        <v>725</v>
      </c>
      <c r="BG235" s="173" t="s">
        <v>725</v>
      </c>
      <c r="BH235" s="173" t="s">
        <v>725</v>
      </c>
      <c r="BI235" s="173" t="s">
        <v>725</v>
      </c>
      <c r="BJ235" s="173" t="s">
        <v>725</v>
      </c>
      <c r="BK235" s="173" t="s">
        <v>725</v>
      </c>
      <c r="BL235" s="173" t="s">
        <v>725</v>
      </c>
      <c r="BM235" s="173" t="s">
        <v>725</v>
      </c>
      <c r="BN235" s="173" t="s">
        <v>725</v>
      </c>
      <c r="BO235" s="173" t="s">
        <v>725</v>
      </c>
      <c r="BP235" s="173" t="s">
        <v>725</v>
      </c>
      <c r="BQ235" s="173" t="s">
        <v>725</v>
      </c>
      <c r="BR235" s="174"/>
      <c r="BS235" s="161" t="str">
        <v>#VALUE!</v>
      </c>
    </row>
    <row customHeight="true" ht="18.51851851851852" r="236">
      <c r="A236" s="161" t="s">
        <v>721</v>
      </c>
      <c r="B236" s="161" t="s">
        <v>730</v>
      </c>
      <c r="C236" s="183" t="s">
        <v>801</v>
      </c>
      <c r="D236" s="189" t="s">
        <v>804</v>
      </c>
      <c r="E236" s="186">
        <v>8.9</v>
      </c>
      <c r="F236" s="163">
        <v>12.99</v>
      </c>
      <c r="G236" s="164">
        <f t="shared" si="10"/>
      </c>
      <c r="H236" s="164">
        <f t="shared" si="74"/>
      </c>
      <c r="I236" s="164">
        <f t="shared" si="136"/>
      </c>
      <c r="J236" s="165">
        <f t="shared" si="217"/>
      </c>
      <c r="K236" s="166">
        <f t="shared" si="270"/>
      </c>
      <c r="L236" s="167">
        <f t="shared" si="341"/>
      </c>
      <c r="M236" s="164">
        <f t="shared" si="386"/>
      </c>
      <c r="N236" s="166">
        <f t="shared" si="430"/>
      </c>
      <c r="O236" s="166">
        <f t="shared" si="461"/>
      </c>
      <c r="P236" s="161">
        <v>48</v>
      </c>
      <c r="Q236" s="168">
        <v>9</v>
      </c>
      <c r="R236" s="169">
        <f t="shared" si="30"/>
      </c>
      <c r="S236" s="165">
        <f t="shared" si="527"/>
      </c>
      <c r="T236" s="169">
        <f t="shared" si="155"/>
      </c>
      <c r="U236" s="169">
        <v>0.01</v>
      </c>
      <c r="V236" s="169">
        <f t="shared" si="292"/>
      </c>
      <c r="W236" s="169">
        <f t="shared" si="363"/>
      </c>
      <c r="X236" s="170">
        <v>0.158</v>
      </c>
      <c r="Y236" s="171">
        <v>2.5</v>
      </c>
      <c r="Z236" s="171">
        <f>F236*0.15</f>
      </c>
      <c r="AA236" s="171">
        <f t="shared" si="483"/>
      </c>
      <c r="AB236" s="166">
        <f t="shared" si="505"/>
      </c>
      <c r="AC236" s="166">
        <v>17.8</v>
      </c>
      <c r="AD236" s="172">
        <f t="shared" si="52"/>
      </c>
      <c r="AE236" s="168">
        <f t="shared" si="101"/>
      </c>
      <c r="AF236" s="169">
        <f t="shared" si="177"/>
      </c>
      <c r="AG236" s="169">
        <f t="shared" si="319"/>
      </c>
      <c r="AH236" s="168">
        <v>4</v>
      </c>
      <c r="AI236" s="169">
        <f t="shared" si="195"/>
      </c>
      <c r="AJ236" s="169"/>
      <c r="AK236" s="169"/>
      <c r="AL236" s="169"/>
      <c r="AM236" s="169"/>
      <c r="AN236" s="173"/>
      <c r="AO236" s="173"/>
      <c r="AP236" s="173"/>
      <c r="AQ236" s="173"/>
      <c r="AR236" s="173"/>
      <c r="AS236" s="173"/>
      <c r="AT236" s="173" t="s">
        <v>725</v>
      </c>
      <c r="AU236" s="173" t="s">
        <v>725</v>
      </c>
      <c r="AV236" s="173" t="s">
        <v>725</v>
      </c>
      <c r="AW236" s="173" t="s">
        <v>725</v>
      </c>
      <c r="AX236" s="173" t="s">
        <v>725</v>
      </c>
      <c r="AY236" s="173" t="s">
        <v>725</v>
      </c>
      <c r="AZ236" s="173" t="s">
        <v>725</v>
      </c>
      <c r="BA236" s="173" t="s">
        <v>725</v>
      </c>
      <c r="BB236" s="173" t="s">
        <v>725</v>
      </c>
      <c r="BC236" s="173" t="s">
        <v>725</v>
      </c>
      <c r="BD236" s="173" t="s">
        <v>725</v>
      </c>
      <c r="BE236" s="173" t="s">
        <v>725</v>
      </c>
      <c r="BF236" s="173" t="s">
        <v>725</v>
      </c>
      <c r="BG236" s="173" t="s">
        <v>725</v>
      </c>
      <c r="BH236" s="173" t="s">
        <v>725</v>
      </c>
      <c r="BI236" s="173" t="s">
        <v>725</v>
      </c>
      <c r="BJ236" s="173" t="s">
        <v>725</v>
      </c>
      <c r="BK236" s="173" t="s">
        <v>725</v>
      </c>
      <c r="BL236" s="173" t="s">
        <v>725</v>
      </c>
      <c r="BM236" s="173" t="s">
        <v>725</v>
      </c>
      <c r="BN236" s="173" t="s">
        <v>725</v>
      </c>
      <c r="BO236" s="173" t="s">
        <v>725</v>
      </c>
      <c r="BP236" s="173" t="s">
        <v>725</v>
      </c>
      <c r="BQ236" s="173" t="s">
        <v>725</v>
      </c>
      <c r="BR236" s="174"/>
      <c r="BS236" s="161" t="str">
        <v>#VALUE!</v>
      </c>
    </row>
    <row customHeight="true" ht="18.51851851851852" r="237">
      <c r="A237" s="161" t="s">
        <v>729</v>
      </c>
      <c r="B237" s="161" t="s">
        <v>730</v>
      </c>
      <c r="C237" s="183" t="s">
        <v>801</v>
      </c>
      <c r="D237" s="189" t="s">
        <v>802</v>
      </c>
      <c r="E237" s="186">
        <v>9.6</v>
      </c>
      <c r="F237" s="163">
        <v>13.99</v>
      </c>
      <c r="G237" s="164">
        <f t="shared" si="10"/>
      </c>
      <c r="H237" s="164">
        <f t="shared" si="74"/>
      </c>
      <c r="I237" s="164">
        <f t="shared" si="136"/>
      </c>
      <c r="J237" s="165">
        <f t="shared" si="217"/>
      </c>
      <c r="K237" s="166">
        <f t="shared" si="270"/>
      </c>
      <c r="L237" s="167">
        <f t="shared" si="341"/>
      </c>
      <c r="M237" s="164">
        <f t="shared" si="386"/>
      </c>
      <c r="N237" s="166">
        <f>AD237+AH238</f>
      </c>
      <c r="O237" s="166">
        <f t="shared" si="461"/>
      </c>
      <c r="P237" s="161">
        <v>48</v>
      </c>
      <c r="Q237" s="168">
        <v>8</v>
      </c>
      <c r="R237" s="169">
        <f t="shared" si="30"/>
      </c>
      <c r="S237" s="165">
        <f t="shared" si="527"/>
      </c>
      <c r="T237" s="169">
        <f t="shared" si="155"/>
      </c>
      <c r="U237" s="169">
        <v>0.01</v>
      </c>
      <c r="V237" s="169">
        <f t="shared" si="292"/>
      </c>
      <c r="W237" s="169">
        <f t="shared" si="363"/>
      </c>
      <c r="X237" s="170">
        <v>0.1695</v>
      </c>
      <c r="Y237" s="171">
        <v>2.5</v>
      </c>
      <c r="Z237" s="171">
        <v>0</v>
      </c>
      <c r="AA237" s="171">
        <f t="shared" si="483"/>
      </c>
      <c r="AB237" s="166">
        <f t="shared" si="505"/>
      </c>
      <c r="AC237" s="166">
        <v>17.8</v>
      </c>
      <c r="AD237" s="172">
        <f t="shared" si="52"/>
      </c>
      <c r="AE237" s="168">
        <f>AH238/Q237</f>
      </c>
      <c r="AF237" s="169">
        <f t="shared" si="177"/>
      </c>
      <c r="AG237" s="169">
        <f t="shared" si="319"/>
      </c>
      <c r="AH237" s="168">
        <v>4</v>
      </c>
      <c r="AI237" s="169">
        <f t="shared" si="195"/>
      </c>
      <c r="AJ237" s="169"/>
      <c r="AK237" s="169"/>
      <c r="AL237" s="169"/>
      <c r="AM237" s="169"/>
      <c r="AN237" s="173"/>
      <c r="AO237" s="173"/>
      <c r="AP237" s="173"/>
      <c r="AQ237" s="173"/>
      <c r="AR237" s="173"/>
      <c r="AS237" s="173"/>
      <c r="AT237" s="173" t="s">
        <v>725</v>
      </c>
      <c r="AU237" s="173" t="s">
        <v>725</v>
      </c>
      <c r="AV237" s="173" t="s">
        <v>725</v>
      </c>
      <c r="AW237" s="173" t="s">
        <v>725</v>
      </c>
      <c r="AX237" s="173" t="s">
        <v>725</v>
      </c>
      <c r="AY237" s="173" t="s">
        <v>725</v>
      </c>
      <c r="AZ237" s="173" t="s">
        <v>725</v>
      </c>
      <c r="BA237" s="173" t="s">
        <v>725</v>
      </c>
      <c r="BB237" s="173" t="s">
        <v>725</v>
      </c>
      <c r="BC237" s="173" t="s">
        <v>725</v>
      </c>
      <c r="BD237" s="173" t="s">
        <v>725</v>
      </c>
      <c r="BE237" s="173" t="s">
        <v>725</v>
      </c>
      <c r="BF237" s="173" t="s">
        <v>725</v>
      </c>
      <c r="BG237" s="173" t="s">
        <v>725</v>
      </c>
      <c r="BH237" s="173" t="s">
        <v>725</v>
      </c>
      <c r="BI237" s="173" t="s">
        <v>725</v>
      </c>
      <c r="BJ237" s="173" t="s">
        <v>725</v>
      </c>
      <c r="BK237" s="173" t="s">
        <v>725</v>
      </c>
      <c r="BL237" s="173" t="s">
        <v>725</v>
      </c>
      <c r="BM237" s="173" t="s">
        <v>725</v>
      </c>
      <c r="BN237" s="173" t="s">
        <v>725</v>
      </c>
      <c r="BO237" s="173" t="s">
        <v>725</v>
      </c>
      <c r="BP237" s="173" t="s">
        <v>725</v>
      </c>
      <c r="BQ237" s="173" t="s">
        <v>725</v>
      </c>
      <c r="BR237" s="174"/>
      <c r="BS237" s="161" t="str">
        <v>#VALUE!</v>
      </c>
    </row>
    <row customHeight="true" ht="18.51851851851852" r="238">
      <c r="A238" s="161" t="s">
        <v>729</v>
      </c>
      <c r="B238" s="161" t="s">
        <v>730</v>
      </c>
      <c r="C238" s="183" t="s">
        <v>801</v>
      </c>
      <c r="D238" s="189" t="s">
        <v>803</v>
      </c>
      <c r="E238" s="186">
        <v>9.6</v>
      </c>
      <c r="F238" s="163">
        <v>13.99</v>
      </c>
      <c r="G238" s="164">
        <f t="shared" si="10"/>
      </c>
      <c r="H238" s="164">
        <f t="shared" si="74"/>
      </c>
      <c r="I238" s="175">
        <f t="shared" si="136"/>
      </c>
      <c r="J238" s="165">
        <f t="shared" si="217"/>
      </c>
      <c r="K238" s="166">
        <f t="shared" si="270"/>
      </c>
      <c r="L238" s="167">
        <f t="shared" si="341"/>
      </c>
      <c r="M238" s="164">
        <f t="shared" si="386"/>
      </c>
      <c r="N238" s="166">
        <f t="shared" ref="N238:N252" si="431">AD238+AH238</f>
      </c>
      <c r="O238" s="166">
        <f t="shared" si="461"/>
      </c>
      <c r="P238" s="161">
        <v>48</v>
      </c>
      <c r="Q238" s="168">
        <v>8</v>
      </c>
      <c r="R238" s="169">
        <f t="shared" si="30"/>
      </c>
      <c r="S238" s="165">
        <f t="shared" si="527"/>
      </c>
      <c r="T238" s="169">
        <f t="shared" si="155"/>
      </c>
      <c r="U238" s="169">
        <v>0.01</v>
      </c>
      <c r="V238" s="169">
        <f t="shared" si="292"/>
      </c>
      <c r="W238" s="169">
        <f t="shared" si="363"/>
      </c>
      <c r="X238" s="170">
        <v>0.1695</v>
      </c>
      <c r="Y238" s="171">
        <v>2.5</v>
      </c>
      <c r="Z238" s="171">
        <f>F238*0.1</f>
      </c>
      <c r="AA238" s="171">
        <f t="shared" si="483"/>
      </c>
      <c r="AB238" s="166">
        <f t="shared" si="505"/>
      </c>
      <c r="AC238" s="166">
        <v>17.8</v>
      </c>
      <c r="AD238" s="172">
        <f t="shared" si="52"/>
      </c>
      <c r="AE238" s="168">
        <f t="shared" ref="AE238:AE252" si="102">AH238/Q238</f>
      </c>
      <c r="AF238" s="169">
        <f t="shared" si="177"/>
      </c>
      <c r="AG238" s="169">
        <f t="shared" si="319"/>
      </c>
      <c r="AH238" s="168">
        <v>4</v>
      </c>
      <c r="AI238" s="169">
        <f t="shared" si="195"/>
      </c>
      <c r="AJ238" s="169"/>
      <c r="AK238" s="169"/>
      <c r="AL238" s="169"/>
      <c r="AM238" s="169"/>
      <c r="AN238" s="173"/>
      <c r="AO238" s="173"/>
      <c r="AP238" s="173"/>
      <c r="AQ238" s="173"/>
      <c r="AR238" s="173"/>
      <c r="AS238" s="173"/>
      <c r="AT238" s="173" t="s">
        <v>725</v>
      </c>
      <c r="AU238" s="173" t="s">
        <v>725</v>
      </c>
      <c r="AV238" s="173" t="s">
        <v>725</v>
      </c>
      <c r="AW238" s="173" t="s">
        <v>725</v>
      </c>
      <c r="AX238" s="173" t="s">
        <v>725</v>
      </c>
      <c r="AY238" s="173" t="s">
        <v>725</v>
      </c>
      <c r="AZ238" s="173" t="s">
        <v>725</v>
      </c>
      <c r="BA238" s="173" t="s">
        <v>725</v>
      </c>
      <c r="BB238" s="173" t="s">
        <v>725</v>
      </c>
      <c r="BC238" s="173" t="s">
        <v>725</v>
      </c>
      <c r="BD238" s="173" t="s">
        <v>725</v>
      </c>
      <c r="BE238" s="173" t="s">
        <v>725</v>
      </c>
      <c r="BF238" s="173" t="s">
        <v>725</v>
      </c>
      <c r="BG238" s="173" t="s">
        <v>725</v>
      </c>
      <c r="BH238" s="173" t="s">
        <v>725</v>
      </c>
      <c r="BI238" s="173" t="s">
        <v>725</v>
      </c>
      <c r="BJ238" s="173" t="s">
        <v>725</v>
      </c>
      <c r="BK238" s="173" t="s">
        <v>725</v>
      </c>
      <c r="BL238" s="173" t="s">
        <v>725</v>
      </c>
      <c r="BM238" s="173" t="s">
        <v>725</v>
      </c>
      <c r="BN238" s="173" t="s">
        <v>725</v>
      </c>
      <c r="BO238" s="173" t="s">
        <v>725</v>
      </c>
      <c r="BP238" s="173" t="s">
        <v>725</v>
      </c>
      <c r="BQ238" s="173" t="s">
        <v>725</v>
      </c>
      <c r="BR238" s="174"/>
      <c r="BS238" s="161" t="str">
        <v>#VALUE!</v>
      </c>
    </row>
    <row customHeight="true" ht="18.51851851851852" r="239">
      <c r="A239" s="161" t="s">
        <v>729</v>
      </c>
      <c r="B239" s="161" t="s">
        <v>730</v>
      </c>
      <c r="C239" s="183" t="s">
        <v>801</v>
      </c>
      <c r="D239" s="189" t="s">
        <v>804</v>
      </c>
      <c r="E239" s="186">
        <v>9.6</v>
      </c>
      <c r="F239" s="163">
        <v>13.99</v>
      </c>
      <c r="G239" s="164">
        <f t="shared" si="10"/>
      </c>
      <c r="H239" s="164">
        <f t="shared" si="74"/>
      </c>
      <c r="I239" s="164">
        <f t="shared" si="136"/>
      </c>
      <c r="J239" s="165">
        <f t="shared" si="217"/>
      </c>
      <c r="K239" s="166">
        <f t="shared" si="270"/>
      </c>
      <c r="L239" s="167">
        <f t="shared" si="341"/>
      </c>
      <c r="M239" s="164">
        <f t="shared" si="386"/>
      </c>
      <c r="N239" s="166">
        <f t="shared" si="431"/>
      </c>
      <c r="O239" s="166">
        <f t="shared" si="461"/>
      </c>
      <c r="P239" s="161">
        <v>48</v>
      </c>
      <c r="Q239" s="168">
        <v>8</v>
      </c>
      <c r="R239" s="169">
        <f t="shared" si="30"/>
      </c>
      <c r="S239" s="165">
        <f t="shared" si="527"/>
      </c>
      <c r="T239" s="169">
        <f t="shared" si="155"/>
      </c>
      <c r="U239" s="169">
        <v>0.01</v>
      </c>
      <c r="V239" s="169">
        <f t="shared" si="292"/>
      </c>
      <c r="W239" s="169">
        <f t="shared" si="363"/>
      </c>
      <c r="X239" s="170">
        <v>0.1695</v>
      </c>
      <c r="Y239" s="171">
        <v>2.5</v>
      </c>
      <c r="Z239" s="171">
        <f>F239*0.15</f>
      </c>
      <c r="AA239" s="171">
        <f t="shared" si="483"/>
      </c>
      <c r="AB239" s="166">
        <f t="shared" si="505"/>
      </c>
      <c r="AC239" s="166">
        <v>17.8</v>
      </c>
      <c r="AD239" s="172">
        <f t="shared" si="52"/>
      </c>
      <c r="AE239" s="168">
        <f t="shared" si="102"/>
      </c>
      <c r="AF239" s="169">
        <f t="shared" si="177"/>
      </c>
      <c r="AG239" s="169">
        <f t="shared" si="319"/>
      </c>
      <c r="AH239" s="168">
        <v>4</v>
      </c>
      <c r="AI239" s="169">
        <f t="shared" si="195"/>
      </c>
      <c r="AJ239" s="169"/>
      <c r="AK239" s="169"/>
      <c r="AL239" s="169"/>
      <c r="AM239" s="169"/>
      <c r="AN239" s="173"/>
      <c r="AO239" s="173"/>
      <c r="AP239" s="173"/>
      <c r="AQ239" s="173"/>
      <c r="AR239" s="173"/>
      <c r="AS239" s="173"/>
      <c r="AT239" s="173" t="s">
        <v>725</v>
      </c>
      <c r="AU239" s="173" t="s">
        <v>725</v>
      </c>
      <c r="AV239" s="173" t="s">
        <v>725</v>
      </c>
      <c r="AW239" s="173" t="s">
        <v>725</v>
      </c>
      <c r="AX239" s="173" t="s">
        <v>725</v>
      </c>
      <c r="AY239" s="173" t="s">
        <v>725</v>
      </c>
      <c r="AZ239" s="173" t="s">
        <v>725</v>
      </c>
      <c r="BA239" s="173" t="s">
        <v>725</v>
      </c>
      <c r="BB239" s="173" t="s">
        <v>725</v>
      </c>
      <c r="BC239" s="173" t="s">
        <v>725</v>
      </c>
      <c r="BD239" s="173" t="s">
        <v>725</v>
      </c>
      <c r="BE239" s="173" t="s">
        <v>725</v>
      </c>
      <c r="BF239" s="173" t="s">
        <v>725</v>
      </c>
      <c r="BG239" s="173" t="s">
        <v>725</v>
      </c>
      <c r="BH239" s="173" t="s">
        <v>725</v>
      </c>
      <c r="BI239" s="173" t="s">
        <v>725</v>
      </c>
      <c r="BJ239" s="173" t="s">
        <v>725</v>
      </c>
      <c r="BK239" s="173" t="s">
        <v>725</v>
      </c>
      <c r="BL239" s="173" t="s">
        <v>725</v>
      </c>
      <c r="BM239" s="173" t="s">
        <v>725</v>
      </c>
      <c r="BN239" s="173" t="s">
        <v>725</v>
      </c>
      <c r="BO239" s="173" t="s">
        <v>725</v>
      </c>
      <c r="BP239" s="173" t="s">
        <v>725</v>
      </c>
      <c r="BQ239" s="173" t="s">
        <v>725</v>
      </c>
      <c r="BR239" s="174"/>
      <c r="BS239" s="161" t="str">
        <v>#VALUE!</v>
      </c>
    </row>
    <row customHeight="true" ht="18.51851851851852" r="240">
      <c r="A240" s="161" t="s">
        <v>732</v>
      </c>
      <c r="B240" s="161" t="s">
        <v>730</v>
      </c>
      <c r="C240" s="183" t="s">
        <v>801</v>
      </c>
      <c r="D240" s="189" t="s">
        <v>802</v>
      </c>
      <c r="E240" s="186">
        <v>9.6</v>
      </c>
      <c r="F240" s="163">
        <v>13.99</v>
      </c>
      <c r="G240" s="164">
        <f t="shared" si="10"/>
      </c>
      <c r="H240" s="164">
        <f t="shared" si="74"/>
      </c>
      <c r="I240" s="164">
        <f t="shared" si="136"/>
      </c>
      <c r="J240" s="165">
        <f t="shared" si="217"/>
      </c>
      <c r="K240" s="166">
        <f t="shared" si="270"/>
      </c>
      <c r="L240" s="167">
        <f t="shared" si="341"/>
      </c>
      <c r="M240" s="164">
        <f t="shared" si="386"/>
      </c>
      <c r="N240" s="166">
        <f t="shared" si="431"/>
      </c>
      <c r="O240" s="166">
        <f t="shared" si="461"/>
      </c>
      <c r="P240" s="161">
        <v>48</v>
      </c>
      <c r="Q240" s="168">
        <v>8</v>
      </c>
      <c r="R240" s="169">
        <f t="shared" si="30"/>
      </c>
      <c r="S240" s="165">
        <f t="shared" si="527"/>
      </c>
      <c r="T240" s="169">
        <f t="shared" si="155"/>
      </c>
      <c r="U240" s="169">
        <v>0.01</v>
      </c>
      <c r="V240" s="169">
        <f t="shared" si="292"/>
      </c>
      <c r="W240" s="169">
        <f t="shared" si="363"/>
      </c>
      <c r="X240" s="170">
        <v>0.198</v>
      </c>
      <c r="Y240" s="171">
        <v>2.5</v>
      </c>
      <c r="Z240" s="171">
        <v>0</v>
      </c>
      <c r="AA240" s="171">
        <f t="shared" si="483"/>
      </c>
      <c r="AB240" s="166">
        <f t="shared" si="505"/>
      </c>
      <c r="AC240" s="166">
        <v>17.8</v>
      </c>
      <c r="AD240" s="172">
        <f t="shared" si="52"/>
      </c>
      <c r="AE240" s="168">
        <f t="shared" si="102"/>
      </c>
      <c r="AF240" s="169">
        <f t="shared" si="177"/>
      </c>
      <c r="AG240" s="169">
        <f t="shared" si="319"/>
      </c>
      <c r="AH240" s="168">
        <v>4</v>
      </c>
      <c r="AI240" s="169">
        <f t="shared" si="195"/>
      </c>
      <c r="AJ240" s="169"/>
      <c r="AK240" s="169"/>
      <c r="AL240" s="169"/>
      <c r="AM240" s="169"/>
      <c r="AN240" s="173"/>
      <c r="AO240" s="173"/>
      <c r="AP240" s="173"/>
      <c r="AQ240" s="173"/>
      <c r="AR240" s="173"/>
      <c r="AS240" s="173"/>
      <c r="AT240" s="173" t="s">
        <v>725</v>
      </c>
      <c r="AU240" s="173" t="s">
        <v>725</v>
      </c>
      <c r="AV240" s="173" t="s">
        <v>725</v>
      </c>
      <c r="AW240" s="173" t="s">
        <v>725</v>
      </c>
      <c r="AX240" s="173" t="s">
        <v>725</v>
      </c>
      <c r="AY240" s="173" t="s">
        <v>725</v>
      </c>
      <c r="AZ240" s="173" t="s">
        <v>725</v>
      </c>
      <c r="BA240" s="173" t="s">
        <v>725</v>
      </c>
      <c r="BB240" s="173" t="s">
        <v>725</v>
      </c>
      <c r="BC240" s="173" t="s">
        <v>725</v>
      </c>
      <c r="BD240" s="173" t="s">
        <v>725</v>
      </c>
      <c r="BE240" s="173" t="s">
        <v>725</v>
      </c>
      <c r="BF240" s="173" t="s">
        <v>725</v>
      </c>
      <c r="BG240" s="173" t="s">
        <v>725</v>
      </c>
      <c r="BH240" s="173" t="s">
        <v>725</v>
      </c>
      <c r="BI240" s="173" t="s">
        <v>725</v>
      </c>
      <c r="BJ240" s="173" t="s">
        <v>725</v>
      </c>
      <c r="BK240" s="173" t="s">
        <v>725</v>
      </c>
      <c r="BL240" s="173" t="s">
        <v>725</v>
      </c>
      <c r="BM240" s="173" t="s">
        <v>725</v>
      </c>
      <c r="BN240" s="173" t="s">
        <v>725</v>
      </c>
      <c r="BO240" s="173" t="s">
        <v>725</v>
      </c>
      <c r="BP240" s="173" t="s">
        <v>725</v>
      </c>
      <c r="BQ240" s="173" t="s">
        <v>725</v>
      </c>
      <c r="BR240" s="174"/>
      <c r="BS240" s="161" t="str">
        <v>#VALUE!</v>
      </c>
    </row>
    <row customHeight="true" ht="18.51851851851852" r="241">
      <c r="A241" s="161" t="s">
        <v>732</v>
      </c>
      <c r="B241" s="161" t="s">
        <v>730</v>
      </c>
      <c r="C241" s="183" t="s">
        <v>801</v>
      </c>
      <c r="D241" s="189" t="s">
        <v>803</v>
      </c>
      <c r="E241" s="186">
        <v>9.6</v>
      </c>
      <c r="F241" s="163">
        <v>13.99</v>
      </c>
      <c r="G241" s="164">
        <f t="shared" si="10"/>
      </c>
      <c r="H241" s="164">
        <f t="shared" si="74"/>
      </c>
      <c r="I241" s="175">
        <f t="shared" si="136"/>
      </c>
      <c r="J241" s="165">
        <f t="shared" si="217"/>
      </c>
      <c r="K241" s="166">
        <f t="shared" si="270"/>
      </c>
      <c r="L241" s="167">
        <f t="shared" si="341"/>
      </c>
      <c r="M241" s="164">
        <f t="shared" si="386"/>
      </c>
      <c r="N241" s="166">
        <f t="shared" si="431"/>
      </c>
      <c r="O241" s="166">
        <f t="shared" si="461"/>
      </c>
      <c r="P241" s="161">
        <v>48</v>
      </c>
      <c r="Q241" s="168">
        <v>8</v>
      </c>
      <c r="R241" s="169">
        <f t="shared" si="30"/>
      </c>
      <c r="S241" s="165">
        <f t="shared" si="527"/>
      </c>
      <c r="T241" s="169">
        <f t="shared" si="155"/>
      </c>
      <c r="U241" s="169">
        <v>0.01</v>
      </c>
      <c r="V241" s="169">
        <f t="shared" si="292"/>
      </c>
      <c r="W241" s="169">
        <f t="shared" si="363"/>
      </c>
      <c r="X241" s="170">
        <v>0.198</v>
      </c>
      <c r="Y241" s="171">
        <v>2.5</v>
      </c>
      <c r="Z241" s="171">
        <f>F241*0.1</f>
      </c>
      <c r="AA241" s="171">
        <f t="shared" si="483"/>
      </c>
      <c r="AB241" s="166">
        <f t="shared" si="505"/>
      </c>
      <c r="AC241" s="166">
        <v>17.8</v>
      </c>
      <c r="AD241" s="172">
        <f t="shared" si="52"/>
      </c>
      <c r="AE241" s="168">
        <f t="shared" si="102"/>
      </c>
      <c r="AF241" s="169">
        <f t="shared" si="177"/>
      </c>
      <c r="AG241" s="169">
        <f t="shared" si="319"/>
      </c>
      <c r="AH241" s="168">
        <v>4</v>
      </c>
      <c r="AI241" s="169">
        <f t="shared" si="195"/>
      </c>
      <c r="AJ241" s="169"/>
      <c r="AK241" s="169"/>
      <c r="AL241" s="169"/>
      <c r="AM241" s="169"/>
      <c r="AN241" s="173"/>
      <c r="AO241" s="173"/>
      <c r="AP241" s="173"/>
      <c r="AQ241" s="173"/>
      <c r="AR241" s="173"/>
      <c r="AS241" s="173"/>
      <c r="AT241" s="173" t="s">
        <v>725</v>
      </c>
      <c r="AU241" s="173" t="s">
        <v>725</v>
      </c>
      <c r="AV241" s="173" t="s">
        <v>725</v>
      </c>
      <c r="AW241" s="173" t="s">
        <v>725</v>
      </c>
      <c r="AX241" s="173" t="s">
        <v>725</v>
      </c>
      <c r="AY241" s="173" t="s">
        <v>725</v>
      </c>
      <c r="AZ241" s="173" t="s">
        <v>725</v>
      </c>
      <c r="BA241" s="173" t="s">
        <v>725</v>
      </c>
      <c r="BB241" s="173" t="s">
        <v>725</v>
      </c>
      <c r="BC241" s="173" t="s">
        <v>725</v>
      </c>
      <c r="BD241" s="173" t="s">
        <v>725</v>
      </c>
      <c r="BE241" s="173" t="s">
        <v>725</v>
      </c>
      <c r="BF241" s="173" t="s">
        <v>725</v>
      </c>
      <c r="BG241" s="173" t="s">
        <v>725</v>
      </c>
      <c r="BH241" s="173" t="s">
        <v>725</v>
      </c>
      <c r="BI241" s="173" t="s">
        <v>725</v>
      </c>
      <c r="BJ241" s="173" t="s">
        <v>725</v>
      </c>
      <c r="BK241" s="173" t="s">
        <v>725</v>
      </c>
      <c r="BL241" s="173" t="s">
        <v>725</v>
      </c>
      <c r="BM241" s="173" t="s">
        <v>725</v>
      </c>
      <c r="BN241" s="173" t="s">
        <v>725</v>
      </c>
      <c r="BO241" s="173" t="s">
        <v>725</v>
      </c>
      <c r="BP241" s="173" t="s">
        <v>725</v>
      </c>
      <c r="BQ241" s="173" t="s">
        <v>725</v>
      </c>
      <c r="BR241" s="174"/>
      <c r="BS241" s="161" t="str">
        <v>#VALUE!</v>
      </c>
    </row>
    <row customHeight="true" ht="18.51851851851852" r="242">
      <c r="A242" s="161" t="s">
        <v>732</v>
      </c>
      <c r="B242" s="161" t="s">
        <v>730</v>
      </c>
      <c r="C242" s="183" t="s">
        <v>801</v>
      </c>
      <c r="D242" s="189" t="s">
        <v>804</v>
      </c>
      <c r="E242" s="186">
        <v>9.6</v>
      </c>
      <c r="F242" s="163">
        <v>13.99</v>
      </c>
      <c r="G242" s="164">
        <f t="shared" si="10"/>
      </c>
      <c r="H242" s="164">
        <f t="shared" si="74"/>
      </c>
      <c r="I242" s="164">
        <f t="shared" si="136"/>
      </c>
      <c r="J242" s="165">
        <f t="shared" si="217"/>
      </c>
      <c r="K242" s="166">
        <f t="shared" si="270"/>
      </c>
      <c r="L242" s="167">
        <f t="shared" si="341"/>
      </c>
      <c r="M242" s="164">
        <f t="shared" si="386"/>
      </c>
      <c r="N242" s="166">
        <f t="shared" si="431"/>
      </c>
      <c r="O242" s="166">
        <f t="shared" si="461"/>
      </c>
      <c r="P242" s="161">
        <v>48</v>
      </c>
      <c r="Q242" s="168">
        <v>8</v>
      </c>
      <c r="R242" s="169">
        <f t="shared" si="30"/>
      </c>
      <c r="S242" s="165">
        <f t="shared" si="527"/>
      </c>
      <c r="T242" s="169">
        <f t="shared" si="155"/>
      </c>
      <c r="U242" s="169">
        <v>0.01</v>
      </c>
      <c r="V242" s="169">
        <f t="shared" si="292"/>
      </c>
      <c r="W242" s="169">
        <f t="shared" si="363"/>
      </c>
      <c r="X242" s="170">
        <v>0.198</v>
      </c>
      <c r="Y242" s="171">
        <v>2.5</v>
      </c>
      <c r="Z242" s="171">
        <f>F242*0.15</f>
      </c>
      <c r="AA242" s="171">
        <f t="shared" si="483"/>
      </c>
      <c r="AB242" s="166">
        <f t="shared" si="505"/>
      </c>
      <c r="AC242" s="166">
        <v>17.8</v>
      </c>
      <c r="AD242" s="172">
        <f t="shared" si="52"/>
      </c>
      <c r="AE242" s="168">
        <f t="shared" si="102"/>
      </c>
      <c r="AF242" s="169">
        <f t="shared" si="177"/>
      </c>
      <c r="AG242" s="169">
        <f t="shared" si="319"/>
      </c>
      <c r="AH242" s="168">
        <v>4</v>
      </c>
      <c r="AI242" s="169">
        <f t="shared" si="195"/>
      </c>
      <c r="AJ242" s="169"/>
      <c r="AK242" s="169"/>
      <c r="AL242" s="169"/>
      <c r="AM242" s="169"/>
      <c r="AN242" s="173"/>
      <c r="AO242" s="173"/>
      <c r="AP242" s="173"/>
      <c r="AQ242" s="173"/>
      <c r="AR242" s="173"/>
      <c r="AS242" s="173"/>
      <c r="AT242" s="173" t="s">
        <v>725</v>
      </c>
      <c r="AU242" s="173" t="s">
        <v>725</v>
      </c>
      <c r="AV242" s="173" t="s">
        <v>725</v>
      </c>
      <c r="AW242" s="173" t="s">
        <v>725</v>
      </c>
      <c r="AX242" s="173" t="s">
        <v>725</v>
      </c>
      <c r="AY242" s="173" t="s">
        <v>725</v>
      </c>
      <c r="AZ242" s="173" t="s">
        <v>725</v>
      </c>
      <c r="BA242" s="173" t="s">
        <v>725</v>
      </c>
      <c r="BB242" s="173" t="s">
        <v>725</v>
      </c>
      <c r="BC242" s="173" t="s">
        <v>725</v>
      </c>
      <c r="BD242" s="173" t="s">
        <v>725</v>
      </c>
      <c r="BE242" s="173" t="s">
        <v>725</v>
      </c>
      <c r="BF242" s="173" t="s">
        <v>725</v>
      </c>
      <c r="BG242" s="173" t="s">
        <v>725</v>
      </c>
      <c r="BH242" s="173" t="s">
        <v>725</v>
      </c>
      <c r="BI242" s="173" t="s">
        <v>725</v>
      </c>
      <c r="BJ242" s="173" t="s">
        <v>725</v>
      </c>
      <c r="BK242" s="173" t="s">
        <v>725</v>
      </c>
      <c r="BL242" s="173" t="s">
        <v>725</v>
      </c>
      <c r="BM242" s="173" t="s">
        <v>725</v>
      </c>
      <c r="BN242" s="173" t="s">
        <v>725</v>
      </c>
      <c r="BO242" s="173" t="s">
        <v>725</v>
      </c>
      <c r="BP242" s="173" t="s">
        <v>725</v>
      </c>
      <c r="BQ242" s="173" t="s">
        <v>725</v>
      </c>
      <c r="BR242" s="174"/>
      <c r="BS242" s="161" t="str">
        <v>#VALUE!</v>
      </c>
    </row>
    <row customHeight="true" ht="18.51851851851852" r="243">
      <c r="A243" s="161" t="s">
        <v>733</v>
      </c>
      <c r="B243" s="161" t="s">
        <v>730</v>
      </c>
      <c r="C243" s="183" t="s">
        <v>801</v>
      </c>
      <c r="D243" s="189" t="s">
        <v>802</v>
      </c>
      <c r="E243" s="186">
        <v>9.6</v>
      </c>
      <c r="F243" s="163">
        <v>13.99</v>
      </c>
      <c r="G243" s="164">
        <f t="shared" si="10"/>
      </c>
      <c r="H243" s="164">
        <f t="shared" si="74"/>
      </c>
      <c r="I243" s="164">
        <f t="shared" si="136"/>
      </c>
      <c r="J243" s="165">
        <f t="shared" si="217"/>
      </c>
      <c r="K243" s="166">
        <f t="shared" si="270"/>
      </c>
      <c r="L243" s="167">
        <f t="shared" si="341"/>
      </c>
      <c r="M243" s="164">
        <f t="shared" si="386"/>
      </c>
      <c r="N243" s="166">
        <f t="shared" si="431"/>
      </c>
      <c r="O243" s="166">
        <f t="shared" si="461"/>
      </c>
      <c r="P243" s="161">
        <v>48</v>
      </c>
      <c r="Q243" s="168">
        <v>8</v>
      </c>
      <c r="R243" s="169">
        <f t="shared" si="30"/>
      </c>
      <c r="S243" s="165">
        <f t="shared" si="527"/>
      </c>
      <c r="T243" s="169">
        <f t="shared" si="155"/>
      </c>
      <c r="U243" s="169">
        <v>0.01</v>
      </c>
      <c r="V243" s="169">
        <f t="shared" si="292"/>
      </c>
      <c r="W243" s="169">
        <f t="shared" si="363"/>
      </c>
      <c r="X243" s="170">
        <v>0.1846</v>
      </c>
      <c r="Y243" s="171">
        <v>2.5</v>
      </c>
      <c r="Z243" s="171">
        <v>0</v>
      </c>
      <c r="AA243" s="171">
        <f t="shared" si="483"/>
      </c>
      <c r="AB243" s="166">
        <f t="shared" si="505"/>
      </c>
      <c r="AC243" s="166">
        <v>17.8</v>
      </c>
      <c r="AD243" s="172">
        <f t="shared" si="52"/>
      </c>
      <c r="AE243" s="168">
        <f t="shared" si="102"/>
      </c>
      <c r="AF243" s="169">
        <f t="shared" si="177"/>
      </c>
      <c r="AG243" s="169">
        <f t="shared" si="319"/>
      </c>
      <c r="AH243" s="168">
        <v>4</v>
      </c>
      <c r="AI243" s="165">
        <f t="shared" si="195"/>
      </c>
      <c r="AJ243" s="165"/>
      <c r="AK243" s="165"/>
      <c r="AL243" s="165"/>
      <c r="AM243" s="165"/>
      <c r="AN243" s="173"/>
      <c r="AO243" s="173"/>
      <c r="AP243" s="173"/>
      <c r="AQ243" s="173"/>
      <c r="AR243" s="173"/>
      <c r="AS243" s="173"/>
      <c r="AT243" s="173" t="s">
        <v>725</v>
      </c>
      <c r="AU243" s="173" t="s">
        <v>725</v>
      </c>
      <c r="AV243" s="173" t="s">
        <v>725</v>
      </c>
      <c r="AW243" s="173" t="s">
        <v>725</v>
      </c>
      <c r="AX243" s="173" t="s">
        <v>725</v>
      </c>
      <c r="AY243" s="173" t="s">
        <v>725</v>
      </c>
      <c r="AZ243" s="173" t="s">
        <v>725</v>
      </c>
      <c r="BA243" s="173" t="s">
        <v>725</v>
      </c>
      <c r="BB243" s="173" t="s">
        <v>725</v>
      </c>
      <c r="BC243" s="173" t="s">
        <v>725</v>
      </c>
      <c r="BD243" s="173" t="s">
        <v>725</v>
      </c>
      <c r="BE243" s="173" t="s">
        <v>725</v>
      </c>
      <c r="BF243" s="173" t="s">
        <v>725</v>
      </c>
      <c r="BG243" s="173" t="s">
        <v>725</v>
      </c>
      <c r="BH243" s="173" t="s">
        <v>725</v>
      </c>
      <c r="BI243" s="173" t="s">
        <v>725</v>
      </c>
      <c r="BJ243" s="173" t="s">
        <v>725</v>
      </c>
      <c r="BK243" s="173" t="s">
        <v>725</v>
      </c>
      <c r="BL243" s="173" t="s">
        <v>725</v>
      </c>
      <c r="BM243" s="173" t="s">
        <v>725</v>
      </c>
      <c r="BN243" s="173" t="s">
        <v>725</v>
      </c>
      <c r="BO243" s="173" t="s">
        <v>725</v>
      </c>
      <c r="BP243" s="173" t="s">
        <v>725</v>
      </c>
      <c r="BQ243" s="173" t="s">
        <v>725</v>
      </c>
      <c r="BR243" s="174"/>
      <c r="BS243" s="161" t="str">
        <v>#VALUE!</v>
      </c>
    </row>
    <row customHeight="true" ht="18.51851851851852" r="244">
      <c r="A244" s="161" t="s">
        <v>733</v>
      </c>
      <c r="B244" s="161" t="s">
        <v>730</v>
      </c>
      <c r="C244" s="183" t="s">
        <v>801</v>
      </c>
      <c r="D244" s="189" t="s">
        <v>803</v>
      </c>
      <c r="E244" s="186">
        <v>9.6</v>
      </c>
      <c r="F244" s="163">
        <v>13.99</v>
      </c>
      <c r="G244" s="164">
        <f t="shared" si="10"/>
      </c>
      <c r="H244" s="164">
        <f t="shared" si="74"/>
      </c>
      <c r="I244" s="175">
        <f t="shared" si="136"/>
      </c>
      <c r="J244" s="165">
        <f t="shared" si="217"/>
      </c>
      <c r="K244" s="166">
        <f t="shared" si="270"/>
      </c>
      <c r="L244" s="167">
        <f t="shared" si="341"/>
      </c>
      <c r="M244" s="164">
        <f t="shared" si="386"/>
      </c>
      <c r="N244" s="166">
        <f t="shared" si="431"/>
      </c>
      <c r="O244" s="166">
        <f t="shared" si="461"/>
      </c>
      <c r="P244" s="161">
        <v>48</v>
      </c>
      <c r="Q244" s="168">
        <v>8</v>
      </c>
      <c r="R244" s="169">
        <f t="shared" si="30"/>
      </c>
      <c r="S244" s="165">
        <f t="shared" si="527"/>
      </c>
      <c r="T244" s="169">
        <f t="shared" si="155"/>
      </c>
      <c r="U244" s="169">
        <v>0.01</v>
      </c>
      <c r="V244" s="169">
        <f t="shared" si="292"/>
      </c>
      <c r="W244" s="169">
        <f t="shared" si="363"/>
      </c>
      <c r="X244" s="170">
        <v>0.1846</v>
      </c>
      <c r="Y244" s="171">
        <v>2.5</v>
      </c>
      <c r="Z244" s="171">
        <f>F244*0.1</f>
      </c>
      <c r="AA244" s="171">
        <f t="shared" si="483"/>
      </c>
      <c r="AB244" s="166">
        <f t="shared" si="505"/>
      </c>
      <c r="AC244" s="166">
        <v>17.8</v>
      </c>
      <c r="AD244" s="172">
        <f t="shared" si="52"/>
      </c>
      <c r="AE244" s="168">
        <f t="shared" si="102"/>
      </c>
      <c r="AF244" s="169">
        <f t="shared" si="177"/>
      </c>
      <c r="AG244" s="169">
        <f t="shared" si="319"/>
      </c>
      <c r="AH244" s="168">
        <v>4</v>
      </c>
      <c r="AI244" s="165">
        <f t="shared" si="195"/>
      </c>
      <c r="AJ244" s="165"/>
      <c r="AK244" s="165"/>
      <c r="AL244" s="165"/>
      <c r="AM244" s="165"/>
      <c r="AN244" s="173"/>
      <c r="AO244" s="173"/>
      <c r="AP244" s="173"/>
      <c r="AQ244" s="173"/>
      <c r="AR244" s="173"/>
      <c r="AS244" s="173"/>
      <c r="AT244" s="173" t="s">
        <v>725</v>
      </c>
      <c r="AU244" s="173" t="s">
        <v>725</v>
      </c>
      <c r="AV244" s="173" t="s">
        <v>725</v>
      </c>
      <c r="AW244" s="173" t="s">
        <v>725</v>
      </c>
      <c r="AX244" s="173" t="s">
        <v>725</v>
      </c>
      <c r="AY244" s="173" t="s">
        <v>725</v>
      </c>
      <c r="AZ244" s="173" t="s">
        <v>725</v>
      </c>
      <c r="BA244" s="173" t="s">
        <v>725</v>
      </c>
      <c r="BB244" s="173" t="s">
        <v>725</v>
      </c>
      <c r="BC244" s="173" t="s">
        <v>725</v>
      </c>
      <c r="BD244" s="173" t="s">
        <v>725</v>
      </c>
      <c r="BE244" s="173" t="s">
        <v>725</v>
      </c>
      <c r="BF244" s="173" t="s">
        <v>725</v>
      </c>
      <c r="BG244" s="173" t="s">
        <v>725</v>
      </c>
      <c r="BH244" s="173" t="s">
        <v>725</v>
      </c>
      <c r="BI244" s="173" t="s">
        <v>725</v>
      </c>
      <c r="BJ244" s="173" t="s">
        <v>725</v>
      </c>
      <c r="BK244" s="173" t="s">
        <v>725</v>
      </c>
      <c r="BL244" s="173" t="s">
        <v>725</v>
      </c>
      <c r="BM244" s="173" t="s">
        <v>725</v>
      </c>
      <c r="BN244" s="173" t="s">
        <v>725</v>
      </c>
      <c r="BO244" s="173" t="s">
        <v>725</v>
      </c>
      <c r="BP244" s="173" t="s">
        <v>725</v>
      </c>
      <c r="BQ244" s="173" t="s">
        <v>725</v>
      </c>
      <c r="BR244" s="174"/>
      <c r="BS244" s="161" t="str">
        <v>#VALUE!</v>
      </c>
    </row>
    <row customHeight="true" ht="18.51851851851852" r="245">
      <c r="A245" s="161" t="s">
        <v>733</v>
      </c>
      <c r="B245" s="161" t="s">
        <v>730</v>
      </c>
      <c r="C245" s="183" t="s">
        <v>801</v>
      </c>
      <c r="D245" s="189" t="s">
        <v>804</v>
      </c>
      <c r="E245" s="186">
        <v>9.6</v>
      </c>
      <c r="F245" s="163">
        <v>13.99</v>
      </c>
      <c r="G245" s="164">
        <f t="shared" si="10"/>
      </c>
      <c r="H245" s="164">
        <f t="shared" si="74"/>
      </c>
      <c r="I245" s="164">
        <f t="shared" si="136"/>
      </c>
      <c r="J245" s="165">
        <f t="shared" si="217"/>
      </c>
      <c r="K245" s="166">
        <f t="shared" si="270"/>
      </c>
      <c r="L245" s="167">
        <f t="shared" si="341"/>
      </c>
      <c r="M245" s="164">
        <f t="shared" si="386"/>
      </c>
      <c r="N245" s="166">
        <f t="shared" si="431"/>
      </c>
      <c r="O245" s="166">
        <f t="shared" si="461"/>
      </c>
      <c r="P245" s="161">
        <v>48</v>
      </c>
      <c r="Q245" s="168">
        <v>8</v>
      </c>
      <c r="R245" s="169">
        <f t="shared" si="30"/>
      </c>
      <c r="S245" s="165">
        <f t="shared" si="527"/>
      </c>
      <c r="T245" s="169">
        <f t="shared" si="155"/>
      </c>
      <c r="U245" s="169">
        <v>0.01</v>
      </c>
      <c r="V245" s="169">
        <f t="shared" si="292"/>
      </c>
      <c r="W245" s="169">
        <f t="shared" si="363"/>
      </c>
      <c r="X245" s="170">
        <v>0.1846</v>
      </c>
      <c r="Y245" s="171">
        <v>2.5</v>
      </c>
      <c r="Z245" s="171">
        <f>F245*0.15</f>
      </c>
      <c r="AA245" s="171">
        <f t="shared" si="483"/>
      </c>
      <c r="AB245" s="166">
        <f t="shared" si="505"/>
      </c>
      <c r="AC245" s="166">
        <v>17.8</v>
      </c>
      <c r="AD245" s="172">
        <f t="shared" si="52"/>
      </c>
      <c r="AE245" s="168">
        <f t="shared" si="102"/>
      </c>
      <c r="AF245" s="169">
        <f t="shared" si="177"/>
      </c>
      <c r="AG245" s="169">
        <f t="shared" si="319"/>
      </c>
      <c r="AH245" s="168">
        <v>4</v>
      </c>
      <c r="AI245" s="165">
        <f t="shared" si="195"/>
      </c>
      <c r="AJ245" s="165"/>
      <c r="AK245" s="165"/>
      <c r="AL245" s="165"/>
      <c r="AM245" s="165"/>
      <c r="AN245" s="173"/>
      <c r="AO245" s="173"/>
      <c r="AP245" s="173"/>
      <c r="AQ245" s="173"/>
      <c r="AR245" s="173"/>
      <c r="AS245" s="173"/>
      <c r="AT245" s="173" t="s">
        <v>725</v>
      </c>
      <c r="AU245" s="173" t="s">
        <v>725</v>
      </c>
      <c r="AV245" s="173" t="s">
        <v>725</v>
      </c>
      <c r="AW245" s="173" t="s">
        <v>725</v>
      </c>
      <c r="AX245" s="173" t="s">
        <v>725</v>
      </c>
      <c r="AY245" s="173" t="s">
        <v>725</v>
      </c>
      <c r="AZ245" s="173" t="s">
        <v>725</v>
      </c>
      <c r="BA245" s="173" t="s">
        <v>725</v>
      </c>
      <c r="BB245" s="173" t="s">
        <v>725</v>
      </c>
      <c r="BC245" s="173" t="s">
        <v>725</v>
      </c>
      <c r="BD245" s="173" t="s">
        <v>725</v>
      </c>
      <c r="BE245" s="173" t="s">
        <v>725</v>
      </c>
      <c r="BF245" s="173" t="s">
        <v>725</v>
      </c>
      <c r="BG245" s="173" t="s">
        <v>725</v>
      </c>
      <c r="BH245" s="173" t="s">
        <v>725</v>
      </c>
      <c r="BI245" s="173" t="s">
        <v>725</v>
      </c>
      <c r="BJ245" s="173" t="s">
        <v>725</v>
      </c>
      <c r="BK245" s="173" t="s">
        <v>725</v>
      </c>
      <c r="BL245" s="173" t="s">
        <v>725</v>
      </c>
      <c r="BM245" s="173" t="s">
        <v>725</v>
      </c>
      <c r="BN245" s="173" t="s">
        <v>725</v>
      </c>
      <c r="BO245" s="173" t="s">
        <v>725</v>
      </c>
      <c r="BP245" s="173" t="s">
        <v>725</v>
      </c>
      <c r="BQ245" s="173" t="s">
        <v>725</v>
      </c>
      <c r="BR245" s="174"/>
      <c r="BS245" s="161" t="str">
        <v>#VALUE!</v>
      </c>
    </row>
    <row customHeight="true" ht="18.51851851851852" r="246">
      <c r="A246" s="161" t="s">
        <v>734</v>
      </c>
      <c r="B246" s="161" t="s">
        <v>730</v>
      </c>
      <c r="C246" s="183" t="s">
        <v>801</v>
      </c>
      <c r="D246" s="189" t="s">
        <v>802</v>
      </c>
      <c r="E246" s="186">
        <v>9.6</v>
      </c>
      <c r="F246" s="163">
        <v>13.99</v>
      </c>
      <c r="G246" s="164">
        <f t="shared" si="10"/>
      </c>
      <c r="H246" s="164">
        <f t="shared" si="74"/>
      </c>
      <c r="I246" s="164">
        <f t="shared" si="136"/>
      </c>
      <c r="J246" s="165">
        <f t="shared" si="217"/>
      </c>
      <c r="K246" s="166">
        <f t="shared" si="270"/>
      </c>
      <c r="L246" s="167">
        <f t="shared" si="341"/>
      </c>
      <c r="M246" s="164">
        <f t="shared" si="386"/>
      </c>
      <c r="N246" s="166">
        <f t="shared" si="431"/>
      </c>
      <c r="O246" s="166">
        <f t="shared" si="461"/>
      </c>
      <c r="P246" s="161">
        <v>48</v>
      </c>
      <c r="Q246" s="168">
        <v>8</v>
      </c>
      <c r="R246" s="169">
        <f t="shared" si="30"/>
      </c>
      <c r="S246" s="165">
        <f t="shared" si="527"/>
      </c>
      <c r="T246" s="169">
        <f t="shared" si="155"/>
      </c>
      <c r="U246" s="169">
        <v>0.01</v>
      </c>
      <c r="V246" s="169">
        <f t="shared" si="292"/>
      </c>
      <c r="W246" s="169">
        <f t="shared" si="363"/>
      </c>
      <c r="X246" s="170">
        <v>0.1646</v>
      </c>
      <c r="Y246" s="171">
        <v>2.5</v>
      </c>
      <c r="Z246" s="171">
        <v>0</v>
      </c>
      <c r="AA246" s="171">
        <f t="shared" si="483"/>
      </c>
      <c r="AB246" s="166">
        <f t="shared" si="505"/>
      </c>
      <c r="AC246" s="166">
        <v>17.8</v>
      </c>
      <c r="AD246" s="172">
        <f t="shared" si="52"/>
      </c>
      <c r="AE246" s="168">
        <f t="shared" si="102"/>
      </c>
      <c r="AF246" s="169">
        <f t="shared" si="177"/>
      </c>
      <c r="AG246" s="169">
        <f t="shared" si="319"/>
      </c>
      <c r="AH246" s="168">
        <v>4</v>
      </c>
      <c r="AI246" s="169">
        <f t="shared" si="195"/>
      </c>
      <c r="AJ246" s="169"/>
      <c r="AK246" s="169"/>
      <c r="AL246" s="169"/>
      <c r="AM246" s="169"/>
      <c r="AN246" s="173"/>
      <c r="AO246" s="173"/>
      <c r="AP246" s="173"/>
      <c r="AQ246" s="173"/>
      <c r="AR246" s="173"/>
      <c r="AS246" s="173"/>
      <c r="AT246" s="173" t="s">
        <v>725</v>
      </c>
      <c r="AU246" s="173" t="s">
        <v>725</v>
      </c>
      <c r="AV246" s="173" t="s">
        <v>725</v>
      </c>
      <c r="AW246" s="173" t="s">
        <v>725</v>
      </c>
      <c r="AX246" s="173" t="s">
        <v>725</v>
      </c>
      <c r="AY246" s="173" t="s">
        <v>725</v>
      </c>
      <c r="AZ246" s="173" t="s">
        <v>725</v>
      </c>
      <c r="BA246" s="173" t="s">
        <v>725</v>
      </c>
      <c r="BB246" s="173" t="s">
        <v>725</v>
      </c>
      <c r="BC246" s="173" t="s">
        <v>725</v>
      </c>
      <c r="BD246" s="173" t="s">
        <v>725</v>
      </c>
      <c r="BE246" s="173" t="s">
        <v>725</v>
      </c>
      <c r="BF246" s="173" t="s">
        <v>725</v>
      </c>
      <c r="BG246" s="173" t="s">
        <v>725</v>
      </c>
      <c r="BH246" s="173" t="s">
        <v>725</v>
      </c>
      <c r="BI246" s="173" t="s">
        <v>725</v>
      </c>
      <c r="BJ246" s="173" t="s">
        <v>725</v>
      </c>
      <c r="BK246" s="173" t="s">
        <v>725</v>
      </c>
      <c r="BL246" s="173" t="s">
        <v>725</v>
      </c>
      <c r="BM246" s="173" t="s">
        <v>725</v>
      </c>
      <c r="BN246" s="173" t="s">
        <v>725</v>
      </c>
      <c r="BO246" s="173" t="s">
        <v>725</v>
      </c>
      <c r="BP246" s="173" t="s">
        <v>725</v>
      </c>
      <c r="BQ246" s="173" t="s">
        <v>725</v>
      </c>
      <c r="BR246" s="174"/>
      <c r="BS246" s="161" t="str">
        <v>#VALUE!</v>
      </c>
    </row>
    <row customHeight="true" ht="18.51851851851852" r="247">
      <c r="A247" s="161" t="s">
        <v>734</v>
      </c>
      <c r="B247" s="161" t="s">
        <v>730</v>
      </c>
      <c r="C247" s="183" t="s">
        <v>801</v>
      </c>
      <c r="D247" s="189" t="s">
        <v>803</v>
      </c>
      <c r="E247" s="186">
        <v>9.6</v>
      </c>
      <c r="F247" s="163">
        <v>13.99</v>
      </c>
      <c r="G247" s="164">
        <f t="shared" si="10"/>
      </c>
      <c r="H247" s="164">
        <f t="shared" si="74"/>
      </c>
      <c r="I247" s="175">
        <f t="shared" si="136"/>
      </c>
      <c r="J247" s="165">
        <f t="shared" si="217"/>
      </c>
      <c r="K247" s="166">
        <f t="shared" si="270"/>
      </c>
      <c r="L247" s="167">
        <f t="shared" si="341"/>
      </c>
      <c r="M247" s="164">
        <f t="shared" si="386"/>
      </c>
      <c r="N247" s="166">
        <f t="shared" si="431"/>
      </c>
      <c r="O247" s="166">
        <f t="shared" si="461"/>
      </c>
      <c r="P247" s="161">
        <v>48</v>
      </c>
      <c r="Q247" s="168">
        <v>8</v>
      </c>
      <c r="R247" s="169">
        <f t="shared" si="30"/>
      </c>
      <c r="S247" s="165">
        <f t="shared" si="527"/>
      </c>
      <c r="T247" s="169">
        <f t="shared" si="155"/>
      </c>
      <c r="U247" s="169">
        <v>0.01</v>
      </c>
      <c r="V247" s="169">
        <f t="shared" si="292"/>
      </c>
      <c r="W247" s="169">
        <f t="shared" si="363"/>
      </c>
      <c r="X247" s="170">
        <v>0.1646</v>
      </c>
      <c r="Y247" s="171">
        <v>2.5</v>
      </c>
      <c r="Z247" s="171">
        <f>F247*0.1</f>
      </c>
      <c r="AA247" s="171">
        <f t="shared" si="483"/>
      </c>
      <c r="AB247" s="166">
        <f t="shared" si="505"/>
      </c>
      <c r="AC247" s="166">
        <v>17.8</v>
      </c>
      <c r="AD247" s="172">
        <f t="shared" si="52"/>
      </c>
      <c r="AE247" s="168">
        <f t="shared" si="102"/>
      </c>
      <c r="AF247" s="169">
        <f t="shared" si="177"/>
      </c>
      <c r="AG247" s="169">
        <f t="shared" si="319"/>
      </c>
      <c r="AH247" s="168">
        <v>4</v>
      </c>
      <c r="AI247" s="169">
        <f t="shared" si="195"/>
      </c>
      <c r="AJ247" s="169"/>
      <c r="AK247" s="169"/>
      <c r="AL247" s="169"/>
      <c r="AM247" s="169"/>
      <c r="AN247" s="173"/>
      <c r="AO247" s="173"/>
      <c r="AP247" s="173"/>
      <c r="AQ247" s="173"/>
      <c r="AR247" s="173"/>
      <c r="AS247" s="173"/>
      <c r="AT247" s="173" t="s">
        <v>725</v>
      </c>
      <c r="AU247" s="173" t="s">
        <v>725</v>
      </c>
      <c r="AV247" s="173" t="s">
        <v>725</v>
      </c>
      <c r="AW247" s="173" t="s">
        <v>725</v>
      </c>
      <c r="AX247" s="173" t="s">
        <v>725</v>
      </c>
      <c r="AY247" s="173" t="s">
        <v>725</v>
      </c>
      <c r="AZ247" s="173" t="s">
        <v>725</v>
      </c>
      <c r="BA247" s="173" t="s">
        <v>725</v>
      </c>
      <c r="BB247" s="173" t="s">
        <v>725</v>
      </c>
      <c r="BC247" s="173" t="s">
        <v>725</v>
      </c>
      <c r="BD247" s="173" t="s">
        <v>725</v>
      </c>
      <c r="BE247" s="173" t="s">
        <v>725</v>
      </c>
      <c r="BF247" s="173" t="s">
        <v>725</v>
      </c>
      <c r="BG247" s="173" t="s">
        <v>725</v>
      </c>
      <c r="BH247" s="173" t="s">
        <v>725</v>
      </c>
      <c r="BI247" s="173" t="s">
        <v>725</v>
      </c>
      <c r="BJ247" s="173" t="s">
        <v>725</v>
      </c>
      <c r="BK247" s="173" t="s">
        <v>725</v>
      </c>
      <c r="BL247" s="173" t="s">
        <v>725</v>
      </c>
      <c r="BM247" s="173" t="s">
        <v>725</v>
      </c>
      <c r="BN247" s="173" t="s">
        <v>725</v>
      </c>
      <c r="BO247" s="173" t="s">
        <v>725</v>
      </c>
      <c r="BP247" s="173" t="s">
        <v>725</v>
      </c>
      <c r="BQ247" s="173" t="s">
        <v>725</v>
      </c>
      <c r="BR247" s="174"/>
      <c r="BS247" s="161" t="str">
        <v>#VALUE!</v>
      </c>
    </row>
    <row customHeight="true" ht="18.51851851851852" r="248">
      <c r="A248" s="161" t="s">
        <v>734</v>
      </c>
      <c r="B248" s="161" t="s">
        <v>730</v>
      </c>
      <c r="C248" s="183" t="s">
        <v>801</v>
      </c>
      <c r="D248" s="189" t="s">
        <v>804</v>
      </c>
      <c r="E248" s="186">
        <v>9.6</v>
      </c>
      <c r="F248" s="163">
        <v>13.99</v>
      </c>
      <c r="G248" s="164">
        <f t="shared" si="10"/>
      </c>
      <c r="H248" s="164">
        <f t="shared" si="74"/>
      </c>
      <c r="I248" s="164">
        <f t="shared" si="136"/>
      </c>
      <c r="J248" s="165">
        <f t="shared" si="217"/>
      </c>
      <c r="K248" s="166">
        <f t="shared" si="270"/>
      </c>
      <c r="L248" s="167">
        <f t="shared" si="341"/>
      </c>
      <c r="M248" s="164">
        <f t="shared" si="386"/>
      </c>
      <c r="N248" s="166">
        <f t="shared" si="431"/>
      </c>
      <c r="O248" s="166">
        <f t="shared" si="461"/>
      </c>
      <c r="P248" s="161">
        <v>48</v>
      </c>
      <c r="Q248" s="168">
        <v>8</v>
      </c>
      <c r="R248" s="169">
        <f t="shared" si="30"/>
      </c>
      <c r="S248" s="165">
        <f t="shared" si="527"/>
      </c>
      <c r="T248" s="169">
        <f t="shared" si="155"/>
      </c>
      <c r="U248" s="169">
        <v>0.01</v>
      </c>
      <c r="V248" s="169">
        <f t="shared" si="292"/>
      </c>
      <c r="W248" s="169">
        <f t="shared" si="363"/>
      </c>
      <c r="X248" s="170">
        <v>0.1646</v>
      </c>
      <c r="Y248" s="171">
        <v>2.5</v>
      </c>
      <c r="Z248" s="171">
        <f>F248*0.15</f>
      </c>
      <c r="AA248" s="171">
        <f t="shared" si="483"/>
      </c>
      <c r="AB248" s="166">
        <f t="shared" si="505"/>
      </c>
      <c r="AC248" s="166">
        <v>17.8</v>
      </c>
      <c r="AD248" s="172">
        <f t="shared" si="52"/>
      </c>
      <c r="AE248" s="168">
        <f t="shared" si="102"/>
      </c>
      <c r="AF248" s="169">
        <f t="shared" si="177"/>
      </c>
      <c r="AG248" s="169">
        <f t="shared" si="319"/>
      </c>
      <c r="AH248" s="168">
        <v>4</v>
      </c>
      <c r="AI248" s="169">
        <f t="shared" si="195"/>
      </c>
      <c r="AJ248" s="169"/>
      <c r="AK248" s="169"/>
      <c r="AL248" s="169"/>
      <c r="AM248" s="169"/>
      <c r="AN248" s="173"/>
      <c r="AO248" s="173"/>
      <c r="AP248" s="173"/>
      <c r="AQ248" s="173"/>
      <c r="AR248" s="173"/>
      <c r="AS248" s="173"/>
      <c r="AT248" s="173" t="s">
        <v>725</v>
      </c>
      <c r="AU248" s="173" t="s">
        <v>725</v>
      </c>
      <c r="AV248" s="173" t="s">
        <v>725</v>
      </c>
      <c r="AW248" s="173" t="s">
        <v>725</v>
      </c>
      <c r="AX248" s="173" t="s">
        <v>725</v>
      </c>
      <c r="AY248" s="173" t="s">
        <v>725</v>
      </c>
      <c r="AZ248" s="173" t="s">
        <v>725</v>
      </c>
      <c r="BA248" s="173" t="s">
        <v>725</v>
      </c>
      <c r="BB248" s="173" t="s">
        <v>725</v>
      </c>
      <c r="BC248" s="173" t="s">
        <v>725</v>
      </c>
      <c r="BD248" s="173" t="s">
        <v>725</v>
      </c>
      <c r="BE248" s="173" t="s">
        <v>725</v>
      </c>
      <c r="BF248" s="173" t="s">
        <v>725</v>
      </c>
      <c r="BG248" s="173" t="s">
        <v>725</v>
      </c>
      <c r="BH248" s="173" t="s">
        <v>725</v>
      </c>
      <c r="BI248" s="173" t="s">
        <v>725</v>
      </c>
      <c r="BJ248" s="173" t="s">
        <v>725</v>
      </c>
      <c r="BK248" s="173" t="s">
        <v>725</v>
      </c>
      <c r="BL248" s="173" t="s">
        <v>725</v>
      </c>
      <c r="BM248" s="173" t="s">
        <v>725</v>
      </c>
      <c r="BN248" s="173" t="s">
        <v>725</v>
      </c>
      <c r="BO248" s="173" t="s">
        <v>725</v>
      </c>
      <c r="BP248" s="173" t="s">
        <v>725</v>
      </c>
      <c r="BQ248" s="173" t="s">
        <v>725</v>
      </c>
      <c r="BR248" s="174"/>
      <c r="BS248" s="161" t="str">
        <v>#VALUE!</v>
      </c>
    </row>
    <row customHeight="true" ht="18.51851851851852" r="249">
      <c r="A249" s="161" t="s">
        <v>735</v>
      </c>
      <c r="B249" s="161" t="s">
        <v>730</v>
      </c>
      <c r="C249" s="183" t="s">
        <v>801</v>
      </c>
      <c r="D249" s="178" t="s">
        <v>805</v>
      </c>
      <c r="E249" s="186">
        <v>10.3</v>
      </c>
      <c r="F249" s="163">
        <v>14.99</v>
      </c>
      <c r="G249" s="164">
        <f t="shared" si="10"/>
      </c>
      <c r="H249" s="164">
        <f t="shared" si="74"/>
      </c>
      <c r="I249" s="164">
        <f t="shared" si="136"/>
      </c>
      <c r="J249" s="165">
        <f t="shared" si="217"/>
      </c>
      <c r="K249" s="166">
        <f t="shared" si="270"/>
      </c>
      <c r="L249" s="167">
        <f t="shared" si="341"/>
      </c>
      <c r="M249" s="164">
        <f t="shared" si="386"/>
      </c>
      <c r="N249" s="166">
        <f t="shared" si="431"/>
      </c>
      <c r="O249" s="166">
        <f t="shared" si="461"/>
      </c>
      <c r="P249" s="161">
        <v>48</v>
      </c>
      <c r="Q249" s="168">
        <v>8</v>
      </c>
      <c r="R249" s="169">
        <f t="shared" si="30"/>
      </c>
      <c r="S249" s="165">
        <f t="shared" si="527"/>
      </c>
      <c r="T249" s="169">
        <f t="shared" si="155"/>
      </c>
      <c r="U249" s="169">
        <v>0.01</v>
      </c>
      <c r="V249" s="169">
        <f t="shared" si="292"/>
      </c>
      <c r="W249" s="169">
        <f t="shared" si="363"/>
      </c>
      <c r="X249" s="170">
        <v>0.158</v>
      </c>
      <c r="Y249" s="171">
        <v>2.5</v>
      </c>
      <c r="Z249" s="171">
        <f t="shared" ref="Z249:Z252" si="405">F249*0</f>
      </c>
      <c r="AA249" s="171">
        <f t="shared" si="483"/>
      </c>
      <c r="AB249" s="166">
        <f t="shared" si="505"/>
      </c>
      <c r="AC249" s="166">
        <v>17.8</v>
      </c>
      <c r="AD249" s="172">
        <f t="shared" si="52"/>
      </c>
      <c r="AE249" s="168">
        <f t="shared" si="102"/>
      </c>
      <c r="AF249" s="169">
        <f t="shared" si="177"/>
      </c>
      <c r="AG249" s="169">
        <f t="shared" si="319"/>
      </c>
      <c r="AH249" s="168">
        <v>4</v>
      </c>
      <c r="AI249" s="169">
        <f t="shared" si="195"/>
      </c>
      <c r="AJ249" s="173"/>
      <c r="AK249" s="173"/>
      <c r="AL249" s="173"/>
      <c r="AM249" s="173"/>
      <c r="AN249" s="173"/>
      <c r="AO249" s="173"/>
      <c r="AP249" s="173"/>
      <c r="AQ249" s="173"/>
      <c r="AR249" s="173"/>
      <c r="AS249" s="173"/>
      <c r="AT249" s="173" t="s">
        <v>725</v>
      </c>
      <c r="AU249" s="173" t="s">
        <v>725</v>
      </c>
      <c r="AV249" s="173" t="s">
        <v>725</v>
      </c>
      <c r="AW249" s="173" t="s">
        <v>725</v>
      </c>
      <c r="AX249" s="173" t="s">
        <v>725</v>
      </c>
      <c r="AY249" s="173" t="s">
        <v>725</v>
      </c>
      <c r="AZ249" s="173" t="s">
        <v>725</v>
      </c>
      <c r="BA249" s="173" t="s">
        <v>725</v>
      </c>
      <c r="BB249" s="173" t="s">
        <v>725</v>
      </c>
      <c r="BC249" s="173" t="s">
        <v>725</v>
      </c>
      <c r="BD249" s="173" t="s">
        <v>725</v>
      </c>
      <c r="BE249" s="173" t="s">
        <v>725</v>
      </c>
      <c r="BF249" s="173" t="s">
        <v>725</v>
      </c>
      <c r="BG249" s="173" t="s">
        <v>725</v>
      </c>
      <c r="BH249" s="173" t="s">
        <v>725</v>
      </c>
      <c r="BI249" s="173" t="s">
        <v>725</v>
      </c>
      <c r="BJ249" s="173" t="s">
        <v>725</v>
      </c>
      <c r="BK249" s="173" t="s">
        <v>725</v>
      </c>
      <c r="BL249" s="173" t="s">
        <v>725</v>
      </c>
      <c r="BM249" s="173" t="s">
        <v>725</v>
      </c>
      <c r="BN249" s="173" t="s">
        <v>725</v>
      </c>
      <c r="BO249" s="173" t="s">
        <v>725</v>
      </c>
      <c r="BP249" s="173" t="s">
        <v>725</v>
      </c>
      <c r="BQ249" s="173" t="s">
        <v>725</v>
      </c>
      <c r="BR249" s="180">
        <f t="shared" ref="BR249:BR252" si="246">IF(E249&lt;#REF!,1,0)</f>
      </c>
      <c r="BS249" s="161" t="str">
        <v>#VALUE!</v>
      </c>
    </row>
    <row customHeight="true" ht="18.51851851851852" r="250">
      <c r="A250" s="161" t="s">
        <v>737</v>
      </c>
      <c r="B250" s="161" t="s">
        <v>730</v>
      </c>
      <c r="C250" s="183" t="s">
        <v>801</v>
      </c>
      <c r="D250" s="178" t="s">
        <v>806</v>
      </c>
      <c r="E250" s="186">
        <v>11</v>
      </c>
      <c r="F250" s="163">
        <v>15.99</v>
      </c>
      <c r="G250" s="164">
        <f t="shared" si="10"/>
      </c>
      <c r="H250" s="164">
        <f t="shared" si="74"/>
      </c>
      <c r="I250" s="164">
        <f t="shared" si="136"/>
      </c>
      <c r="J250" s="165">
        <f t="shared" si="217"/>
      </c>
      <c r="K250" s="166">
        <f t="shared" si="270"/>
      </c>
      <c r="L250" s="167">
        <f t="shared" si="341"/>
      </c>
      <c r="M250" s="164">
        <f t="shared" si="386"/>
      </c>
      <c r="N250" s="166">
        <f t="shared" si="431"/>
      </c>
      <c r="O250" s="166">
        <f t="shared" si="461"/>
      </c>
      <c r="P250" s="161">
        <v>48</v>
      </c>
      <c r="Q250" s="168">
        <v>8</v>
      </c>
      <c r="R250" s="169">
        <f t="shared" si="30"/>
      </c>
      <c r="S250" s="165">
        <f t="shared" si="527"/>
      </c>
      <c r="T250" s="169">
        <f t="shared" si="155"/>
      </c>
      <c r="U250" s="169">
        <v>0.01</v>
      </c>
      <c r="V250" s="169">
        <f t="shared" si="292"/>
      </c>
      <c r="W250" s="169">
        <f t="shared" si="363"/>
      </c>
      <c r="X250" s="170">
        <v>0.223</v>
      </c>
      <c r="Y250" s="171">
        <v>2.5</v>
      </c>
      <c r="Z250" s="171">
        <f t="shared" si="405"/>
      </c>
      <c r="AA250" s="171">
        <f t="shared" si="483"/>
      </c>
      <c r="AB250" s="166">
        <f t="shared" si="505"/>
      </c>
      <c r="AC250" s="166">
        <v>17.8</v>
      </c>
      <c r="AD250" s="172">
        <f t="shared" si="52"/>
      </c>
      <c r="AE250" s="168">
        <f t="shared" si="102"/>
      </c>
      <c r="AF250" s="169">
        <f t="shared" si="177"/>
      </c>
      <c r="AG250" s="169">
        <f t="shared" si="319"/>
      </c>
      <c r="AH250" s="168">
        <v>4</v>
      </c>
      <c r="AI250" s="169">
        <f t="shared" si="195"/>
      </c>
      <c r="AJ250" s="173"/>
      <c r="AK250" s="173"/>
      <c r="AL250" s="173"/>
      <c r="AM250" s="173"/>
      <c r="AN250" s="173"/>
      <c r="AO250" s="173"/>
      <c r="AP250" s="173"/>
      <c r="AQ250" s="173"/>
      <c r="AR250" s="173"/>
      <c r="AS250" s="173"/>
      <c r="AT250" s="173" t="s">
        <v>725</v>
      </c>
      <c r="AU250" s="173" t="s">
        <v>725</v>
      </c>
      <c r="AV250" s="173" t="s">
        <v>725</v>
      </c>
      <c r="AW250" s="173" t="s">
        <v>725</v>
      </c>
      <c r="AX250" s="173" t="s">
        <v>725</v>
      </c>
      <c r="AY250" s="173" t="s">
        <v>725</v>
      </c>
      <c r="AZ250" s="173" t="s">
        <v>725</v>
      </c>
      <c r="BA250" s="173" t="s">
        <v>725</v>
      </c>
      <c r="BB250" s="173" t="s">
        <v>725</v>
      </c>
      <c r="BC250" s="173" t="s">
        <v>725</v>
      </c>
      <c r="BD250" s="173" t="s">
        <v>725</v>
      </c>
      <c r="BE250" s="173" t="s">
        <v>725</v>
      </c>
      <c r="BF250" s="173" t="s">
        <v>725</v>
      </c>
      <c r="BG250" s="173" t="s">
        <v>725</v>
      </c>
      <c r="BH250" s="173" t="s">
        <v>725</v>
      </c>
      <c r="BI250" s="173" t="s">
        <v>725</v>
      </c>
      <c r="BJ250" s="173" t="s">
        <v>725</v>
      </c>
      <c r="BK250" s="173" t="s">
        <v>725</v>
      </c>
      <c r="BL250" s="173" t="s">
        <v>725</v>
      </c>
      <c r="BM250" s="173" t="s">
        <v>725</v>
      </c>
      <c r="BN250" s="173" t="s">
        <v>725</v>
      </c>
      <c r="BO250" s="173" t="s">
        <v>725</v>
      </c>
      <c r="BP250" s="173" t="s">
        <v>725</v>
      </c>
      <c r="BQ250" s="173" t="s">
        <v>725</v>
      </c>
      <c r="BR250" s="180">
        <f t="shared" si="246"/>
      </c>
      <c r="BS250" s="161" t="str">
        <v>#VALUE!</v>
      </c>
    </row>
    <row customHeight="true" ht="18.51851851851852" r="251">
      <c r="A251" s="161" t="s">
        <v>739</v>
      </c>
      <c r="B251" s="161" t="s">
        <v>730</v>
      </c>
      <c r="C251" s="183" t="s">
        <v>801</v>
      </c>
      <c r="D251" s="178" t="s">
        <v>807</v>
      </c>
      <c r="E251" s="186">
        <v>11</v>
      </c>
      <c r="F251" s="163">
        <v>15.99</v>
      </c>
      <c r="G251" s="164">
        <f t="shared" si="10"/>
      </c>
      <c r="H251" s="164">
        <f t="shared" si="74"/>
      </c>
      <c r="I251" s="164">
        <f t="shared" si="136"/>
      </c>
      <c r="J251" s="165">
        <f t="shared" si="217"/>
      </c>
      <c r="K251" s="166">
        <f t="shared" si="270"/>
      </c>
      <c r="L251" s="167">
        <f t="shared" si="341"/>
      </c>
      <c r="M251" s="164">
        <f t="shared" si="386"/>
      </c>
      <c r="N251" s="166">
        <f t="shared" si="431"/>
      </c>
      <c r="O251" s="166">
        <f t="shared" si="461"/>
      </c>
      <c r="P251" s="161">
        <v>48</v>
      </c>
      <c r="Q251" s="168">
        <v>8</v>
      </c>
      <c r="R251" s="169">
        <f t="shared" si="30"/>
      </c>
      <c r="S251" s="165">
        <f t="shared" si="527"/>
      </c>
      <c r="T251" s="169">
        <f t="shared" si="155"/>
      </c>
      <c r="U251" s="169">
        <v>0.01</v>
      </c>
      <c r="V251" s="169">
        <f t="shared" si="292"/>
      </c>
      <c r="W251" s="169">
        <f t="shared" si="363"/>
      </c>
      <c r="X251" s="170">
        <v>0.223</v>
      </c>
      <c r="Y251" s="171">
        <v>2.5</v>
      </c>
      <c r="Z251" s="171">
        <f t="shared" si="405"/>
      </c>
      <c r="AA251" s="171">
        <f t="shared" si="483"/>
      </c>
      <c r="AB251" s="166">
        <f t="shared" si="505"/>
      </c>
      <c r="AC251" s="166">
        <v>17.8</v>
      </c>
      <c r="AD251" s="172">
        <f t="shared" si="52"/>
      </c>
      <c r="AE251" s="168">
        <f t="shared" si="102"/>
      </c>
      <c r="AF251" s="169">
        <f t="shared" si="177"/>
      </c>
      <c r="AG251" s="169">
        <f t="shared" si="319"/>
      </c>
      <c r="AH251" s="168">
        <v>4</v>
      </c>
      <c r="AI251" s="169">
        <f t="shared" si="195"/>
      </c>
      <c r="AJ251" s="173"/>
      <c r="AK251" s="173"/>
      <c r="AL251" s="173"/>
      <c r="AM251" s="173"/>
      <c r="AN251" s="173"/>
      <c r="AO251" s="173"/>
      <c r="AP251" s="173"/>
      <c r="AQ251" s="173"/>
      <c r="AR251" s="173"/>
      <c r="AS251" s="173"/>
      <c r="AT251" s="173" t="s">
        <v>725</v>
      </c>
      <c r="AU251" s="173" t="s">
        <v>725</v>
      </c>
      <c r="AV251" s="173" t="s">
        <v>725</v>
      </c>
      <c r="AW251" s="173" t="s">
        <v>725</v>
      </c>
      <c r="AX251" s="173" t="s">
        <v>725</v>
      </c>
      <c r="AY251" s="173" t="s">
        <v>725</v>
      </c>
      <c r="AZ251" s="173" t="s">
        <v>725</v>
      </c>
      <c r="BA251" s="173" t="s">
        <v>725</v>
      </c>
      <c r="BB251" s="173" t="s">
        <v>725</v>
      </c>
      <c r="BC251" s="173" t="s">
        <v>725</v>
      </c>
      <c r="BD251" s="173" t="s">
        <v>725</v>
      </c>
      <c r="BE251" s="173" t="s">
        <v>725</v>
      </c>
      <c r="BF251" s="173" t="s">
        <v>725</v>
      </c>
      <c r="BG251" s="173" t="s">
        <v>725</v>
      </c>
      <c r="BH251" s="173" t="s">
        <v>725</v>
      </c>
      <c r="BI251" s="173" t="s">
        <v>725</v>
      </c>
      <c r="BJ251" s="173" t="s">
        <v>725</v>
      </c>
      <c r="BK251" s="173" t="s">
        <v>725</v>
      </c>
      <c r="BL251" s="173" t="s">
        <v>725</v>
      </c>
      <c r="BM251" s="173" t="s">
        <v>725</v>
      </c>
      <c r="BN251" s="173" t="s">
        <v>725</v>
      </c>
      <c r="BO251" s="173" t="s">
        <v>725</v>
      </c>
      <c r="BP251" s="173" t="s">
        <v>725</v>
      </c>
      <c r="BQ251" s="173" t="s">
        <v>725</v>
      </c>
      <c r="BR251" s="180">
        <f t="shared" si="246"/>
      </c>
      <c r="BS251" s="161" t="str">
        <v>#VALUE!</v>
      </c>
    </row>
    <row customHeight="true" ht="18.51851851851852" r="252">
      <c r="A252" s="161" t="s">
        <v>741</v>
      </c>
      <c r="B252" s="161" t="s">
        <v>730</v>
      </c>
      <c r="C252" s="183" t="s">
        <v>801</v>
      </c>
      <c r="D252" s="178" t="s">
        <v>808</v>
      </c>
      <c r="E252" s="186">
        <v>10.3</v>
      </c>
      <c r="F252" s="163">
        <v>14.99</v>
      </c>
      <c r="G252" s="164">
        <f t="shared" si="10"/>
      </c>
      <c r="H252" s="164">
        <f t="shared" si="74"/>
      </c>
      <c r="I252" s="164">
        <f t="shared" si="136"/>
      </c>
      <c r="J252" s="165">
        <f t="shared" si="217"/>
      </c>
      <c r="K252" s="166">
        <f t="shared" si="270"/>
      </c>
      <c r="L252" s="167">
        <f t="shared" si="341"/>
      </c>
      <c r="M252" s="164">
        <f t="shared" si="386"/>
      </c>
      <c r="N252" s="166">
        <f t="shared" si="431"/>
      </c>
      <c r="O252" s="166">
        <f t="shared" si="461"/>
      </c>
      <c r="P252" s="161">
        <v>48</v>
      </c>
      <c r="Q252" s="168">
        <v>8</v>
      </c>
      <c r="R252" s="169">
        <f t="shared" si="30"/>
      </c>
      <c r="S252" s="165">
        <f t="shared" si="527"/>
      </c>
      <c r="T252" s="169">
        <f t="shared" si="155"/>
      </c>
      <c r="U252" s="169">
        <v>0.01</v>
      </c>
      <c r="V252" s="169">
        <f t="shared" si="292"/>
      </c>
      <c r="W252" s="169">
        <f t="shared" si="363"/>
      </c>
      <c r="X252" s="170">
        <v>0.158</v>
      </c>
      <c r="Y252" s="171">
        <v>2.5</v>
      </c>
      <c r="Z252" s="171">
        <f t="shared" si="405"/>
      </c>
      <c r="AA252" s="171">
        <f t="shared" si="483"/>
      </c>
      <c r="AB252" s="166">
        <f t="shared" si="505"/>
      </c>
      <c r="AC252" s="166">
        <v>17.8</v>
      </c>
      <c r="AD252" s="172">
        <f t="shared" si="52"/>
      </c>
      <c r="AE252" s="168">
        <f t="shared" si="102"/>
      </c>
      <c r="AF252" s="169">
        <f t="shared" si="177"/>
      </c>
      <c r="AG252" s="169">
        <f t="shared" si="319"/>
      </c>
      <c r="AH252" s="168">
        <v>4</v>
      </c>
      <c r="AI252" s="169">
        <f t="shared" si="195"/>
      </c>
      <c r="AJ252" s="169"/>
      <c r="AK252" s="169"/>
      <c r="AL252" s="169"/>
      <c r="AM252" s="169"/>
      <c r="AN252" s="173"/>
      <c r="AO252" s="173"/>
      <c r="AP252" s="173"/>
      <c r="AQ252" s="173"/>
      <c r="AR252" s="173"/>
      <c r="AS252" s="173"/>
      <c r="AT252" s="173" t="s">
        <v>725</v>
      </c>
      <c r="AU252" s="173" t="s">
        <v>725</v>
      </c>
      <c r="AV252" s="173" t="s">
        <v>725</v>
      </c>
      <c r="AW252" s="173" t="s">
        <v>725</v>
      </c>
      <c r="AX252" s="173" t="s">
        <v>725</v>
      </c>
      <c r="AY252" s="173" t="s">
        <v>725</v>
      </c>
      <c r="AZ252" s="173" t="s">
        <v>725</v>
      </c>
      <c r="BA252" s="173" t="s">
        <v>725</v>
      </c>
      <c r="BB252" s="173" t="s">
        <v>725</v>
      </c>
      <c r="BC252" s="173" t="s">
        <v>725</v>
      </c>
      <c r="BD252" s="173" t="s">
        <v>725</v>
      </c>
      <c r="BE252" s="173" t="s">
        <v>725</v>
      </c>
      <c r="BF252" s="173" t="s">
        <v>725</v>
      </c>
      <c r="BG252" s="173" t="s">
        <v>725</v>
      </c>
      <c r="BH252" s="173" t="s">
        <v>725</v>
      </c>
      <c r="BI252" s="173" t="s">
        <v>725</v>
      </c>
      <c r="BJ252" s="173" t="s">
        <v>725</v>
      </c>
      <c r="BK252" s="173" t="s">
        <v>725</v>
      </c>
      <c r="BL252" s="173" t="s">
        <v>725</v>
      </c>
      <c r="BM252" s="173" t="s">
        <v>725</v>
      </c>
      <c r="BN252" s="173" t="s">
        <v>725</v>
      </c>
      <c r="BO252" s="173" t="s">
        <v>725</v>
      </c>
      <c r="BP252" s="173" t="s">
        <v>725</v>
      </c>
      <c r="BQ252" s="173" t="s">
        <v>725</v>
      </c>
      <c r="BR252" s="180">
        <f t="shared" si="246"/>
      </c>
      <c r="BS252" s="161" t="str">
        <v>#VALUE!</v>
      </c>
    </row>
    <row customHeight="true" ht="18.51851851851852" r="253">
      <c r="A253" s="161"/>
      <c r="B253" s="161"/>
      <c r="C253" s="183"/>
      <c r="D253" s="178"/>
      <c r="E253" s="186"/>
      <c r="F253" s="163"/>
      <c r="G253" s="164"/>
      <c r="H253" s="164"/>
      <c r="I253" s="164"/>
      <c r="J253" s="165"/>
      <c r="K253" s="166"/>
      <c r="L253" s="167"/>
      <c r="M253" s="164"/>
      <c r="N253" s="166"/>
      <c r="O253" s="166"/>
      <c r="P253" s="161"/>
      <c r="Q253" s="168"/>
      <c r="R253" s="169"/>
      <c r="S253" s="165"/>
      <c r="T253" s="169"/>
      <c r="U253" s="169"/>
      <c r="V253" s="169"/>
      <c r="W253" s="169"/>
      <c r="X253" s="170"/>
      <c r="Y253" s="171"/>
      <c r="Z253" s="171"/>
      <c r="AA253" s="171"/>
      <c r="AB253" s="166"/>
      <c r="AC253" s="166"/>
      <c r="AD253" s="172"/>
      <c r="AE253" s="168"/>
      <c r="AF253" s="169"/>
      <c r="AG253" s="169"/>
      <c r="AH253" s="168"/>
      <c r="AI253" s="169"/>
      <c r="AJ253" s="169"/>
      <c r="AK253" s="169"/>
      <c r="AL253" s="169"/>
      <c r="AM253" s="169"/>
      <c r="AN253" s="173"/>
      <c r="AO253" s="173"/>
      <c r="AP253" s="173"/>
      <c r="AQ253" s="173"/>
      <c r="AR253" s="173"/>
      <c r="AS253" s="173"/>
      <c r="AT253" s="173"/>
      <c r="AU253" s="173"/>
      <c r="AV253" s="173"/>
      <c r="AW253" s="173"/>
      <c r="AX253" s="173"/>
      <c r="AY253" s="173"/>
      <c r="AZ253" s="173"/>
      <c r="BA253" s="173"/>
      <c r="BB253" s="173"/>
      <c r="BC253" s="173"/>
      <c r="BD253" s="173"/>
      <c r="BE253" s="173"/>
      <c r="BF253" s="173"/>
      <c r="BG253" s="173"/>
      <c r="BH253" s="173"/>
      <c r="BI253" s="173"/>
      <c r="BJ253" s="173"/>
      <c r="BK253" s="173"/>
      <c r="BL253" s="173"/>
      <c r="BM253" s="173"/>
      <c r="BN253" s="173"/>
      <c r="BO253" s="173"/>
      <c r="BP253" s="173"/>
      <c r="BQ253" s="173"/>
      <c r="BR253" s="174"/>
      <c r="BS253" s="161"/>
    </row>
    <row customHeight="true" ht="18.51851851851852" r="254">
      <c r="A254" s="161" t="s">
        <v>721</v>
      </c>
      <c r="B254" s="161" t="s">
        <v>730</v>
      </c>
      <c r="C254" s="183" t="s">
        <v>809</v>
      </c>
      <c r="D254" s="189" t="s">
        <v>810</v>
      </c>
      <c r="E254" s="186">
        <v>11</v>
      </c>
      <c r="F254" s="163">
        <v>15.99</v>
      </c>
      <c r="G254" s="164">
        <f t="shared" ref="G254:G272" si="11">(F254-Z254)</f>
      </c>
      <c r="H254" s="164">
        <f t="shared" ref="H254:H272" si="75">(F254-Z254)/1.2</f>
      </c>
      <c r="I254" s="164">
        <f t="shared" ref="I254:I272" si="137">E254-N254/Q254-AB254-Y254-O254-Z254-AA254</f>
      </c>
      <c r="J254" s="165">
        <f t="shared" ref="J254:J272" si="218">I254/E254</f>
      </c>
      <c r="K254" s="166">
        <f t="shared" ref="K254:K272" si="271">F254/1.2</f>
      </c>
      <c r="L254" s="167">
        <f t="shared" ref="L254:L272" si="342">(K254-E254)/K254</f>
      </c>
      <c r="M254" s="164">
        <f t="shared" ref="M254:M272" si="387">F254/1.2-E254</f>
      </c>
      <c r="N254" s="166">
        <f>AD254+AH255</f>
      </c>
      <c r="O254" s="166">
        <f t="shared" ref="O254:O272" si="462">IFERROR(IF(A254="UK",8.95/P254,IF(A254="DE",7.75/P254,IF(A254="FR",14.25/P254,IF(A254="IT",15.25/P254,IF(A254="ES",19.25/P254,IF(A254="NL",16.75/P254,IF(A254="PL",14.05/P254,IF(A254="SE",18.25/P254,IF(A254="BE",14.25/P254))))))))),0)</f>
      </c>
      <c r="P254" s="161">
        <v>60</v>
      </c>
      <c r="Q254" s="168">
        <v>9</v>
      </c>
      <c r="R254" s="169">
        <f t="shared" ref="R254:R272" si="31">Y254/E254</f>
      </c>
      <c r="S254" s="165">
        <f t="shared" ref="S254:S272" si="528">Y254/F254</f>
      </c>
      <c r="T254" s="169">
        <f t="shared" ref="T254:T272" si="156">Z254/E254</f>
      </c>
      <c r="U254" s="169">
        <v>0.01</v>
      </c>
      <c r="V254" s="169">
        <f t="shared" ref="V254:V272" si="293">N254/(E254*Q254)</f>
      </c>
      <c r="W254" s="169">
        <f t="shared" ref="W254:W272" si="364">O254/E254</f>
      </c>
      <c r="X254" s="170">
        <v>0.158</v>
      </c>
      <c r="Y254" s="171">
        <v>3</v>
      </c>
      <c r="Z254" s="171">
        <v>0</v>
      </c>
      <c r="AA254" s="171">
        <f t="shared" ref="AA254:AA272" si="484">E254*U254</f>
      </c>
      <c r="AB254" s="166">
        <f t="shared" ref="AB254:AB272" si="506">E254*X254</f>
      </c>
      <c r="AC254" s="166">
        <v>24.5</v>
      </c>
      <c r="AD254" s="172">
        <f t="shared" ref="AD254:AD272" si="53">AC254/1.13</f>
      </c>
      <c r="AE254" s="168">
        <f>AH255/Q254</f>
      </c>
      <c r="AF254" s="169">
        <f t="shared" ref="AF254:AF272" si="178">AD254/(E254*Q254)</f>
      </c>
      <c r="AG254" s="169">
        <f t="shared" ref="AG254:AG272" si="320">AE254/Q254/E254</f>
      </c>
      <c r="AH254" s="168">
        <v>4</v>
      </c>
      <c r="AI254" s="169">
        <f t="shared" ref="AI254:AI272" si="196">(H254-E254+AB254)/H254</f>
      </c>
      <c r="AJ254" s="169"/>
      <c r="AK254" s="169"/>
      <c r="AL254" s="169"/>
      <c r="AM254" s="169"/>
      <c r="AN254" s="173"/>
      <c r="AO254" s="173"/>
      <c r="AP254" s="173"/>
      <c r="AQ254" s="173"/>
      <c r="AR254" s="173"/>
      <c r="AS254" s="173"/>
      <c r="AT254" s="173" t="s">
        <v>725</v>
      </c>
      <c r="AU254" s="173" t="s">
        <v>725</v>
      </c>
      <c r="AV254" s="173" t="s">
        <v>725</v>
      </c>
      <c r="AW254" s="173" t="s">
        <v>725</v>
      </c>
      <c r="AX254" s="173" t="s">
        <v>725</v>
      </c>
      <c r="AY254" s="173" t="s">
        <v>725</v>
      </c>
      <c r="AZ254" s="173" t="s">
        <v>725</v>
      </c>
      <c r="BA254" s="173" t="s">
        <v>725</v>
      </c>
      <c r="BB254" s="173" t="s">
        <v>725</v>
      </c>
      <c r="BC254" s="173" t="s">
        <v>725</v>
      </c>
      <c r="BD254" s="173" t="s">
        <v>725</v>
      </c>
      <c r="BE254" s="173" t="s">
        <v>725</v>
      </c>
      <c r="BF254" s="173" t="s">
        <v>725</v>
      </c>
      <c r="BG254" s="173" t="s">
        <v>725</v>
      </c>
      <c r="BH254" s="173" t="s">
        <v>725</v>
      </c>
      <c r="BI254" s="173" t="s">
        <v>725</v>
      </c>
      <c r="BJ254" s="173" t="s">
        <v>725</v>
      </c>
      <c r="BK254" s="173" t="s">
        <v>725</v>
      </c>
      <c r="BL254" s="173" t="s">
        <v>725</v>
      </c>
      <c r="BM254" s="173" t="s">
        <v>725</v>
      </c>
      <c r="BN254" s="173" t="s">
        <v>725</v>
      </c>
      <c r="BO254" s="173" t="s">
        <v>725</v>
      </c>
      <c r="BP254" s="173" t="s">
        <v>725</v>
      </c>
      <c r="BQ254" s="173" t="s">
        <v>725</v>
      </c>
      <c r="BR254" s="174"/>
      <c r="BS254" s="161" t="str">
        <v>#VALUE!</v>
      </c>
    </row>
    <row customHeight="true" ht="18.51851851851852" r="255">
      <c r="A255" s="161" t="s">
        <v>721</v>
      </c>
      <c r="B255" s="161" t="s">
        <v>730</v>
      </c>
      <c r="C255" s="183" t="s">
        <v>809</v>
      </c>
      <c r="D255" s="189" t="s">
        <v>811</v>
      </c>
      <c r="E255" s="186">
        <v>11</v>
      </c>
      <c r="F255" s="163">
        <v>15.99</v>
      </c>
      <c r="G255" s="164">
        <f t="shared" si="11"/>
      </c>
      <c r="H255" s="164">
        <f t="shared" si="75"/>
      </c>
      <c r="I255" s="175">
        <f t="shared" si="137"/>
      </c>
      <c r="J255" s="165">
        <f t="shared" si="218"/>
      </c>
      <c r="K255" s="166">
        <f t="shared" si="271"/>
      </c>
      <c r="L255" s="167">
        <f t="shared" si="342"/>
      </c>
      <c r="M255" s="164">
        <f t="shared" si="387"/>
      </c>
      <c r="N255" s="166">
        <f t="shared" ref="N255:N256" si="432">AD255+AH255</f>
      </c>
      <c r="O255" s="166">
        <f t="shared" si="462"/>
      </c>
      <c r="P255" s="161">
        <v>60</v>
      </c>
      <c r="Q255" s="168">
        <v>9</v>
      </c>
      <c r="R255" s="169">
        <f t="shared" si="31"/>
      </c>
      <c r="S255" s="165">
        <f t="shared" si="528"/>
      </c>
      <c r="T255" s="169">
        <f t="shared" si="156"/>
      </c>
      <c r="U255" s="169">
        <v>0.01</v>
      </c>
      <c r="V255" s="169">
        <f t="shared" si="293"/>
      </c>
      <c r="W255" s="169">
        <f t="shared" si="364"/>
      </c>
      <c r="X255" s="170">
        <v>0.158</v>
      </c>
      <c r="Y255" s="171">
        <v>3</v>
      </c>
      <c r="Z255" s="171">
        <f>F255*0.1</f>
      </c>
      <c r="AA255" s="171">
        <f t="shared" si="484"/>
      </c>
      <c r="AB255" s="166">
        <f t="shared" si="506"/>
      </c>
      <c r="AC255" s="166">
        <v>24.5</v>
      </c>
      <c r="AD255" s="172">
        <f t="shared" si="53"/>
      </c>
      <c r="AE255" s="168">
        <f t="shared" ref="AE255:AE256" si="103">AH255/Q255</f>
      </c>
      <c r="AF255" s="169">
        <f t="shared" si="178"/>
      </c>
      <c r="AG255" s="169">
        <f t="shared" si="320"/>
      </c>
      <c r="AH255" s="168">
        <v>4</v>
      </c>
      <c r="AI255" s="169">
        <f t="shared" si="196"/>
      </c>
      <c r="AJ255" s="169"/>
      <c r="AK255" s="169"/>
      <c r="AL255" s="169"/>
      <c r="AM255" s="169"/>
      <c r="AN255" s="173"/>
      <c r="AO255" s="173"/>
      <c r="AP255" s="173"/>
      <c r="AQ255" s="173"/>
      <c r="AR255" s="173"/>
      <c r="AS255" s="173"/>
      <c r="AT255" s="173" t="s">
        <v>725</v>
      </c>
      <c r="AU255" s="173" t="s">
        <v>725</v>
      </c>
      <c r="AV255" s="173" t="s">
        <v>725</v>
      </c>
      <c r="AW255" s="173" t="s">
        <v>725</v>
      </c>
      <c r="AX255" s="173" t="s">
        <v>725</v>
      </c>
      <c r="AY255" s="173" t="s">
        <v>725</v>
      </c>
      <c r="AZ255" s="173" t="s">
        <v>725</v>
      </c>
      <c r="BA255" s="173" t="s">
        <v>725</v>
      </c>
      <c r="BB255" s="173" t="s">
        <v>725</v>
      </c>
      <c r="BC255" s="173" t="s">
        <v>725</v>
      </c>
      <c r="BD255" s="173" t="s">
        <v>725</v>
      </c>
      <c r="BE255" s="173" t="s">
        <v>725</v>
      </c>
      <c r="BF255" s="173" t="s">
        <v>725</v>
      </c>
      <c r="BG255" s="173" t="s">
        <v>725</v>
      </c>
      <c r="BH255" s="173" t="s">
        <v>725</v>
      </c>
      <c r="BI255" s="173" t="s">
        <v>725</v>
      </c>
      <c r="BJ255" s="173" t="s">
        <v>725</v>
      </c>
      <c r="BK255" s="173" t="s">
        <v>725</v>
      </c>
      <c r="BL255" s="173" t="s">
        <v>725</v>
      </c>
      <c r="BM255" s="173" t="s">
        <v>725</v>
      </c>
      <c r="BN255" s="173" t="s">
        <v>725</v>
      </c>
      <c r="BO255" s="173" t="s">
        <v>725</v>
      </c>
      <c r="BP255" s="173" t="s">
        <v>725</v>
      </c>
      <c r="BQ255" s="173" t="s">
        <v>725</v>
      </c>
      <c r="BR255" s="174"/>
      <c r="BS255" s="161" t="str">
        <v>#VALUE!</v>
      </c>
    </row>
    <row customHeight="true" ht="18.51851851851852" r="256">
      <c r="A256" s="161" t="s">
        <v>721</v>
      </c>
      <c r="B256" s="161" t="s">
        <v>730</v>
      </c>
      <c r="C256" s="183" t="s">
        <v>809</v>
      </c>
      <c r="D256" s="189" t="s">
        <v>812</v>
      </c>
      <c r="E256" s="186">
        <v>11</v>
      </c>
      <c r="F256" s="163">
        <v>15.99</v>
      </c>
      <c r="G256" s="164">
        <f t="shared" si="11"/>
      </c>
      <c r="H256" s="164">
        <f t="shared" si="75"/>
      </c>
      <c r="I256" s="164">
        <f t="shared" si="137"/>
      </c>
      <c r="J256" s="165">
        <f t="shared" si="218"/>
      </c>
      <c r="K256" s="166">
        <f t="shared" si="271"/>
      </c>
      <c r="L256" s="167">
        <f t="shared" si="342"/>
      </c>
      <c r="M256" s="164">
        <f t="shared" si="387"/>
      </c>
      <c r="N256" s="166">
        <f t="shared" si="432"/>
      </c>
      <c r="O256" s="166">
        <f t="shared" si="462"/>
      </c>
      <c r="P256" s="161">
        <v>60</v>
      </c>
      <c r="Q256" s="168">
        <v>9</v>
      </c>
      <c r="R256" s="169">
        <f t="shared" si="31"/>
      </c>
      <c r="S256" s="165">
        <f t="shared" si="528"/>
      </c>
      <c r="T256" s="169">
        <f t="shared" si="156"/>
      </c>
      <c r="U256" s="169">
        <v>0.01</v>
      </c>
      <c r="V256" s="169">
        <f t="shared" si="293"/>
      </c>
      <c r="W256" s="169">
        <f t="shared" si="364"/>
      </c>
      <c r="X256" s="170">
        <v>0.158</v>
      </c>
      <c r="Y256" s="171">
        <v>3</v>
      </c>
      <c r="Z256" s="171">
        <f>F256*0.15</f>
      </c>
      <c r="AA256" s="171">
        <f t="shared" si="484"/>
      </c>
      <c r="AB256" s="166">
        <f t="shared" si="506"/>
      </c>
      <c r="AC256" s="166">
        <v>24.5</v>
      </c>
      <c r="AD256" s="172">
        <f t="shared" si="53"/>
      </c>
      <c r="AE256" s="168">
        <f t="shared" si="103"/>
      </c>
      <c r="AF256" s="169">
        <f t="shared" si="178"/>
      </c>
      <c r="AG256" s="169">
        <f t="shared" si="320"/>
      </c>
      <c r="AH256" s="168">
        <v>4</v>
      </c>
      <c r="AI256" s="169">
        <f t="shared" si="196"/>
      </c>
      <c r="AJ256" s="169"/>
      <c r="AK256" s="169"/>
      <c r="AL256" s="169"/>
      <c r="AM256" s="169"/>
      <c r="AN256" s="173"/>
      <c r="AO256" s="173"/>
      <c r="AP256" s="173"/>
      <c r="AQ256" s="173"/>
      <c r="AR256" s="173"/>
      <c r="AS256" s="173"/>
      <c r="AT256" s="173" t="s">
        <v>725</v>
      </c>
      <c r="AU256" s="173" t="s">
        <v>725</v>
      </c>
      <c r="AV256" s="173" t="s">
        <v>725</v>
      </c>
      <c r="AW256" s="173" t="s">
        <v>725</v>
      </c>
      <c r="AX256" s="173" t="s">
        <v>725</v>
      </c>
      <c r="AY256" s="173" t="s">
        <v>725</v>
      </c>
      <c r="AZ256" s="173" t="s">
        <v>725</v>
      </c>
      <c r="BA256" s="173" t="s">
        <v>725</v>
      </c>
      <c r="BB256" s="173" t="s">
        <v>725</v>
      </c>
      <c r="BC256" s="173" t="s">
        <v>725</v>
      </c>
      <c r="BD256" s="173" t="s">
        <v>725</v>
      </c>
      <c r="BE256" s="173" t="s">
        <v>725</v>
      </c>
      <c r="BF256" s="173" t="s">
        <v>725</v>
      </c>
      <c r="BG256" s="173" t="s">
        <v>725</v>
      </c>
      <c r="BH256" s="173" t="s">
        <v>725</v>
      </c>
      <c r="BI256" s="173" t="s">
        <v>725</v>
      </c>
      <c r="BJ256" s="173" t="s">
        <v>725</v>
      </c>
      <c r="BK256" s="173" t="s">
        <v>725</v>
      </c>
      <c r="BL256" s="173" t="s">
        <v>725</v>
      </c>
      <c r="BM256" s="173" t="s">
        <v>725</v>
      </c>
      <c r="BN256" s="173" t="s">
        <v>725</v>
      </c>
      <c r="BO256" s="173" t="s">
        <v>725</v>
      </c>
      <c r="BP256" s="173" t="s">
        <v>725</v>
      </c>
      <c r="BQ256" s="173" t="s">
        <v>725</v>
      </c>
      <c r="BR256" s="174"/>
      <c r="BS256" s="161" t="str">
        <v>#VALUE!</v>
      </c>
    </row>
    <row customHeight="true" ht="18.51851851851852" r="257">
      <c r="A257" s="161" t="s">
        <v>729</v>
      </c>
      <c r="B257" s="161" t="s">
        <v>730</v>
      </c>
      <c r="C257" s="183" t="s">
        <v>809</v>
      </c>
      <c r="D257" s="189" t="s">
        <v>810</v>
      </c>
      <c r="E257" s="186">
        <v>11.7</v>
      </c>
      <c r="F257" s="163">
        <v>16.99</v>
      </c>
      <c r="G257" s="164">
        <f t="shared" si="11"/>
      </c>
      <c r="H257" s="164">
        <f t="shared" si="75"/>
      </c>
      <c r="I257" s="164">
        <f t="shared" si="137"/>
      </c>
      <c r="J257" s="165">
        <f t="shared" si="218"/>
      </c>
      <c r="K257" s="166">
        <f t="shared" si="271"/>
      </c>
      <c r="L257" s="167">
        <f t="shared" si="342"/>
      </c>
      <c r="M257" s="164">
        <f t="shared" si="387"/>
      </c>
      <c r="N257" s="166">
        <f>AD257+AH258</f>
      </c>
      <c r="O257" s="166">
        <f t="shared" si="462"/>
      </c>
      <c r="P257" s="161">
        <v>60</v>
      </c>
      <c r="Q257" s="168">
        <v>8</v>
      </c>
      <c r="R257" s="169">
        <f t="shared" si="31"/>
      </c>
      <c r="S257" s="165">
        <f t="shared" si="528"/>
      </c>
      <c r="T257" s="169">
        <f t="shared" si="156"/>
      </c>
      <c r="U257" s="169">
        <v>0.01</v>
      </c>
      <c r="V257" s="169">
        <f t="shared" si="293"/>
      </c>
      <c r="W257" s="169">
        <f t="shared" si="364"/>
      </c>
      <c r="X257" s="170">
        <v>0.1695</v>
      </c>
      <c r="Y257" s="171">
        <v>3</v>
      </c>
      <c r="Z257" s="171">
        <v>0</v>
      </c>
      <c r="AA257" s="171">
        <f t="shared" si="484"/>
      </c>
      <c r="AB257" s="166">
        <f t="shared" si="506"/>
      </c>
      <c r="AC257" s="166">
        <v>24.5</v>
      </c>
      <c r="AD257" s="172">
        <f t="shared" si="53"/>
      </c>
      <c r="AE257" s="168">
        <f>AH258/Q257</f>
      </c>
      <c r="AF257" s="169">
        <f t="shared" si="178"/>
      </c>
      <c r="AG257" s="169">
        <f t="shared" si="320"/>
      </c>
      <c r="AH257" s="168">
        <v>4</v>
      </c>
      <c r="AI257" s="169">
        <f t="shared" si="196"/>
      </c>
      <c r="AJ257" s="169"/>
      <c r="AK257" s="169"/>
      <c r="AL257" s="169"/>
      <c r="AM257" s="169"/>
      <c r="AN257" s="173"/>
      <c r="AO257" s="173"/>
      <c r="AP257" s="173"/>
      <c r="AQ257" s="173"/>
      <c r="AR257" s="173"/>
      <c r="AS257" s="173"/>
      <c r="AT257" s="173" t="s">
        <v>725</v>
      </c>
      <c r="AU257" s="173" t="s">
        <v>725</v>
      </c>
      <c r="AV257" s="173" t="s">
        <v>725</v>
      </c>
      <c r="AW257" s="173" t="s">
        <v>725</v>
      </c>
      <c r="AX257" s="173" t="s">
        <v>725</v>
      </c>
      <c r="AY257" s="173" t="s">
        <v>725</v>
      </c>
      <c r="AZ257" s="173" t="s">
        <v>725</v>
      </c>
      <c r="BA257" s="173" t="s">
        <v>725</v>
      </c>
      <c r="BB257" s="173" t="s">
        <v>725</v>
      </c>
      <c r="BC257" s="173" t="s">
        <v>725</v>
      </c>
      <c r="BD257" s="173" t="s">
        <v>725</v>
      </c>
      <c r="BE257" s="173" t="s">
        <v>725</v>
      </c>
      <c r="BF257" s="173" t="s">
        <v>725</v>
      </c>
      <c r="BG257" s="173" t="s">
        <v>725</v>
      </c>
      <c r="BH257" s="173" t="s">
        <v>725</v>
      </c>
      <c r="BI257" s="173" t="s">
        <v>725</v>
      </c>
      <c r="BJ257" s="173" t="s">
        <v>725</v>
      </c>
      <c r="BK257" s="173" t="s">
        <v>725</v>
      </c>
      <c r="BL257" s="173" t="s">
        <v>725</v>
      </c>
      <c r="BM257" s="173" t="s">
        <v>725</v>
      </c>
      <c r="BN257" s="173" t="s">
        <v>725</v>
      </c>
      <c r="BO257" s="173" t="s">
        <v>725</v>
      </c>
      <c r="BP257" s="173" t="s">
        <v>725</v>
      </c>
      <c r="BQ257" s="173" t="s">
        <v>725</v>
      </c>
      <c r="BR257" s="174"/>
      <c r="BS257" s="161" t="str">
        <v>#VALUE!</v>
      </c>
    </row>
    <row customHeight="true" ht="18.51851851851852" r="258">
      <c r="A258" s="161" t="s">
        <v>729</v>
      </c>
      <c r="B258" s="161" t="s">
        <v>730</v>
      </c>
      <c r="C258" s="183" t="s">
        <v>809</v>
      </c>
      <c r="D258" s="189" t="s">
        <v>811</v>
      </c>
      <c r="E258" s="186">
        <v>11.7</v>
      </c>
      <c r="F258" s="163">
        <v>16.99</v>
      </c>
      <c r="G258" s="164">
        <f t="shared" si="11"/>
      </c>
      <c r="H258" s="164">
        <f t="shared" si="75"/>
      </c>
      <c r="I258" s="175">
        <f t="shared" si="137"/>
      </c>
      <c r="J258" s="165">
        <f t="shared" si="218"/>
      </c>
      <c r="K258" s="166">
        <f t="shared" si="271"/>
      </c>
      <c r="L258" s="167">
        <f t="shared" si="342"/>
      </c>
      <c r="M258" s="164">
        <f t="shared" si="387"/>
      </c>
      <c r="N258" s="166">
        <f t="shared" ref="N258:N272" si="433">AD258+AH258</f>
      </c>
      <c r="O258" s="166">
        <f t="shared" si="462"/>
      </c>
      <c r="P258" s="161">
        <v>60</v>
      </c>
      <c r="Q258" s="168">
        <v>8</v>
      </c>
      <c r="R258" s="169">
        <f t="shared" si="31"/>
      </c>
      <c r="S258" s="165">
        <f t="shared" si="528"/>
      </c>
      <c r="T258" s="169">
        <f t="shared" si="156"/>
      </c>
      <c r="U258" s="169">
        <v>0.01</v>
      </c>
      <c r="V258" s="169">
        <f t="shared" si="293"/>
      </c>
      <c r="W258" s="169">
        <f t="shared" si="364"/>
      </c>
      <c r="X258" s="170">
        <v>0.1695</v>
      </c>
      <c r="Y258" s="171">
        <v>3</v>
      </c>
      <c r="Z258" s="171">
        <f>F258*0.1</f>
      </c>
      <c r="AA258" s="171">
        <f t="shared" si="484"/>
      </c>
      <c r="AB258" s="166">
        <f t="shared" si="506"/>
      </c>
      <c r="AC258" s="166">
        <v>24.5</v>
      </c>
      <c r="AD258" s="172">
        <f t="shared" si="53"/>
      </c>
      <c r="AE258" s="168">
        <f t="shared" ref="AE258:AE272" si="104">AH258/Q258</f>
      </c>
      <c r="AF258" s="169">
        <f t="shared" si="178"/>
      </c>
      <c r="AG258" s="169">
        <f t="shared" si="320"/>
      </c>
      <c r="AH258" s="168">
        <v>4</v>
      </c>
      <c r="AI258" s="169">
        <f t="shared" si="196"/>
      </c>
      <c r="AJ258" s="169"/>
      <c r="AK258" s="169"/>
      <c r="AL258" s="169"/>
      <c r="AM258" s="169"/>
      <c r="AN258" s="173"/>
      <c r="AO258" s="173"/>
      <c r="AP258" s="173"/>
      <c r="AQ258" s="173"/>
      <c r="AR258" s="173"/>
      <c r="AS258" s="173"/>
      <c r="AT258" s="173" t="s">
        <v>725</v>
      </c>
      <c r="AU258" s="173" t="s">
        <v>725</v>
      </c>
      <c r="AV258" s="173" t="s">
        <v>725</v>
      </c>
      <c r="AW258" s="173" t="s">
        <v>725</v>
      </c>
      <c r="AX258" s="173" t="s">
        <v>725</v>
      </c>
      <c r="AY258" s="173" t="s">
        <v>725</v>
      </c>
      <c r="AZ258" s="173" t="s">
        <v>725</v>
      </c>
      <c r="BA258" s="173" t="s">
        <v>725</v>
      </c>
      <c r="BB258" s="173" t="s">
        <v>725</v>
      </c>
      <c r="BC258" s="173" t="s">
        <v>725</v>
      </c>
      <c r="BD258" s="173" t="s">
        <v>725</v>
      </c>
      <c r="BE258" s="173" t="s">
        <v>725</v>
      </c>
      <c r="BF258" s="173" t="s">
        <v>725</v>
      </c>
      <c r="BG258" s="173" t="s">
        <v>725</v>
      </c>
      <c r="BH258" s="173" t="s">
        <v>725</v>
      </c>
      <c r="BI258" s="173" t="s">
        <v>725</v>
      </c>
      <c r="BJ258" s="173" t="s">
        <v>725</v>
      </c>
      <c r="BK258" s="173" t="s">
        <v>725</v>
      </c>
      <c r="BL258" s="173" t="s">
        <v>725</v>
      </c>
      <c r="BM258" s="173" t="s">
        <v>725</v>
      </c>
      <c r="BN258" s="173" t="s">
        <v>725</v>
      </c>
      <c r="BO258" s="173" t="s">
        <v>725</v>
      </c>
      <c r="BP258" s="173" t="s">
        <v>725</v>
      </c>
      <c r="BQ258" s="173" t="s">
        <v>725</v>
      </c>
      <c r="BR258" s="174"/>
      <c r="BS258" s="161" t="str">
        <v>#VALUE!</v>
      </c>
    </row>
    <row customHeight="true" ht="18.51851851851852" r="259">
      <c r="A259" s="161" t="s">
        <v>729</v>
      </c>
      <c r="B259" s="161" t="s">
        <v>730</v>
      </c>
      <c r="C259" s="183" t="s">
        <v>809</v>
      </c>
      <c r="D259" s="189" t="s">
        <v>812</v>
      </c>
      <c r="E259" s="186">
        <v>11.7</v>
      </c>
      <c r="F259" s="163">
        <v>16.99</v>
      </c>
      <c r="G259" s="164">
        <f t="shared" si="11"/>
      </c>
      <c r="H259" s="164">
        <f t="shared" si="75"/>
      </c>
      <c r="I259" s="164">
        <f t="shared" si="137"/>
      </c>
      <c r="J259" s="165">
        <f t="shared" si="218"/>
      </c>
      <c r="K259" s="166">
        <f t="shared" si="271"/>
      </c>
      <c r="L259" s="167">
        <f t="shared" si="342"/>
      </c>
      <c r="M259" s="164">
        <f t="shared" si="387"/>
      </c>
      <c r="N259" s="166">
        <f t="shared" si="433"/>
      </c>
      <c r="O259" s="166">
        <f t="shared" si="462"/>
      </c>
      <c r="P259" s="161">
        <v>60</v>
      </c>
      <c r="Q259" s="168">
        <v>8</v>
      </c>
      <c r="R259" s="169">
        <f t="shared" si="31"/>
      </c>
      <c r="S259" s="165">
        <f t="shared" si="528"/>
      </c>
      <c r="T259" s="169">
        <f t="shared" si="156"/>
      </c>
      <c r="U259" s="169">
        <v>0.01</v>
      </c>
      <c r="V259" s="169">
        <f t="shared" si="293"/>
      </c>
      <c r="W259" s="169">
        <f t="shared" si="364"/>
      </c>
      <c r="X259" s="170">
        <v>0.1695</v>
      </c>
      <c r="Y259" s="171">
        <v>3</v>
      </c>
      <c r="Z259" s="171">
        <f>F259*0.15</f>
      </c>
      <c r="AA259" s="171">
        <f t="shared" si="484"/>
      </c>
      <c r="AB259" s="166">
        <f t="shared" si="506"/>
      </c>
      <c r="AC259" s="166">
        <v>24.5</v>
      </c>
      <c r="AD259" s="172">
        <f t="shared" si="53"/>
      </c>
      <c r="AE259" s="168">
        <f t="shared" si="104"/>
      </c>
      <c r="AF259" s="169">
        <f t="shared" si="178"/>
      </c>
      <c r="AG259" s="169">
        <f t="shared" si="320"/>
      </c>
      <c r="AH259" s="168">
        <v>4</v>
      </c>
      <c r="AI259" s="169">
        <f t="shared" si="196"/>
      </c>
      <c r="AJ259" s="169"/>
      <c r="AK259" s="169"/>
      <c r="AL259" s="169"/>
      <c r="AM259" s="169"/>
      <c r="AN259" s="173"/>
      <c r="AO259" s="173"/>
      <c r="AP259" s="173"/>
      <c r="AQ259" s="173"/>
      <c r="AR259" s="173"/>
      <c r="AS259" s="173"/>
      <c r="AT259" s="173" t="s">
        <v>725</v>
      </c>
      <c r="AU259" s="173" t="s">
        <v>725</v>
      </c>
      <c r="AV259" s="173" t="s">
        <v>725</v>
      </c>
      <c r="AW259" s="173" t="s">
        <v>725</v>
      </c>
      <c r="AX259" s="173" t="s">
        <v>725</v>
      </c>
      <c r="AY259" s="173" t="s">
        <v>725</v>
      </c>
      <c r="AZ259" s="173" t="s">
        <v>725</v>
      </c>
      <c r="BA259" s="173" t="s">
        <v>725</v>
      </c>
      <c r="BB259" s="173" t="s">
        <v>725</v>
      </c>
      <c r="BC259" s="173" t="s">
        <v>725</v>
      </c>
      <c r="BD259" s="173" t="s">
        <v>725</v>
      </c>
      <c r="BE259" s="173" t="s">
        <v>725</v>
      </c>
      <c r="BF259" s="173" t="s">
        <v>725</v>
      </c>
      <c r="BG259" s="173" t="s">
        <v>725</v>
      </c>
      <c r="BH259" s="173" t="s">
        <v>725</v>
      </c>
      <c r="BI259" s="173" t="s">
        <v>725</v>
      </c>
      <c r="BJ259" s="173" t="s">
        <v>725</v>
      </c>
      <c r="BK259" s="173" t="s">
        <v>725</v>
      </c>
      <c r="BL259" s="173" t="s">
        <v>725</v>
      </c>
      <c r="BM259" s="173" t="s">
        <v>725</v>
      </c>
      <c r="BN259" s="173" t="s">
        <v>725</v>
      </c>
      <c r="BO259" s="173" t="s">
        <v>725</v>
      </c>
      <c r="BP259" s="173" t="s">
        <v>725</v>
      </c>
      <c r="BQ259" s="173" t="s">
        <v>725</v>
      </c>
      <c r="BR259" s="174"/>
      <c r="BS259" s="161" t="str">
        <v>#VALUE!</v>
      </c>
    </row>
    <row customHeight="true" ht="18.51851851851852" r="260">
      <c r="A260" s="161" t="s">
        <v>732</v>
      </c>
      <c r="B260" s="161" t="s">
        <v>730</v>
      </c>
      <c r="C260" s="183" t="s">
        <v>809</v>
      </c>
      <c r="D260" s="189" t="s">
        <v>810</v>
      </c>
      <c r="E260" s="186">
        <v>11.7</v>
      </c>
      <c r="F260" s="163">
        <v>16.99</v>
      </c>
      <c r="G260" s="164">
        <f t="shared" si="11"/>
      </c>
      <c r="H260" s="164">
        <f t="shared" si="75"/>
      </c>
      <c r="I260" s="164">
        <f t="shared" si="137"/>
      </c>
      <c r="J260" s="165">
        <f t="shared" si="218"/>
      </c>
      <c r="K260" s="166">
        <f t="shared" si="271"/>
      </c>
      <c r="L260" s="167">
        <f t="shared" si="342"/>
      </c>
      <c r="M260" s="164">
        <f t="shared" si="387"/>
      </c>
      <c r="N260" s="166">
        <f t="shared" si="433"/>
      </c>
      <c r="O260" s="166">
        <f t="shared" si="462"/>
      </c>
      <c r="P260" s="161">
        <v>60</v>
      </c>
      <c r="Q260" s="168">
        <v>8</v>
      </c>
      <c r="R260" s="169">
        <f t="shared" si="31"/>
      </c>
      <c r="S260" s="165">
        <f t="shared" si="528"/>
      </c>
      <c r="T260" s="169">
        <f t="shared" si="156"/>
      </c>
      <c r="U260" s="169">
        <v>0.01</v>
      </c>
      <c r="V260" s="169">
        <f t="shared" si="293"/>
      </c>
      <c r="W260" s="169">
        <f t="shared" si="364"/>
      </c>
      <c r="X260" s="170">
        <v>0.198</v>
      </c>
      <c r="Y260" s="171">
        <v>3</v>
      </c>
      <c r="Z260" s="171">
        <v>0</v>
      </c>
      <c r="AA260" s="171">
        <f t="shared" si="484"/>
      </c>
      <c r="AB260" s="166">
        <f t="shared" si="506"/>
      </c>
      <c r="AC260" s="166">
        <v>24.5</v>
      </c>
      <c r="AD260" s="172">
        <f t="shared" si="53"/>
      </c>
      <c r="AE260" s="168">
        <f t="shared" si="104"/>
      </c>
      <c r="AF260" s="169">
        <f t="shared" si="178"/>
      </c>
      <c r="AG260" s="169">
        <f t="shared" si="320"/>
      </c>
      <c r="AH260" s="168">
        <v>4</v>
      </c>
      <c r="AI260" s="169">
        <f t="shared" si="196"/>
      </c>
      <c r="AJ260" s="169"/>
      <c r="AK260" s="169"/>
      <c r="AL260" s="169"/>
      <c r="AM260" s="169"/>
      <c r="AN260" s="173"/>
      <c r="AO260" s="173"/>
      <c r="AP260" s="173"/>
      <c r="AQ260" s="173"/>
      <c r="AR260" s="173"/>
      <c r="AS260" s="173"/>
      <c r="AT260" s="173" t="s">
        <v>725</v>
      </c>
      <c r="AU260" s="173" t="s">
        <v>725</v>
      </c>
      <c r="AV260" s="173" t="s">
        <v>725</v>
      </c>
      <c r="AW260" s="173" t="s">
        <v>725</v>
      </c>
      <c r="AX260" s="173" t="s">
        <v>725</v>
      </c>
      <c r="AY260" s="173" t="s">
        <v>725</v>
      </c>
      <c r="AZ260" s="173" t="s">
        <v>725</v>
      </c>
      <c r="BA260" s="173" t="s">
        <v>725</v>
      </c>
      <c r="BB260" s="173" t="s">
        <v>725</v>
      </c>
      <c r="BC260" s="173" t="s">
        <v>725</v>
      </c>
      <c r="BD260" s="173" t="s">
        <v>725</v>
      </c>
      <c r="BE260" s="173" t="s">
        <v>725</v>
      </c>
      <c r="BF260" s="173" t="s">
        <v>725</v>
      </c>
      <c r="BG260" s="173" t="s">
        <v>725</v>
      </c>
      <c r="BH260" s="173" t="s">
        <v>725</v>
      </c>
      <c r="BI260" s="173" t="s">
        <v>725</v>
      </c>
      <c r="BJ260" s="173" t="s">
        <v>725</v>
      </c>
      <c r="BK260" s="173" t="s">
        <v>725</v>
      </c>
      <c r="BL260" s="173" t="s">
        <v>725</v>
      </c>
      <c r="BM260" s="173" t="s">
        <v>725</v>
      </c>
      <c r="BN260" s="173" t="s">
        <v>725</v>
      </c>
      <c r="BO260" s="173" t="s">
        <v>725</v>
      </c>
      <c r="BP260" s="173" t="s">
        <v>725</v>
      </c>
      <c r="BQ260" s="173" t="s">
        <v>725</v>
      </c>
      <c r="BR260" s="174"/>
      <c r="BS260" s="161" t="str">
        <v>#VALUE!</v>
      </c>
    </row>
    <row customHeight="true" ht="18.51851851851852" r="261">
      <c r="A261" s="161" t="s">
        <v>732</v>
      </c>
      <c r="B261" s="161" t="s">
        <v>730</v>
      </c>
      <c r="C261" s="183" t="s">
        <v>809</v>
      </c>
      <c r="D261" s="189" t="s">
        <v>811</v>
      </c>
      <c r="E261" s="186">
        <v>11.7</v>
      </c>
      <c r="F261" s="163">
        <v>16.99</v>
      </c>
      <c r="G261" s="164">
        <f t="shared" si="11"/>
      </c>
      <c r="H261" s="164">
        <f t="shared" si="75"/>
      </c>
      <c r="I261" s="175">
        <f t="shared" si="137"/>
      </c>
      <c r="J261" s="165">
        <f t="shared" si="218"/>
      </c>
      <c r="K261" s="166">
        <f t="shared" si="271"/>
      </c>
      <c r="L261" s="167">
        <f t="shared" si="342"/>
      </c>
      <c r="M261" s="164">
        <f t="shared" si="387"/>
      </c>
      <c r="N261" s="166">
        <f t="shared" si="433"/>
      </c>
      <c r="O261" s="166">
        <f t="shared" si="462"/>
      </c>
      <c r="P261" s="161">
        <v>60</v>
      </c>
      <c r="Q261" s="168">
        <v>8</v>
      </c>
      <c r="R261" s="169">
        <f t="shared" si="31"/>
      </c>
      <c r="S261" s="165">
        <f t="shared" si="528"/>
      </c>
      <c r="T261" s="169">
        <f t="shared" si="156"/>
      </c>
      <c r="U261" s="169">
        <v>0.01</v>
      </c>
      <c r="V261" s="169">
        <f t="shared" si="293"/>
      </c>
      <c r="W261" s="169">
        <f t="shared" si="364"/>
      </c>
      <c r="X261" s="170">
        <v>0.198</v>
      </c>
      <c r="Y261" s="171">
        <v>3</v>
      </c>
      <c r="Z261" s="171">
        <f>F261*0.1</f>
      </c>
      <c r="AA261" s="171">
        <f t="shared" si="484"/>
      </c>
      <c r="AB261" s="166">
        <f t="shared" si="506"/>
      </c>
      <c r="AC261" s="166">
        <v>24.5</v>
      </c>
      <c r="AD261" s="172">
        <f t="shared" si="53"/>
      </c>
      <c r="AE261" s="168">
        <f t="shared" si="104"/>
      </c>
      <c r="AF261" s="169">
        <f t="shared" si="178"/>
      </c>
      <c r="AG261" s="169">
        <f t="shared" si="320"/>
      </c>
      <c r="AH261" s="168">
        <v>4</v>
      </c>
      <c r="AI261" s="169">
        <f t="shared" si="196"/>
      </c>
      <c r="AJ261" s="169"/>
      <c r="AK261" s="169"/>
      <c r="AL261" s="169"/>
      <c r="AM261" s="169"/>
      <c r="AN261" s="173"/>
      <c r="AO261" s="173"/>
      <c r="AP261" s="173"/>
      <c r="AQ261" s="173"/>
      <c r="AR261" s="173"/>
      <c r="AS261" s="173"/>
      <c r="AT261" s="173" t="s">
        <v>725</v>
      </c>
      <c r="AU261" s="173" t="s">
        <v>725</v>
      </c>
      <c r="AV261" s="173" t="s">
        <v>725</v>
      </c>
      <c r="AW261" s="173" t="s">
        <v>725</v>
      </c>
      <c r="AX261" s="173" t="s">
        <v>725</v>
      </c>
      <c r="AY261" s="173" t="s">
        <v>725</v>
      </c>
      <c r="AZ261" s="173" t="s">
        <v>725</v>
      </c>
      <c r="BA261" s="173" t="s">
        <v>725</v>
      </c>
      <c r="BB261" s="173" t="s">
        <v>725</v>
      </c>
      <c r="BC261" s="173" t="s">
        <v>725</v>
      </c>
      <c r="BD261" s="173" t="s">
        <v>725</v>
      </c>
      <c r="BE261" s="173" t="s">
        <v>725</v>
      </c>
      <c r="BF261" s="173" t="s">
        <v>725</v>
      </c>
      <c r="BG261" s="173" t="s">
        <v>725</v>
      </c>
      <c r="BH261" s="173" t="s">
        <v>725</v>
      </c>
      <c r="BI261" s="173" t="s">
        <v>725</v>
      </c>
      <c r="BJ261" s="173" t="s">
        <v>725</v>
      </c>
      <c r="BK261" s="173" t="s">
        <v>725</v>
      </c>
      <c r="BL261" s="173" t="s">
        <v>725</v>
      </c>
      <c r="BM261" s="173" t="s">
        <v>725</v>
      </c>
      <c r="BN261" s="173" t="s">
        <v>725</v>
      </c>
      <c r="BO261" s="173" t="s">
        <v>725</v>
      </c>
      <c r="BP261" s="173" t="s">
        <v>725</v>
      </c>
      <c r="BQ261" s="173" t="s">
        <v>725</v>
      </c>
      <c r="BR261" s="174"/>
      <c r="BS261" s="161" t="str">
        <v>#VALUE!</v>
      </c>
    </row>
    <row customHeight="true" ht="18.51851851851852" r="262">
      <c r="A262" s="161" t="s">
        <v>732</v>
      </c>
      <c r="B262" s="161" t="s">
        <v>730</v>
      </c>
      <c r="C262" s="183" t="s">
        <v>809</v>
      </c>
      <c r="D262" s="189" t="s">
        <v>812</v>
      </c>
      <c r="E262" s="186">
        <v>11.7</v>
      </c>
      <c r="F262" s="163">
        <v>16.99</v>
      </c>
      <c r="G262" s="164">
        <f t="shared" si="11"/>
      </c>
      <c r="H262" s="164">
        <f t="shared" si="75"/>
      </c>
      <c r="I262" s="164">
        <f t="shared" si="137"/>
      </c>
      <c r="J262" s="165">
        <f t="shared" si="218"/>
      </c>
      <c r="K262" s="166">
        <f t="shared" si="271"/>
      </c>
      <c r="L262" s="167">
        <f t="shared" si="342"/>
      </c>
      <c r="M262" s="164">
        <f t="shared" si="387"/>
      </c>
      <c r="N262" s="166">
        <f t="shared" si="433"/>
      </c>
      <c r="O262" s="166">
        <f t="shared" si="462"/>
      </c>
      <c r="P262" s="161">
        <v>60</v>
      </c>
      <c r="Q262" s="168">
        <v>8</v>
      </c>
      <c r="R262" s="169">
        <f t="shared" si="31"/>
      </c>
      <c r="S262" s="165">
        <f t="shared" si="528"/>
      </c>
      <c r="T262" s="169">
        <f t="shared" si="156"/>
      </c>
      <c r="U262" s="169">
        <v>0.01</v>
      </c>
      <c r="V262" s="169">
        <f t="shared" si="293"/>
      </c>
      <c r="W262" s="169">
        <f t="shared" si="364"/>
      </c>
      <c r="X262" s="170">
        <v>0.198</v>
      </c>
      <c r="Y262" s="171">
        <v>3</v>
      </c>
      <c r="Z262" s="171">
        <f>F262*0.15</f>
      </c>
      <c r="AA262" s="171">
        <f t="shared" si="484"/>
      </c>
      <c r="AB262" s="166">
        <f t="shared" si="506"/>
      </c>
      <c r="AC262" s="166">
        <v>24.5</v>
      </c>
      <c r="AD262" s="172">
        <f t="shared" si="53"/>
      </c>
      <c r="AE262" s="168">
        <f t="shared" si="104"/>
      </c>
      <c r="AF262" s="169">
        <f t="shared" si="178"/>
      </c>
      <c r="AG262" s="169">
        <f t="shared" si="320"/>
      </c>
      <c r="AH262" s="168">
        <v>4</v>
      </c>
      <c r="AI262" s="169">
        <f t="shared" si="196"/>
      </c>
      <c r="AJ262" s="169"/>
      <c r="AK262" s="169"/>
      <c r="AL262" s="169"/>
      <c r="AM262" s="169"/>
      <c r="AN262" s="173"/>
      <c r="AO262" s="173"/>
      <c r="AP262" s="173"/>
      <c r="AQ262" s="173"/>
      <c r="AR262" s="173"/>
      <c r="AS262" s="173"/>
      <c r="AT262" s="173" t="s">
        <v>725</v>
      </c>
      <c r="AU262" s="173" t="s">
        <v>725</v>
      </c>
      <c r="AV262" s="173" t="s">
        <v>725</v>
      </c>
      <c r="AW262" s="173" t="s">
        <v>725</v>
      </c>
      <c r="AX262" s="173" t="s">
        <v>725</v>
      </c>
      <c r="AY262" s="173" t="s">
        <v>725</v>
      </c>
      <c r="AZ262" s="173" t="s">
        <v>725</v>
      </c>
      <c r="BA262" s="173" t="s">
        <v>725</v>
      </c>
      <c r="BB262" s="173" t="s">
        <v>725</v>
      </c>
      <c r="BC262" s="173" t="s">
        <v>725</v>
      </c>
      <c r="BD262" s="173" t="s">
        <v>725</v>
      </c>
      <c r="BE262" s="173" t="s">
        <v>725</v>
      </c>
      <c r="BF262" s="173" t="s">
        <v>725</v>
      </c>
      <c r="BG262" s="173" t="s">
        <v>725</v>
      </c>
      <c r="BH262" s="173" t="s">
        <v>725</v>
      </c>
      <c r="BI262" s="173" t="s">
        <v>725</v>
      </c>
      <c r="BJ262" s="173" t="s">
        <v>725</v>
      </c>
      <c r="BK262" s="173" t="s">
        <v>725</v>
      </c>
      <c r="BL262" s="173" t="s">
        <v>725</v>
      </c>
      <c r="BM262" s="173" t="s">
        <v>725</v>
      </c>
      <c r="BN262" s="173" t="s">
        <v>725</v>
      </c>
      <c r="BO262" s="173" t="s">
        <v>725</v>
      </c>
      <c r="BP262" s="173" t="s">
        <v>725</v>
      </c>
      <c r="BQ262" s="173" t="s">
        <v>725</v>
      </c>
      <c r="BR262" s="174"/>
      <c r="BS262" s="161" t="str">
        <v>#VALUE!</v>
      </c>
    </row>
    <row customHeight="true" ht="18.51851851851852" r="263">
      <c r="A263" s="161" t="s">
        <v>733</v>
      </c>
      <c r="B263" s="161" t="s">
        <v>730</v>
      </c>
      <c r="C263" s="183" t="s">
        <v>809</v>
      </c>
      <c r="D263" s="189" t="s">
        <v>810</v>
      </c>
      <c r="E263" s="186">
        <v>11.7</v>
      </c>
      <c r="F263" s="163">
        <v>16.99</v>
      </c>
      <c r="G263" s="164">
        <f t="shared" si="11"/>
      </c>
      <c r="H263" s="164">
        <f t="shared" si="75"/>
      </c>
      <c r="I263" s="164">
        <f t="shared" si="137"/>
      </c>
      <c r="J263" s="165">
        <f t="shared" si="218"/>
      </c>
      <c r="K263" s="166">
        <f t="shared" si="271"/>
      </c>
      <c r="L263" s="167">
        <f t="shared" si="342"/>
      </c>
      <c r="M263" s="164">
        <f t="shared" si="387"/>
      </c>
      <c r="N263" s="166">
        <f t="shared" si="433"/>
      </c>
      <c r="O263" s="166">
        <f t="shared" si="462"/>
      </c>
      <c r="P263" s="161">
        <v>60</v>
      </c>
      <c r="Q263" s="168">
        <v>8</v>
      </c>
      <c r="R263" s="169">
        <f t="shared" si="31"/>
      </c>
      <c r="S263" s="165">
        <f t="shared" si="528"/>
      </c>
      <c r="T263" s="169">
        <f t="shared" si="156"/>
      </c>
      <c r="U263" s="169">
        <v>0.01</v>
      </c>
      <c r="V263" s="169">
        <f t="shared" si="293"/>
      </c>
      <c r="W263" s="169">
        <f t="shared" si="364"/>
      </c>
      <c r="X263" s="170">
        <v>0.1846</v>
      </c>
      <c r="Y263" s="171">
        <v>3</v>
      </c>
      <c r="Z263" s="171">
        <v>0</v>
      </c>
      <c r="AA263" s="171">
        <f t="shared" si="484"/>
      </c>
      <c r="AB263" s="166">
        <f t="shared" si="506"/>
      </c>
      <c r="AC263" s="166">
        <v>24.5</v>
      </c>
      <c r="AD263" s="172">
        <f t="shared" si="53"/>
      </c>
      <c r="AE263" s="168">
        <f t="shared" si="104"/>
      </c>
      <c r="AF263" s="169">
        <f t="shared" si="178"/>
      </c>
      <c r="AG263" s="169">
        <f t="shared" si="320"/>
      </c>
      <c r="AH263" s="168">
        <v>4</v>
      </c>
      <c r="AI263" s="165">
        <f t="shared" si="196"/>
      </c>
      <c r="AJ263" s="165"/>
      <c r="AK263" s="165"/>
      <c r="AL263" s="165"/>
      <c r="AM263" s="165"/>
      <c r="AN263" s="173"/>
      <c r="AO263" s="173"/>
      <c r="AP263" s="173"/>
      <c r="AQ263" s="173"/>
      <c r="AR263" s="173"/>
      <c r="AS263" s="173"/>
      <c r="AT263" s="173" t="s">
        <v>725</v>
      </c>
      <c r="AU263" s="173" t="s">
        <v>725</v>
      </c>
      <c r="AV263" s="173" t="s">
        <v>725</v>
      </c>
      <c r="AW263" s="173" t="s">
        <v>725</v>
      </c>
      <c r="AX263" s="173" t="s">
        <v>725</v>
      </c>
      <c r="AY263" s="173" t="s">
        <v>725</v>
      </c>
      <c r="AZ263" s="173" t="s">
        <v>725</v>
      </c>
      <c r="BA263" s="173" t="s">
        <v>725</v>
      </c>
      <c r="BB263" s="173" t="s">
        <v>725</v>
      </c>
      <c r="BC263" s="173" t="s">
        <v>725</v>
      </c>
      <c r="BD263" s="173" t="s">
        <v>725</v>
      </c>
      <c r="BE263" s="173" t="s">
        <v>725</v>
      </c>
      <c r="BF263" s="173" t="s">
        <v>725</v>
      </c>
      <c r="BG263" s="173" t="s">
        <v>725</v>
      </c>
      <c r="BH263" s="173" t="s">
        <v>725</v>
      </c>
      <c r="BI263" s="173" t="s">
        <v>725</v>
      </c>
      <c r="BJ263" s="173" t="s">
        <v>725</v>
      </c>
      <c r="BK263" s="173" t="s">
        <v>725</v>
      </c>
      <c r="BL263" s="173" t="s">
        <v>725</v>
      </c>
      <c r="BM263" s="173" t="s">
        <v>725</v>
      </c>
      <c r="BN263" s="173" t="s">
        <v>725</v>
      </c>
      <c r="BO263" s="173" t="s">
        <v>725</v>
      </c>
      <c r="BP263" s="173" t="s">
        <v>725</v>
      </c>
      <c r="BQ263" s="173" t="s">
        <v>725</v>
      </c>
      <c r="BR263" s="174"/>
      <c r="BS263" s="161" t="str">
        <v>#VALUE!</v>
      </c>
    </row>
    <row customHeight="true" ht="18.51851851851852" r="264">
      <c r="A264" s="161" t="s">
        <v>733</v>
      </c>
      <c r="B264" s="161" t="s">
        <v>730</v>
      </c>
      <c r="C264" s="183" t="s">
        <v>809</v>
      </c>
      <c r="D264" s="189" t="s">
        <v>811</v>
      </c>
      <c r="E264" s="186">
        <v>11.7</v>
      </c>
      <c r="F264" s="163">
        <v>16.99</v>
      </c>
      <c r="G264" s="164">
        <f t="shared" si="11"/>
      </c>
      <c r="H264" s="164">
        <f t="shared" si="75"/>
      </c>
      <c r="I264" s="175">
        <f t="shared" si="137"/>
      </c>
      <c r="J264" s="165">
        <f t="shared" si="218"/>
      </c>
      <c r="K264" s="166">
        <f t="shared" si="271"/>
      </c>
      <c r="L264" s="167">
        <f t="shared" si="342"/>
      </c>
      <c r="M264" s="164">
        <f t="shared" si="387"/>
      </c>
      <c r="N264" s="166">
        <f t="shared" si="433"/>
      </c>
      <c r="O264" s="166">
        <f t="shared" si="462"/>
      </c>
      <c r="P264" s="161">
        <v>60</v>
      </c>
      <c r="Q264" s="168">
        <v>8</v>
      </c>
      <c r="R264" s="169">
        <f t="shared" si="31"/>
      </c>
      <c r="S264" s="165">
        <f t="shared" si="528"/>
      </c>
      <c r="T264" s="169">
        <f t="shared" si="156"/>
      </c>
      <c r="U264" s="169">
        <v>0.01</v>
      </c>
      <c r="V264" s="169">
        <f t="shared" si="293"/>
      </c>
      <c r="W264" s="169">
        <f t="shared" si="364"/>
      </c>
      <c r="X264" s="170">
        <v>0.1846</v>
      </c>
      <c r="Y264" s="171">
        <v>3</v>
      </c>
      <c r="Z264" s="171">
        <f>F264*0.1</f>
      </c>
      <c r="AA264" s="171">
        <f t="shared" si="484"/>
      </c>
      <c r="AB264" s="166">
        <f t="shared" si="506"/>
      </c>
      <c r="AC264" s="166">
        <v>24.5</v>
      </c>
      <c r="AD264" s="172">
        <f t="shared" si="53"/>
      </c>
      <c r="AE264" s="168">
        <f t="shared" si="104"/>
      </c>
      <c r="AF264" s="169">
        <f t="shared" si="178"/>
      </c>
      <c r="AG264" s="169">
        <f t="shared" si="320"/>
      </c>
      <c r="AH264" s="168">
        <v>4</v>
      </c>
      <c r="AI264" s="165">
        <f t="shared" si="196"/>
      </c>
      <c r="AJ264" s="165"/>
      <c r="AK264" s="165"/>
      <c r="AL264" s="165"/>
      <c r="AM264" s="165"/>
      <c r="AN264" s="173"/>
      <c r="AO264" s="173"/>
      <c r="AP264" s="173"/>
      <c r="AQ264" s="173"/>
      <c r="AR264" s="173"/>
      <c r="AS264" s="173"/>
      <c r="AT264" s="173" t="s">
        <v>725</v>
      </c>
      <c r="AU264" s="173" t="s">
        <v>725</v>
      </c>
      <c r="AV264" s="173" t="s">
        <v>725</v>
      </c>
      <c r="AW264" s="173" t="s">
        <v>725</v>
      </c>
      <c r="AX264" s="173" t="s">
        <v>725</v>
      </c>
      <c r="AY264" s="173" t="s">
        <v>725</v>
      </c>
      <c r="AZ264" s="173" t="s">
        <v>725</v>
      </c>
      <c r="BA264" s="173" t="s">
        <v>725</v>
      </c>
      <c r="BB264" s="173" t="s">
        <v>725</v>
      </c>
      <c r="BC264" s="173" t="s">
        <v>725</v>
      </c>
      <c r="BD264" s="173" t="s">
        <v>725</v>
      </c>
      <c r="BE264" s="173" t="s">
        <v>725</v>
      </c>
      <c r="BF264" s="173" t="s">
        <v>725</v>
      </c>
      <c r="BG264" s="173" t="s">
        <v>725</v>
      </c>
      <c r="BH264" s="173" t="s">
        <v>725</v>
      </c>
      <c r="BI264" s="173" t="s">
        <v>725</v>
      </c>
      <c r="BJ264" s="173" t="s">
        <v>725</v>
      </c>
      <c r="BK264" s="173" t="s">
        <v>725</v>
      </c>
      <c r="BL264" s="173" t="s">
        <v>725</v>
      </c>
      <c r="BM264" s="173" t="s">
        <v>725</v>
      </c>
      <c r="BN264" s="173" t="s">
        <v>725</v>
      </c>
      <c r="BO264" s="173" t="s">
        <v>725</v>
      </c>
      <c r="BP264" s="173" t="s">
        <v>725</v>
      </c>
      <c r="BQ264" s="173" t="s">
        <v>725</v>
      </c>
      <c r="BR264" s="174"/>
      <c r="BS264" s="161" t="str">
        <v>#VALUE!</v>
      </c>
    </row>
    <row customHeight="true" ht="18.51851851851852" r="265">
      <c r="A265" s="161" t="s">
        <v>733</v>
      </c>
      <c r="B265" s="161" t="s">
        <v>730</v>
      </c>
      <c r="C265" s="183" t="s">
        <v>809</v>
      </c>
      <c r="D265" s="189" t="s">
        <v>812</v>
      </c>
      <c r="E265" s="186">
        <v>11.7</v>
      </c>
      <c r="F265" s="163">
        <v>16.99</v>
      </c>
      <c r="G265" s="164">
        <f t="shared" si="11"/>
      </c>
      <c r="H265" s="164">
        <f t="shared" si="75"/>
      </c>
      <c r="I265" s="164">
        <f t="shared" si="137"/>
      </c>
      <c r="J265" s="165">
        <f t="shared" si="218"/>
      </c>
      <c r="K265" s="166">
        <f t="shared" si="271"/>
      </c>
      <c r="L265" s="167">
        <f t="shared" si="342"/>
      </c>
      <c r="M265" s="164">
        <f t="shared" si="387"/>
      </c>
      <c r="N265" s="166">
        <f t="shared" si="433"/>
      </c>
      <c r="O265" s="166">
        <f t="shared" si="462"/>
      </c>
      <c r="P265" s="161">
        <v>60</v>
      </c>
      <c r="Q265" s="168">
        <v>8</v>
      </c>
      <c r="R265" s="169">
        <f t="shared" si="31"/>
      </c>
      <c r="S265" s="165">
        <f t="shared" si="528"/>
      </c>
      <c r="T265" s="169">
        <f t="shared" si="156"/>
      </c>
      <c r="U265" s="169">
        <v>0.01</v>
      </c>
      <c r="V265" s="169">
        <f t="shared" si="293"/>
      </c>
      <c r="W265" s="169">
        <f t="shared" si="364"/>
      </c>
      <c r="X265" s="170">
        <v>0.1846</v>
      </c>
      <c r="Y265" s="171">
        <v>3</v>
      </c>
      <c r="Z265" s="171">
        <f>F265*0.15</f>
      </c>
      <c r="AA265" s="171">
        <f t="shared" si="484"/>
      </c>
      <c r="AB265" s="166">
        <f t="shared" si="506"/>
      </c>
      <c r="AC265" s="166">
        <v>24.5</v>
      </c>
      <c r="AD265" s="172">
        <f t="shared" si="53"/>
      </c>
      <c r="AE265" s="168">
        <f t="shared" si="104"/>
      </c>
      <c r="AF265" s="169">
        <f t="shared" si="178"/>
      </c>
      <c r="AG265" s="169">
        <f t="shared" si="320"/>
      </c>
      <c r="AH265" s="168">
        <v>4</v>
      </c>
      <c r="AI265" s="165">
        <f t="shared" si="196"/>
      </c>
      <c r="AJ265" s="165"/>
      <c r="AK265" s="165"/>
      <c r="AL265" s="165"/>
      <c r="AM265" s="165"/>
      <c r="AN265" s="173"/>
      <c r="AO265" s="173"/>
      <c r="AP265" s="173"/>
      <c r="AQ265" s="173"/>
      <c r="AR265" s="173"/>
      <c r="AS265" s="173"/>
      <c r="AT265" s="173" t="s">
        <v>725</v>
      </c>
      <c r="AU265" s="173" t="s">
        <v>725</v>
      </c>
      <c r="AV265" s="173" t="s">
        <v>725</v>
      </c>
      <c r="AW265" s="173" t="s">
        <v>725</v>
      </c>
      <c r="AX265" s="173" t="s">
        <v>725</v>
      </c>
      <c r="AY265" s="173" t="s">
        <v>725</v>
      </c>
      <c r="AZ265" s="173" t="s">
        <v>725</v>
      </c>
      <c r="BA265" s="173" t="s">
        <v>725</v>
      </c>
      <c r="BB265" s="173" t="s">
        <v>725</v>
      </c>
      <c r="BC265" s="173" t="s">
        <v>725</v>
      </c>
      <c r="BD265" s="173" t="s">
        <v>725</v>
      </c>
      <c r="BE265" s="173" t="s">
        <v>725</v>
      </c>
      <c r="BF265" s="173" t="s">
        <v>725</v>
      </c>
      <c r="BG265" s="173" t="s">
        <v>725</v>
      </c>
      <c r="BH265" s="173" t="s">
        <v>725</v>
      </c>
      <c r="BI265" s="173" t="s">
        <v>725</v>
      </c>
      <c r="BJ265" s="173" t="s">
        <v>725</v>
      </c>
      <c r="BK265" s="173" t="s">
        <v>725</v>
      </c>
      <c r="BL265" s="173" t="s">
        <v>725</v>
      </c>
      <c r="BM265" s="173" t="s">
        <v>725</v>
      </c>
      <c r="BN265" s="173" t="s">
        <v>725</v>
      </c>
      <c r="BO265" s="173" t="s">
        <v>725</v>
      </c>
      <c r="BP265" s="173" t="s">
        <v>725</v>
      </c>
      <c r="BQ265" s="173" t="s">
        <v>725</v>
      </c>
      <c r="BR265" s="174"/>
      <c r="BS265" s="161" t="str">
        <v>#VALUE!</v>
      </c>
    </row>
    <row customHeight="true" ht="18.51851851851852" r="266">
      <c r="A266" s="161" t="s">
        <v>734</v>
      </c>
      <c r="B266" s="161" t="s">
        <v>730</v>
      </c>
      <c r="C266" s="183" t="s">
        <v>809</v>
      </c>
      <c r="D266" s="189" t="s">
        <v>810</v>
      </c>
      <c r="E266" s="186">
        <v>11.7</v>
      </c>
      <c r="F266" s="163">
        <v>16.99</v>
      </c>
      <c r="G266" s="164">
        <f t="shared" si="11"/>
      </c>
      <c r="H266" s="164">
        <f t="shared" si="75"/>
      </c>
      <c r="I266" s="164">
        <f t="shared" si="137"/>
      </c>
      <c r="J266" s="165">
        <f t="shared" si="218"/>
      </c>
      <c r="K266" s="166">
        <f t="shared" si="271"/>
      </c>
      <c r="L266" s="167">
        <f t="shared" si="342"/>
      </c>
      <c r="M266" s="164">
        <f t="shared" si="387"/>
      </c>
      <c r="N266" s="166">
        <f t="shared" si="433"/>
      </c>
      <c r="O266" s="166">
        <f t="shared" si="462"/>
      </c>
      <c r="P266" s="161">
        <v>60</v>
      </c>
      <c r="Q266" s="168">
        <v>8</v>
      </c>
      <c r="R266" s="169">
        <f t="shared" si="31"/>
      </c>
      <c r="S266" s="165">
        <f t="shared" si="528"/>
      </c>
      <c r="T266" s="169">
        <f t="shared" si="156"/>
      </c>
      <c r="U266" s="169">
        <v>0.01</v>
      </c>
      <c r="V266" s="169">
        <f t="shared" si="293"/>
      </c>
      <c r="W266" s="169">
        <f t="shared" si="364"/>
      </c>
      <c r="X266" s="170">
        <v>0.1646</v>
      </c>
      <c r="Y266" s="171">
        <v>3</v>
      </c>
      <c r="Z266" s="171">
        <v>0</v>
      </c>
      <c r="AA266" s="171">
        <f t="shared" si="484"/>
      </c>
      <c r="AB266" s="166">
        <f t="shared" si="506"/>
      </c>
      <c r="AC266" s="166">
        <v>24.5</v>
      </c>
      <c r="AD266" s="172">
        <f t="shared" si="53"/>
      </c>
      <c r="AE266" s="168">
        <f t="shared" si="104"/>
      </c>
      <c r="AF266" s="169">
        <f t="shared" si="178"/>
      </c>
      <c r="AG266" s="169">
        <f t="shared" si="320"/>
      </c>
      <c r="AH266" s="168">
        <v>4</v>
      </c>
      <c r="AI266" s="169">
        <f t="shared" si="196"/>
      </c>
      <c r="AJ266" s="169"/>
      <c r="AK266" s="169"/>
      <c r="AL266" s="169"/>
      <c r="AM266" s="169"/>
      <c r="AN266" s="173"/>
      <c r="AO266" s="173"/>
      <c r="AP266" s="173"/>
      <c r="AQ266" s="173"/>
      <c r="AR266" s="173"/>
      <c r="AS266" s="173"/>
      <c r="AT266" s="173" t="s">
        <v>725</v>
      </c>
      <c r="AU266" s="173" t="s">
        <v>725</v>
      </c>
      <c r="AV266" s="173" t="s">
        <v>725</v>
      </c>
      <c r="AW266" s="173" t="s">
        <v>725</v>
      </c>
      <c r="AX266" s="173" t="s">
        <v>725</v>
      </c>
      <c r="AY266" s="173" t="s">
        <v>725</v>
      </c>
      <c r="AZ266" s="173" t="s">
        <v>725</v>
      </c>
      <c r="BA266" s="173" t="s">
        <v>725</v>
      </c>
      <c r="BB266" s="173" t="s">
        <v>725</v>
      </c>
      <c r="BC266" s="173" t="s">
        <v>725</v>
      </c>
      <c r="BD266" s="173" t="s">
        <v>725</v>
      </c>
      <c r="BE266" s="173" t="s">
        <v>725</v>
      </c>
      <c r="BF266" s="173" t="s">
        <v>725</v>
      </c>
      <c r="BG266" s="173" t="s">
        <v>725</v>
      </c>
      <c r="BH266" s="173" t="s">
        <v>725</v>
      </c>
      <c r="BI266" s="173" t="s">
        <v>725</v>
      </c>
      <c r="BJ266" s="173" t="s">
        <v>725</v>
      </c>
      <c r="BK266" s="173" t="s">
        <v>725</v>
      </c>
      <c r="BL266" s="173" t="s">
        <v>725</v>
      </c>
      <c r="BM266" s="173" t="s">
        <v>725</v>
      </c>
      <c r="BN266" s="173" t="s">
        <v>725</v>
      </c>
      <c r="BO266" s="173" t="s">
        <v>725</v>
      </c>
      <c r="BP266" s="173" t="s">
        <v>725</v>
      </c>
      <c r="BQ266" s="173" t="s">
        <v>725</v>
      </c>
      <c r="BR266" s="174"/>
      <c r="BS266" s="161" t="str">
        <v>#VALUE!</v>
      </c>
    </row>
    <row customHeight="true" ht="18.51851851851852" r="267">
      <c r="A267" s="161" t="s">
        <v>734</v>
      </c>
      <c r="B267" s="161" t="s">
        <v>730</v>
      </c>
      <c r="C267" s="183" t="s">
        <v>809</v>
      </c>
      <c r="D267" s="189" t="s">
        <v>811</v>
      </c>
      <c r="E267" s="186">
        <v>11.7</v>
      </c>
      <c r="F267" s="163">
        <v>16.99</v>
      </c>
      <c r="G267" s="164">
        <f t="shared" si="11"/>
      </c>
      <c r="H267" s="164">
        <f t="shared" si="75"/>
      </c>
      <c r="I267" s="175">
        <f t="shared" si="137"/>
      </c>
      <c r="J267" s="165">
        <f t="shared" si="218"/>
      </c>
      <c r="K267" s="166">
        <f t="shared" si="271"/>
      </c>
      <c r="L267" s="167">
        <f t="shared" si="342"/>
      </c>
      <c r="M267" s="164">
        <f t="shared" si="387"/>
      </c>
      <c r="N267" s="166">
        <f t="shared" si="433"/>
      </c>
      <c r="O267" s="166">
        <f t="shared" si="462"/>
      </c>
      <c r="P267" s="161">
        <v>60</v>
      </c>
      <c r="Q267" s="168">
        <v>8</v>
      </c>
      <c r="R267" s="169">
        <f t="shared" si="31"/>
      </c>
      <c r="S267" s="165">
        <f t="shared" si="528"/>
      </c>
      <c r="T267" s="169">
        <f t="shared" si="156"/>
      </c>
      <c r="U267" s="169">
        <v>0.01</v>
      </c>
      <c r="V267" s="169">
        <f t="shared" si="293"/>
      </c>
      <c r="W267" s="169">
        <f t="shared" si="364"/>
      </c>
      <c r="X267" s="170">
        <v>0.1646</v>
      </c>
      <c r="Y267" s="171">
        <v>3</v>
      </c>
      <c r="Z267" s="171">
        <f>F267*0.1</f>
      </c>
      <c r="AA267" s="171">
        <f t="shared" si="484"/>
      </c>
      <c r="AB267" s="166">
        <f t="shared" si="506"/>
      </c>
      <c r="AC267" s="166">
        <v>24.5</v>
      </c>
      <c r="AD267" s="172">
        <f t="shared" si="53"/>
      </c>
      <c r="AE267" s="168">
        <f t="shared" si="104"/>
      </c>
      <c r="AF267" s="169">
        <f t="shared" si="178"/>
      </c>
      <c r="AG267" s="169">
        <f t="shared" si="320"/>
      </c>
      <c r="AH267" s="168">
        <v>4</v>
      </c>
      <c r="AI267" s="169">
        <f t="shared" si="196"/>
      </c>
      <c r="AJ267" s="169"/>
      <c r="AK267" s="169"/>
      <c r="AL267" s="169"/>
      <c r="AM267" s="169"/>
      <c r="AN267" s="173"/>
      <c r="AO267" s="173"/>
      <c r="AP267" s="173"/>
      <c r="AQ267" s="173"/>
      <c r="AR267" s="173"/>
      <c r="AS267" s="173"/>
      <c r="AT267" s="173" t="s">
        <v>725</v>
      </c>
      <c r="AU267" s="173" t="s">
        <v>725</v>
      </c>
      <c r="AV267" s="173" t="s">
        <v>725</v>
      </c>
      <c r="AW267" s="173" t="s">
        <v>725</v>
      </c>
      <c r="AX267" s="173" t="s">
        <v>725</v>
      </c>
      <c r="AY267" s="173" t="s">
        <v>725</v>
      </c>
      <c r="AZ267" s="173" t="s">
        <v>725</v>
      </c>
      <c r="BA267" s="173" t="s">
        <v>725</v>
      </c>
      <c r="BB267" s="173" t="s">
        <v>725</v>
      </c>
      <c r="BC267" s="173" t="s">
        <v>725</v>
      </c>
      <c r="BD267" s="173" t="s">
        <v>725</v>
      </c>
      <c r="BE267" s="173" t="s">
        <v>725</v>
      </c>
      <c r="BF267" s="173" t="s">
        <v>725</v>
      </c>
      <c r="BG267" s="173" t="s">
        <v>725</v>
      </c>
      <c r="BH267" s="173" t="s">
        <v>725</v>
      </c>
      <c r="BI267" s="173" t="s">
        <v>725</v>
      </c>
      <c r="BJ267" s="173" t="s">
        <v>725</v>
      </c>
      <c r="BK267" s="173" t="s">
        <v>725</v>
      </c>
      <c r="BL267" s="173" t="s">
        <v>725</v>
      </c>
      <c r="BM267" s="173" t="s">
        <v>725</v>
      </c>
      <c r="BN267" s="173" t="s">
        <v>725</v>
      </c>
      <c r="BO267" s="173" t="s">
        <v>725</v>
      </c>
      <c r="BP267" s="173" t="s">
        <v>725</v>
      </c>
      <c r="BQ267" s="173" t="s">
        <v>725</v>
      </c>
      <c r="BR267" s="174"/>
      <c r="BS267" s="161" t="str">
        <v>#VALUE!</v>
      </c>
    </row>
    <row customHeight="true" ht="18.51851851851852" r="268">
      <c r="A268" s="161" t="s">
        <v>734</v>
      </c>
      <c r="B268" s="161" t="s">
        <v>730</v>
      </c>
      <c r="C268" s="183" t="s">
        <v>809</v>
      </c>
      <c r="D268" s="189" t="s">
        <v>812</v>
      </c>
      <c r="E268" s="186">
        <v>11.7</v>
      </c>
      <c r="F268" s="163">
        <v>16.99</v>
      </c>
      <c r="G268" s="164">
        <f t="shared" si="11"/>
      </c>
      <c r="H268" s="164">
        <f t="shared" si="75"/>
      </c>
      <c r="I268" s="164">
        <f t="shared" si="137"/>
      </c>
      <c r="J268" s="165">
        <f t="shared" si="218"/>
      </c>
      <c r="K268" s="166">
        <f t="shared" si="271"/>
      </c>
      <c r="L268" s="167">
        <f t="shared" si="342"/>
      </c>
      <c r="M268" s="164">
        <f t="shared" si="387"/>
      </c>
      <c r="N268" s="166">
        <f t="shared" si="433"/>
      </c>
      <c r="O268" s="166">
        <f t="shared" si="462"/>
      </c>
      <c r="P268" s="161">
        <v>60</v>
      </c>
      <c r="Q268" s="168">
        <v>8</v>
      </c>
      <c r="R268" s="169">
        <f t="shared" si="31"/>
      </c>
      <c r="S268" s="165">
        <f t="shared" si="528"/>
      </c>
      <c r="T268" s="169">
        <f t="shared" si="156"/>
      </c>
      <c r="U268" s="169">
        <v>0.01</v>
      </c>
      <c r="V268" s="169">
        <f t="shared" si="293"/>
      </c>
      <c r="W268" s="169">
        <f t="shared" si="364"/>
      </c>
      <c r="X268" s="170">
        <v>0.1646</v>
      </c>
      <c r="Y268" s="171">
        <v>3</v>
      </c>
      <c r="Z268" s="171">
        <f>F268*0.15</f>
      </c>
      <c r="AA268" s="171">
        <f t="shared" si="484"/>
      </c>
      <c r="AB268" s="166">
        <f t="shared" si="506"/>
      </c>
      <c r="AC268" s="166">
        <v>24.5</v>
      </c>
      <c r="AD268" s="172">
        <f t="shared" si="53"/>
      </c>
      <c r="AE268" s="168">
        <f t="shared" si="104"/>
      </c>
      <c r="AF268" s="169">
        <f t="shared" si="178"/>
      </c>
      <c r="AG268" s="169">
        <f t="shared" si="320"/>
      </c>
      <c r="AH268" s="168">
        <v>4</v>
      </c>
      <c r="AI268" s="169">
        <f t="shared" si="196"/>
      </c>
      <c r="AJ268" s="169"/>
      <c r="AK268" s="169"/>
      <c r="AL268" s="169"/>
      <c r="AM268" s="169"/>
      <c r="AN268" s="173"/>
      <c r="AO268" s="173"/>
      <c r="AP268" s="173"/>
      <c r="AQ268" s="173"/>
      <c r="AR268" s="173"/>
      <c r="AS268" s="173"/>
      <c r="AT268" s="173" t="s">
        <v>725</v>
      </c>
      <c r="AU268" s="173" t="s">
        <v>725</v>
      </c>
      <c r="AV268" s="173" t="s">
        <v>725</v>
      </c>
      <c r="AW268" s="173" t="s">
        <v>725</v>
      </c>
      <c r="AX268" s="173" t="s">
        <v>725</v>
      </c>
      <c r="AY268" s="173" t="s">
        <v>725</v>
      </c>
      <c r="AZ268" s="173" t="s">
        <v>725</v>
      </c>
      <c r="BA268" s="173" t="s">
        <v>725</v>
      </c>
      <c r="BB268" s="173" t="s">
        <v>725</v>
      </c>
      <c r="BC268" s="173" t="s">
        <v>725</v>
      </c>
      <c r="BD268" s="173" t="s">
        <v>725</v>
      </c>
      <c r="BE268" s="173" t="s">
        <v>725</v>
      </c>
      <c r="BF268" s="173" t="s">
        <v>725</v>
      </c>
      <c r="BG268" s="173" t="s">
        <v>725</v>
      </c>
      <c r="BH268" s="173" t="s">
        <v>725</v>
      </c>
      <c r="BI268" s="173" t="s">
        <v>725</v>
      </c>
      <c r="BJ268" s="173" t="s">
        <v>725</v>
      </c>
      <c r="BK268" s="173" t="s">
        <v>725</v>
      </c>
      <c r="BL268" s="173" t="s">
        <v>725</v>
      </c>
      <c r="BM268" s="173" t="s">
        <v>725</v>
      </c>
      <c r="BN268" s="173" t="s">
        <v>725</v>
      </c>
      <c r="BO268" s="173" t="s">
        <v>725</v>
      </c>
      <c r="BP268" s="173" t="s">
        <v>725</v>
      </c>
      <c r="BQ268" s="173" t="s">
        <v>725</v>
      </c>
      <c r="BR268" s="174"/>
      <c r="BS268" s="161" t="str">
        <v>#VALUE!</v>
      </c>
    </row>
    <row customHeight="true" ht="18.51851851851852" r="269">
      <c r="A269" s="161" t="s">
        <v>735</v>
      </c>
      <c r="B269" s="161" t="s">
        <v>730</v>
      </c>
      <c r="C269" s="183" t="s">
        <v>809</v>
      </c>
      <c r="D269" s="178" t="s">
        <v>813</v>
      </c>
      <c r="E269" s="186">
        <v>11.7</v>
      </c>
      <c r="F269" s="163">
        <v>16.99</v>
      </c>
      <c r="G269" s="164">
        <f t="shared" si="11"/>
      </c>
      <c r="H269" s="164">
        <f t="shared" si="75"/>
      </c>
      <c r="I269" s="164">
        <f t="shared" si="137"/>
      </c>
      <c r="J269" s="165">
        <f t="shared" si="218"/>
      </c>
      <c r="K269" s="166">
        <f t="shared" si="271"/>
      </c>
      <c r="L269" s="167">
        <f t="shared" si="342"/>
      </c>
      <c r="M269" s="164">
        <f t="shared" si="387"/>
      </c>
      <c r="N269" s="166">
        <f t="shared" si="433"/>
      </c>
      <c r="O269" s="166">
        <f t="shared" si="462"/>
      </c>
      <c r="P269" s="161">
        <v>60</v>
      </c>
      <c r="Q269" s="168">
        <v>8</v>
      </c>
      <c r="R269" s="169">
        <f t="shared" si="31"/>
      </c>
      <c r="S269" s="165">
        <f t="shared" si="528"/>
      </c>
      <c r="T269" s="169">
        <f t="shared" si="156"/>
      </c>
      <c r="U269" s="169">
        <v>0.01</v>
      </c>
      <c r="V269" s="169">
        <f t="shared" si="293"/>
      </c>
      <c r="W269" s="169">
        <f t="shared" si="364"/>
      </c>
      <c r="X269" s="170">
        <v>0.158</v>
      </c>
      <c r="Y269" s="171">
        <v>3</v>
      </c>
      <c r="Z269" s="171">
        <f t="shared" ref="Z269:Z272" si="406">F269*0</f>
      </c>
      <c r="AA269" s="171">
        <f t="shared" si="484"/>
      </c>
      <c r="AB269" s="166">
        <f t="shared" si="506"/>
      </c>
      <c r="AC269" s="166">
        <v>24.5</v>
      </c>
      <c r="AD269" s="172">
        <f t="shared" si="53"/>
      </c>
      <c r="AE269" s="168">
        <f t="shared" si="104"/>
      </c>
      <c r="AF269" s="169">
        <f t="shared" si="178"/>
      </c>
      <c r="AG269" s="169">
        <f t="shared" si="320"/>
      </c>
      <c r="AH269" s="168">
        <v>4</v>
      </c>
      <c r="AI269" s="169">
        <f t="shared" si="196"/>
      </c>
      <c r="AJ269" s="173"/>
      <c r="AK269" s="173"/>
      <c r="AL269" s="173"/>
      <c r="AM269" s="173"/>
      <c r="AN269" s="173"/>
      <c r="AO269" s="173"/>
      <c r="AP269" s="173"/>
      <c r="AQ269" s="173"/>
      <c r="AR269" s="173"/>
      <c r="AS269" s="173"/>
      <c r="AT269" s="173" t="s">
        <v>725</v>
      </c>
      <c r="AU269" s="173" t="s">
        <v>725</v>
      </c>
      <c r="AV269" s="173" t="s">
        <v>725</v>
      </c>
      <c r="AW269" s="173" t="s">
        <v>725</v>
      </c>
      <c r="AX269" s="173" t="s">
        <v>725</v>
      </c>
      <c r="AY269" s="173" t="s">
        <v>725</v>
      </c>
      <c r="AZ269" s="173" t="s">
        <v>725</v>
      </c>
      <c r="BA269" s="173" t="s">
        <v>725</v>
      </c>
      <c r="BB269" s="173" t="s">
        <v>725</v>
      </c>
      <c r="BC269" s="173" t="s">
        <v>725</v>
      </c>
      <c r="BD269" s="173" t="s">
        <v>725</v>
      </c>
      <c r="BE269" s="173" t="s">
        <v>725</v>
      </c>
      <c r="BF269" s="173" t="s">
        <v>725</v>
      </c>
      <c r="BG269" s="173" t="s">
        <v>725</v>
      </c>
      <c r="BH269" s="173" t="s">
        <v>725</v>
      </c>
      <c r="BI269" s="173" t="s">
        <v>725</v>
      </c>
      <c r="BJ269" s="173" t="s">
        <v>725</v>
      </c>
      <c r="BK269" s="173" t="s">
        <v>725</v>
      </c>
      <c r="BL269" s="173" t="s">
        <v>725</v>
      </c>
      <c r="BM269" s="173" t="s">
        <v>725</v>
      </c>
      <c r="BN269" s="173" t="s">
        <v>725</v>
      </c>
      <c r="BO269" s="173" t="s">
        <v>725</v>
      </c>
      <c r="BP269" s="173" t="s">
        <v>725</v>
      </c>
      <c r="BQ269" s="173" t="s">
        <v>725</v>
      </c>
      <c r="BR269" s="180">
        <f t="shared" ref="BR269:BR272" si="247">IF(E269&lt;#REF!,1,0)</f>
      </c>
      <c r="BS269" s="161" t="str">
        <v>#VALUE!</v>
      </c>
    </row>
    <row customHeight="true" ht="18.51851851851852" r="270">
      <c r="A270" s="161" t="s">
        <v>737</v>
      </c>
      <c r="B270" s="161" t="s">
        <v>730</v>
      </c>
      <c r="C270" s="183" t="s">
        <v>809</v>
      </c>
      <c r="D270" s="178" t="s">
        <v>814</v>
      </c>
      <c r="E270" s="186">
        <v>12.4</v>
      </c>
      <c r="F270" s="163">
        <v>17.99</v>
      </c>
      <c r="G270" s="164">
        <f t="shared" si="11"/>
      </c>
      <c r="H270" s="164">
        <f t="shared" si="75"/>
      </c>
      <c r="I270" s="164">
        <f t="shared" si="137"/>
      </c>
      <c r="J270" s="165">
        <f t="shared" si="218"/>
      </c>
      <c r="K270" s="166">
        <f t="shared" si="271"/>
      </c>
      <c r="L270" s="167">
        <f t="shared" si="342"/>
      </c>
      <c r="M270" s="164">
        <f t="shared" si="387"/>
      </c>
      <c r="N270" s="166">
        <f t="shared" si="433"/>
      </c>
      <c r="O270" s="166">
        <f t="shared" si="462"/>
      </c>
      <c r="P270" s="161">
        <v>60</v>
      </c>
      <c r="Q270" s="168">
        <v>8</v>
      </c>
      <c r="R270" s="169">
        <f t="shared" si="31"/>
      </c>
      <c r="S270" s="165">
        <f t="shared" si="528"/>
      </c>
      <c r="T270" s="169">
        <f t="shared" si="156"/>
      </c>
      <c r="U270" s="169">
        <v>0.01</v>
      </c>
      <c r="V270" s="169">
        <f t="shared" si="293"/>
      </c>
      <c r="W270" s="169">
        <f t="shared" si="364"/>
      </c>
      <c r="X270" s="170">
        <v>0.223</v>
      </c>
      <c r="Y270" s="171">
        <v>3</v>
      </c>
      <c r="Z270" s="171">
        <f t="shared" si="406"/>
      </c>
      <c r="AA270" s="171">
        <f t="shared" si="484"/>
      </c>
      <c r="AB270" s="166">
        <f t="shared" si="506"/>
      </c>
      <c r="AC270" s="166">
        <v>24.5</v>
      </c>
      <c r="AD270" s="172">
        <f t="shared" si="53"/>
      </c>
      <c r="AE270" s="168">
        <f t="shared" si="104"/>
      </c>
      <c r="AF270" s="169">
        <f t="shared" si="178"/>
      </c>
      <c r="AG270" s="169">
        <f t="shared" si="320"/>
      </c>
      <c r="AH270" s="168">
        <v>4</v>
      </c>
      <c r="AI270" s="169">
        <f t="shared" si="196"/>
      </c>
      <c r="AJ270" s="173"/>
      <c r="AK270" s="173"/>
      <c r="AL270" s="173"/>
      <c r="AM270" s="173"/>
      <c r="AN270" s="173"/>
      <c r="AO270" s="173"/>
      <c r="AP270" s="173"/>
      <c r="AQ270" s="173"/>
      <c r="AR270" s="173"/>
      <c r="AS270" s="173"/>
      <c r="AT270" s="173" t="s">
        <v>725</v>
      </c>
      <c r="AU270" s="173" t="s">
        <v>725</v>
      </c>
      <c r="AV270" s="173" t="s">
        <v>725</v>
      </c>
      <c r="AW270" s="173" t="s">
        <v>725</v>
      </c>
      <c r="AX270" s="173" t="s">
        <v>725</v>
      </c>
      <c r="AY270" s="173" t="s">
        <v>725</v>
      </c>
      <c r="AZ270" s="173" t="s">
        <v>725</v>
      </c>
      <c r="BA270" s="173" t="s">
        <v>725</v>
      </c>
      <c r="BB270" s="173" t="s">
        <v>725</v>
      </c>
      <c r="BC270" s="173" t="s">
        <v>725</v>
      </c>
      <c r="BD270" s="173" t="s">
        <v>725</v>
      </c>
      <c r="BE270" s="173" t="s">
        <v>725</v>
      </c>
      <c r="BF270" s="173" t="s">
        <v>725</v>
      </c>
      <c r="BG270" s="173" t="s">
        <v>725</v>
      </c>
      <c r="BH270" s="173" t="s">
        <v>725</v>
      </c>
      <c r="BI270" s="173" t="s">
        <v>725</v>
      </c>
      <c r="BJ270" s="173" t="s">
        <v>725</v>
      </c>
      <c r="BK270" s="173" t="s">
        <v>725</v>
      </c>
      <c r="BL270" s="173" t="s">
        <v>725</v>
      </c>
      <c r="BM270" s="173" t="s">
        <v>725</v>
      </c>
      <c r="BN270" s="173" t="s">
        <v>725</v>
      </c>
      <c r="BO270" s="173" t="s">
        <v>725</v>
      </c>
      <c r="BP270" s="173" t="s">
        <v>725</v>
      </c>
      <c r="BQ270" s="173" t="s">
        <v>725</v>
      </c>
      <c r="BR270" s="180">
        <f t="shared" si="247"/>
      </c>
      <c r="BS270" s="161" t="str">
        <v>#VALUE!</v>
      </c>
    </row>
    <row customHeight="true" ht="18.51851851851852" r="271">
      <c r="A271" s="161" t="s">
        <v>739</v>
      </c>
      <c r="B271" s="161" t="s">
        <v>730</v>
      </c>
      <c r="C271" s="183" t="s">
        <v>809</v>
      </c>
      <c r="D271" s="178" t="s">
        <v>815</v>
      </c>
      <c r="E271" s="186">
        <v>12.4</v>
      </c>
      <c r="F271" s="163">
        <v>17.99</v>
      </c>
      <c r="G271" s="164">
        <f t="shared" si="11"/>
      </c>
      <c r="H271" s="164">
        <f t="shared" si="75"/>
      </c>
      <c r="I271" s="164">
        <f t="shared" si="137"/>
      </c>
      <c r="J271" s="165">
        <f t="shared" si="218"/>
      </c>
      <c r="K271" s="166">
        <f t="shared" si="271"/>
      </c>
      <c r="L271" s="167">
        <f t="shared" si="342"/>
      </c>
      <c r="M271" s="164">
        <f t="shared" si="387"/>
      </c>
      <c r="N271" s="166">
        <f t="shared" si="433"/>
      </c>
      <c r="O271" s="166">
        <f t="shared" si="462"/>
      </c>
      <c r="P271" s="161">
        <v>60</v>
      </c>
      <c r="Q271" s="168">
        <v>8</v>
      </c>
      <c r="R271" s="169">
        <f t="shared" si="31"/>
      </c>
      <c r="S271" s="165">
        <f t="shared" si="528"/>
      </c>
      <c r="T271" s="169">
        <f t="shared" si="156"/>
      </c>
      <c r="U271" s="169">
        <v>0.01</v>
      </c>
      <c r="V271" s="169">
        <f t="shared" si="293"/>
      </c>
      <c r="W271" s="169">
        <f t="shared" si="364"/>
      </c>
      <c r="X271" s="170">
        <v>0.223</v>
      </c>
      <c r="Y271" s="171">
        <v>3</v>
      </c>
      <c r="Z271" s="171">
        <f t="shared" si="406"/>
      </c>
      <c r="AA271" s="171">
        <f t="shared" si="484"/>
      </c>
      <c r="AB271" s="166">
        <f t="shared" si="506"/>
      </c>
      <c r="AC271" s="166">
        <v>24.5</v>
      </c>
      <c r="AD271" s="172">
        <f t="shared" si="53"/>
      </c>
      <c r="AE271" s="168">
        <f t="shared" si="104"/>
      </c>
      <c r="AF271" s="169">
        <f t="shared" si="178"/>
      </c>
      <c r="AG271" s="169">
        <f t="shared" si="320"/>
      </c>
      <c r="AH271" s="168">
        <v>4</v>
      </c>
      <c r="AI271" s="169">
        <f t="shared" si="196"/>
      </c>
      <c r="AJ271" s="173"/>
      <c r="AK271" s="173"/>
      <c r="AL271" s="173"/>
      <c r="AM271" s="173"/>
      <c r="AN271" s="173"/>
      <c r="AO271" s="173"/>
      <c r="AP271" s="173"/>
      <c r="AQ271" s="173"/>
      <c r="AR271" s="173"/>
      <c r="AS271" s="173"/>
      <c r="AT271" s="173" t="s">
        <v>725</v>
      </c>
      <c r="AU271" s="173" t="s">
        <v>725</v>
      </c>
      <c r="AV271" s="173" t="s">
        <v>725</v>
      </c>
      <c r="AW271" s="173" t="s">
        <v>725</v>
      </c>
      <c r="AX271" s="173" t="s">
        <v>725</v>
      </c>
      <c r="AY271" s="173" t="s">
        <v>725</v>
      </c>
      <c r="AZ271" s="173" t="s">
        <v>725</v>
      </c>
      <c r="BA271" s="173" t="s">
        <v>725</v>
      </c>
      <c r="BB271" s="173" t="s">
        <v>725</v>
      </c>
      <c r="BC271" s="173" t="s">
        <v>725</v>
      </c>
      <c r="BD271" s="173" t="s">
        <v>725</v>
      </c>
      <c r="BE271" s="173" t="s">
        <v>725</v>
      </c>
      <c r="BF271" s="173" t="s">
        <v>725</v>
      </c>
      <c r="BG271" s="173" t="s">
        <v>725</v>
      </c>
      <c r="BH271" s="173" t="s">
        <v>725</v>
      </c>
      <c r="BI271" s="173" t="s">
        <v>725</v>
      </c>
      <c r="BJ271" s="173" t="s">
        <v>725</v>
      </c>
      <c r="BK271" s="173" t="s">
        <v>725</v>
      </c>
      <c r="BL271" s="173" t="s">
        <v>725</v>
      </c>
      <c r="BM271" s="173" t="s">
        <v>725</v>
      </c>
      <c r="BN271" s="173" t="s">
        <v>725</v>
      </c>
      <c r="BO271" s="173" t="s">
        <v>725</v>
      </c>
      <c r="BP271" s="173" t="s">
        <v>725</v>
      </c>
      <c r="BQ271" s="173" t="s">
        <v>725</v>
      </c>
      <c r="BR271" s="180">
        <f t="shared" si="247"/>
      </c>
      <c r="BS271" s="161" t="str">
        <v>#VALUE!</v>
      </c>
    </row>
    <row customHeight="true" ht="18.51851851851852" r="272">
      <c r="A272" s="161" t="s">
        <v>741</v>
      </c>
      <c r="B272" s="161" t="s">
        <v>730</v>
      </c>
      <c r="C272" s="183" t="s">
        <v>809</v>
      </c>
      <c r="D272" s="178" t="s">
        <v>816</v>
      </c>
      <c r="E272" s="186">
        <v>11.7</v>
      </c>
      <c r="F272" s="163">
        <v>16.99</v>
      </c>
      <c r="G272" s="164">
        <f t="shared" si="11"/>
      </c>
      <c r="H272" s="164">
        <f t="shared" si="75"/>
      </c>
      <c r="I272" s="164">
        <f t="shared" si="137"/>
      </c>
      <c r="J272" s="165">
        <f t="shared" si="218"/>
      </c>
      <c r="K272" s="166">
        <f t="shared" si="271"/>
      </c>
      <c r="L272" s="167">
        <f t="shared" si="342"/>
      </c>
      <c r="M272" s="164">
        <f t="shared" si="387"/>
      </c>
      <c r="N272" s="166">
        <f t="shared" si="433"/>
      </c>
      <c r="O272" s="166">
        <f t="shared" si="462"/>
      </c>
      <c r="P272" s="161">
        <v>60</v>
      </c>
      <c r="Q272" s="168">
        <v>8</v>
      </c>
      <c r="R272" s="169">
        <f t="shared" si="31"/>
      </c>
      <c r="S272" s="165">
        <f t="shared" si="528"/>
      </c>
      <c r="T272" s="169">
        <f t="shared" si="156"/>
      </c>
      <c r="U272" s="169">
        <v>0.01</v>
      </c>
      <c r="V272" s="169">
        <f t="shared" si="293"/>
      </c>
      <c r="W272" s="169">
        <f t="shared" si="364"/>
      </c>
      <c r="X272" s="170">
        <v>0.158</v>
      </c>
      <c r="Y272" s="171">
        <v>3</v>
      </c>
      <c r="Z272" s="171">
        <f t="shared" si="406"/>
      </c>
      <c r="AA272" s="171">
        <f t="shared" si="484"/>
      </c>
      <c r="AB272" s="166">
        <f t="shared" si="506"/>
      </c>
      <c r="AC272" s="166">
        <v>24.5</v>
      </c>
      <c r="AD272" s="172">
        <f t="shared" si="53"/>
      </c>
      <c r="AE272" s="168">
        <f t="shared" si="104"/>
      </c>
      <c r="AF272" s="169">
        <f t="shared" si="178"/>
      </c>
      <c r="AG272" s="169">
        <f t="shared" si="320"/>
      </c>
      <c r="AH272" s="168">
        <v>4</v>
      </c>
      <c r="AI272" s="169">
        <f t="shared" si="196"/>
      </c>
      <c r="AJ272" s="169"/>
      <c r="AK272" s="169"/>
      <c r="AL272" s="169"/>
      <c r="AM272" s="169"/>
      <c r="AN272" s="173"/>
      <c r="AO272" s="173"/>
      <c r="AP272" s="173"/>
      <c r="AQ272" s="173"/>
      <c r="AR272" s="173"/>
      <c r="AS272" s="173"/>
      <c r="AT272" s="173" t="s">
        <v>725</v>
      </c>
      <c r="AU272" s="173" t="s">
        <v>725</v>
      </c>
      <c r="AV272" s="173" t="s">
        <v>725</v>
      </c>
      <c r="AW272" s="173" t="s">
        <v>725</v>
      </c>
      <c r="AX272" s="173" t="s">
        <v>725</v>
      </c>
      <c r="AY272" s="173" t="s">
        <v>725</v>
      </c>
      <c r="AZ272" s="173" t="s">
        <v>725</v>
      </c>
      <c r="BA272" s="173" t="s">
        <v>725</v>
      </c>
      <c r="BB272" s="173" t="s">
        <v>725</v>
      </c>
      <c r="BC272" s="173" t="s">
        <v>725</v>
      </c>
      <c r="BD272" s="173" t="s">
        <v>725</v>
      </c>
      <c r="BE272" s="173" t="s">
        <v>725</v>
      </c>
      <c r="BF272" s="173" t="s">
        <v>725</v>
      </c>
      <c r="BG272" s="173" t="s">
        <v>725</v>
      </c>
      <c r="BH272" s="173" t="s">
        <v>725</v>
      </c>
      <c r="BI272" s="173" t="s">
        <v>725</v>
      </c>
      <c r="BJ272" s="173" t="s">
        <v>725</v>
      </c>
      <c r="BK272" s="173" t="s">
        <v>725</v>
      </c>
      <c r="BL272" s="173" t="s">
        <v>725</v>
      </c>
      <c r="BM272" s="173" t="s">
        <v>725</v>
      </c>
      <c r="BN272" s="173" t="s">
        <v>725</v>
      </c>
      <c r="BO272" s="173" t="s">
        <v>725</v>
      </c>
      <c r="BP272" s="173" t="s">
        <v>725</v>
      </c>
      <c r="BQ272" s="173" t="s">
        <v>725</v>
      </c>
      <c r="BR272" s="180">
        <f t="shared" si="247"/>
      </c>
      <c r="BS272" s="161" t="str">
        <v>#VALUE!</v>
      </c>
    </row>
    <row customHeight="true" ht="18.51851851851852" r="273">
      <c r="A273" s="161"/>
      <c r="B273" s="161"/>
      <c r="C273" s="183"/>
      <c r="D273" s="178"/>
      <c r="E273" s="186"/>
      <c r="F273" s="163"/>
      <c r="G273" s="164"/>
      <c r="H273" s="164"/>
      <c r="I273" s="164"/>
      <c r="J273" s="165"/>
      <c r="K273" s="166"/>
      <c r="L273" s="167"/>
      <c r="M273" s="164"/>
      <c r="N273" s="166"/>
      <c r="O273" s="166"/>
      <c r="P273" s="161"/>
      <c r="Q273" s="168"/>
      <c r="R273" s="169"/>
      <c r="S273" s="165"/>
      <c r="T273" s="169"/>
      <c r="U273" s="169"/>
      <c r="V273" s="169"/>
      <c r="W273" s="169"/>
      <c r="X273" s="170"/>
      <c r="Y273" s="171"/>
      <c r="Z273" s="171"/>
      <c r="AA273" s="171"/>
      <c r="AB273" s="166"/>
      <c r="AC273" s="166"/>
      <c r="AD273" s="172"/>
      <c r="AE273" s="168"/>
      <c r="AF273" s="169"/>
      <c r="AG273" s="169"/>
      <c r="AH273" s="168"/>
      <c r="AI273" s="169"/>
      <c r="AJ273" s="169"/>
      <c r="AK273" s="169"/>
      <c r="AL273" s="169"/>
      <c r="AM273" s="169"/>
      <c r="AN273" s="173"/>
      <c r="AO273" s="173"/>
      <c r="AP273" s="173"/>
      <c r="AQ273" s="173"/>
      <c r="AR273" s="173"/>
      <c r="AS273" s="173"/>
      <c r="AT273" s="173"/>
      <c r="AU273" s="173"/>
      <c r="AV273" s="173"/>
      <c r="AW273" s="173"/>
      <c r="AX273" s="173"/>
      <c r="AY273" s="173"/>
      <c r="AZ273" s="173"/>
      <c r="BA273" s="173"/>
      <c r="BB273" s="173"/>
      <c r="BC273" s="173"/>
      <c r="BD273" s="173"/>
      <c r="BE273" s="173"/>
      <c r="BF273" s="173"/>
      <c r="BG273" s="173"/>
      <c r="BH273" s="173"/>
      <c r="BI273" s="173"/>
      <c r="BJ273" s="173"/>
      <c r="BK273" s="173"/>
      <c r="BL273" s="173"/>
      <c r="BM273" s="173"/>
      <c r="BN273" s="173"/>
      <c r="BO273" s="173"/>
      <c r="BP273" s="173"/>
      <c r="BQ273" s="173"/>
      <c r="BR273" s="174"/>
      <c r="BS273" s="161"/>
    </row>
    <row customHeight="true" ht="18.51851851851852" r="274">
      <c r="A274" s="161" t="s">
        <v>721</v>
      </c>
      <c r="B274" s="161" t="s">
        <v>730</v>
      </c>
      <c r="C274" s="183" t="s">
        <v>817</v>
      </c>
      <c r="D274" s="189" t="s">
        <v>818</v>
      </c>
      <c r="E274" s="186">
        <v>27.6</v>
      </c>
      <c r="F274" s="163">
        <v>39.99</v>
      </c>
      <c r="G274" s="164">
        <f t="shared" ref="G274:G292" si="12">(F274-Z274)</f>
      </c>
      <c r="H274" s="164">
        <f t="shared" ref="H274:H292" si="76">(F274-Z274)/1.2</f>
      </c>
      <c r="I274" s="164">
        <f t="shared" ref="I274:I292" si="138">E274-N274/Q274-AB274-Y274-O274-Z274-AA274</f>
      </c>
      <c r="J274" s="165">
        <f t="shared" ref="J274:J292" si="219">I274/E274</f>
      </c>
      <c r="K274" s="166">
        <f t="shared" ref="K274:K292" si="272">F274/1.2</f>
      </c>
      <c r="L274" s="167">
        <f t="shared" ref="L274:L292" si="343">(K274-E274)/K274</f>
      </c>
      <c r="M274" s="164">
        <f t="shared" ref="M274:M292" si="388">F274/1.2-E274</f>
      </c>
      <c r="N274" s="166">
        <f>AD274+AH275</f>
      </c>
      <c r="O274" s="166">
        <f t="shared" ref="O274:O292" si="463">IFERROR(IF(A274="UK",8.95/P274,IF(A274="DE",7.75/P274,IF(A274="FR",14.25/P274,IF(A274="IT",15.25/P274,IF(A274="ES",19.25/P274,IF(A274="NL",16.75/P274,IF(A274="PL",14.05/P274,IF(A274="SE",18.25/P274,IF(A274="BE",14.25/P274))))))))),0)</f>
      </c>
      <c r="P274" s="161">
        <v>30</v>
      </c>
      <c r="Q274" s="168">
        <v>9</v>
      </c>
      <c r="R274" s="169">
        <f t="shared" ref="R274:R292" si="32">Y274/E274</f>
      </c>
      <c r="S274" s="165">
        <f t="shared" ref="S274:S292" si="529">Y274/F274</f>
      </c>
      <c r="T274" s="169">
        <f t="shared" ref="T274:T292" si="157">Z274/E274</f>
      </c>
      <c r="U274" s="169">
        <v>0.01</v>
      </c>
      <c r="V274" s="169">
        <f t="shared" ref="V274:V292" si="294">N274/(E274*Q274)</f>
      </c>
      <c r="W274" s="169">
        <f t="shared" ref="W274:W292" si="365">O274/E274</f>
      </c>
      <c r="X274" s="170">
        <v>0.158</v>
      </c>
      <c r="Y274" s="171">
        <v>5</v>
      </c>
      <c r="Z274" s="171">
        <v>0</v>
      </c>
      <c r="AA274" s="171">
        <f t="shared" ref="AA274:AA292" si="485">E274*U274</f>
      </c>
      <c r="AB274" s="166">
        <f t="shared" ref="AB274:AB292" si="507">E274*X274</f>
      </c>
      <c r="AC274" s="166">
        <v>90</v>
      </c>
      <c r="AD274" s="172">
        <f t="shared" ref="AD274:AD292" si="54">AC274/1.13</f>
      </c>
      <c r="AE274" s="168">
        <f>AH275/Q274</f>
      </c>
      <c r="AF274" s="169">
        <f t="shared" ref="AF274:AF292" si="179">AD274/(E274*Q274)</f>
      </c>
      <c r="AG274" s="169">
        <f t="shared" ref="AG274:AG292" si="321">AE274/Q274/E274</f>
      </c>
      <c r="AH274" s="168">
        <v>8</v>
      </c>
      <c r="AI274" s="169">
        <f t="shared" ref="AI274:AI292" si="197">(H274-E274+AB274)/H274</f>
      </c>
      <c r="AJ274" s="169"/>
      <c r="AK274" s="169"/>
      <c r="AL274" s="169"/>
      <c r="AM274" s="169"/>
      <c r="AN274" s="173"/>
      <c r="AO274" s="173"/>
      <c r="AP274" s="173"/>
      <c r="AQ274" s="173"/>
      <c r="AR274" s="173"/>
      <c r="AS274" s="173"/>
      <c r="AT274" s="173" t="s">
        <v>725</v>
      </c>
      <c r="AU274" s="173" t="s">
        <v>725</v>
      </c>
      <c r="AV274" s="173" t="s">
        <v>725</v>
      </c>
      <c r="AW274" s="173" t="s">
        <v>725</v>
      </c>
      <c r="AX274" s="173" t="s">
        <v>725</v>
      </c>
      <c r="AY274" s="173" t="s">
        <v>725</v>
      </c>
      <c r="AZ274" s="173" t="s">
        <v>725</v>
      </c>
      <c r="BA274" s="173" t="s">
        <v>725</v>
      </c>
      <c r="BB274" s="173" t="s">
        <v>725</v>
      </c>
      <c r="BC274" s="173" t="s">
        <v>725</v>
      </c>
      <c r="BD274" s="173" t="s">
        <v>725</v>
      </c>
      <c r="BE274" s="173" t="s">
        <v>725</v>
      </c>
      <c r="BF274" s="173" t="s">
        <v>725</v>
      </c>
      <c r="BG274" s="173" t="s">
        <v>725</v>
      </c>
      <c r="BH274" s="173" t="s">
        <v>725</v>
      </c>
      <c r="BI274" s="173" t="s">
        <v>725</v>
      </c>
      <c r="BJ274" s="173" t="s">
        <v>725</v>
      </c>
      <c r="BK274" s="173" t="s">
        <v>725</v>
      </c>
      <c r="BL274" s="173" t="s">
        <v>725</v>
      </c>
      <c r="BM274" s="173" t="s">
        <v>725</v>
      </c>
      <c r="BN274" s="173" t="s">
        <v>725</v>
      </c>
      <c r="BO274" s="173" t="s">
        <v>725</v>
      </c>
      <c r="BP274" s="173" t="s">
        <v>725</v>
      </c>
      <c r="BQ274" s="173" t="s">
        <v>725</v>
      </c>
      <c r="BR274" s="174"/>
      <c r="BS274" s="161" t="str">
        <v>#VALUE!</v>
      </c>
    </row>
    <row customHeight="true" ht="18.51851851851852" r="275">
      <c r="A275" s="161" t="s">
        <v>721</v>
      </c>
      <c r="B275" s="161" t="s">
        <v>730</v>
      </c>
      <c r="C275" s="183" t="s">
        <v>817</v>
      </c>
      <c r="D275" s="189" t="s">
        <v>819</v>
      </c>
      <c r="E275" s="186">
        <v>27.6</v>
      </c>
      <c r="F275" s="163">
        <v>39.99</v>
      </c>
      <c r="G275" s="164">
        <f t="shared" si="12"/>
      </c>
      <c r="H275" s="164">
        <f t="shared" si="76"/>
      </c>
      <c r="I275" s="175">
        <f t="shared" si="138"/>
      </c>
      <c r="J275" s="165">
        <f t="shared" si="219"/>
      </c>
      <c r="K275" s="166">
        <f t="shared" si="272"/>
      </c>
      <c r="L275" s="167">
        <f t="shared" si="343"/>
      </c>
      <c r="M275" s="164">
        <f t="shared" si="388"/>
      </c>
      <c r="N275" s="166">
        <f t="shared" ref="N275:N276" si="434">AD275+AH275</f>
      </c>
      <c r="O275" s="166">
        <f t="shared" si="463"/>
      </c>
      <c r="P275" s="161">
        <v>30</v>
      </c>
      <c r="Q275" s="168">
        <v>9</v>
      </c>
      <c r="R275" s="169">
        <f t="shared" si="32"/>
      </c>
      <c r="S275" s="165">
        <f t="shared" si="529"/>
      </c>
      <c r="T275" s="169">
        <f t="shared" si="157"/>
      </c>
      <c r="U275" s="169">
        <v>0.01</v>
      </c>
      <c r="V275" s="169">
        <f t="shared" si="294"/>
      </c>
      <c r="W275" s="169">
        <f t="shared" si="365"/>
      </c>
      <c r="X275" s="170">
        <v>0.158</v>
      </c>
      <c r="Y275" s="171">
        <v>5</v>
      </c>
      <c r="Z275" s="171">
        <f>F275*0.1</f>
      </c>
      <c r="AA275" s="171">
        <f t="shared" si="485"/>
      </c>
      <c r="AB275" s="166">
        <f t="shared" si="507"/>
      </c>
      <c r="AC275" s="166">
        <v>90</v>
      </c>
      <c r="AD275" s="172">
        <f t="shared" si="54"/>
      </c>
      <c r="AE275" s="168">
        <f t="shared" ref="AE275:AE276" si="105">AH275/Q275</f>
      </c>
      <c r="AF275" s="169">
        <f t="shared" si="179"/>
      </c>
      <c r="AG275" s="169">
        <f t="shared" si="321"/>
      </c>
      <c r="AH275" s="168">
        <v>8</v>
      </c>
      <c r="AI275" s="169">
        <f t="shared" si="197"/>
      </c>
      <c r="AJ275" s="169"/>
      <c r="AK275" s="169"/>
      <c r="AL275" s="169"/>
      <c r="AM275" s="169"/>
      <c r="AN275" s="173"/>
      <c r="AO275" s="173"/>
      <c r="AP275" s="173"/>
      <c r="AQ275" s="173"/>
      <c r="AR275" s="173"/>
      <c r="AS275" s="173"/>
      <c r="AT275" s="173" t="s">
        <v>725</v>
      </c>
      <c r="AU275" s="173" t="s">
        <v>725</v>
      </c>
      <c r="AV275" s="173" t="s">
        <v>725</v>
      </c>
      <c r="AW275" s="173" t="s">
        <v>725</v>
      </c>
      <c r="AX275" s="173" t="s">
        <v>725</v>
      </c>
      <c r="AY275" s="173" t="s">
        <v>725</v>
      </c>
      <c r="AZ275" s="173" t="s">
        <v>725</v>
      </c>
      <c r="BA275" s="173" t="s">
        <v>725</v>
      </c>
      <c r="BB275" s="173" t="s">
        <v>725</v>
      </c>
      <c r="BC275" s="173" t="s">
        <v>725</v>
      </c>
      <c r="BD275" s="173" t="s">
        <v>725</v>
      </c>
      <c r="BE275" s="173" t="s">
        <v>725</v>
      </c>
      <c r="BF275" s="173" t="s">
        <v>725</v>
      </c>
      <c r="BG275" s="173" t="s">
        <v>725</v>
      </c>
      <c r="BH275" s="173" t="s">
        <v>725</v>
      </c>
      <c r="BI275" s="173" t="s">
        <v>725</v>
      </c>
      <c r="BJ275" s="173" t="s">
        <v>725</v>
      </c>
      <c r="BK275" s="173" t="s">
        <v>725</v>
      </c>
      <c r="BL275" s="173" t="s">
        <v>725</v>
      </c>
      <c r="BM275" s="173" t="s">
        <v>725</v>
      </c>
      <c r="BN275" s="173" t="s">
        <v>725</v>
      </c>
      <c r="BO275" s="173" t="s">
        <v>725</v>
      </c>
      <c r="BP275" s="173" t="s">
        <v>725</v>
      </c>
      <c r="BQ275" s="173" t="s">
        <v>725</v>
      </c>
      <c r="BR275" s="174"/>
      <c r="BS275" s="161" t="str">
        <v>#VALUE!</v>
      </c>
    </row>
    <row customHeight="true" ht="18.51851851851852" r="276">
      <c r="A276" s="161" t="s">
        <v>721</v>
      </c>
      <c r="B276" s="161" t="s">
        <v>730</v>
      </c>
      <c r="C276" s="183" t="s">
        <v>817</v>
      </c>
      <c r="D276" s="189" t="s">
        <v>820</v>
      </c>
      <c r="E276" s="186">
        <v>27.6</v>
      </c>
      <c r="F276" s="163">
        <v>39.99</v>
      </c>
      <c r="G276" s="164">
        <f t="shared" si="12"/>
      </c>
      <c r="H276" s="164">
        <f t="shared" si="76"/>
      </c>
      <c r="I276" s="164">
        <f t="shared" si="138"/>
      </c>
      <c r="J276" s="165">
        <f t="shared" si="219"/>
      </c>
      <c r="K276" s="166">
        <f t="shared" si="272"/>
      </c>
      <c r="L276" s="167">
        <f t="shared" si="343"/>
      </c>
      <c r="M276" s="164">
        <f t="shared" si="388"/>
      </c>
      <c r="N276" s="166">
        <f t="shared" si="434"/>
      </c>
      <c r="O276" s="166">
        <f t="shared" si="463"/>
      </c>
      <c r="P276" s="161">
        <v>30</v>
      </c>
      <c r="Q276" s="168">
        <v>9</v>
      </c>
      <c r="R276" s="169">
        <f t="shared" si="32"/>
      </c>
      <c r="S276" s="165">
        <f t="shared" si="529"/>
      </c>
      <c r="T276" s="169">
        <f t="shared" si="157"/>
      </c>
      <c r="U276" s="169">
        <v>0.01</v>
      </c>
      <c r="V276" s="169">
        <f t="shared" si="294"/>
      </c>
      <c r="W276" s="169">
        <f t="shared" si="365"/>
      </c>
      <c r="X276" s="170">
        <v>0.158</v>
      </c>
      <c r="Y276" s="171">
        <v>5</v>
      </c>
      <c r="Z276" s="171">
        <f>F276*0.15</f>
      </c>
      <c r="AA276" s="171">
        <f t="shared" si="485"/>
      </c>
      <c r="AB276" s="166">
        <f t="shared" si="507"/>
      </c>
      <c r="AC276" s="166">
        <v>90</v>
      </c>
      <c r="AD276" s="172">
        <f t="shared" si="54"/>
      </c>
      <c r="AE276" s="168">
        <f t="shared" si="105"/>
      </c>
      <c r="AF276" s="169">
        <f t="shared" si="179"/>
      </c>
      <c r="AG276" s="169">
        <f t="shared" si="321"/>
      </c>
      <c r="AH276" s="168">
        <v>8</v>
      </c>
      <c r="AI276" s="169">
        <f t="shared" si="197"/>
      </c>
      <c r="AJ276" s="169"/>
      <c r="AK276" s="169"/>
      <c r="AL276" s="169"/>
      <c r="AM276" s="169"/>
      <c r="AN276" s="173"/>
      <c r="AO276" s="173"/>
      <c r="AP276" s="173"/>
      <c r="AQ276" s="173"/>
      <c r="AR276" s="173"/>
      <c r="AS276" s="173"/>
      <c r="AT276" s="173" t="s">
        <v>725</v>
      </c>
      <c r="AU276" s="173" t="s">
        <v>725</v>
      </c>
      <c r="AV276" s="173" t="s">
        <v>725</v>
      </c>
      <c r="AW276" s="173" t="s">
        <v>725</v>
      </c>
      <c r="AX276" s="173" t="s">
        <v>725</v>
      </c>
      <c r="AY276" s="173" t="s">
        <v>725</v>
      </c>
      <c r="AZ276" s="173" t="s">
        <v>725</v>
      </c>
      <c r="BA276" s="173" t="s">
        <v>725</v>
      </c>
      <c r="BB276" s="173" t="s">
        <v>725</v>
      </c>
      <c r="BC276" s="173" t="s">
        <v>725</v>
      </c>
      <c r="BD276" s="173" t="s">
        <v>725</v>
      </c>
      <c r="BE276" s="173" t="s">
        <v>725</v>
      </c>
      <c r="BF276" s="173" t="s">
        <v>725</v>
      </c>
      <c r="BG276" s="173" t="s">
        <v>725</v>
      </c>
      <c r="BH276" s="173" t="s">
        <v>725</v>
      </c>
      <c r="BI276" s="173" t="s">
        <v>725</v>
      </c>
      <c r="BJ276" s="173" t="s">
        <v>725</v>
      </c>
      <c r="BK276" s="173" t="s">
        <v>725</v>
      </c>
      <c r="BL276" s="173" t="s">
        <v>725</v>
      </c>
      <c r="BM276" s="173" t="s">
        <v>725</v>
      </c>
      <c r="BN276" s="173" t="s">
        <v>725</v>
      </c>
      <c r="BO276" s="173" t="s">
        <v>725</v>
      </c>
      <c r="BP276" s="173" t="s">
        <v>725</v>
      </c>
      <c r="BQ276" s="173" t="s">
        <v>725</v>
      </c>
      <c r="BR276" s="174"/>
      <c r="BS276" s="161" t="str">
        <v>#VALUE!</v>
      </c>
    </row>
    <row customHeight="true" ht="18.51851851851852" r="277">
      <c r="A277" s="161" t="s">
        <v>729</v>
      </c>
      <c r="B277" s="161" t="s">
        <v>730</v>
      </c>
      <c r="C277" s="183" t="s">
        <v>817</v>
      </c>
      <c r="D277" s="189" t="s">
        <v>818</v>
      </c>
      <c r="E277" s="186">
        <v>31</v>
      </c>
      <c r="F277" s="163">
        <v>44.99</v>
      </c>
      <c r="G277" s="164">
        <f t="shared" si="12"/>
      </c>
      <c r="H277" s="164">
        <f t="shared" si="76"/>
      </c>
      <c r="I277" s="164">
        <f t="shared" si="138"/>
      </c>
      <c r="J277" s="165">
        <f t="shared" si="219"/>
      </c>
      <c r="K277" s="166">
        <f t="shared" si="272"/>
      </c>
      <c r="L277" s="167">
        <f t="shared" si="343"/>
      </c>
      <c r="M277" s="164">
        <f t="shared" si="388"/>
      </c>
      <c r="N277" s="166">
        <f>AD277+AH278</f>
      </c>
      <c r="O277" s="166">
        <f t="shared" si="463"/>
      </c>
      <c r="P277" s="161">
        <v>30</v>
      </c>
      <c r="Q277" s="168">
        <v>8</v>
      </c>
      <c r="R277" s="169">
        <f t="shared" si="32"/>
      </c>
      <c r="S277" s="165">
        <f t="shared" si="529"/>
      </c>
      <c r="T277" s="169">
        <f t="shared" si="157"/>
      </c>
      <c r="U277" s="169">
        <v>0.01</v>
      </c>
      <c r="V277" s="169">
        <f t="shared" si="294"/>
      </c>
      <c r="W277" s="169">
        <f t="shared" si="365"/>
      </c>
      <c r="X277" s="170">
        <v>0.1695</v>
      </c>
      <c r="Y277" s="171">
        <v>5</v>
      </c>
      <c r="Z277" s="171">
        <v>0</v>
      </c>
      <c r="AA277" s="171">
        <f t="shared" si="485"/>
      </c>
      <c r="AB277" s="166">
        <f t="shared" si="507"/>
      </c>
      <c r="AC277" s="166">
        <v>90</v>
      </c>
      <c r="AD277" s="172">
        <f t="shared" si="54"/>
      </c>
      <c r="AE277" s="168">
        <f>AH278/Q277</f>
      </c>
      <c r="AF277" s="169">
        <f t="shared" si="179"/>
      </c>
      <c r="AG277" s="169">
        <f t="shared" si="321"/>
      </c>
      <c r="AH277" s="168">
        <v>8</v>
      </c>
      <c r="AI277" s="169">
        <f t="shared" si="197"/>
      </c>
      <c r="AJ277" s="169"/>
      <c r="AK277" s="169"/>
      <c r="AL277" s="169"/>
      <c r="AM277" s="169"/>
      <c r="AN277" s="173"/>
      <c r="AO277" s="173"/>
      <c r="AP277" s="173"/>
      <c r="AQ277" s="173"/>
      <c r="AR277" s="173"/>
      <c r="AS277" s="173"/>
      <c r="AT277" s="173" t="s">
        <v>725</v>
      </c>
      <c r="AU277" s="173" t="s">
        <v>725</v>
      </c>
      <c r="AV277" s="173" t="s">
        <v>725</v>
      </c>
      <c r="AW277" s="173" t="s">
        <v>725</v>
      </c>
      <c r="AX277" s="173" t="s">
        <v>725</v>
      </c>
      <c r="AY277" s="173" t="s">
        <v>725</v>
      </c>
      <c r="AZ277" s="173" t="s">
        <v>725</v>
      </c>
      <c r="BA277" s="173" t="s">
        <v>725</v>
      </c>
      <c r="BB277" s="173" t="s">
        <v>725</v>
      </c>
      <c r="BC277" s="173" t="s">
        <v>725</v>
      </c>
      <c r="BD277" s="173" t="s">
        <v>725</v>
      </c>
      <c r="BE277" s="173" t="s">
        <v>725</v>
      </c>
      <c r="BF277" s="173" t="s">
        <v>725</v>
      </c>
      <c r="BG277" s="173" t="s">
        <v>725</v>
      </c>
      <c r="BH277" s="173" t="s">
        <v>725</v>
      </c>
      <c r="BI277" s="173" t="s">
        <v>725</v>
      </c>
      <c r="BJ277" s="173" t="s">
        <v>725</v>
      </c>
      <c r="BK277" s="173" t="s">
        <v>725</v>
      </c>
      <c r="BL277" s="173" t="s">
        <v>725</v>
      </c>
      <c r="BM277" s="173" t="s">
        <v>725</v>
      </c>
      <c r="BN277" s="173" t="s">
        <v>725</v>
      </c>
      <c r="BO277" s="173" t="s">
        <v>725</v>
      </c>
      <c r="BP277" s="173" t="s">
        <v>725</v>
      </c>
      <c r="BQ277" s="173" t="s">
        <v>725</v>
      </c>
      <c r="BR277" s="174"/>
      <c r="BS277" s="161" t="str">
        <v>#VALUE!</v>
      </c>
    </row>
    <row customHeight="true" ht="18.51851851851852" r="278">
      <c r="A278" s="161" t="s">
        <v>729</v>
      </c>
      <c r="B278" s="161" t="s">
        <v>730</v>
      </c>
      <c r="C278" s="183" t="s">
        <v>817</v>
      </c>
      <c r="D278" s="189" t="s">
        <v>819</v>
      </c>
      <c r="E278" s="186">
        <v>31</v>
      </c>
      <c r="F278" s="163">
        <v>44.99</v>
      </c>
      <c r="G278" s="164">
        <f t="shared" si="12"/>
      </c>
      <c r="H278" s="164">
        <f t="shared" si="76"/>
      </c>
      <c r="I278" s="175">
        <f t="shared" si="138"/>
      </c>
      <c r="J278" s="165">
        <f t="shared" si="219"/>
      </c>
      <c r="K278" s="166">
        <f t="shared" si="272"/>
      </c>
      <c r="L278" s="167">
        <f t="shared" si="343"/>
      </c>
      <c r="M278" s="164">
        <f t="shared" si="388"/>
      </c>
      <c r="N278" s="166">
        <f t="shared" ref="N278:N292" si="435">AD278+AH278</f>
      </c>
      <c r="O278" s="166">
        <f t="shared" si="463"/>
      </c>
      <c r="P278" s="161">
        <v>30</v>
      </c>
      <c r="Q278" s="168">
        <v>8</v>
      </c>
      <c r="R278" s="169">
        <f t="shared" si="32"/>
      </c>
      <c r="S278" s="165">
        <f t="shared" si="529"/>
      </c>
      <c r="T278" s="169">
        <f t="shared" si="157"/>
      </c>
      <c r="U278" s="169">
        <v>0.01</v>
      </c>
      <c r="V278" s="169">
        <f t="shared" si="294"/>
      </c>
      <c r="W278" s="169">
        <f t="shared" si="365"/>
      </c>
      <c r="X278" s="170">
        <v>0.1695</v>
      </c>
      <c r="Y278" s="171">
        <v>5</v>
      </c>
      <c r="Z278" s="171">
        <f>F278*0.1</f>
      </c>
      <c r="AA278" s="171">
        <f t="shared" si="485"/>
      </c>
      <c r="AB278" s="166">
        <f t="shared" si="507"/>
      </c>
      <c r="AC278" s="166">
        <v>90</v>
      </c>
      <c r="AD278" s="172">
        <f t="shared" si="54"/>
      </c>
      <c r="AE278" s="168">
        <f t="shared" ref="AE278:AE292" si="106">AH278/Q278</f>
      </c>
      <c r="AF278" s="169">
        <f t="shared" si="179"/>
      </c>
      <c r="AG278" s="169">
        <f t="shared" si="321"/>
      </c>
      <c r="AH278" s="168">
        <v>8</v>
      </c>
      <c r="AI278" s="169">
        <f t="shared" si="197"/>
      </c>
      <c r="AJ278" s="169"/>
      <c r="AK278" s="169"/>
      <c r="AL278" s="169"/>
      <c r="AM278" s="169"/>
      <c r="AN278" s="173"/>
      <c r="AO278" s="173"/>
      <c r="AP278" s="173"/>
      <c r="AQ278" s="173"/>
      <c r="AR278" s="173"/>
      <c r="AS278" s="173"/>
      <c r="AT278" s="173" t="s">
        <v>725</v>
      </c>
      <c r="AU278" s="173" t="s">
        <v>725</v>
      </c>
      <c r="AV278" s="173" t="s">
        <v>725</v>
      </c>
      <c r="AW278" s="173" t="s">
        <v>725</v>
      </c>
      <c r="AX278" s="173" t="s">
        <v>725</v>
      </c>
      <c r="AY278" s="173" t="s">
        <v>725</v>
      </c>
      <c r="AZ278" s="173" t="s">
        <v>725</v>
      </c>
      <c r="BA278" s="173" t="s">
        <v>725</v>
      </c>
      <c r="BB278" s="173" t="s">
        <v>725</v>
      </c>
      <c r="BC278" s="173" t="s">
        <v>725</v>
      </c>
      <c r="BD278" s="173" t="s">
        <v>725</v>
      </c>
      <c r="BE278" s="173" t="s">
        <v>725</v>
      </c>
      <c r="BF278" s="173" t="s">
        <v>725</v>
      </c>
      <c r="BG278" s="173" t="s">
        <v>725</v>
      </c>
      <c r="BH278" s="173" t="s">
        <v>725</v>
      </c>
      <c r="BI278" s="173" t="s">
        <v>725</v>
      </c>
      <c r="BJ278" s="173" t="s">
        <v>725</v>
      </c>
      <c r="BK278" s="173" t="s">
        <v>725</v>
      </c>
      <c r="BL278" s="173" t="s">
        <v>725</v>
      </c>
      <c r="BM278" s="173" t="s">
        <v>725</v>
      </c>
      <c r="BN278" s="173" t="s">
        <v>725</v>
      </c>
      <c r="BO278" s="173" t="s">
        <v>725</v>
      </c>
      <c r="BP278" s="173" t="s">
        <v>725</v>
      </c>
      <c r="BQ278" s="173" t="s">
        <v>725</v>
      </c>
      <c r="BR278" s="174"/>
      <c r="BS278" s="161" t="str">
        <v>#VALUE!</v>
      </c>
    </row>
    <row customHeight="true" ht="18.51851851851852" r="279">
      <c r="A279" s="161" t="s">
        <v>729</v>
      </c>
      <c r="B279" s="161" t="s">
        <v>730</v>
      </c>
      <c r="C279" s="183" t="s">
        <v>817</v>
      </c>
      <c r="D279" s="189" t="s">
        <v>820</v>
      </c>
      <c r="E279" s="186">
        <v>31</v>
      </c>
      <c r="F279" s="163">
        <v>44.99</v>
      </c>
      <c r="G279" s="164">
        <f t="shared" si="12"/>
      </c>
      <c r="H279" s="164">
        <f t="shared" si="76"/>
      </c>
      <c r="I279" s="164">
        <f t="shared" si="138"/>
      </c>
      <c r="J279" s="165">
        <f t="shared" si="219"/>
      </c>
      <c r="K279" s="166">
        <f t="shared" si="272"/>
      </c>
      <c r="L279" s="167">
        <f t="shared" si="343"/>
      </c>
      <c r="M279" s="164">
        <f t="shared" si="388"/>
      </c>
      <c r="N279" s="166">
        <f t="shared" si="435"/>
      </c>
      <c r="O279" s="166">
        <f t="shared" si="463"/>
      </c>
      <c r="P279" s="161">
        <v>30</v>
      </c>
      <c r="Q279" s="168">
        <v>8</v>
      </c>
      <c r="R279" s="169">
        <f t="shared" si="32"/>
      </c>
      <c r="S279" s="165">
        <f t="shared" si="529"/>
      </c>
      <c r="T279" s="169">
        <f t="shared" si="157"/>
      </c>
      <c r="U279" s="169">
        <v>0.01</v>
      </c>
      <c r="V279" s="169">
        <f t="shared" si="294"/>
      </c>
      <c r="W279" s="169">
        <f t="shared" si="365"/>
      </c>
      <c r="X279" s="170">
        <v>0.1695</v>
      </c>
      <c r="Y279" s="171">
        <v>5</v>
      </c>
      <c r="Z279" s="171">
        <f>F279*0.15</f>
      </c>
      <c r="AA279" s="171">
        <f t="shared" si="485"/>
      </c>
      <c r="AB279" s="166">
        <f t="shared" si="507"/>
      </c>
      <c r="AC279" s="166">
        <v>90</v>
      </c>
      <c r="AD279" s="172">
        <f t="shared" si="54"/>
      </c>
      <c r="AE279" s="168">
        <f t="shared" si="106"/>
      </c>
      <c r="AF279" s="169">
        <f t="shared" si="179"/>
      </c>
      <c r="AG279" s="169">
        <f t="shared" si="321"/>
      </c>
      <c r="AH279" s="168">
        <v>8</v>
      </c>
      <c r="AI279" s="169">
        <f t="shared" si="197"/>
      </c>
      <c r="AJ279" s="169"/>
      <c r="AK279" s="169"/>
      <c r="AL279" s="169"/>
      <c r="AM279" s="169"/>
      <c r="AN279" s="173"/>
      <c r="AO279" s="173"/>
      <c r="AP279" s="173"/>
      <c r="AQ279" s="173"/>
      <c r="AR279" s="173"/>
      <c r="AS279" s="173"/>
      <c r="AT279" s="173" t="s">
        <v>725</v>
      </c>
      <c r="AU279" s="173" t="s">
        <v>725</v>
      </c>
      <c r="AV279" s="173" t="s">
        <v>725</v>
      </c>
      <c r="AW279" s="173" t="s">
        <v>725</v>
      </c>
      <c r="AX279" s="173" t="s">
        <v>725</v>
      </c>
      <c r="AY279" s="173" t="s">
        <v>725</v>
      </c>
      <c r="AZ279" s="173" t="s">
        <v>725</v>
      </c>
      <c r="BA279" s="173" t="s">
        <v>725</v>
      </c>
      <c r="BB279" s="173" t="s">
        <v>725</v>
      </c>
      <c r="BC279" s="173" t="s">
        <v>725</v>
      </c>
      <c r="BD279" s="173" t="s">
        <v>725</v>
      </c>
      <c r="BE279" s="173" t="s">
        <v>725</v>
      </c>
      <c r="BF279" s="173" t="s">
        <v>725</v>
      </c>
      <c r="BG279" s="173" t="s">
        <v>725</v>
      </c>
      <c r="BH279" s="173" t="s">
        <v>725</v>
      </c>
      <c r="BI279" s="173" t="s">
        <v>725</v>
      </c>
      <c r="BJ279" s="173" t="s">
        <v>725</v>
      </c>
      <c r="BK279" s="173" t="s">
        <v>725</v>
      </c>
      <c r="BL279" s="173" t="s">
        <v>725</v>
      </c>
      <c r="BM279" s="173" t="s">
        <v>725</v>
      </c>
      <c r="BN279" s="173" t="s">
        <v>725</v>
      </c>
      <c r="BO279" s="173" t="s">
        <v>725</v>
      </c>
      <c r="BP279" s="173" t="s">
        <v>725</v>
      </c>
      <c r="BQ279" s="173" t="s">
        <v>725</v>
      </c>
      <c r="BR279" s="174"/>
      <c r="BS279" s="161" t="str">
        <v>#VALUE!</v>
      </c>
    </row>
    <row customHeight="true" ht="18.51851851851852" r="280">
      <c r="A280" s="161" t="s">
        <v>732</v>
      </c>
      <c r="B280" s="161" t="s">
        <v>730</v>
      </c>
      <c r="C280" s="183" t="s">
        <v>817</v>
      </c>
      <c r="D280" s="189" t="s">
        <v>818</v>
      </c>
      <c r="E280" s="186">
        <v>31</v>
      </c>
      <c r="F280" s="163">
        <v>44.99</v>
      </c>
      <c r="G280" s="164">
        <f t="shared" si="12"/>
      </c>
      <c r="H280" s="164">
        <f t="shared" si="76"/>
      </c>
      <c r="I280" s="164">
        <f t="shared" si="138"/>
      </c>
      <c r="J280" s="165">
        <f t="shared" si="219"/>
      </c>
      <c r="K280" s="166">
        <f t="shared" si="272"/>
      </c>
      <c r="L280" s="167">
        <f t="shared" si="343"/>
      </c>
      <c r="M280" s="164">
        <f t="shared" si="388"/>
      </c>
      <c r="N280" s="166">
        <f t="shared" si="435"/>
      </c>
      <c r="O280" s="166">
        <f t="shared" si="463"/>
      </c>
      <c r="P280" s="161">
        <v>30</v>
      </c>
      <c r="Q280" s="168">
        <v>8</v>
      </c>
      <c r="R280" s="169">
        <f t="shared" si="32"/>
      </c>
      <c r="S280" s="165">
        <f t="shared" si="529"/>
      </c>
      <c r="T280" s="169">
        <f t="shared" si="157"/>
      </c>
      <c r="U280" s="169">
        <v>0.01</v>
      </c>
      <c r="V280" s="169">
        <f t="shared" si="294"/>
      </c>
      <c r="W280" s="169">
        <f t="shared" si="365"/>
      </c>
      <c r="X280" s="170">
        <v>0.198</v>
      </c>
      <c r="Y280" s="171">
        <v>5</v>
      </c>
      <c r="Z280" s="171">
        <v>0</v>
      </c>
      <c r="AA280" s="171">
        <f t="shared" si="485"/>
      </c>
      <c r="AB280" s="166">
        <f t="shared" si="507"/>
      </c>
      <c r="AC280" s="166">
        <v>90</v>
      </c>
      <c r="AD280" s="172">
        <f t="shared" si="54"/>
      </c>
      <c r="AE280" s="168">
        <f t="shared" si="106"/>
      </c>
      <c r="AF280" s="169">
        <f t="shared" si="179"/>
      </c>
      <c r="AG280" s="169">
        <f t="shared" si="321"/>
      </c>
      <c r="AH280" s="168">
        <v>8</v>
      </c>
      <c r="AI280" s="169">
        <f t="shared" si="197"/>
      </c>
      <c r="AJ280" s="169"/>
      <c r="AK280" s="169"/>
      <c r="AL280" s="169"/>
      <c r="AM280" s="169"/>
      <c r="AN280" s="173"/>
      <c r="AO280" s="173"/>
      <c r="AP280" s="173"/>
      <c r="AQ280" s="173"/>
      <c r="AR280" s="173"/>
      <c r="AS280" s="173"/>
      <c r="AT280" s="173" t="s">
        <v>725</v>
      </c>
      <c r="AU280" s="173" t="s">
        <v>725</v>
      </c>
      <c r="AV280" s="173" t="s">
        <v>725</v>
      </c>
      <c r="AW280" s="173" t="s">
        <v>725</v>
      </c>
      <c r="AX280" s="173" t="s">
        <v>725</v>
      </c>
      <c r="AY280" s="173" t="s">
        <v>725</v>
      </c>
      <c r="AZ280" s="173" t="s">
        <v>725</v>
      </c>
      <c r="BA280" s="173" t="s">
        <v>725</v>
      </c>
      <c r="BB280" s="173" t="s">
        <v>725</v>
      </c>
      <c r="BC280" s="173" t="s">
        <v>725</v>
      </c>
      <c r="BD280" s="173" t="s">
        <v>725</v>
      </c>
      <c r="BE280" s="173" t="s">
        <v>725</v>
      </c>
      <c r="BF280" s="173" t="s">
        <v>725</v>
      </c>
      <c r="BG280" s="173" t="s">
        <v>725</v>
      </c>
      <c r="BH280" s="173" t="s">
        <v>725</v>
      </c>
      <c r="BI280" s="173" t="s">
        <v>725</v>
      </c>
      <c r="BJ280" s="173" t="s">
        <v>725</v>
      </c>
      <c r="BK280" s="173" t="s">
        <v>725</v>
      </c>
      <c r="BL280" s="173" t="s">
        <v>725</v>
      </c>
      <c r="BM280" s="173" t="s">
        <v>725</v>
      </c>
      <c r="BN280" s="173" t="s">
        <v>725</v>
      </c>
      <c r="BO280" s="173" t="s">
        <v>725</v>
      </c>
      <c r="BP280" s="173" t="s">
        <v>725</v>
      </c>
      <c r="BQ280" s="173" t="s">
        <v>725</v>
      </c>
      <c r="BR280" s="174"/>
      <c r="BS280" s="161" t="str">
        <v>#VALUE!</v>
      </c>
    </row>
    <row customHeight="true" ht="18.51851851851852" r="281">
      <c r="A281" s="161" t="s">
        <v>732</v>
      </c>
      <c r="B281" s="161" t="s">
        <v>730</v>
      </c>
      <c r="C281" s="183" t="s">
        <v>817</v>
      </c>
      <c r="D281" s="189" t="s">
        <v>819</v>
      </c>
      <c r="E281" s="186">
        <v>31</v>
      </c>
      <c r="F281" s="163">
        <v>44.99</v>
      </c>
      <c r="G281" s="164">
        <f t="shared" si="12"/>
      </c>
      <c r="H281" s="164">
        <f t="shared" si="76"/>
      </c>
      <c r="I281" s="175">
        <f t="shared" si="138"/>
      </c>
      <c r="J281" s="165">
        <f t="shared" si="219"/>
      </c>
      <c r="K281" s="166">
        <f t="shared" si="272"/>
      </c>
      <c r="L281" s="167">
        <f t="shared" si="343"/>
      </c>
      <c r="M281" s="164">
        <f t="shared" si="388"/>
      </c>
      <c r="N281" s="166">
        <f t="shared" si="435"/>
      </c>
      <c r="O281" s="166">
        <f t="shared" si="463"/>
      </c>
      <c r="P281" s="161">
        <v>30</v>
      </c>
      <c r="Q281" s="168">
        <v>8</v>
      </c>
      <c r="R281" s="169">
        <f t="shared" si="32"/>
      </c>
      <c r="S281" s="165">
        <f t="shared" si="529"/>
      </c>
      <c r="T281" s="169">
        <f t="shared" si="157"/>
      </c>
      <c r="U281" s="169">
        <v>0.01</v>
      </c>
      <c r="V281" s="169">
        <f t="shared" si="294"/>
      </c>
      <c r="W281" s="169">
        <f t="shared" si="365"/>
      </c>
      <c r="X281" s="170">
        <v>0.198</v>
      </c>
      <c r="Y281" s="171">
        <v>5</v>
      </c>
      <c r="Z281" s="171">
        <f>F281*0.1</f>
      </c>
      <c r="AA281" s="171">
        <f t="shared" si="485"/>
      </c>
      <c r="AB281" s="166">
        <f t="shared" si="507"/>
      </c>
      <c r="AC281" s="166">
        <v>90</v>
      </c>
      <c r="AD281" s="172">
        <f t="shared" si="54"/>
      </c>
      <c r="AE281" s="168">
        <f t="shared" si="106"/>
      </c>
      <c r="AF281" s="169">
        <f t="shared" si="179"/>
      </c>
      <c r="AG281" s="169">
        <f t="shared" si="321"/>
      </c>
      <c r="AH281" s="168">
        <v>8</v>
      </c>
      <c r="AI281" s="169">
        <f t="shared" si="197"/>
      </c>
      <c r="AJ281" s="169"/>
      <c r="AK281" s="169"/>
      <c r="AL281" s="169"/>
      <c r="AM281" s="169"/>
      <c r="AN281" s="173"/>
      <c r="AO281" s="173"/>
      <c r="AP281" s="173"/>
      <c r="AQ281" s="173"/>
      <c r="AR281" s="173"/>
      <c r="AS281" s="173"/>
      <c r="AT281" s="173" t="s">
        <v>725</v>
      </c>
      <c r="AU281" s="173" t="s">
        <v>725</v>
      </c>
      <c r="AV281" s="173" t="s">
        <v>725</v>
      </c>
      <c r="AW281" s="173" t="s">
        <v>725</v>
      </c>
      <c r="AX281" s="173" t="s">
        <v>725</v>
      </c>
      <c r="AY281" s="173" t="s">
        <v>725</v>
      </c>
      <c r="AZ281" s="173" t="s">
        <v>725</v>
      </c>
      <c r="BA281" s="173" t="s">
        <v>725</v>
      </c>
      <c r="BB281" s="173" t="s">
        <v>725</v>
      </c>
      <c r="BC281" s="173" t="s">
        <v>725</v>
      </c>
      <c r="BD281" s="173" t="s">
        <v>725</v>
      </c>
      <c r="BE281" s="173" t="s">
        <v>725</v>
      </c>
      <c r="BF281" s="173" t="s">
        <v>725</v>
      </c>
      <c r="BG281" s="173" t="s">
        <v>725</v>
      </c>
      <c r="BH281" s="173" t="s">
        <v>725</v>
      </c>
      <c r="BI281" s="173" t="s">
        <v>725</v>
      </c>
      <c r="BJ281" s="173" t="s">
        <v>725</v>
      </c>
      <c r="BK281" s="173" t="s">
        <v>725</v>
      </c>
      <c r="BL281" s="173" t="s">
        <v>725</v>
      </c>
      <c r="BM281" s="173" t="s">
        <v>725</v>
      </c>
      <c r="BN281" s="173" t="s">
        <v>725</v>
      </c>
      <c r="BO281" s="173" t="s">
        <v>725</v>
      </c>
      <c r="BP281" s="173" t="s">
        <v>725</v>
      </c>
      <c r="BQ281" s="173" t="s">
        <v>725</v>
      </c>
      <c r="BR281" s="174"/>
      <c r="BS281" s="161" t="str">
        <v>#VALUE!</v>
      </c>
    </row>
    <row customHeight="true" ht="18.51851851851852" r="282">
      <c r="A282" s="161" t="s">
        <v>732</v>
      </c>
      <c r="B282" s="161" t="s">
        <v>730</v>
      </c>
      <c r="C282" s="183" t="s">
        <v>817</v>
      </c>
      <c r="D282" s="189" t="s">
        <v>820</v>
      </c>
      <c r="E282" s="186">
        <v>31</v>
      </c>
      <c r="F282" s="163">
        <v>44.99</v>
      </c>
      <c r="G282" s="164">
        <f t="shared" si="12"/>
      </c>
      <c r="H282" s="164">
        <f t="shared" si="76"/>
      </c>
      <c r="I282" s="164">
        <f t="shared" si="138"/>
      </c>
      <c r="J282" s="165">
        <f t="shared" si="219"/>
      </c>
      <c r="K282" s="166">
        <f t="shared" si="272"/>
      </c>
      <c r="L282" s="167">
        <f t="shared" si="343"/>
      </c>
      <c r="M282" s="164">
        <f t="shared" si="388"/>
      </c>
      <c r="N282" s="166">
        <f t="shared" si="435"/>
      </c>
      <c r="O282" s="166">
        <f t="shared" si="463"/>
      </c>
      <c r="P282" s="161">
        <v>30</v>
      </c>
      <c r="Q282" s="168">
        <v>8</v>
      </c>
      <c r="R282" s="169">
        <f t="shared" si="32"/>
      </c>
      <c r="S282" s="165">
        <f t="shared" si="529"/>
      </c>
      <c r="T282" s="169">
        <f t="shared" si="157"/>
      </c>
      <c r="U282" s="169">
        <v>0.01</v>
      </c>
      <c r="V282" s="169">
        <f t="shared" si="294"/>
      </c>
      <c r="W282" s="169">
        <f t="shared" si="365"/>
      </c>
      <c r="X282" s="170">
        <v>0.198</v>
      </c>
      <c r="Y282" s="171">
        <v>5</v>
      </c>
      <c r="Z282" s="171">
        <f>F282*0.15</f>
      </c>
      <c r="AA282" s="171">
        <f t="shared" si="485"/>
      </c>
      <c r="AB282" s="166">
        <f t="shared" si="507"/>
      </c>
      <c r="AC282" s="166">
        <v>90</v>
      </c>
      <c r="AD282" s="172">
        <f t="shared" si="54"/>
      </c>
      <c r="AE282" s="168">
        <f t="shared" si="106"/>
      </c>
      <c r="AF282" s="169">
        <f t="shared" si="179"/>
      </c>
      <c r="AG282" s="169">
        <f t="shared" si="321"/>
      </c>
      <c r="AH282" s="168">
        <v>8</v>
      </c>
      <c r="AI282" s="169">
        <f t="shared" si="197"/>
      </c>
      <c r="AJ282" s="169"/>
      <c r="AK282" s="169"/>
      <c r="AL282" s="169"/>
      <c r="AM282" s="169"/>
      <c r="AN282" s="173"/>
      <c r="AO282" s="173"/>
      <c r="AP282" s="173"/>
      <c r="AQ282" s="173"/>
      <c r="AR282" s="173"/>
      <c r="AS282" s="173"/>
      <c r="AT282" s="173" t="s">
        <v>725</v>
      </c>
      <c r="AU282" s="173" t="s">
        <v>725</v>
      </c>
      <c r="AV282" s="173" t="s">
        <v>725</v>
      </c>
      <c r="AW282" s="173" t="s">
        <v>725</v>
      </c>
      <c r="AX282" s="173" t="s">
        <v>725</v>
      </c>
      <c r="AY282" s="173" t="s">
        <v>725</v>
      </c>
      <c r="AZ282" s="173" t="s">
        <v>725</v>
      </c>
      <c r="BA282" s="173" t="s">
        <v>725</v>
      </c>
      <c r="BB282" s="173" t="s">
        <v>725</v>
      </c>
      <c r="BC282" s="173" t="s">
        <v>725</v>
      </c>
      <c r="BD282" s="173" t="s">
        <v>725</v>
      </c>
      <c r="BE282" s="173" t="s">
        <v>725</v>
      </c>
      <c r="BF282" s="173" t="s">
        <v>725</v>
      </c>
      <c r="BG282" s="173" t="s">
        <v>725</v>
      </c>
      <c r="BH282" s="173" t="s">
        <v>725</v>
      </c>
      <c r="BI282" s="173" t="s">
        <v>725</v>
      </c>
      <c r="BJ282" s="173" t="s">
        <v>725</v>
      </c>
      <c r="BK282" s="173" t="s">
        <v>725</v>
      </c>
      <c r="BL282" s="173" t="s">
        <v>725</v>
      </c>
      <c r="BM282" s="173" t="s">
        <v>725</v>
      </c>
      <c r="BN282" s="173" t="s">
        <v>725</v>
      </c>
      <c r="BO282" s="173" t="s">
        <v>725</v>
      </c>
      <c r="BP282" s="173" t="s">
        <v>725</v>
      </c>
      <c r="BQ282" s="173" t="s">
        <v>725</v>
      </c>
      <c r="BR282" s="174"/>
      <c r="BS282" s="161" t="str">
        <v>#VALUE!</v>
      </c>
    </row>
    <row customHeight="true" ht="18.51851851851852" r="283">
      <c r="A283" s="161" t="s">
        <v>733</v>
      </c>
      <c r="B283" s="161" t="s">
        <v>730</v>
      </c>
      <c r="C283" s="183" t="s">
        <v>817</v>
      </c>
      <c r="D283" s="189" t="s">
        <v>818</v>
      </c>
      <c r="E283" s="186">
        <v>31</v>
      </c>
      <c r="F283" s="163">
        <v>44.99</v>
      </c>
      <c r="G283" s="164">
        <f t="shared" si="12"/>
      </c>
      <c r="H283" s="164">
        <f t="shared" si="76"/>
      </c>
      <c r="I283" s="164">
        <f t="shared" si="138"/>
      </c>
      <c r="J283" s="165">
        <f t="shared" si="219"/>
      </c>
      <c r="K283" s="166">
        <f t="shared" si="272"/>
      </c>
      <c r="L283" s="167">
        <f t="shared" si="343"/>
      </c>
      <c r="M283" s="164">
        <f t="shared" si="388"/>
      </c>
      <c r="N283" s="166">
        <f t="shared" si="435"/>
      </c>
      <c r="O283" s="166">
        <f t="shared" si="463"/>
      </c>
      <c r="P283" s="161">
        <v>30</v>
      </c>
      <c r="Q283" s="168">
        <v>8</v>
      </c>
      <c r="R283" s="169">
        <f t="shared" si="32"/>
      </c>
      <c r="S283" s="165">
        <f t="shared" si="529"/>
      </c>
      <c r="T283" s="169">
        <f t="shared" si="157"/>
      </c>
      <c r="U283" s="169">
        <v>0.01</v>
      </c>
      <c r="V283" s="169">
        <f t="shared" si="294"/>
      </c>
      <c r="W283" s="169">
        <f t="shared" si="365"/>
      </c>
      <c r="X283" s="170">
        <v>0.1846</v>
      </c>
      <c r="Y283" s="171">
        <v>5</v>
      </c>
      <c r="Z283" s="171">
        <v>0</v>
      </c>
      <c r="AA283" s="171">
        <f t="shared" si="485"/>
      </c>
      <c r="AB283" s="166">
        <f t="shared" si="507"/>
      </c>
      <c r="AC283" s="166">
        <v>90</v>
      </c>
      <c r="AD283" s="172">
        <f t="shared" si="54"/>
      </c>
      <c r="AE283" s="168">
        <f t="shared" si="106"/>
      </c>
      <c r="AF283" s="169">
        <f t="shared" si="179"/>
      </c>
      <c r="AG283" s="169">
        <f t="shared" si="321"/>
      </c>
      <c r="AH283" s="168">
        <v>8</v>
      </c>
      <c r="AI283" s="165">
        <f t="shared" si="197"/>
      </c>
      <c r="AJ283" s="165"/>
      <c r="AK283" s="165"/>
      <c r="AL283" s="165"/>
      <c r="AM283" s="165"/>
      <c r="AN283" s="173"/>
      <c r="AO283" s="173"/>
      <c r="AP283" s="173"/>
      <c r="AQ283" s="173"/>
      <c r="AR283" s="173"/>
      <c r="AS283" s="173"/>
      <c r="AT283" s="173" t="s">
        <v>725</v>
      </c>
      <c r="AU283" s="173" t="s">
        <v>725</v>
      </c>
      <c r="AV283" s="173" t="s">
        <v>725</v>
      </c>
      <c r="AW283" s="173" t="s">
        <v>725</v>
      </c>
      <c r="AX283" s="173" t="s">
        <v>725</v>
      </c>
      <c r="AY283" s="173" t="s">
        <v>725</v>
      </c>
      <c r="AZ283" s="173" t="s">
        <v>725</v>
      </c>
      <c r="BA283" s="173" t="s">
        <v>725</v>
      </c>
      <c r="BB283" s="173" t="s">
        <v>725</v>
      </c>
      <c r="BC283" s="173" t="s">
        <v>725</v>
      </c>
      <c r="BD283" s="173" t="s">
        <v>725</v>
      </c>
      <c r="BE283" s="173" t="s">
        <v>725</v>
      </c>
      <c r="BF283" s="173" t="s">
        <v>725</v>
      </c>
      <c r="BG283" s="173" t="s">
        <v>725</v>
      </c>
      <c r="BH283" s="173" t="s">
        <v>725</v>
      </c>
      <c r="BI283" s="173" t="s">
        <v>725</v>
      </c>
      <c r="BJ283" s="173" t="s">
        <v>725</v>
      </c>
      <c r="BK283" s="173" t="s">
        <v>725</v>
      </c>
      <c r="BL283" s="173" t="s">
        <v>725</v>
      </c>
      <c r="BM283" s="173" t="s">
        <v>725</v>
      </c>
      <c r="BN283" s="173" t="s">
        <v>725</v>
      </c>
      <c r="BO283" s="173" t="s">
        <v>725</v>
      </c>
      <c r="BP283" s="173" t="s">
        <v>725</v>
      </c>
      <c r="BQ283" s="173" t="s">
        <v>725</v>
      </c>
      <c r="BR283" s="174"/>
      <c r="BS283" s="161" t="str">
        <v>#VALUE!</v>
      </c>
    </row>
    <row customHeight="true" ht="18.51851851851852" r="284">
      <c r="A284" s="161" t="s">
        <v>733</v>
      </c>
      <c r="B284" s="161" t="s">
        <v>730</v>
      </c>
      <c r="C284" s="183" t="s">
        <v>817</v>
      </c>
      <c r="D284" s="189" t="s">
        <v>819</v>
      </c>
      <c r="E284" s="186">
        <v>31</v>
      </c>
      <c r="F284" s="163">
        <v>44.99</v>
      </c>
      <c r="G284" s="164">
        <f t="shared" si="12"/>
      </c>
      <c r="H284" s="164">
        <f t="shared" si="76"/>
      </c>
      <c r="I284" s="175">
        <f t="shared" si="138"/>
      </c>
      <c r="J284" s="165">
        <f t="shared" si="219"/>
      </c>
      <c r="K284" s="166">
        <f t="shared" si="272"/>
      </c>
      <c r="L284" s="167">
        <f t="shared" si="343"/>
      </c>
      <c r="M284" s="164">
        <f t="shared" si="388"/>
      </c>
      <c r="N284" s="166">
        <f t="shared" si="435"/>
      </c>
      <c r="O284" s="166">
        <f t="shared" si="463"/>
      </c>
      <c r="P284" s="161">
        <v>30</v>
      </c>
      <c r="Q284" s="168">
        <v>8</v>
      </c>
      <c r="R284" s="169">
        <f t="shared" si="32"/>
      </c>
      <c r="S284" s="165">
        <f t="shared" si="529"/>
      </c>
      <c r="T284" s="169">
        <f t="shared" si="157"/>
      </c>
      <c r="U284" s="169">
        <v>0.01</v>
      </c>
      <c r="V284" s="169">
        <f t="shared" si="294"/>
      </c>
      <c r="W284" s="169">
        <f t="shared" si="365"/>
      </c>
      <c r="X284" s="170">
        <v>0.1846</v>
      </c>
      <c r="Y284" s="171">
        <v>5</v>
      </c>
      <c r="Z284" s="171">
        <f>F284*0.1</f>
      </c>
      <c r="AA284" s="171">
        <f t="shared" si="485"/>
      </c>
      <c r="AB284" s="166">
        <f t="shared" si="507"/>
      </c>
      <c r="AC284" s="166">
        <v>90</v>
      </c>
      <c r="AD284" s="172">
        <f t="shared" si="54"/>
      </c>
      <c r="AE284" s="168">
        <f t="shared" si="106"/>
      </c>
      <c r="AF284" s="169">
        <f t="shared" si="179"/>
      </c>
      <c r="AG284" s="169">
        <f t="shared" si="321"/>
      </c>
      <c r="AH284" s="168">
        <v>8</v>
      </c>
      <c r="AI284" s="165">
        <f t="shared" si="197"/>
      </c>
      <c r="AJ284" s="165"/>
      <c r="AK284" s="165"/>
      <c r="AL284" s="165"/>
      <c r="AM284" s="165"/>
      <c r="AN284" s="173"/>
      <c r="AO284" s="173"/>
      <c r="AP284" s="173"/>
      <c r="AQ284" s="173"/>
      <c r="AR284" s="173"/>
      <c r="AS284" s="173"/>
      <c r="AT284" s="173" t="s">
        <v>725</v>
      </c>
      <c r="AU284" s="173" t="s">
        <v>725</v>
      </c>
      <c r="AV284" s="173" t="s">
        <v>725</v>
      </c>
      <c r="AW284" s="173" t="s">
        <v>725</v>
      </c>
      <c r="AX284" s="173" t="s">
        <v>725</v>
      </c>
      <c r="AY284" s="173" t="s">
        <v>725</v>
      </c>
      <c r="AZ284" s="173" t="s">
        <v>725</v>
      </c>
      <c r="BA284" s="173" t="s">
        <v>725</v>
      </c>
      <c r="BB284" s="173" t="s">
        <v>725</v>
      </c>
      <c r="BC284" s="173" t="s">
        <v>725</v>
      </c>
      <c r="BD284" s="173" t="s">
        <v>725</v>
      </c>
      <c r="BE284" s="173" t="s">
        <v>725</v>
      </c>
      <c r="BF284" s="173" t="s">
        <v>725</v>
      </c>
      <c r="BG284" s="173" t="s">
        <v>725</v>
      </c>
      <c r="BH284" s="173" t="s">
        <v>725</v>
      </c>
      <c r="BI284" s="173" t="s">
        <v>725</v>
      </c>
      <c r="BJ284" s="173" t="s">
        <v>725</v>
      </c>
      <c r="BK284" s="173" t="s">
        <v>725</v>
      </c>
      <c r="BL284" s="173" t="s">
        <v>725</v>
      </c>
      <c r="BM284" s="173" t="s">
        <v>725</v>
      </c>
      <c r="BN284" s="173" t="s">
        <v>725</v>
      </c>
      <c r="BO284" s="173" t="s">
        <v>725</v>
      </c>
      <c r="BP284" s="173" t="s">
        <v>725</v>
      </c>
      <c r="BQ284" s="173" t="s">
        <v>725</v>
      </c>
      <c r="BR284" s="174"/>
      <c r="BS284" s="161" t="str">
        <v>#VALUE!</v>
      </c>
    </row>
    <row customHeight="true" ht="18.51851851851852" r="285">
      <c r="A285" s="161" t="s">
        <v>733</v>
      </c>
      <c r="B285" s="161" t="s">
        <v>730</v>
      </c>
      <c r="C285" s="183" t="s">
        <v>817</v>
      </c>
      <c r="D285" s="189" t="s">
        <v>820</v>
      </c>
      <c r="E285" s="186">
        <v>31</v>
      </c>
      <c r="F285" s="163">
        <v>44.99</v>
      </c>
      <c r="G285" s="164">
        <f t="shared" si="12"/>
      </c>
      <c r="H285" s="164">
        <f t="shared" si="76"/>
      </c>
      <c r="I285" s="164">
        <f t="shared" si="138"/>
      </c>
      <c r="J285" s="165">
        <f t="shared" si="219"/>
      </c>
      <c r="K285" s="166">
        <f t="shared" si="272"/>
      </c>
      <c r="L285" s="167">
        <f t="shared" si="343"/>
      </c>
      <c r="M285" s="164">
        <f t="shared" si="388"/>
      </c>
      <c r="N285" s="166">
        <f t="shared" si="435"/>
      </c>
      <c r="O285" s="166">
        <f t="shared" si="463"/>
      </c>
      <c r="P285" s="161">
        <v>30</v>
      </c>
      <c r="Q285" s="168">
        <v>8</v>
      </c>
      <c r="R285" s="169">
        <f t="shared" si="32"/>
      </c>
      <c r="S285" s="165">
        <f t="shared" si="529"/>
      </c>
      <c r="T285" s="169">
        <f t="shared" si="157"/>
      </c>
      <c r="U285" s="169">
        <v>0.01</v>
      </c>
      <c r="V285" s="169">
        <f t="shared" si="294"/>
      </c>
      <c r="W285" s="169">
        <f t="shared" si="365"/>
      </c>
      <c r="X285" s="170">
        <v>0.1846</v>
      </c>
      <c r="Y285" s="171">
        <v>5</v>
      </c>
      <c r="Z285" s="171">
        <f>F285*0.15</f>
      </c>
      <c r="AA285" s="171">
        <f t="shared" si="485"/>
      </c>
      <c r="AB285" s="166">
        <f t="shared" si="507"/>
      </c>
      <c r="AC285" s="166">
        <v>90</v>
      </c>
      <c r="AD285" s="172">
        <f t="shared" si="54"/>
      </c>
      <c r="AE285" s="168">
        <f t="shared" si="106"/>
      </c>
      <c r="AF285" s="169">
        <f t="shared" si="179"/>
      </c>
      <c r="AG285" s="169">
        <f t="shared" si="321"/>
      </c>
      <c r="AH285" s="168">
        <v>8</v>
      </c>
      <c r="AI285" s="165">
        <f t="shared" si="197"/>
      </c>
      <c r="AJ285" s="165"/>
      <c r="AK285" s="165"/>
      <c r="AL285" s="165"/>
      <c r="AM285" s="165"/>
      <c r="AN285" s="173"/>
      <c r="AO285" s="173"/>
      <c r="AP285" s="173"/>
      <c r="AQ285" s="173"/>
      <c r="AR285" s="173"/>
      <c r="AS285" s="173"/>
      <c r="AT285" s="173" t="s">
        <v>725</v>
      </c>
      <c r="AU285" s="173" t="s">
        <v>725</v>
      </c>
      <c r="AV285" s="173" t="s">
        <v>725</v>
      </c>
      <c r="AW285" s="173" t="s">
        <v>725</v>
      </c>
      <c r="AX285" s="173" t="s">
        <v>725</v>
      </c>
      <c r="AY285" s="173" t="s">
        <v>725</v>
      </c>
      <c r="AZ285" s="173" t="s">
        <v>725</v>
      </c>
      <c r="BA285" s="173" t="s">
        <v>725</v>
      </c>
      <c r="BB285" s="173" t="s">
        <v>725</v>
      </c>
      <c r="BC285" s="173" t="s">
        <v>725</v>
      </c>
      <c r="BD285" s="173" t="s">
        <v>725</v>
      </c>
      <c r="BE285" s="173" t="s">
        <v>725</v>
      </c>
      <c r="BF285" s="173" t="s">
        <v>725</v>
      </c>
      <c r="BG285" s="173" t="s">
        <v>725</v>
      </c>
      <c r="BH285" s="173" t="s">
        <v>725</v>
      </c>
      <c r="BI285" s="173" t="s">
        <v>725</v>
      </c>
      <c r="BJ285" s="173" t="s">
        <v>725</v>
      </c>
      <c r="BK285" s="173" t="s">
        <v>725</v>
      </c>
      <c r="BL285" s="173" t="s">
        <v>725</v>
      </c>
      <c r="BM285" s="173" t="s">
        <v>725</v>
      </c>
      <c r="BN285" s="173" t="s">
        <v>725</v>
      </c>
      <c r="BO285" s="173" t="s">
        <v>725</v>
      </c>
      <c r="BP285" s="173" t="s">
        <v>725</v>
      </c>
      <c r="BQ285" s="173" t="s">
        <v>725</v>
      </c>
      <c r="BR285" s="174"/>
      <c r="BS285" s="161" t="str">
        <v>#VALUE!</v>
      </c>
    </row>
    <row customHeight="true" ht="18.51851851851852" r="286">
      <c r="A286" s="161" t="s">
        <v>734</v>
      </c>
      <c r="B286" s="161" t="s">
        <v>730</v>
      </c>
      <c r="C286" s="183" t="s">
        <v>817</v>
      </c>
      <c r="D286" s="189" t="s">
        <v>818</v>
      </c>
      <c r="E286" s="186">
        <v>31</v>
      </c>
      <c r="F286" s="163">
        <v>44.99</v>
      </c>
      <c r="G286" s="164">
        <f t="shared" si="12"/>
      </c>
      <c r="H286" s="164">
        <f t="shared" si="76"/>
      </c>
      <c r="I286" s="164">
        <f t="shared" si="138"/>
      </c>
      <c r="J286" s="165">
        <f t="shared" si="219"/>
      </c>
      <c r="K286" s="166">
        <f t="shared" si="272"/>
      </c>
      <c r="L286" s="167">
        <f t="shared" si="343"/>
      </c>
      <c r="M286" s="164">
        <f t="shared" si="388"/>
      </c>
      <c r="N286" s="166">
        <f t="shared" si="435"/>
      </c>
      <c r="O286" s="166">
        <f t="shared" si="463"/>
      </c>
      <c r="P286" s="161">
        <v>30</v>
      </c>
      <c r="Q286" s="168">
        <v>8</v>
      </c>
      <c r="R286" s="169">
        <f t="shared" si="32"/>
      </c>
      <c r="S286" s="165">
        <f t="shared" si="529"/>
      </c>
      <c r="T286" s="169">
        <f t="shared" si="157"/>
      </c>
      <c r="U286" s="169">
        <v>0.01</v>
      </c>
      <c r="V286" s="169">
        <f t="shared" si="294"/>
      </c>
      <c r="W286" s="169">
        <f t="shared" si="365"/>
      </c>
      <c r="X286" s="170">
        <v>0.1646</v>
      </c>
      <c r="Y286" s="171">
        <v>5</v>
      </c>
      <c r="Z286" s="171">
        <v>0</v>
      </c>
      <c r="AA286" s="171">
        <f t="shared" si="485"/>
      </c>
      <c r="AB286" s="166">
        <f t="shared" si="507"/>
      </c>
      <c r="AC286" s="166">
        <v>90</v>
      </c>
      <c r="AD286" s="172">
        <f t="shared" si="54"/>
      </c>
      <c r="AE286" s="168">
        <f t="shared" si="106"/>
      </c>
      <c r="AF286" s="169">
        <f t="shared" si="179"/>
      </c>
      <c r="AG286" s="169">
        <f t="shared" si="321"/>
      </c>
      <c r="AH286" s="168">
        <v>8</v>
      </c>
      <c r="AI286" s="169">
        <f t="shared" si="197"/>
      </c>
      <c r="AJ286" s="169"/>
      <c r="AK286" s="169"/>
      <c r="AL286" s="169"/>
      <c r="AM286" s="169"/>
      <c r="AN286" s="173"/>
      <c r="AO286" s="173"/>
      <c r="AP286" s="173"/>
      <c r="AQ286" s="173"/>
      <c r="AR286" s="173"/>
      <c r="AS286" s="173"/>
      <c r="AT286" s="173" t="s">
        <v>725</v>
      </c>
      <c r="AU286" s="173" t="s">
        <v>725</v>
      </c>
      <c r="AV286" s="173" t="s">
        <v>725</v>
      </c>
      <c r="AW286" s="173" t="s">
        <v>725</v>
      </c>
      <c r="AX286" s="173" t="s">
        <v>725</v>
      </c>
      <c r="AY286" s="173" t="s">
        <v>725</v>
      </c>
      <c r="AZ286" s="173" t="s">
        <v>725</v>
      </c>
      <c r="BA286" s="173" t="s">
        <v>725</v>
      </c>
      <c r="BB286" s="173" t="s">
        <v>725</v>
      </c>
      <c r="BC286" s="173" t="s">
        <v>725</v>
      </c>
      <c r="BD286" s="173" t="s">
        <v>725</v>
      </c>
      <c r="BE286" s="173" t="s">
        <v>725</v>
      </c>
      <c r="BF286" s="173" t="s">
        <v>725</v>
      </c>
      <c r="BG286" s="173" t="s">
        <v>725</v>
      </c>
      <c r="BH286" s="173" t="s">
        <v>725</v>
      </c>
      <c r="BI286" s="173" t="s">
        <v>725</v>
      </c>
      <c r="BJ286" s="173" t="s">
        <v>725</v>
      </c>
      <c r="BK286" s="173" t="s">
        <v>725</v>
      </c>
      <c r="BL286" s="173" t="s">
        <v>725</v>
      </c>
      <c r="BM286" s="173" t="s">
        <v>725</v>
      </c>
      <c r="BN286" s="173" t="s">
        <v>725</v>
      </c>
      <c r="BO286" s="173" t="s">
        <v>725</v>
      </c>
      <c r="BP286" s="173" t="s">
        <v>725</v>
      </c>
      <c r="BQ286" s="173" t="s">
        <v>725</v>
      </c>
      <c r="BR286" s="174"/>
      <c r="BS286" s="161" t="str">
        <v>#VALUE!</v>
      </c>
    </row>
    <row customHeight="true" ht="18.51851851851852" r="287">
      <c r="A287" s="161" t="s">
        <v>734</v>
      </c>
      <c r="B287" s="161" t="s">
        <v>730</v>
      </c>
      <c r="C287" s="183" t="s">
        <v>817</v>
      </c>
      <c r="D287" s="189" t="s">
        <v>819</v>
      </c>
      <c r="E287" s="186">
        <v>31</v>
      </c>
      <c r="F287" s="163">
        <v>44.99</v>
      </c>
      <c r="G287" s="164">
        <f t="shared" si="12"/>
      </c>
      <c r="H287" s="164">
        <f t="shared" si="76"/>
      </c>
      <c r="I287" s="175">
        <f t="shared" si="138"/>
      </c>
      <c r="J287" s="165">
        <f t="shared" si="219"/>
      </c>
      <c r="K287" s="166">
        <f t="shared" si="272"/>
      </c>
      <c r="L287" s="167">
        <f t="shared" si="343"/>
      </c>
      <c r="M287" s="164">
        <f t="shared" si="388"/>
      </c>
      <c r="N287" s="166">
        <f t="shared" si="435"/>
      </c>
      <c r="O287" s="166">
        <f t="shared" si="463"/>
      </c>
      <c r="P287" s="161">
        <v>30</v>
      </c>
      <c r="Q287" s="168">
        <v>8</v>
      </c>
      <c r="R287" s="169">
        <f t="shared" si="32"/>
      </c>
      <c r="S287" s="165">
        <f t="shared" si="529"/>
      </c>
      <c r="T287" s="169">
        <f t="shared" si="157"/>
      </c>
      <c r="U287" s="169">
        <v>0.01</v>
      </c>
      <c r="V287" s="169">
        <f t="shared" si="294"/>
      </c>
      <c r="W287" s="169">
        <f t="shared" si="365"/>
      </c>
      <c r="X287" s="170">
        <v>0.1646</v>
      </c>
      <c r="Y287" s="171">
        <v>5</v>
      </c>
      <c r="Z287" s="171">
        <f>F287*0.1</f>
      </c>
      <c r="AA287" s="171">
        <f t="shared" si="485"/>
      </c>
      <c r="AB287" s="166">
        <f t="shared" si="507"/>
      </c>
      <c r="AC287" s="166">
        <v>90</v>
      </c>
      <c r="AD287" s="172">
        <f t="shared" si="54"/>
      </c>
      <c r="AE287" s="168">
        <f t="shared" si="106"/>
      </c>
      <c r="AF287" s="169">
        <f t="shared" si="179"/>
      </c>
      <c r="AG287" s="169">
        <f t="shared" si="321"/>
      </c>
      <c r="AH287" s="168">
        <v>8</v>
      </c>
      <c r="AI287" s="169">
        <f t="shared" si="197"/>
      </c>
      <c r="AJ287" s="169"/>
      <c r="AK287" s="169"/>
      <c r="AL287" s="169"/>
      <c r="AM287" s="169"/>
      <c r="AN287" s="173"/>
      <c r="AO287" s="173"/>
      <c r="AP287" s="173"/>
      <c r="AQ287" s="173"/>
      <c r="AR287" s="173"/>
      <c r="AS287" s="173"/>
      <c r="AT287" s="173" t="s">
        <v>725</v>
      </c>
      <c r="AU287" s="173" t="s">
        <v>725</v>
      </c>
      <c r="AV287" s="173" t="s">
        <v>725</v>
      </c>
      <c r="AW287" s="173" t="s">
        <v>725</v>
      </c>
      <c r="AX287" s="173" t="s">
        <v>725</v>
      </c>
      <c r="AY287" s="173" t="s">
        <v>725</v>
      </c>
      <c r="AZ287" s="173" t="s">
        <v>725</v>
      </c>
      <c r="BA287" s="173" t="s">
        <v>725</v>
      </c>
      <c r="BB287" s="173" t="s">
        <v>725</v>
      </c>
      <c r="BC287" s="173" t="s">
        <v>725</v>
      </c>
      <c r="BD287" s="173" t="s">
        <v>725</v>
      </c>
      <c r="BE287" s="173" t="s">
        <v>725</v>
      </c>
      <c r="BF287" s="173" t="s">
        <v>725</v>
      </c>
      <c r="BG287" s="173" t="s">
        <v>725</v>
      </c>
      <c r="BH287" s="173" t="s">
        <v>725</v>
      </c>
      <c r="BI287" s="173" t="s">
        <v>725</v>
      </c>
      <c r="BJ287" s="173" t="s">
        <v>725</v>
      </c>
      <c r="BK287" s="173" t="s">
        <v>725</v>
      </c>
      <c r="BL287" s="173" t="s">
        <v>725</v>
      </c>
      <c r="BM287" s="173" t="s">
        <v>725</v>
      </c>
      <c r="BN287" s="173" t="s">
        <v>725</v>
      </c>
      <c r="BO287" s="173" t="s">
        <v>725</v>
      </c>
      <c r="BP287" s="173" t="s">
        <v>725</v>
      </c>
      <c r="BQ287" s="173" t="s">
        <v>725</v>
      </c>
      <c r="BR287" s="174"/>
      <c r="BS287" s="161" t="str">
        <v>#VALUE!</v>
      </c>
    </row>
    <row customHeight="true" ht="18.51851851851852" r="288">
      <c r="A288" s="161" t="s">
        <v>734</v>
      </c>
      <c r="B288" s="161" t="s">
        <v>730</v>
      </c>
      <c r="C288" s="183" t="s">
        <v>817</v>
      </c>
      <c r="D288" s="189" t="s">
        <v>820</v>
      </c>
      <c r="E288" s="186">
        <v>31</v>
      </c>
      <c r="F288" s="163">
        <v>44.99</v>
      </c>
      <c r="G288" s="164">
        <f t="shared" si="12"/>
      </c>
      <c r="H288" s="164">
        <f t="shared" si="76"/>
      </c>
      <c r="I288" s="164">
        <f t="shared" si="138"/>
      </c>
      <c r="J288" s="165">
        <f t="shared" si="219"/>
      </c>
      <c r="K288" s="166">
        <f t="shared" si="272"/>
      </c>
      <c r="L288" s="167">
        <f t="shared" si="343"/>
      </c>
      <c r="M288" s="164">
        <f t="shared" si="388"/>
      </c>
      <c r="N288" s="166">
        <f t="shared" si="435"/>
      </c>
      <c r="O288" s="166">
        <f t="shared" si="463"/>
      </c>
      <c r="P288" s="161">
        <v>30</v>
      </c>
      <c r="Q288" s="168">
        <v>8</v>
      </c>
      <c r="R288" s="169">
        <f t="shared" si="32"/>
      </c>
      <c r="S288" s="165">
        <f t="shared" si="529"/>
      </c>
      <c r="T288" s="169">
        <f t="shared" si="157"/>
      </c>
      <c r="U288" s="169">
        <v>0.01</v>
      </c>
      <c r="V288" s="169">
        <f t="shared" si="294"/>
      </c>
      <c r="W288" s="169">
        <f t="shared" si="365"/>
      </c>
      <c r="X288" s="170">
        <v>0.1646</v>
      </c>
      <c r="Y288" s="171">
        <v>5</v>
      </c>
      <c r="Z288" s="171">
        <f>F288*0.15</f>
      </c>
      <c r="AA288" s="171">
        <f t="shared" si="485"/>
      </c>
      <c r="AB288" s="166">
        <f t="shared" si="507"/>
      </c>
      <c r="AC288" s="166">
        <v>90</v>
      </c>
      <c r="AD288" s="172">
        <f t="shared" si="54"/>
      </c>
      <c r="AE288" s="168">
        <f t="shared" si="106"/>
      </c>
      <c r="AF288" s="169">
        <f t="shared" si="179"/>
      </c>
      <c r="AG288" s="169">
        <f t="shared" si="321"/>
      </c>
      <c r="AH288" s="168">
        <v>8</v>
      </c>
      <c r="AI288" s="169">
        <f t="shared" si="197"/>
      </c>
      <c r="AJ288" s="169"/>
      <c r="AK288" s="169"/>
      <c r="AL288" s="169"/>
      <c r="AM288" s="169"/>
      <c r="AN288" s="173"/>
      <c r="AO288" s="173"/>
      <c r="AP288" s="173"/>
      <c r="AQ288" s="173"/>
      <c r="AR288" s="173"/>
      <c r="AS288" s="173"/>
      <c r="AT288" s="173" t="s">
        <v>725</v>
      </c>
      <c r="AU288" s="173" t="s">
        <v>725</v>
      </c>
      <c r="AV288" s="173" t="s">
        <v>725</v>
      </c>
      <c r="AW288" s="173" t="s">
        <v>725</v>
      </c>
      <c r="AX288" s="173" t="s">
        <v>725</v>
      </c>
      <c r="AY288" s="173" t="s">
        <v>725</v>
      </c>
      <c r="AZ288" s="173" t="s">
        <v>725</v>
      </c>
      <c r="BA288" s="173" t="s">
        <v>725</v>
      </c>
      <c r="BB288" s="173" t="s">
        <v>725</v>
      </c>
      <c r="BC288" s="173" t="s">
        <v>725</v>
      </c>
      <c r="BD288" s="173" t="s">
        <v>725</v>
      </c>
      <c r="BE288" s="173" t="s">
        <v>725</v>
      </c>
      <c r="BF288" s="173" t="s">
        <v>725</v>
      </c>
      <c r="BG288" s="173" t="s">
        <v>725</v>
      </c>
      <c r="BH288" s="173" t="s">
        <v>725</v>
      </c>
      <c r="BI288" s="173" t="s">
        <v>725</v>
      </c>
      <c r="BJ288" s="173" t="s">
        <v>725</v>
      </c>
      <c r="BK288" s="173" t="s">
        <v>725</v>
      </c>
      <c r="BL288" s="173" t="s">
        <v>725</v>
      </c>
      <c r="BM288" s="173" t="s">
        <v>725</v>
      </c>
      <c r="BN288" s="173" t="s">
        <v>725</v>
      </c>
      <c r="BO288" s="173" t="s">
        <v>725</v>
      </c>
      <c r="BP288" s="173" t="s">
        <v>725</v>
      </c>
      <c r="BQ288" s="173" t="s">
        <v>725</v>
      </c>
      <c r="BR288" s="174"/>
      <c r="BS288" s="161" t="str">
        <v>#VALUE!</v>
      </c>
    </row>
    <row customHeight="true" ht="18.51851851851852" r="289">
      <c r="A289" s="161" t="s">
        <v>735</v>
      </c>
      <c r="B289" s="161" t="s">
        <v>730</v>
      </c>
      <c r="C289" s="183" t="s">
        <v>817</v>
      </c>
      <c r="D289" s="178" t="s">
        <v>821</v>
      </c>
      <c r="E289" s="186">
        <v>31</v>
      </c>
      <c r="F289" s="163">
        <v>44.99</v>
      </c>
      <c r="G289" s="164">
        <f t="shared" si="12"/>
      </c>
      <c r="H289" s="164">
        <f t="shared" si="76"/>
      </c>
      <c r="I289" s="164">
        <f t="shared" si="138"/>
      </c>
      <c r="J289" s="165">
        <f t="shared" si="219"/>
      </c>
      <c r="K289" s="166">
        <f t="shared" si="272"/>
      </c>
      <c r="L289" s="167">
        <f t="shared" si="343"/>
      </c>
      <c r="M289" s="164">
        <f t="shared" si="388"/>
      </c>
      <c r="N289" s="166">
        <f t="shared" si="435"/>
      </c>
      <c r="O289" s="166">
        <f t="shared" si="463"/>
      </c>
      <c r="P289" s="161">
        <v>30</v>
      </c>
      <c r="Q289" s="168">
        <v>8</v>
      </c>
      <c r="R289" s="169">
        <f t="shared" si="32"/>
      </c>
      <c r="S289" s="165">
        <f t="shared" si="529"/>
      </c>
      <c r="T289" s="169">
        <f t="shared" si="157"/>
      </c>
      <c r="U289" s="169">
        <v>0.01</v>
      </c>
      <c r="V289" s="169">
        <f t="shared" si="294"/>
      </c>
      <c r="W289" s="169">
        <f t="shared" si="365"/>
      </c>
      <c r="X289" s="170">
        <v>0.158</v>
      </c>
      <c r="Y289" s="171">
        <v>5</v>
      </c>
      <c r="Z289" s="171">
        <f t="shared" ref="Z289:Z292" si="407">F289*0</f>
      </c>
      <c r="AA289" s="171">
        <f t="shared" si="485"/>
      </c>
      <c r="AB289" s="166">
        <f t="shared" si="507"/>
      </c>
      <c r="AC289" s="166">
        <v>90</v>
      </c>
      <c r="AD289" s="172">
        <f t="shared" si="54"/>
      </c>
      <c r="AE289" s="168">
        <f t="shared" si="106"/>
      </c>
      <c r="AF289" s="169">
        <f t="shared" si="179"/>
      </c>
      <c r="AG289" s="169">
        <f t="shared" si="321"/>
      </c>
      <c r="AH289" s="168">
        <v>8</v>
      </c>
      <c r="AI289" s="169">
        <f t="shared" si="197"/>
      </c>
      <c r="AJ289" s="173"/>
      <c r="AK289" s="173"/>
      <c r="AL289" s="173"/>
      <c r="AM289" s="173"/>
      <c r="AN289" s="173"/>
      <c r="AO289" s="173"/>
      <c r="AP289" s="173"/>
      <c r="AQ289" s="173"/>
      <c r="AR289" s="173"/>
      <c r="AS289" s="173"/>
      <c r="AT289" s="173" t="s">
        <v>725</v>
      </c>
      <c r="AU289" s="173" t="s">
        <v>725</v>
      </c>
      <c r="AV289" s="173" t="s">
        <v>725</v>
      </c>
      <c r="AW289" s="173" t="s">
        <v>725</v>
      </c>
      <c r="AX289" s="173" t="s">
        <v>725</v>
      </c>
      <c r="AY289" s="173" t="s">
        <v>725</v>
      </c>
      <c r="AZ289" s="173" t="s">
        <v>725</v>
      </c>
      <c r="BA289" s="173" t="s">
        <v>725</v>
      </c>
      <c r="BB289" s="173" t="s">
        <v>725</v>
      </c>
      <c r="BC289" s="173" t="s">
        <v>725</v>
      </c>
      <c r="BD289" s="173" t="s">
        <v>725</v>
      </c>
      <c r="BE289" s="173" t="s">
        <v>725</v>
      </c>
      <c r="BF289" s="173" t="s">
        <v>725</v>
      </c>
      <c r="BG289" s="173" t="s">
        <v>725</v>
      </c>
      <c r="BH289" s="173" t="s">
        <v>725</v>
      </c>
      <c r="BI289" s="173" t="s">
        <v>725</v>
      </c>
      <c r="BJ289" s="173" t="s">
        <v>725</v>
      </c>
      <c r="BK289" s="173" t="s">
        <v>725</v>
      </c>
      <c r="BL289" s="173" t="s">
        <v>725</v>
      </c>
      <c r="BM289" s="173" t="s">
        <v>725</v>
      </c>
      <c r="BN289" s="173" t="s">
        <v>725</v>
      </c>
      <c r="BO289" s="173" t="s">
        <v>725</v>
      </c>
      <c r="BP289" s="173" t="s">
        <v>725</v>
      </c>
      <c r="BQ289" s="173" t="s">
        <v>725</v>
      </c>
      <c r="BR289" s="180">
        <f t="shared" ref="BR289:BR292" si="248">IF(E289&lt;#REF!,1,0)</f>
      </c>
      <c r="BS289" s="161" t="str">
        <v>#VALUE!</v>
      </c>
    </row>
    <row customHeight="true" ht="18.51851851851852" r="290">
      <c r="A290" s="161" t="s">
        <v>737</v>
      </c>
      <c r="B290" s="161" t="s">
        <v>730</v>
      </c>
      <c r="C290" s="183" t="s">
        <v>817</v>
      </c>
      <c r="D290" s="178" t="s">
        <v>822</v>
      </c>
      <c r="E290" s="186">
        <v>34.5</v>
      </c>
      <c r="F290" s="163">
        <v>49.99</v>
      </c>
      <c r="G290" s="164">
        <f t="shared" si="12"/>
      </c>
      <c r="H290" s="164">
        <f t="shared" si="76"/>
      </c>
      <c r="I290" s="164">
        <f t="shared" si="138"/>
      </c>
      <c r="J290" s="165">
        <f t="shared" si="219"/>
      </c>
      <c r="K290" s="166">
        <f t="shared" si="272"/>
      </c>
      <c r="L290" s="167">
        <f t="shared" si="343"/>
      </c>
      <c r="M290" s="164">
        <f t="shared" si="388"/>
      </c>
      <c r="N290" s="166">
        <f t="shared" si="435"/>
      </c>
      <c r="O290" s="166">
        <f t="shared" si="463"/>
      </c>
      <c r="P290" s="161">
        <v>30</v>
      </c>
      <c r="Q290" s="168">
        <v>8</v>
      </c>
      <c r="R290" s="169">
        <f t="shared" si="32"/>
      </c>
      <c r="S290" s="165">
        <f t="shared" si="529"/>
      </c>
      <c r="T290" s="169">
        <f t="shared" si="157"/>
      </c>
      <c r="U290" s="169">
        <v>0.01</v>
      </c>
      <c r="V290" s="169">
        <f t="shared" si="294"/>
      </c>
      <c r="W290" s="169">
        <f t="shared" si="365"/>
      </c>
      <c r="X290" s="170">
        <v>0.223</v>
      </c>
      <c r="Y290" s="171">
        <v>5</v>
      </c>
      <c r="Z290" s="171">
        <f t="shared" si="407"/>
      </c>
      <c r="AA290" s="171">
        <f t="shared" si="485"/>
      </c>
      <c r="AB290" s="166">
        <f t="shared" si="507"/>
      </c>
      <c r="AC290" s="166">
        <v>90</v>
      </c>
      <c r="AD290" s="172">
        <f t="shared" si="54"/>
      </c>
      <c r="AE290" s="168">
        <f t="shared" si="106"/>
      </c>
      <c r="AF290" s="169">
        <f t="shared" si="179"/>
      </c>
      <c r="AG290" s="169">
        <f t="shared" si="321"/>
      </c>
      <c r="AH290" s="168">
        <v>8</v>
      </c>
      <c r="AI290" s="169">
        <f t="shared" si="197"/>
      </c>
      <c r="AJ290" s="173"/>
      <c r="AK290" s="173"/>
      <c r="AL290" s="173"/>
      <c r="AM290" s="173"/>
      <c r="AN290" s="173"/>
      <c r="AO290" s="173"/>
      <c r="AP290" s="173"/>
      <c r="AQ290" s="173"/>
      <c r="AR290" s="173"/>
      <c r="AS290" s="173"/>
      <c r="AT290" s="173" t="s">
        <v>725</v>
      </c>
      <c r="AU290" s="173" t="s">
        <v>725</v>
      </c>
      <c r="AV290" s="173" t="s">
        <v>725</v>
      </c>
      <c r="AW290" s="173" t="s">
        <v>725</v>
      </c>
      <c r="AX290" s="173" t="s">
        <v>725</v>
      </c>
      <c r="AY290" s="173" t="s">
        <v>725</v>
      </c>
      <c r="AZ290" s="173" t="s">
        <v>725</v>
      </c>
      <c r="BA290" s="173" t="s">
        <v>725</v>
      </c>
      <c r="BB290" s="173" t="s">
        <v>725</v>
      </c>
      <c r="BC290" s="173" t="s">
        <v>725</v>
      </c>
      <c r="BD290" s="173" t="s">
        <v>725</v>
      </c>
      <c r="BE290" s="173" t="s">
        <v>725</v>
      </c>
      <c r="BF290" s="173" t="s">
        <v>725</v>
      </c>
      <c r="BG290" s="173" t="s">
        <v>725</v>
      </c>
      <c r="BH290" s="173" t="s">
        <v>725</v>
      </c>
      <c r="BI290" s="173" t="s">
        <v>725</v>
      </c>
      <c r="BJ290" s="173" t="s">
        <v>725</v>
      </c>
      <c r="BK290" s="173" t="s">
        <v>725</v>
      </c>
      <c r="BL290" s="173" t="s">
        <v>725</v>
      </c>
      <c r="BM290" s="173" t="s">
        <v>725</v>
      </c>
      <c r="BN290" s="173" t="s">
        <v>725</v>
      </c>
      <c r="BO290" s="173" t="s">
        <v>725</v>
      </c>
      <c r="BP290" s="173" t="s">
        <v>725</v>
      </c>
      <c r="BQ290" s="173" t="s">
        <v>725</v>
      </c>
      <c r="BR290" s="180">
        <f t="shared" si="248"/>
      </c>
      <c r="BS290" s="161" t="str">
        <v>#VALUE!</v>
      </c>
    </row>
    <row customHeight="true" ht="18.51851851851852" r="291">
      <c r="A291" s="161" t="s">
        <v>739</v>
      </c>
      <c r="B291" s="161" t="s">
        <v>730</v>
      </c>
      <c r="C291" s="183" t="s">
        <v>817</v>
      </c>
      <c r="D291" s="178" t="s">
        <v>823</v>
      </c>
      <c r="E291" s="186">
        <v>34.5</v>
      </c>
      <c r="F291" s="163">
        <v>49.99</v>
      </c>
      <c r="G291" s="164">
        <f t="shared" si="12"/>
      </c>
      <c r="H291" s="164">
        <f t="shared" si="76"/>
      </c>
      <c r="I291" s="164">
        <f t="shared" si="138"/>
      </c>
      <c r="J291" s="165">
        <f t="shared" si="219"/>
      </c>
      <c r="K291" s="166">
        <f t="shared" si="272"/>
      </c>
      <c r="L291" s="167">
        <f t="shared" si="343"/>
      </c>
      <c r="M291" s="164">
        <f t="shared" si="388"/>
      </c>
      <c r="N291" s="166">
        <f t="shared" si="435"/>
      </c>
      <c r="O291" s="166">
        <f t="shared" si="463"/>
      </c>
      <c r="P291" s="161">
        <v>30</v>
      </c>
      <c r="Q291" s="168">
        <v>8</v>
      </c>
      <c r="R291" s="169">
        <f t="shared" si="32"/>
      </c>
      <c r="S291" s="165">
        <f t="shared" si="529"/>
      </c>
      <c r="T291" s="169">
        <f t="shared" si="157"/>
      </c>
      <c r="U291" s="169">
        <v>0.01</v>
      </c>
      <c r="V291" s="169">
        <f t="shared" si="294"/>
      </c>
      <c r="W291" s="169">
        <f t="shared" si="365"/>
      </c>
      <c r="X291" s="170">
        <v>0.223</v>
      </c>
      <c r="Y291" s="171">
        <v>5</v>
      </c>
      <c r="Z291" s="171">
        <f t="shared" si="407"/>
      </c>
      <c r="AA291" s="171">
        <f t="shared" si="485"/>
      </c>
      <c r="AB291" s="166">
        <f t="shared" si="507"/>
      </c>
      <c r="AC291" s="166">
        <v>90</v>
      </c>
      <c r="AD291" s="172">
        <f t="shared" si="54"/>
      </c>
      <c r="AE291" s="168">
        <f t="shared" si="106"/>
      </c>
      <c r="AF291" s="169">
        <f t="shared" si="179"/>
      </c>
      <c r="AG291" s="169">
        <f t="shared" si="321"/>
      </c>
      <c r="AH291" s="168">
        <v>8</v>
      </c>
      <c r="AI291" s="169">
        <f t="shared" si="197"/>
      </c>
      <c r="AJ291" s="173"/>
      <c r="AK291" s="173"/>
      <c r="AL291" s="173"/>
      <c r="AM291" s="173"/>
      <c r="AN291" s="173"/>
      <c r="AO291" s="173"/>
      <c r="AP291" s="173"/>
      <c r="AQ291" s="173"/>
      <c r="AR291" s="173"/>
      <c r="AS291" s="173"/>
      <c r="AT291" s="173" t="s">
        <v>725</v>
      </c>
      <c r="AU291" s="173" t="s">
        <v>725</v>
      </c>
      <c r="AV291" s="173" t="s">
        <v>725</v>
      </c>
      <c r="AW291" s="173" t="s">
        <v>725</v>
      </c>
      <c r="AX291" s="173" t="s">
        <v>725</v>
      </c>
      <c r="AY291" s="173" t="s">
        <v>725</v>
      </c>
      <c r="AZ291" s="173" t="s">
        <v>725</v>
      </c>
      <c r="BA291" s="173" t="s">
        <v>725</v>
      </c>
      <c r="BB291" s="173" t="s">
        <v>725</v>
      </c>
      <c r="BC291" s="173" t="s">
        <v>725</v>
      </c>
      <c r="BD291" s="173" t="s">
        <v>725</v>
      </c>
      <c r="BE291" s="173" t="s">
        <v>725</v>
      </c>
      <c r="BF291" s="173" t="s">
        <v>725</v>
      </c>
      <c r="BG291" s="173" t="s">
        <v>725</v>
      </c>
      <c r="BH291" s="173" t="s">
        <v>725</v>
      </c>
      <c r="BI291" s="173" t="s">
        <v>725</v>
      </c>
      <c r="BJ291" s="173" t="s">
        <v>725</v>
      </c>
      <c r="BK291" s="173" t="s">
        <v>725</v>
      </c>
      <c r="BL291" s="173" t="s">
        <v>725</v>
      </c>
      <c r="BM291" s="173" t="s">
        <v>725</v>
      </c>
      <c r="BN291" s="173" t="s">
        <v>725</v>
      </c>
      <c r="BO291" s="173" t="s">
        <v>725</v>
      </c>
      <c r="BP291" s="173" t="s">
        <v>725</v>
      </c>
      <c r="BQ291" s="173" t="s">
        <v>725</v>
      </c>
      <c r="BR291" s="180">
        <f t="shared" si="248"/>
      </c>
      <c r="BS291" s="161" t="str">
        <v>#VALUE!</v>
      </c>
    </row>
    <row customHeight="true" ht="18.51851851851852" r="292">
      <c r="A292" s="161" t="s">
        <v>741</v>
      </c>
      <c r="B292" s="161" t="s">
        <v>730</v>
      </c>
      <c r="C292" s="183" t="s">
        <v>817</v>
      </c>
      <c r="D292" s="178" t="s">
        <v>824</v>
      </c>
      <c r="E292" s="186">
        <v>31</v>
      </c>
      <c r="F292" s="163">
        <v>44.99</v>
      </c>
      <c r="G292" s="164">
        <f t="shared" si="12"/>
      </c>
      <c r="H292" s="164">
        <f t="shared" si="76"/>
      </c>
      <c r="I292" s="164">
        <f t="shared" si="138"/>
      </c>
      <c r="J292" s="165">
        <f t="shared" si="219"/>
      </c>
      <c r="K292" s="166">
        <f t="shared" si="272"/>
      </c>
      <c r="L292" s="167">
        <f t="shared" si="343"/>
      </c>
      <c r="M292" s="164">
        <f t="shared" si="388"/>
      </c>
      <c r="N292" s="166">
        <f t="shared" si="435"/>
      </c>
      <c r="O292" s="166">
        <f t="shared" si="463"/>
      </c>
      <c r="P292" s="161">
        <v>20</v>
      </c>
      <c r="Q292" s="168">
        <v>8</v>
      </c>
      <c r="R292" s="169">
        <f t="shared" si="32"/>
      </c>
      <c r="S292" s="165">
        <f t="shared" si="529"/>
      </c>
      <c r="T292" s="169">
        <f t="shared" si="157"/>
      </c>
      <c r="U292" s="169">
        <v>0.01</v>
      </c>
      <c r="V292" s="169">
        <f t="shared" si="294"/>
      </c>
      <c r="W292" s="169">
        <f t="shared" si="365"/>
      </c>
      <c r="X292" s="170">
        <v>0.158</v>
      </c>
      <c r="Y292" s="171">
        <v>5</v>
      </c>
      <c r="Z292" s="171">
        <f t="shared" si="407"/>
      </c>
      <c r="AA292" s="171">
        <f t="shared" si="485"/>
      </c>
      <c r="AB292" s="166">
        <f t="shared" si="507"/>
      </c>
      <c r="AC292" s="166">
        <v>90</v>
      </c>
      <c r="AD292" s="172">
        <f t="shared" si="54"/>
      </c>
      <c r="AE292" s="168">
        <f t="shared" si="106"/>
      </c>
      <c r="AF292" s="169">
        <f t="shared" si="179"/>
      </c>
      <c r="AG292" s="169">
        <f t="shared" si="321"/>
      </c>
      <c r="AH292" s="168">
        <v>8</v>
      </c>
      <c r="AI292" s="169">
        <f t="shared" si="197"/>
      </c>
      <c r="AJ292" s="169"/>
      <c r="AK292" s="169"/>
      <c r="AL292" s="169"/>
      <c r="AM292" s="169"/>
      <c r="AN292" s="173"/>
      <c r="AO292" s="173"/>
      <c r="AP292" s="173"/>
      <c r="AQ292" s="173"/>
      <c r="AR292" s="173"/>
      <c r="AS292" s="173"/>
      <c r="AT292" s="173" t="s">
        <v>725</v>
      </c>
      <c r="AU292" s="173" t="s">
        <v>725</v>
      </c>
      <c r="AV292" s="173" t="s">
        <v>725</v>
      </c>
      <c r="AW292" s="173" t="s">
        <v>725</v>
      </c>
      <c r="AX292" s="173" t="s">
        <v>725</v>
      </c>
      <c r="AY292" s="173" t="s">
        <v>725</v>
      </c>
      <c r="AZ292" s="173" t="s">
        <v>725</v>
      </c>
      <c r="BA292" s="173" t="s">
        <v>725</v>
      </c>
      <c r="BB292" s="173" t="s">
        <v>725</v>
      </c>
      <c r="BC292" s="173" t="s">
        <v>725</v>
      </c>
      <c r="BD292" s="173" t="s">
        <v>725</v>
      </c>
      <c r="BE292" s="173" t="s">
        <v>725</v>
      </c>
      <c r="BF292" s="173" t="s">
        <v>725</v>
      </c>
      <c r="BG292" s="173" t="s">
        <v>725</v>
      </c>
      <c r="BH292" s="173" t="s">
        <v>725</v>
      </c>
      <c r="BI292" s="173" t="s">
        <v>725</v>
      </c>
      <c r="BJ292" s="173" t="s">
        <v>725</v>
      </c>
      <c r="BK292" s="173" t="s">
        <v>725</v>
      </c>
      <c r="BL292" s="173" t="s">
        <v>725</v>
      </c>
      <c r="BM292" s="173" t="s">
        <v>725</v>
      </c>
      <c r="BN292" s="173" t="s">
        <v>725</v>
      </c>
      <c r="BO292" s="173" t="s">
        <v>725</v>
      </c>
      <c r="BP292" s="173" t="s">
        <v>725</v>
      </c>
      <c r="BQ292" s="173" t="s">
        <v>725</v>
      </c>
      <c r="BR292" s="180">
        <f t="shared" si="248"/>
      </c>
      <c r="BS292" s="161" t="str">
        <v>#VALUE!</v>
      </c>
    </row>
    <row customHeight="true" ht="18.51851851851852" r="293">
      <c r="G293" s="181"/>
      <c r="H293" s="181"/>
      <c r="S293" s="181"/>
      <c r="AE293" s="188"/>
      <c r="AI293" s="181"/>
    </row>
    <row customHeight="true" ht="18.51851851851852" r="294">
      <c r="A294" s="161" t="s">
        <v>721</v>
      </c>
      <c r="B294" s="161" t="s">
        <v>730</v>
      </c>
      <c r="C294" s="183" t="s">
        <v>825</v>
      </c>
      <c r="D294" s="189" t="s">
        <v>826</v>
      </c>
      <c r="E294" s="186">
        <v>20.6</v>
      </c>
      <c r="F294" s="163">
        <v>29.99</v>
      </c>
      <c r="G294" s="164">
        <f t="shared" ref="G294:G312" si="13">(F294-Z294)</f>
      </c>
      <c r="H294" s="164">
        <f t="shared" ref="H294:H312" si="77">(F294-Z294)/1.2</f>
      </c>
      <c r="I294" s="164">
        <f t="shared" ref="I294:I312" si="139">E294-N294/Q294-AB294-Y294-O294-Z294-AA294</f>
      </c>
      <c r="J294" s="165">
        <f t="shared" ref="J294:J312" si="220">I294/E294</f>
      </c>
      <c r="K294" s="166">
        <f t="shared" ref="K294:K312" si="273">F294/1.2</f>
      </c>
      <c r="L294" s="167">
        <f t="shared" ref="L294:L312" si="344">(K294-E294)/K294</f>
      </c>
      <c r="M294" s="164">
        <f t="shared" ref="M294:M312" si="389">F294/1.2-E294</f>
      </c>
      <c r="N294" s="166">
        <f>AD294+AH295</f>
      </c>
      <c r="O294" s="166">
        <f t="shared" ref="O294:O312" si="464">IFERROR(IF(A294="UK",8.95/P294,IF(A294="DE",7.75/P294,IF(A294="FR",14.25/P294,IF(A294="IT",15.25/P294,IF(A294="ES",19.25/P294,IF(A294="NL",16.75/P294,IF(A294="PL",14.05/P294,IF(A294="SE",18.25/P294,IF(A294="BE",14.25/P294))))))))),0)</f>
      </c>
      <c r="P294" s="161">
        <v>40</v>
      </c>
      <c r="Q294" s="168">
        <v>9</v>
      </c>
      <c r="R294" s="169">
        <f t="shared" ref="R294:R312" si="33">Y294/E294</f>
      </c>
      <c r="S294" s="165">
        <f t="shared" ref="S294:S312" si="530">Y294/F294</f>
      </c>
      <c r="T294" s="169">
        <f t="shared" ref="T294:T312" si="158">Z294/E294</f>
      </c>
      <c r="U294" s="169">
        <v>0.01</v>
      </c>
      <c r="V294" s="169">
        <f t="shared" ref="V294:V312" si="295">N294/(E294*Q294)</f>
      </c>
      <c r="W294" s="169">
        <f t="shared" ref="W294:W312" si="366">O294/E294</f>
      </c>
      <c r="X294" s="170">
        <v>0.158</v>
      </c>
      <c r="Y294" s="171">
        <v>4</v>
      </c>
      <c r="Z294" s="171">
        <v>0</v>
      </c>
      <c r="AA294" s="171">
        <f t="shared" ref="AA294:AA312" si="486">E294*U294</f>
      </c>
      <c r="AB294" s="166">
        <f t="shared" ref="AB294:AB312" si="508">E294*X294</f>
      </c>
      <c r="AC294" s="166">
        <v>70</v>
      </c>
      <c r="AD294" s="172">
        <f t="shared" ref="AD294:AD312" si="55">AC294/1.13</f>
      </c>
      <c r="AE294" s="168">
        <f>AH295/Q294</f>
      </c>
      <c r="AF294" s="169">
        <f t="shared" ref="AF294:AF312" si="180">AD294/(E294*Q294)</f>
      </c>
      <c r="AG294" s="169">
        <f t="shared" ref="AG294:AG312" si="322">AE294/Q294/E294</f>
      </c>
      <c r="AH294" s="168">
        <v>7</v>
      </c>
      <c r="AI294" s="169">
        <f t="shared" ref="AI294:AI312" si="198">(H294-E294+AB294)/H294</f>
      </c>
      <c r="AJ294" s="169"/>
      <c r="AK294" s="169"/>
      <c r="AL294" s="169"/>
      <c r="AM294" s="169"/>
      <c r="AN294" s="173"/>
      <c r="AO294" s="173"/>
      <c r="AP294" s="173"/>
      <c r="AQ294" s="173"/>
      <c r="AR294" s="173"/>
      <c r="AS294" s="173"/>
      <c r="AT294" s="173" t="s">
        <v>725</v>
      </c>
      <c r="AU294" s="173" t="s">
        <v>725</v>
      </c>
      <c r="AV294" s="173" t="s">
        <v>725</v>
      </c>
      <c r="AW294" s="173" t="s">
        <v>725</v>
      </c>
      <c r="AX294" s="173" t="s">
        <v>725</v>
      </c>
      <c r="AY294" s="173" t="s">
        <v>725</v>
      </c>
      <c r="AZ294" s="173" t="s">
        <v>725</v>
      </c>
      <c r="BA294" s="173" t="s">
        <v>725</v>
      </c>
      <c r="BB294" s="173" t="s">
        <v>725</v>
      </c>
      <c r="BC294" s="173" t="s">
        <v>725</v>
      </c>
      <c r="BD294" s="173" t="s">
        <v>725</v>
      </c>
      <c r="BE294" s="173" t="s">
        <v>725</v>
      </c>
      <c r="BF294" s="173" t="s">
        <v>725</v>
      </c>
      <c r="BG294" s="173" t="s">
        <v>725</v>
      </c>
      <c r="BH294" s="173" t="s">
        <v>725</v>
      </c>
      <c r="BI294" s="173" t="s">
        <v>725</v>
      </c>
      <c r="BJ294" s="173" t="s">
        <v>725</v>
      </c>
      <c r="BK294" s="173" t="s">
        <v>725</v>
      </c>
      <c r="BL294" s="173" t="s">
        <v>725</v>
      </c>
      <c r="BM294" s="173" t="s">
        <v>725</v>
      </c>
      <c r="BN294" s="173" t="s">
        <v>725</v>
      </c>
      <c r="BO294" s="173" t="s">
        <v>725</v>
      </c>
      <c r="BP294" s="173" t="s">
        <v>725</v>
      </c>
      <c r="BQ294" s="173" t="s">
        <v>725</v>
      </c>
      <c r="BR294" s="174"/>
      <c r="BS294" s="161" t="str">
        <v>#VALUE!</v>
      </c>
    </row>
    <row customHeight="true" ht="18.51851851851852" r="295">
      <c r="A295" s="161" t="s">
        <v>721</v>
      </c>
      <c r="B295" s="161" t="s">
        <v>730</v>
      </c>
      <c r="C295" s="183" t="s">
        <v>825</v>
      </c>
      <c r="D295" s="189" t="s">
        <v>827</v>
      </c>
      <c r="E295" s="186">
        <v>20.6</v>
      </c>
      <c r="F295" s="163">
        <v>29.99</v>
      </c>
      <c r="G295" s="164">
        <f t="shared" si="13"/>
      </c>
      <c r="H295" s="164">
        <f t="shared" si="77"/>
      </c>
      <c r="I295" s="175">
        <f t="shared" si="139"/>
      </c>
      <c r="J295" s="165">
        <f t="shared" si="220"/>
      </c>
      <c r="K295" s="166">
        <f t="shared" si="273"/>
      </c>
      <c r="L295" s="167">
        <f t="shared" si="344"/>
      </c>
      <c r="M295" s="164">
        <f t="shared" si="389"/>
      </c>
      <c r="N295" s="166">
        <f t="shared" ref="N295:N296" si="436">AD295+AH295</f>
      </c>
      <c r="O295" s="166">
        <f t="shared" si="464"/>
      </c>
      <c r="P295" s="161">
        <v>40</v>
      </c>
      <c r="Q295" s="168">
        <v>9</v>
      </c>
      <c r="R295" s="169">
        <f t="shared" si="33"/>
      </c>
      <c r="S295" s="165">
        <f t="shared" si="530"/>
      </c>
      <c r="T295" s="169">
        <f t="shared" si="158"/>
      </c>
      <c r="U295" s="169">
        <v>0.01</v>
      </c>
      <c r="V295" s="169">
        <f t="shared" si="295"/>
      </c>
      <c r="W295" s="169">
        <f t="shared" si="366"/>
      </c>
      <c r="X295" s="170">
        <v>0.158</v>
      </c>
      <c r="Y295" s="171">
        <v>4</v>
      </c>
      <c r="Z295" s="171">
        <f>F295*0.1</f>
      </c>
      <c r="AA295" s="171">
        <f t="shared" si="486"/>
      </c>
      <c r="AB295" s="166">
        <f t="shared" si="508"/>
      </c>
      <c r="AC295" s="166">
        <v>70</v>
      </c>
      <c r="AD295" s="172">
        <f t="shared" si="55"/>
      </c>
      <c r="AE295" s="168">
        <f t="shared" ref="AE295:AE296" si="107">AH295/Q295</f>
      </c>
      <c r="AF295" s="169">
        <f t="shared" si="180"/>
      </c>
      <c r="AG295" s="169">
        <f t="shared" si="322"/>
      </c>
      <c r="AH295" s="168">
        <v>7</v>
      </c>
      <c r="AI295" s="169">
        <f t="shared" si="198"/>
      </c>
      <c r="AJ295" s="169"/>
      <c r="AK295" s="169"/>
      <c r="AL295" s="169"/>
      <c r="AM295" s="169"/>
      <c r="AN295" s="173"/>
      <c r="AO295" s="173"/>
      <c r="AP295" s="173"/>
      <c r="AQ295" s="173"/>
      <c r="AR295" s="173"/>
      <c r="AS295" s="173"/>
      <c r="AT295" s="173" t="s">
        <v>725</v>
      </c>
      <c r="AU295" s="173" t="s">
        <v>725</v>
      </c>
      <c r="AV295" s="173" t="s">
        <v>725</v>
      </c>
      <c r="AW295" s="173" t="s">
        <v>725</v>
      </c>
      <c r="AX295" s="173" t="s">
        <v>725</v>
      </c>
      <c r="AY295" s="173" t="s">
        <v>725</v>
      </c>
      <c r="AZ295" s="173" t="s">
        <v>725</v>
      </c>
      <c r="BA295" s="173" t="s">
        <v>725</v>
      </c>
      <c r="BB295" s="173" t="s">
        <v>725</v>
      </c>
      <c r="BC295" s="173" t="s">
        <v>725</v>
      </c>
      <c r="BD295" s="173" t="s">
        <v>725</v>
      </c>
      <c r="BE295" s="173" t="s">
        <v>725</v>
      </c>
      <c r="BF295" s="173" t="s">
        <v>725</v>
      </c>
      <c r="BG295" s="173" t="s">
        <v>725</v>
      </c>
      <c r="BH295" s="173" t="s">
        <v>725</v>
      </c>
      <c r="BI295" s="173" t="s">
        <v>725</v>
      </c>
      <c r="BJ295" s="173" t="s">
        <v>725</v>
      </c>
      <c r="BK295" s="173" t="s">
        <v>725</v>
      </c>
      <c r="BL295" s="173" t="s">
        <v>725</v>
      </c>
      <c r="BM295" s="173" t="s">
        <v>725</v>
      </c>
      <c r="BN295" s="173" t="s">
        <v>725</v>
      </c>
      <c r="BO295" s="173" t="s">
        <v>725</v>
      </c>
      <c r="BP295" s="173" t="s">
        <v>725</v>
      </c>
      <c r="BQ295" s="173" t="s">
        <v>725</v>
      </c>
      <c r="BR295" s="174"/>
      <c r="BS295" s="161" t="str">
        <v>#VALUE!</v>
      </c>
    </row>
    <row customHeight="true" ht="18.51851851851852" r="296">
      <c r="A296" s="161" t="s">
        <v>721</v>
      </c>
      <c r="B296" s="161" t="s">
        <v>730</v>
      </c>
      <c r="C296" s="183" t="s">
        <v>825</v>
      </c>
      <c r="D296" s="189" t="s">
        <v>828</v>
      </c>
      <c r="E296" s="186">
        <v>20.6</v>
      </c>
      <c r="F296" s="163">
        <v>29.99</v>
      </c>
      <c r="G296" s="164">
        <f t="shared" si="13"/>
      </c>
      <c r="H296" s="164">
        <f t="shared" si="77"/>
      </c>
      <c r="I296" s="164">
        <f t="shared" si="139"/>
      </c>
      <c r="J296" s="165">
        <f t="shared" si="220"/>
      </c>
      <c r="K296" s="166">
        <f t="shared" si="273"/>
      </c>
      <c r="L296" s="167">
        <f t="shared" si="344"/>
      </c>
      <c r="M296" s="164">
        <f t="shared" si="389"/>
      </c>
      <c r="N296" s="166">
        <f t="shared" si="436"/>
      </c>
      <c r="O296" s="166">
        <f t="shared" si="464"/>
      </c>
      <c r="P296" s="161">
        <v>40</v>
      </c>
      <c r="Q296" s="168">
        <v>9</v>
      </c>
      <c r="R296" s="169">
        <f t="shared" si="33"/>
      </c>
      <c r="S296" s="165">
        <f t="shared" si="530"/>
      </c>
      <c r="T296" s="169">
        <f t="shared" si="158"/>
      </c>
      <c r="U296" s="169">
        <v>0.01</v>
      </c>
      <c r="V296" s="169">
        <f t="shared" si="295"/>
      </c>
      <c r="W296" s="169">
        <f t="shared" si="366"/>
      </c>
      <c r="X296" s="170">
        <v>0.158</v>
      </c>
      <c r="Y296" s="171">
        <v>4</v>
      </c>
      <c r="Z296" s="171">
        <f>F296*0.15</f>
      </c>
      <c r="AA296" s="171">
        <f t="shared" si="486"/>
      </c>
      <c r="AB296" s="166">
        <f t="shared" si="508"/>
      </c>
      <c r="AC296" s="166">
        <v>70</v>
      </c>
      <c r="AD296" s="172">
        <f t="shared" si="55"/>
      </c>
      <c r="AE296" s="168">
        <f t="shared" si="107"/>
      </c>
      <c r="AF296" s="169">
        <f t="shared" si="180"/>
      </c>
      <c r="AG296" s="169">
        <f t="shared" si="322"/>
      </c>
      <c r="AH296" s="168">
        <v>7</v>
      </c>
      <c r="AI296" s="169">
        <f t="shared" si="198"/>
      </c>
      <c r="AJ296" s="169"/>
      <c r="AK296" s="169"/>
      <c r="AL296" s="169"/>
      <c r="AM296" s="169"/>
      <c r="AN296" s="173"/>
      <c r="AO296" s="173"/>
      <c r="AP296" s="173"/>
      <c r="AQ296" s="173"/>
      <c r="AR296" s="173"/>
      <c r="AS296" s="173"/>
      <c r="AT296" s="173" t="s">
        <v>725</v>
      </c>
      <c r="AU296" s="173" t="s">
        <v>725</v>
      </c>
      <c r="AV296" s="173" t="s">
        <v>725</v>
      </c>
      <c r="AW296" s="173" t="s">
        <v>725</v>
      </c>
      <c r="AX296" s="173" t="s">
        <v>725</v>
      </c>
      <c r="AY296" s="173" t="s">
        <v>725</v>
      </c>
      <c r="AZ296" s="173" t="s">
        <v>725</v>
      </c>
      <c r="BA296" s="173" t="s">
        <v>725</v>
      </c>
      <c r="BB296" s="173" t="s">
        <v>725</v>
      </c>
      <c r="BC296" s="173" t="s">
        <v>725</v>
      </c>
      <c r="BD296" s="173" t="s">
        <v>725</v>
      </c>
      <c r="BE296" s="173" t="s">
        <v>725</v>
      </c>
      <c r="BF296" s="173" t="s">
        <v>725</v>
      </c>
      <c r="BG296" s="173" t="s">
        <v>725</v>
      </c>
      <c r="BH296" s="173" t="s">
        <v>725</v>
      </c>
      <c r="BI296" s="173" t="s">
        <v>725</v>
      </c>
      <c r="BJ296" s="173" t="s">
        <v>725</v>
      </c>
      <c r="BK296" s="173" t="s">
        <v>725</v>
      </c>
      <c r="BL296" s="173" t="s">
        <v>725</v>
      </c>
      <c r="BM296" s="173" t="s">
        <v>725</v>
      </c>
      <c r="BN296" s="173" t="s">
        <v>725</v>
      </c>
      <c r="BO296" s="173" t="s">
        <v>725</v>
      </c>
      <c r="BP296" s="173" t="s">
        <v>725</v>
      </c>
      <c r="BQ296" s="173" t="s">
        <v>725</v>
      </c>
      <c r="BR296" s="174"/>
      <c r="BS296" s="161" t="str">
        <v>#VALUE!</v>
      </c>
    </row>
    <row customHeight="true" ht="18.51851851851852" r="297">
      <c r="A297" s="161" t="s">
        <v>729</v>
      </c>
      <c r="B297" s="161" t="s">
        <v>730</v>
      </c>
      <c r="C297" s="183" t="s">
        <v>825</v>
      </c>
      <c r="D297" s="189" t="s">
        <v>826</v>
      </c>
      <c r="E297" s="186">
        <v>24</v>
      </c>
      <c r="F297" s="163">
        <v>34.99</v>
      </c>
      <c r="G297" s="164">
        <f t="shared" si="13"/>
      </c>
      <c r="H297" s="164">
        <f t="shared" si="77"/>
      </c>
      <c r="I297" s="164">
        <f t="shared" si="139"/>
      </c>
      <c r="J297" s="165">
        <f t="shared" si="220"/>
      </c>
      <c r="K297" s="166">
        <f t="shared" si="273"/>
      </c>
      <c r="L297" s="167">
        <f t="shared" si="344"/>
      </c>
      <c r="M297" s="164">
        <f t="shared" si="389"/>
      </c>
      <c r="N297" s="166">
        <f>AD297+AH298</f>
      </c>
      <c r="O297" s="166">
        <f t="shared" si="464"/>
      </c>
      <c r="P297" s="161">
        <v>40</v>
      </c>
      <c r="Q297" s="168">
        <v>8</v>
      </c>
      <c r="R297" s="169">
        <f t="shared" si="33"/>
      </c>
      <c r="S297" s="165">
        <f t="shared" si="530"/>
      </c>
      <c r="T297" s="169">
        <f t="shared" si="158"/>
      </c>
      <c r="U297" s="169">
        <v>0.01</v>
      </c>
      <c r="V297" s="169">
        <f t="shared" si="295"/>
      </c>
      <c r="W297" s="169">
        <f t="shared" si="366"/>
      </c>
      <c r="X297" s="170">
        <v>0.1695</v>
      </c>
      <c r="Y297" s="171">
        <v>4</v>
      </c>
      <c r="Z297" s="171">
        <v>0</v>
      </c>
      <c r="AA297" s="171">
        <f t="shared" si="486"/>
      </c>
      <c r="AB297" s="166">
        <f t="shared" si="508"/>
      </c>
      <c r="AC297" s="166">
        <v>70</v>
      </c>
      <c r="AD297" s="172">
        <f t="shared" si="55"/>
      </c>
      <c r="AE297" s="168">
        <f>AH298/Q297</f>
      </c>
      <c r="AF297" s="169">
        <f t="shared" si="180"/>
      </c>
      <c r="AG297" s="169">
        <f t="shared" si="322"/>
      </c>
      <c r="AH297" s="168">
        <v>7</v>
      </c>
      <c r="AI297" s="169">
        <f t="shared" si="198"/>
      </c>
      <c r="AJ297" s="169"/>
      <c r="AK297" s="169"/>
      <c r="AL297" s="169"/>
      <c r="AM297" s="169"/>
      <c r="AN297" s="173"/>
      <c r="AO297" s="173"/>
      <c r="AP297" s="173"/>
      <c r="AQ297" s="173"/>
      <c r="AR297" s="173"/>
      <c r="AS297" s="173"/>
      <c r="AT297" s="173" t="s">
        <v>725</v>
      </c>
      <c r="AU297" s="173" t="s">
        <v>725</v>
      </c>
      <c r="AV297" s="173" t="s">
        <v>725</v>
      </c>
      <c r="AW297" s="173" t="s">
        <v>725</v>
      </c>
      <c r="AX297" s="173" t="s">
        <v>725</v>
      </c>
      <c r="AY297" s="173" t="s">
        <v>725</v>
      </c>
      <c r="AZ297" s="173" t="s">
        <v>725</v>
      </c>
      <c r="BA297" s="173" t="s">
        <v>725</v>
      </c>
      <c r="BB297" s="173" t="s">
        <v>725</v>
      </c>
      <c r="BC297" s="173" t="s">
        <v>725</v>
      </c>
      <c r="BD297" s="173" t="s">
        <v>725</v>
      </c>
      <c r="BE297" s="173" t="s">
        <v>725</v>
      </c>
      <c r="BF297" s="173" t="s">
        <v>725</v>
      </c>
      <c r="BG297" s="173" t="s">
        <v>725</v>
      </c>
      <c r="BH297" s="173" t="s">
        <v>725</v>
      </c>
      <c r="BI297" s="173" t="s">
        <v>725</v>
      </c>
      <c r="BJ297" s="173" t="s">
        <v>725</v>
      </c>
      <c r="BK297" s="173" t="s">
        <v>725</v>
      </c>
      <c r="BL297" s="173" t="s">
        <v>725</v>
      </c>
      <c r="BM297" s="173" t="s">
        <v>725</v>
      </c>
      <c r="BN297" s="173" t="s">
        <v>725</v>
      </c>
      <c r="BO297" s="173" t="s">
        <v>725</v>
      </c>
      <c r="BP297" s="173" t="s">
        <v>725</v>
      </c>
      <c r="BQ297" s="173" t="s">
        <v>725</v>
      </c>
      <c r="BR297" s="174"/>
      <c r="BS297" s="161" t="str">
        <v>#VALUE!</v>
      </c>
    </row>
    <row customHeight="true" ht="18.51851851851852" r="298">
      <c r="A298" s="161" t="s">
        <v>729</v>
      </c>
      <c r="B298" s="161" t="s">
        <v>730</v>
      </c>
      <c r="C298" s="183" t="s">
        <v>825</v>
      </c>
      <c r="D298" s="189" t="s">
        <v>827</v>
      </c>
      <c r="E298" s="186">
        <v>24</v>
      </c>
      <c r="F298" s="163">
        <v>34.99</v>
      </c>
      <c r="G298" s="164">
        <f t="shared" si="13"/>
      </c>
      <c r="H298" s="164">
        <f t="shared" si="77"/>
      </c>
      <c r="I298" s="175">
        <f t="shared" si="139"/>
      </c>
      <c r="J298" s="165">
        <f t="shared" si="220"/>
      </c>
      <c r="K298" s="166">
        <f t="shared" si="273"/>
      </c>
      <c r="L298" s="167">
        <f t="shared" si="344"/>
      </c>
      <c r="M298" s="164">
        <f t="shared" si="389"/>
      </c>
      <c r="N298" s="166">
        <f t="shared" ref="N298:N312" si="437">AD298+AH298</f>
      </c>
      <c r="O298" s="166">
        <f t="shared" si="464"/>
      </c>
      <c r="P298" s="161">
        <v>40</v>
      </c>
      <c r="Q298" s="168">
        <v>8</v>
      </c>
      <c r="R298" s="169">
        <f t="shared" si="33"/>
      </c>
      <c r="S298" s="165">
        <f t="shared" si="530"/>
      </c>
      <c r="T298" s="169">
        <f t="shared" si="158"/>
      </c>
      <c r="U298" s="169">
        <v>0.01</v>
      </c>
      <c r="V298" s="169">
        <f t="shared" si="295"/>
      </c>
      <c r="W298" s="169">
        <f t="shared" si="366"/>
      </c>
      <c r="X298" s="170">
        <v>0.1695</v>
      </c>
      <c r="Y298" s="171">
        <v>4</v>
      </c>
      <c r="Z298" s="171">
        <f>F298*0.1</f>
      </c>
      <c r="AA298" s="171">
        <f t="shared" si="486"/>
      </c>
      <c r="AB298" s="166">
        <f t="shared" si="508"/>
      </c>
      <c r="AC298" s="166">
        <v>70</v>
      </c>
      <c r="AD298" s="172">
        <f t="shared" si="55"/>
      </c>
      <c r="AE298" s="168">
        <f t="shared" ref="AE298:AE312" si="108">AH298/Q298</f>
      </c>
      <c r="AF298" s="169">
        <f t="shared" si="180"/>
      </c>
      <c r="AG298" s="169">
        <f t="shared" si="322"/>
      </c>
      <c r="AH298" s="168">
        <v>7</v>
      </c>
      <c r="AI298" s="169">
        <f t="shared" si="198"/>
      </c>
      <c r="AJ298" s="169"/>
      <c r="AK298" s="169"/>
      <c r="AL298" s="169"/>
      <c r="AM298" s="169"/>
      <c r="AN298" s="173"/>
      <c r="AO298" s="173"/>
      <c r="AP298" s="173"/>
      <c r="AQ298" s="173"/>
      <c r="AR298" s="173"/>
      <c r="AS298" s="173"/>
      <c r="AT298" s="173" t="s">
        <v>725</v>
      </c>
      <c r="AU298" s="173" t="s">
        <v>725</v>
      </c>
      <c r="AV298" s="173" t="s">
        <v>725</v>
      </c>
      <c r="AW298" s="173" t="s">
        <v>725</v>
      </c>
      <c r="AX298" s="173" t="s">
        <v>725</v>
      </c>
      <c r="AY298" s="173" t="s">
        <v>725</v>
      </c>
      <c r="AZ298" s="173" t="s">
        <v>725</v>
      </c>
      <c r="BA298" s="173" t="s">
        <v>725</v>
      </c>
      <c r="BB298" s="173" t="s">
        <v>725</v>
      </c>
      <c r="BC298" s="173" t="s">
        <v>725</v>
      </c>
      <c r="BD298" s="173" t="s">
        <v>725</v>
      </c>
      <c r="BE298" s="173" t="s">
        <v>725</v>
      </c>
      <c r="BF298" s="173" t="s">
        <v>725</v>
      </c>
      <c r="BG298" s="173" t="s">
        <v>725</v>
      </c>
      <c r="BH298" s="173" t="s">
        <v>725</v>
      </c>
      <c r="BI298" s="173" t="s">
        <v>725</v>
      </c>
      <c r="BJ298" s="173" t="s">
        <v>725</v>
      </c>
      <c r="BK298" s="173" t="s">
        <v>725</v>
      </c>
      <c r="BL298" s="173" t="s">
        <v>725</v>
      </c>
      <c r="BM298" s="173" t="s">
        <v>725</v>
      </c>
      <c r="BN298" s="173" t="s">
        <v>725</v>
      </c>
      <c r="BO298" s="173" t="s">
        <v>725</v>
      </c>
      <c r="BP298" s="173" t="s">
        <v>725</v>
      </c>
      <c r="BQ298" s="173" t="s">
        <v>725</v>
      </c>
      <c r="BR298" s="174"/>
      <c r="BS298" s="161" t="str">
        <v>#VALUE!</v>
      </c>
    </row>
    <row customHeight="true" ht="18.51851851851852" r="299">
      <c r="A299" s="161" t="s">
        <v>729</v>
      </c>
      <c r="B299" s="161" t="s">
        <v>730</v>
      </c>
      <c r="C299" s="183" t="s">
        <v>825</v>
      </c>
      <c r="D299" s="189" t="s">
        <v>828</v>
      </c>
      <c r="E299" s="186">
        <v>24</v>
      </c>
      <c r="F299" s="163">
        <v>34.99</v>
      </c>
      <c r="G299" s="164">
        <f t="shared" si="13"/>
      </c>
      <c r="H299" s="164">
        <f t="shared" si="77"/>
      </c>
      <c r="I299" s="164">
        <f t="shared" si="139"/>
      </c>
      <c r="J299" s="165">
        <f t="shared" si="220"/>
      </c>
      <c r="K299" s="166">
        <f t="shared" si="273"/>
      </c>
      <c r="L299" s="167">
        <f t="shared" si="344"/>
      </c>
      <c r="M299" s="164">
        <f t="shared" si="389"/>
      </c>
      <c r="N299" s="166">
        <f t="shared" si="437"/>
      </c>
      <c r="O299" s="166">
        <f t="shared" si="464"/>
      </c>
      <c r="P299" s="161">
        <v>40</v>
      </c>
      <c r="Q299" s="168">
        <v>8</v>
      </c>
      <c r="R299" s="169">
        <f t="shared" si="33"/>
      </c>
      <c r="S299" s="165">
        <f t="shared" si="530"/>
      </c>
      <c r="T299" s="169">
        <f t="shared" si="158"/>
      </c>
      <c r="U299" s="169">
        <v>0.01</v>
      </c>
      <c r="V299" s="169">
        <f t="shared" si="295"/>
      </c>
      <c r="W299" s="169">
        <f t="shared" si="366"/>
      </c>
      <c r="X299" s="170">
        <v>0.1695</v>
      </c>
      <c r="Y299" s="171">
        <v>4</v>
      </c>
      <c r="Z299" s="171">
        <f>F299*0.15</f>
      </c>
      <c r="AA299" s="171">
        <f t="shared" si="486"/>
      </c>
      <c r="AB299" s="166">
        <f t="shared" si="508"/>
      </c>
      <c r="AC299" s="166">
        <v>70</v>
      </c>
      <c r="AD299" s="172">
        <f t="shared" si="55"/>
      </c>
      <c r="AE299" s="168">
        <f t="shared" si="108"/>
      </c>
      <c r="AF299" s="169">
        <f t="shared" si="180"/>
      </c>
      <c r="AG299" s="169">
        <f t="shared" si="322"/>
      </c>
      <c r="AH299" s="168">
        <v>7</v>
      </c>
      <c r="AI299" s="169">
        <f t="shared" si="198"/>
      </c>
      <c r="AJ299" s="169"/>
      <c r="AK299" s="169"/>
      <c r="AL299" s="169"/>
      <c r="AM299" s="169"/>
      <c r="AN299" s="173"/>
      <c r="AO299" s="173"/>
      <c r="AP299" s="173"/>
      <c r="AQ299" s="173"/>
      <c r="AR299" s="173"/>
      <c r="AS299" s="173"/>
      <c r="AT299" s="173" t="s">
        <v>725</v>
      </c>
      <c r="AU299" s="173" t="s">
        <v>725</v>
      </c>
      <c r="AV299" s="173" t="s">
        <v>725</v>
      </c>
      <c r="AW299" s="173" t="s">
        <v>725</v>
      </c>
      <c r="AX299" s="173" t="s">
        <v>725</v>
      </c>
      <c r="AY299" s="173" t="s">
        <v>725</v>
      </c>
      <c r="AZ299" s="173" t="s">
        <v>725</v>
      </c>
      <c r="BA299" s="173" t="s">
        <v>725</v>
      </c>
      <c r="BB299" s="173" t="s">
        <v>725</v>
      </c>
      <c r="BC299" s="173" t="s">
        <v>725</v>
      </c>
      <c r="BD299" s="173" t="s">
        <v>725</v>
      </c>
      <c r="BE299" s="173" t="s">
        <v>725</v>
      </c>
      <c r="BF299" s="173" t="s">
        <v>725</v>
      </c>
      <c r="BG299" s="173" t="s">
        <v>725</v>
      </c>
      <c r="BH299" s="173" t="s">
        <v>725</v>
      </c>
      <c r="BI299" s="173" t="s">
        <v>725</v>
      </c>
      <c r="BJ299" s="173" t="s">
        <v>725</v>
      </c>
      <c r="BK299" s="173" t="s">
        <v>725</v>
      </c>
      <c r="BL299" s="173" t="s">
        <v>725</v>
      </c>
      <c r="BM299" s="173" t="s">
        <v>725</v>
      </c>
      <c r="BN299" s="173" t="s">
        <v>725</v>
      </c>
      <c r="BO299" s="173" t="s">
        <v>725</v>
      </c>
      <c r="BP299" s="173" t="s">
        <v>725</v>
      </c>
      <c r="BQ299" s="173" t="s">
        <v>725</v>
      </c>
      <c r="BR299" s="174"/>
      <c r="BS299" s="161" t="str">
        <v>#VALUE!</v>
      </c>
    </row>
    <row customHeight="true" ht="18.51851851851852" r="300">
      <c r="A300" s="161" t="s">
        <v>732</v>
      </c>
      <c r="B300" s="161" t="s">
        <v>730</v>
      </c>
      <c r="C300" s="183" t="s">
        <v>825</v>
      </c>
      <c r="D300" s="189" t="s">
        <v>826</v>
      </c>
      <c r="E300" s="186">
        <v>24</v>
      </c>
      <c r="F300" s="163">
        <v>34.99</v>
      </c>
      <c r="G300" s="164">
        <f t="shared" si="13"/>
      </c>
      <c r="H300" s="164">
        <f t="shared" si="77"/>
      </c>
      <c r="I300" s="164">
        <f t="shared" si="139"/>
      </c>
      <c r="J300" s="165">
        <f t="shared" si="220"/>
      </c>
      <c r="K300" s="166">
        <f t="shared" si="273"/>
      </c>
      <c r="L300" s="167">
        <f t="shared" si="344"/>
      </c>
      <c r="M300" s="164">
        <f t="shared" si="389"/>
      </c>
      <c r="N300" s="166">
        <f t="shared" si="437"/>
      </c>
      <c r="O300" s="166">
        <f t="shared" si="464"/>
      </c>
      <c r="P300" s="161">
        <v>40</v>
      </c>
      <c r="Q300" s="168">
        <v>8</v>
      </c>
      <c r="R300" s="169">
        <f t="shared" si="33"/>
      </c>
      <c r="S300" s="165">
        <f t="shared" si="530"/>
      </c>
      <c r="T300" s="169">
        <f t="shared" si="158"/>
      </c>
      <c r="U300" s="169">
        <v>0.01</v>
      </c>
      <c r="V300" s="169">
        <f t="shared" si="295"/>
      </c>
      <c r="W300" s="169">
        <f t="shared" si="366"/>
      </c>
      <c r="X300" s="170">
        <v>0.198</v>
      </c>
      <c r="Y300" s="171">
        <v>4</v>
      </c>
      <c r="Z300" s="171">
        <v>0</v>
      </c>
      <c r="AA300" s="171">
        <f t="shared" si="486"/>
      </c>
      <c r="AB300" s="166">
        <f t="shared" si="508"/>
      </c>
      <c r="AC300" s="166">
        <v>70</v>
      </c>
      <c r="AD300" s="172">
        <f t="shared" si="55"/>
      </c>
      <c r="AE300" s="168">
        <f t="shared" si="108"/>
      </c>
      <c r="AF300" s="169">
        <f t="shared" si="180"/>
      </c>
      <c r="AG300" s="169">
        <f t="shared" si="322"/>
      </c>
      <c r="AH300" s="168">
        <v>7</v>
      </c>
      <c r="AI300" s="169">
        <f t="shared" si="198"/>
      </c>
      <c r="AJ300" s="169"/>
      <c r="AK300" s="169"/>
      <c r="AL300" s="169"/>
      <c r="AM300" s="169"/>
      <c r="AN300" s="173"/>
      <c r="AO300" s="173"/>
      <c r="AP300" s="173"/>
      <c r="AQ300" s="173"/>
      <c r="AR300" s="173"/>
      <c r="AS300" s="173"/>
      <c r="AT300" s="173" t="s">
        <v>725</v>
      </c>
      <c r="AU300" s="173" t="s">
        <v>725</v>
      </c>
      <c r="AV300" s="173" t="s">
        <v>725</v>
      </c>
      <c r="AW300" s="173" t="s">
        <v>725</v>
      </c>
      <c r="AX300" s="173" t="s">
        <v>725</v>
      </c>
      <c r="AY300" s="173" t="s">
        <v>725</v>
      </c>
      <c r="AZ300" s="173" t="s">
        <v>725</v>
      </c>
      <c r="BA300" s="173" t="s">
        <v>725</v>
      </c>
      <c r="BB300" s="173" t="s">
        <v>725</v>
      </c>
      <c r="BC300" s="173" t="s">
        <v>725</v>
      </c>
      <c r="BD300" s="173" t="s">
        <v>725</v>
      </c>
      <c r="BE300" s="173" t="s">
        <v>725</v>
      </c>
      <c r="BF300" s="173" t="s">
        <v>725</v>
      </c>
      <c r="BG300" s="173" t="s">
        <v>725</v>
      </c>
      <c r="BH300" s="173" t="s">
        <v>725</v>
      </c>
      <c r="BI300" s="173" t="s">
        <v>725</v>
      </c>
      <c r="BJ300" s="173" t="s">
        <v>725</v>
      </c>
      <c r="BK300" s="173" t="s">
        <v>725</v>
      </c>
      <c r="BL300" s="173" t="s">
        <v>725</v>
      </c>
      <c r="BM300" s="173" t="s">
        <v>725</v>
      </c>
      <c r="BN300" s="173" t="s">
        <v>725</v>
      </c>
      <c r="BO300" s="173" t="s">
        <v>725</v>
      </c>
      <c r="BP300" s="173" t="s">
        <v>725</v>
      </c>
      <c r="BQ300" s="173" t="s">
        <v>725</v>
      </c>
      <c r="BR300" s="174"/>
      <c r="BS300" s="161" t="str">
        <v>#VALUE!</v>
      </c>
    </row>
    <row customHeight="true" ht="18.51851851851852" r="301">
      <c r="A301" s="161" t="s">
        <v>732</v>
      </c>
      <c r="B301" s="161" t="s">
        <v>730</v>
      </c>
      <c r="C301" s="183" t="s">
        <v>825</v>
      </c>
      <c r="D301" s="189" t="s">
        <v>827</v>
      </c>
      <c r="E301" s="186">
        <v>24</v>
      </c>
      <c r="F301" s="163">
        <v>34.99</v>
      </c>
      <c r="G301" s="164">
        <f t="shared" si="13"/>
      </c>
      <c r="H301" s="164">
        <f t="shared" si="77"/>
      </c>
      <c r="I301" s="175">
        <f t="shared" si="139"/>
      </c>
      <c r="J301" s="165">
        <f t="shared" si="220"/>
      </c>
      <c r="K301" s="166">
        <f t="shared" si="273"/>
      </c>
      <c r="L301" s="167">
        <f t="shared" si="344"/>
      </c>
      <c r="M301" s="164">
        <f t="shared" si="389"/>
      </c>
      <c r="N301" s="166">
        <f t="shared" si="437"/>
      </c>
      <c r="O301" s="166">
        <f t="shared" si="464"/>
      </c>
      <c r="P301" s="161">
        <v>40</v>
      </c>
      <c r="Q301" s="168">
        <v>8</v>
      </c>
      <c r="R301" s="169">
        <f t="shared" si="33"/>
      </c>
      <c r="S301" s="165">
        <f t="shared" si="530"/>
      </c>
      <c r="T301" s="169">
        <f t="shared" si="158"/>
      </c>
      <c r="U301" s="169">
        <v>0.01</v>
      </c>
      <c r="V301" s="169">
        <f t="shared" si="295"/>
      </c>
      <c r="W301" s="169">
        <f t="shared" si="366"/>
      </c>
      <c r="X301" s="170">
        <v>0.198</v>
      </c>
      <c r="Y301" s="171">
        <v>4</v>
      </c>
      <c r="Z301" s="171">
        <f>F301*0.1</f>
      </c>
      <c r="AA301" s="171">
        <f t="shared" si="486"/>
      </c>
      <c r="AB301" s="166">
        <f t="shared" si="508"/>
      </c>
      <c r="AC301" s="166">
        <v>70</v>
      </c>
      <c r="AD301" s="172">
        <f t="shared" si="55"/>
      </c>
      <c r="AE301" s="168">
        <f t="shared" si="108"/>
      </c>
      <c r="AF301" s="169">
        <f t="shared" si="180"/>
      </c>
      <c r="AG301" s="169">
        <f t="shared" si="322"/>
      </c>
      <c r="AH301" s="168">
        <v>7</v>
      </c>
      <c r="AI301" s="169">
        <f t="shared" si="198"/>
      </c>
      <c r="AJ301" s="169"/>
      <c r="AK301" s="169"/>
      <c r="AL301" s="169"/>
      <c r="AM301" s="169"/>
      <c r="AN301" s="173"/>
      <c r="AO301" s="173"/>
      <c r="AP301" s="173"/>
      <c r="AQ301" s="173"/>
      <c r="AR301" s="173"/>
      <c r="AS301" s="173"/>
      <c r="AT301" s="173" t="s">
        <v>725</v>
      </c>
      <c r="AU301" s="173" t="s">
        <v>725</v>
      </c>
      <c r="AV301" s="173" t="s">
        <v>725</v>
      </c>
      <c r="AW301" s="173" t="s">
        <v>725</v>
      </c>
      <c r="AX301" s="173" t="s">
        <v>725</v>
      </c>
      <c r="AY301" s="173" t="s">
        <v>725</v>
      </c>
      <c r="AZ301" s="173" t="s">
        <v>725</v>
      </c>
      <c r="BA301" s="173" t="s">
        <v>725</v>
      </c>
      <c r="BB301" s="173" t="s">
        <v>725</v>
      </c>
      <c r="BC301" s="173" t="s">
        <v>725</v>
      </c>
      <c r="BD301" s="173" t="s">
        <v>725</v>
      </c>
      <c r="BE301" s="173" t="s">
        <v>725</v>
      </c>
      <c r="BF301" s="173" t="s">
        <v>725</v>
      </c>
      <c r="BG301" s="173" t="s">
        <v>725</v>
      </c>
      <c r="BH301" s="173" t="s">
        <v>725</v>
      </c>
      <c r="BI301" s="173" t="s">
        <v>725</v>
      </c>
      <c r="BJ301" s="173" t="s">
        <v>725</v>
      </c>
      <c r="BK301" s="173" t="s">
        <v>725</v>
      </c>
      <c r="BL301" s="173" t="s">
        <v>725</v>
      </c>
      <c r="BM301" s="173" t="s">
        <v>725</v>
      </c>
      <c r="BN301" s="173" t="s">
        <v>725</v>
      </c>
      <c r="BO301" s="173" t="s">
        <v>725</v>
      </c>
      <c r="BP301" s="173" t="s">
        <v>725</v>
      </c>
      <c r="BQ301" s="173" t="s">
        <v>725</v>
      </c>
      <c r="BR301" s="174"/>
      <c r="BS301" s="161" t="str">
        <v>#VALUE!</v>
      </c>
    </row>
    <row customHeight="true" ht="18.51851851851852" r="302">
      <c r="A302" s="161" t="s">
        <v>732</v>
      </c>
      <c r="B302" s="161" t="s">
        <v>730</v>
      </c>
      <c r="C302" s="183" t="s">
        <v>825</v>
      </c>
      <c r="D302" s="189" t="s">
        <v>828</v>
      </c>
      <c r="E302" s="186">
        <v>24</v>
      </c>
      <c r="F302" s="163">
        <v>34.99</v>
      </c>
      <c r="G302" s="164">
        <f t="shared" si="13"/>
      </c>
      <c r="H302" s="164">
        <f t="shared" si="77"/>
      </c>
      <c r="I302" s="164">
        <f t="shared" si="139"/>
      </c>
      <c r="J302" s="165">
        <f t="shared" si="220"/>
      </c>
      <c r="K302" s="166">
        <f t="shared" si="273"/>
      </c>
      <c r="L302" s="167">
        <f t="shared" si="344"/>
      </c>
      <c r="M302" s="164">
        <f t="shared" si="389"/>
      </c>
      <c r="N302" s="166">
        <f t="shared" si="437"/>
      </c>
      <c r="O302" s="166">
        <f t="shared" si="464"/>
      </c>
      <c r="P302" s="161">
        <v>40</v>
      </c>
      <c r="Q302" s="168">
        <v>8</v>
      </c>
      <c r="R302" s="169">
        <f t="shared" si="33"/>
      </c>
      <c r="S302" s="165">
        <f t="shared" si="530"/>
      </c>
      <c r="T302" s="169">
        <f t="shared" si="158"/>
      </c>
      <c r="U302" s="169">
        <v>0.01</v>
      </c>
      <c r="V302" s="169">
        <f t="shared" si="295"/>
      </c>
      <c r="W302" s="169">
        <f t="shared" si="366"/>
      </c>
      <c r="X302" s="170">
        <v>0.198</v>
      </c>
      <c r="Y302" s="171">
        <v>4</v>
      </c>
      <c r="Z302" s="171">
        <f>F302*0.15</f>
      </c>
      <c r="AA302" s="171">
        <f t="shared" si="486"/>
      </c>
      <c r="AB302" s="166">
        <f t="shared" si="508"/>
      </c>
      <c r="AC302" s="166">
        <v>70</v>
      </c>
      <c r="AD302" s="172">
        <f t="shared" si="55"/>
      </c>
      <c r="AE302" s="168">
        <f t="shared" si="108"/>
      </c>
      <c r="AF302" s="169">
        <f t="shared" si="180"/>
      </c>
      <c r="AG302" s="169">
        <f t="shared" si="322"/>
      </c>
      <c r="AH302" s="168">
        <v>7</v>
      </c>
      <c r="AI302" s="169">
        <f t="shared" si="198"/>
      </c>
      <c r="AJ302" s="169"/>
      <c r="AK302" s="169"/>
      <c r="AL302" s="169"/>
      <c r="AM302" s="169"/>
      <c r="AN302" s="173"/>
      <c r="AO302" s="173"/>
      <c r="AP302" s="173"/>
      <c r="AQ302" s="173"/>
      <c r="AR302" s="173"/>
      <c r="AS302" s="173"/>
      <c r="AT302" s="173" t="s">
        <v>725</v>
      </c>
      <c r="AU302" s="173" t="s">
        <v>725</v>
      </c>
      <c r="AV302" s="173" t="s">
        <v>725</v>
      </c>
      <c r="AW302" s="173" t="s">
        <v>725</v>
      </c>
      <c r="AX302" s="173" t="s">
        <v>725</v>
      </c>
      <c r="AY302" s="173" t="s">
        <v>725</v>
      </c>
      <c r="AZ302" s="173" t="s">
        <v>725</v>
      </c>
      <c r="BA302" s="173" t="s">
        <v>725</v>
      </c>
      <c r="BB302" s="173" t="s">
        <v>725</v>
      </c>
      <c r="BC302" s="173" t="s">
        <v>725</v>
      </c>
      <c r="BD302" s="173" t="s">
        <v>725</v>
      </c>
      <c r="BE302" s="173" t="s">
        <v>725</v>
      </c>
      <c r="BF302" s="173" t="s">
        <v>725</v>
      </c>
      <c r="BG302" s="173" t="s">
        <v>725</v>
      </c>
      <c r="BH302" s="173" t="s">
        <v>725</v>
      </c>
      <c r="BI302" s="173" t="s">
        <v>725</v>
      </c>
      <c r="BJ302" s="173" t="s">
        <v>725</v>
      </c>
      <c r="BK302" s="173" t="s">
        <v>725</v>
      </c>
      <c r="BL302" s="173" t="s">
        <v>725</v>
      </c>
      <c r="BM302" s="173" t="s">
        <v>725</v>
      </c>
      <c r="BN302" s="173" t="s">
        <v>725</v>
      </c>
      <c r="BO302" s="173" t="s">
        <v>725</v>
      </c>
      <c r="BP302" s="173" t="s">
        <v>725</v>
      </c>
      <c r="BQ302" s="173" t="s">
        <v>725</v>
      </c>
      <c r="BR302" s="174"/>
      <c r="BS302" s="161" t="str">
        <v>#VALUE!</v>
      </c>
    </row>
    <row customHeight="true" ht="18.51851851851852" r="303">
      <c r="A303" s="161" t="s">
        <v>733</v>
      </c>
      <c r="B303" s="161" t="s">
        <v>730</v>
      </c>
      <c r="C303" s="183" t="s">
        <v>825</v>
      </c>
      <c r="D303" s="189" t="s">
        <v>826</v>
      </c>
      <c r="E303" s="186">
        <v>24</v>
      </c>
      <c r="F303" s="163">
        <v>34.99</v>
      </c>
      <c r="G303" s="164">
        <f t="shared" si="13"/>
      </c>
      <c r="H303" s="164">
        <f t="shared" si="77"/>
      </c>
      <c r="I303" s="164">
        <f t="shared" si="139"/>
      </c>
      <c r="J303" s="165">
        <f t="shared" si="220"/>
      </c>
      <c r="K303" s="166">
        <f t="shared" si="273"/>
      </c>
      <c r="L303" s="167">
        <f t="shared" si="344"/>
      </c>
      <c r="M303" s="164">
        <f t="shared" si="389"/>
      </c>
      <c r="N303" s="166">
        <f t="shared" si="437"/>
      </c>
      <c r="O303" s="166">
        <f t="shared" si="464"/>
      </c>
      <c r="P303" s="161">
        <v>40</v>
      </c>
      <c r="Q303" s="168">
        <v>8</v>
      </c>
      <c r="R303" s="169">
        <f t="shared" si="33"/>
      </c>
      <c r="S303" s="165">
        <f t="shared" si="530"/>
      </c>
      <c r="T303" s="169">
        <f t="shared" si="158"/>
      </c>
      <c r="U303" s="169">
        <v>0.01</v>
      </c>
      <c r="V303" s="169">
        <f t="shared" si="295"/>
      </c>
      <c r="W303" s="169">
        <f t="shared" si="366"/>
      </c>
      <c r="X303" s="170">
        <v>0.1846</v>
      </c>
      <c r="Y303" s="171">
        <v>4</v>
      </c>
      <c r="Z303" s="171">
        <v>0</v>
      </c>
      <c r="AA303" s="171">
        <f t="shared" si="486"/>
      </c>
      <c r="AB303" s="166">
        <f t="shared" si="508"/>
      </c>
      <c r="AC303" s="166">
        <v>70</v>
      </c>
      <c r="AD303" s="172">
        <f t="shared" si="55"/>
      </c>
      <c r="AE303" s="168">
        <f t="shared" si="108"/>
      </c>
      <c r="AF303" s="169">
        <f t="shared" si="180"/>
      </c>
      <c r="AG303" s="169">
        <f t="shared" si="322"/>
      </c>
      <c r="AH303" s="168">
        <v>7</v>
      </c>
      <c r="AI303" s="165">
        <f t="shared" si="198"/>
      </c>
      <c r="AJ303" s="165"/>
      <c r="AK303" s="165"/>
      <c r="AL303" s="165"/>
      <c r="AM303" s="165"/>
      <c r="AN303" s="173"/>
      <c r="AO303" s="173"/>
      <c r="AP303" s="173"/>
      <c r="AQ303" s="173"/>
      <c r="AR303" s="173"/>
      <c r="AS303" s="173"/>
      <c r="AT303" s="173" t="s">
        <v>725</v>
      </c>
      <c r="AU303" s="173" t="s">
        <v>725</v>
      </c>
      <c r="AV303" s="173" t="s">
        <v>725</v>
      </c>
      <c r="AW303" s="173" t="s">
        <v>725</v>
      </c>
      <c r="AX303" s="173" t="s">
        <v>725</v>
      </c>
      <c r="AY303" s="173" t="s">
        <v>725</v>
      </c>
      <c r="AZ303" s="173" t="s">
        <v>725</v>
      </c>
      <c r="BA303" s="173" t="s">
        <v>725</v>
      </c>
      <c r="BB303" s="173" t="s">
        <v>725</v>
      </c>
      <c r="BC303" s="173" t="s">
        <v>725</v>
      </c>
      <c r="BD303" s="173" t="s">
        <v>725</v>
      </c>
      <c r="BE303" s="173" t="s">
        <v>725</v>
      </c>
      <c r="BF303" s="173" t="s">
        <v>725</v>
      </c>
      <c r="BG303" s="173" t="s">
        <v>725</v>
      </c>
      <c r="BH303" s="173" t="s">
        <v>725</v>
      </c>
      <c r="BI303" s="173" t="s">
        <v>725</v>
      </c>
      <c r="BJ303" s="173" t="s">
        <v>725</v>
      </c>
      <c r="BK303" s="173" t="s">
        <v>725</v>
      </c>
      <c r="BL303" s="173" t="s">
        <v>725</v>
      </c>
      <c r="BM303" s="173" t="s">
        <v>725</v>
      </c>
      <c r="BN303" s="173" t="s">
        <v>725</v>
      </c>
      <c r="BO303" s="173" t="s">
        <v>725</v>
      </c>
      <c r="BP303" s="173" t="s">
        <v>725</v>
      </c>
      <c r="BQ303" s="173" t="s">
        <v>725</v>
      </c>
      <c r="BR303" s="174"/>
      <c r="BS303" s="161" t="str">
        <v>#VALUE!</v>
      </c>
    </row>
    <row customHeight="true" ht="18.51851851851852" r="304">
      <c r="A304" s="161" t="s">
        <v>733</v>
      </c>
      <c r="B304" s="161" t="s">
        <v>730</v>
      </c>
      <c r="C304" s="183" t="s">
        <v>825</v>
      </c>
      <c r="D304" s="189" t="s">
        <v>827</v>
      </c>
      <c r="E304" s="186">
        <v>24</v>
      </c>
      <c r="F304" s="163">
        <v>34.99</v>
      </c>
      <c r="G304" s="164">
        <f t="shared" si="13"/>
      </c>
      <c r="H304" s="164">
        <f t="shared" si="77"/>
      </c>
      <c r="I304" s="175">
        <f t="shared" si="139"/>
      </c>
      <c r="J304" s="165">
        <f t="shared" si="220"/>
      </c>
      <c r="K304" s="166">
        <f t="shared" si="273"/>
      </c>
      <c r="L304" s="167">
        <f t="shared" si="344"/>
      </c>
      <c r="M304" s="164">
        <f t="shared" si="389"/>
      </c>
      <c r="N304" s="166">
        <f t="shared" si="437"/>
      </c>
      <c r="O304" s="166">
        <f t="shared" si="464"/>
      </c>
      <c r="P304" s="161">
        <v>40</v>
      </c>
      <c r="Q304" s="168">
        <v>8</v>
      </c>
      <c r="R304" s="169">
        <f t="shared" si="33"/>
      </c>
      <c r="S304" s="165">
        <f t="shared" si="530"/>
      </c>
      <c r="T304" s="169">
        <f t="shared" si="158"/>
      </c>
      <c r="U304" s="169">
        <v>0.01</v>
      </c>
      <c r="V304" s="169">
        <f t="shared" si="295"/>
      </c>
      <c r="W304" s="169">
        <f t="shared" si="366"/>
      </c>
      <c r="X304" s="170">
        <v>0.1846</v>
      </c>
      <c r="Y304" s="171">
        <v>4</v>
      </c>
      <c r="Z304" s="171">
        <f>F304*0.1</f>
      </c>
      <c r="AA304" s="171">
        <f t="shared" si="486"/>
      </c>
      <c r="AB304" s="166">
        <f t="shared" si="508"/>
      </c>
      <c r="AC304" s="166">
        <v>70</v>
      </c>
      <c r="AD304" s="172">
        <f t="shared" si="55"/>
      </c>
      <c r="AE304" s="168">
        <f t="shared" si="108"/>
      </c>
      <c r="AF304" s="169">
        <f t="shared" si="180"/>
      </c>
      <c r="AG304" s="169">
        <f t="shared" si="322"/>
      </c>
      <c r="AH304" s="168">
        <v>7</v>
      </c>
      <c r="AI304" s="165">
        <f t="shared" si="198"/>
      </c>
      <c r="AJ304" s="165"/>
      <c r="AK304" s="165"/>
      <c r="AL304" s="165"/>
      <c r="AM304" s="165"/>
      <c r="AN304" s="173"/>
      <c r="AO304" s="173"/>
      <c r="AP304" s="173"/>
      <c r="AQ304" s="173"/>
      <c r="AR304" s="173"/>
      <c r="AS304" s="173"/>
      <c r="AT304" s="173" t="s">
        <v>725</v>
      </c>
      <c r="AU304" s="173" t="s">
        <v>725</v>
      </c>
      <c r="AV304" s="173" t="s">
        <v>725</v>
      </c>
      <c r="AW304" s="173" t="s">
        <v>725</v>
      </c>
      <c r="AX304" s="173" t="s">
        <v>725</v>
      </c>
      <c r="AY304" s="173" t="s">
        <v>725</v>
      </c>
      <c r="AZ304" s="173" t="s">
        <v>725</v>
      </c>
      <c r="BA304" s="173" t="s">
        <v>725</v>
      </c>
      <c r="BB304" s="173" t="s">
        <v>725</v>
      </c>
      <c r="BC304" s="173" t="s">
        <v>725</v>
      </c>
      <c r="BD304" s="173" t="s">
        <v>725</v>
      </c>
      <c r="BE304" s="173" t="s">
        <v>725</v>
      </c>
      <c r="BF304" s="173" t="s">
        <v>725</v>
      </c>
      <c r="BG304" s="173" t="s">
        <v>725</v>
      </c>
      <c r="BH304" s="173" t="s">
        <v>725</v>
      </c>
      <c r="BI304" s="173" t="s">
        <v>725</v>
      </c>
      <c r="BJ304" s="173" t="s">
        <v>725</v>
      </c>
      <c r="BK304" s="173" t="s">
        <v>725</v>
      </c>
      <c r="BL304" s="173" t="s">
        <v>725</v>
      </c>
      <c r="BM304" s="173" t="s">
        <v>725</v>
      </c>
      <c r="BN304" s="173" t="s">
        <v>725</v>
      </c>
      <c r="BO304" s="173" t="s">
        <v>725</v>
      </c>
      <c r="BP304" s="173" t="s">
        <v>725</v>
      </c>
      <c r="BQ304" s="173" t="s">
        <v>725</v>
      </c>
      <c r="BR304" s="174"/>
      <c r="BS304" s="161" t="str">
        <v>#VALUE!</v>
      </c>
    </row>
    <row customHeight="true" ht="18.51851851851852" r="305">
      <c r="A305" s="161" t="s">
        <v>733</v>
      </c>
      <c r="B305" s="161" t="s">
        <v>730</v>
      </c>
      <c r="C305" s="183" t="s">
        <v>825</v>
      </c>
      <c r="D305" s="189" t="s">
        <v>828</v>
      </c>
      <c r="E305" s="186">
        <v>24</v>
      </c>
      <c r="F305" s="163">
        <v>34.99</v>
      </c>
      <c r="G305" s="164">
        <f t="shared" si="13"/>
      </c>
      <c r="H305" s="164">
        <f t="shared" si="77"/>
      </c>
      <c r="I305" s="164">
        <f t="shared" si="139"/>
      </c>
      <c r="J305" s="165">
        <f t="shared" si="220"/>
      </c>
      <c r="K305" s="166">
        <f t="shared" si="273"/>
      </c>
      <c r="L305" s="167">
        <f t="shared" si="344"/>
      </c>
      <c r="M305" s="164">
        <f t="shared" si="389"/>
      </c>
      <c r="N305" s="166">
        <f t="shared" si="437"/>
      </c>
      <c r="O305" s="166">
        <f t="shared" si="464"/>
      </c>
      <c r="P305" s="161">
        <v>40</v>
      </c>
      <c r="Q305" s="168">
        <v>8</v>
      </c>
      <c r="R305" s="169">
        <f t="shared" si="33"/>
      </c>
      <c r="S305" s="165">
        <f t="shared" si="530"/>
      </c>
      <c r="T305" s="169">
        <f t="shared" si="158"/>
      </c>
      <c r="U305" s="169">
        <v>0.01</v>
      </c>
      <c r="V305" s="169">
        <f t="shared" si="295"/>
      </c>
      <c r="W305" s="169">
        <f t="shared" si="366"/>
      </c>
      <c r="X305" s="170">
        <v>0.1846</v>
      </c>
      <c r="Y305" s="171">
        <v>4</v>
      </c>
      <c r="Z305" s="171">
        <f>F305*0.15</f>
      </c>
      <c r="AA305" s="171">
        <f t="shared" si="486"/>
      </c>
      <c r="AB305" s="166">
        <f t="shared" si="508"/>
      </c>
      <c r="AC305" s="166">
        <v>70</v>
      </c>
      <c r="AD305" s="172">
        <f t="shared" si="55"/>
      </c>
      <c r="AE305" s="168">
        <f t="shared" si="108"/>
      </c>
      <c r="AF305" s="169">
        <f t="shared" si="180"/>
      </c>
      <c r="AG305" s="169">
        <f t="shared" si="322"/>
      </c>
      <c r="AH305" s="168">
        <v>7</v>
      </c>
      <c r="AI305" s="165">
        <f t="shared" si="198"/>
      </c>
      <c r="AJ305" s="165"/>
      <c r="AK305" s="165"/>
      <c r="AL305" s="165"/>
      <c r="AM305" s="165"/>
      <c r="AN305" s="173"/>
      <c r="AO305" s="173"/>
      <c r="AP305" s="173"/>
      <c r="AQ305" s="173"/>
      <c r="AR305" s="173"/>
      <c r="AS305" s="173"/>
      <c r="AT305" s="173" t="s">
        <v>725</v>
      </c>
      <c r="AU305" s="173" t="s">
        <v>725</v>
      </c>
      <c r="AV305" s="173" t="s">
        <v>725</v>
      </c>
      <c r="AW305" s="173" t="s">
        <v>725</v>
      </c>
      <c r="AX305" s="173" t="s">
        <v>725</v>
      </c>
      <c r="AY305" s="173" t="s">
        <v>725</v>
      </c>
      <c r="AZ305" s="173" t="s">
        <v>725</v>
      </c>
      <c r="BA305" s="173" t="s">
        <v>725</v>
      </c>
      <c r="BB305" s="173" t="s">
        <v>725</v>
      </c>
      <c r="BC305" s="173" t="s">
        <v>725</v>
      </c>
      <c r="BD305" s="173" t="s">
        <v>725</v>
      </c>
      <c r="BE305" s="173" t="s">
        <v>725</v>
      </c>
      <c r="BF305" s="173" t="s">
        <v>725</v>
      </c>
      <c r="BG305" s="173" t="s">
        <v>725</v>
      </c>
      <c r="BH305" s="173" t="s">
        <v>725</v>
      </c>
      <c r="BI305" s="173" t="s">
        <v>725</v>
      </c>
      <c r="BJ305" s="173" t="s">
        <v>725</v>
      </c>
      <c r="BK305" s="173" t="s">
        <v>725</v>
      </c>
      <c r="BL305" s="173" t="s">
        <v>725</v>
      </c>
      <c r="BM305" s="173" t="s">
        <v>725</v>
      </c>
      <c r="BN305" s="173" t="s">
        <v>725</v>
      </c>
      <c r="BO305" s="173" t="s">
        <v>725</v>
      </c>
      <c r="BP305" s="173" t="s">
        <v>725</v>
      </c>
      <c r="BQ305" s="173" t="s">
        <v>725</v>
      </c>
      <c r="BR305" s="174"/>
      <c r="BS305" s="161" t="str">
        <v>#VALUE!</v>
      </c>
    </row>
    <row customHeight="true" ht="18.51851851851852" r="306">
      <c r="A306" s="161" t="s">
        <v>734</v>
      </c>
      <c r="B306" s="161" t="s">
        <v>730</v>
      </c>
      <c r="C306" s="183" t="s">
        <v>825</v>
      </c>
      <c r="D306" s="189" t="s">
        <v>826</v>
      </c>
      <c r="E306" s="186">
        <v>24</v>
      </c>
      <c r="F306" s="163">
        <v>34.99</v>
      </c>
      <c r="G306" s="164">
        <f t="shared" si="13"/>
      </c>
      <c r="H306" s="164">
        <f t="shared" si="77"/>
      </c>
      <c r="I306" s="164">
        <f t="shared" si="139"/>
      </c>
      <c r="J306" s="165">
        <f t="shared" si="220"/>
      </c>
      <c r="K306" s="166">
        <f t="shared" si="273"/>
      </c>
      <c r="L306" s="167">
        <f t="shared" si="344"/>
      </c>
      <c r="M306" s="164">
        <f t="shared" si="389"/>
      </c>
      <c r="N306" s="166">
        <f t="shared" si="437"/>
      </c>
      <c r="O306" s="166">
        <f t="shared" si="464"/>
      </c>
      <c r="P306" s="161">
        <v>40</v>
      </c>
      <c r="Q306" s="168">
        <v>8</v>
      </c>
      <c r="R306" s="169">
        <f t="shared" si="33"/>
      </c>
      <c r="S306" s="165">
        <f t="shared" si="530"/>
      </c>
      <c r="T306" s="169">
        <f t="shared" si="158"/>
      </c>
      <c r="U306" s="169">
        <v>0.01</v>
      </c>
      <c r="V306" s="169">
        <f t="shared" si="295"/>
      </c>
      <c r="W306" s="169">
        <f t="shared" si="366"/>
      </c>
      <c r="X306" s="170">
        <v>0.1646</v>
      </c>
      <c r="Y306" s="171">
        <v>4</v>
      </c>
      <c r="Z306" s="171">
        <v>0</v>
      </c>
      <c r="AA306" s="171">
        <f t="shared" si="486"/>
      </c>
      <c r="AB306" s="166">
        <f t="shared" si="508"/>
      </c>
      <c r="AC306" s="166">
        <v>70</v>
      </c>
      <c r="AD306" s="172">
        <f t="shared" si="55"/>
      </c>
      <c r="AE306" s="168">
        <f t="shared" si="108"/>
      </c>
      <c r="AF306" s="169">
        <f t="shared" si="180"/>
      </c>
      <c r="AG306" s="169">
        <f t="shared" si="322"/>
      </c>
      <c r="AH306" s="168">
        <v>7</v>
      </c>
      <c r="AI306" s="169">
        <f t="shared" si="198"/>
      </c>
      <c r="AJ306" s="169"/>
      <c r="AK306" s="169"/>
      <c r="AL306" s="169"/>
      <c r="AM306" s="169"/>
      <c r="AN306" s="173"/>
      <c r="AO306" s="173"/>
      <c r="AP306" s="173"/>
      <c r="AQ306" s="173"/>
      <c r="AR306" s="173"/>
      <c r="AS306" s="173"/>
      <c r="AT306" s="173" t="s">
        <v>725</v>
      </c>
      <c r="AU306" s="173" t="s">
        <v>725</v>
      </c>
      <c r="AV306" s="173" t="s">
        <v>725</v>
      </c>
      <c r="AW306" s="173" t="s">
        <v>725</v>
      </c>
      <c r="AX306" s="173" t="s">
        <v>725</v>
      </c>
      <c r="AY306" s="173" t="s">
        <v>725</v>
      </c>
      <c r="AZ306" s="173" t="s">
        <v>725</v>
      </c>
      <c r="BA306" s="173" t="s">
        <v>725</v>
      </c>
      <c r="BB306" s="173" t="s">
        <v>725</v>
      </c>
      <c r="BC306" s="173" t="s">
        <v>725</v>
      </c>
      <c r="BD306" s="173" t="s">
        <v>725</v>
      </c>
      <c r="BE306" s="173" t="s">
        <v>725</v>
      </c>
      <c r="BF306" s="173" t="s">
        <v>725</v>
      </c>
      <c r="BG306" s="173" t="s">
        <v>725</v>
      </c>
      <c r="BH306" s="173" t="s">
        <v>725</v>
      </c>
      <c r="BI306" s="173" t="s">
        <v>725</v>
      </c>
      <c r="BJ306" s="173" t="s">
        <v>725</v>
      </c>
      <c r="BK306" s="173" t="s">
        <v>725</v>
      </c>
      <c r="BL306" s="173" t="s">
        <v>725</v>
      </c>
      <c r="BM306" s="173" t="s">
        <v>725</v>
      </c>
      <c r="BN306" s="173" t="s">
        <v>725</v>
      </c>
      <c r="BO306" s="173" t="s">
        <v>725</v>
      </c>
      <c r="BP306" s="173" t="s">
        <v>725</v>
      </c>
      <c r="BQ306" s="173" t="s">
        <v>725</v>
      </c>
      <c r="BR306" s="174"/>
      <c r="BS306" s="161" t="str">
        <v>#VALUE!</v>
      </c>
    </row>
    <row customHeight="true" ht="18.51851851851852" r="307">
      <c r="A307" s="161" t="s">
        <v>734</v>
      </c>
      <c r="B307" s="161" t="s">
        <v>730</v>
      </c>
      <c r="C307" s="183" t="s">
        <v>825</v>
      </c>
      <c r="D307" s="189" t="s">
        <v>827</v>
      </c>
      <c r="E307" s="186">
        <v>24</v>
      </c>
      <c r="F307" s="163">
        <v>34.99</v>
      </c>
      <c r="G307" s="164">
        <f t="shared" si="13"/>
      </c>
      <c r="H307" s="164">
        <f t="shared" si="77"/>
      </c>
      <c r="I307" s="175">
        <f t="shared" si="139"/>
      </c>
      <c r="J307" s="165">
        <f t="shared" si="220"/>
      </c>
      <c r="K307" s="166">
        <f t="shared" si="273"/>
      </c>
      <c r="L307" s="167">
        <f t="shared" si="344"/>
      </c>
      <c r="M307" s="164">
        <f t="shared" si="389"/>
      </c>
      <c r="N307" s="166">
        <f t="shared" si="437"/>
      </c>
      <c r="O307" s="166">
        <f t="shared" si="464"/>
      </c>
      <c r="P307" s="161">
        <v>40</v>
      </c>
      <c r="Q307" s="168">
        <v>8</v>
      </c>
      <c r="R307" s="169">
        <f t="shared" si="33"/>
      </c>
      <c r="S307" s="165">
        <f t="shared" si="530"/>
      </c>
      <c r="T307" s="169">
        <f t="shared" si="158"/>
      </c>
      <c r="U307" s="169">
        <v>0.01</v>
      </c>
      <c r="V307" s="169">
        <f t="shared" si="295"/>
      </c>
      <c r="W307" s="169">
        <f t="shared" si="366"/>
      </c>
      <c r="X307" s="170">
        <v>0.1646</v>
      </c>
      <c r="Y307" s="171">
        <v>4</v>
      </c>
      <c r="Z307" s="171">
        <f>F307*0.1</f>
      </c>
      <c r="AA307" s="171">
        <f t="shared" si="486"/>
      </c>
      <c r="AB307" s="166">
        <f t="shared" si="508"/>
      </c>
      <c r="AC307" s="166">
        <v>70</v>
      </c>
      <c r="AD307" s="172">
        <f t="shared" si="55"/>
      </c>
      <c r="AE307" s="168">
        <f t="shared" si="108"/>
      </c>
      <c r="AF307" s="169">
        <f t="shared" si="180"/>
      </c>
      <c r="AG307" s="169">
        <f t="shared" si="322"/>
      </c>
      <c r="AH307" s="168">
        <v>7</v>
      </c>
      <c r="AI307" s="169">
        <f t="shared" si="198"/>
      </c>
      <c r="AJ307" s="169"/>
      <c r="AK307" s="169"/>
      <c r="AL307" s="169"/>
      <c r="AM307" s="169"/>
      <c r="AN307" s="173"/>
      <c r="AO307" s="173"/>
      <c r="AP307" s="173"/>
      <c r="AQ307" s="173"/>
      <c r="AR307" s="173"/>
      <c r="AS307" s="173"/>
      <c r="AT307" s="173" t="s">
        <v>725</v>
      </c>
      <c r="AU307" s="173" t="s">
        <v>725</v>
      </c>
      <c r="AV307" s="173" t="s">
        <v>725</v>
      </c>
      <c r="AW307" s="173" t="s">
        <v>725</v>
      </c>
      <c r="AX307" s="173" t="s">
        <v>725</v>
      </c>
      <c r="AY307" s="173" t="s">
        <v>725</v>
      </c>
      <c r="AZ307" s="173" t="s">
        <v>725</v>
      </c>
      <c r="BA307" s="173" t="s">
        <v>725</v>
      </c>
      <c r="BB307" s="173" t="s">
        <v>725</v>
      </c>
      <c r="BC307" s="173" t="s">
        <v>725</v>
      </c>
      <c r="BD307" s="173" t="s">
        <v>725</v>
      </c>
      <c r="BE307" s="173" t="s">
        <v>725</v>
      </c>
      <c r="BF307" s="173" t="s">
        <v>725</v>
      </c>
      <c r="BG307" s="173" t="s">
        <v>725</v>
      </c>
      <c r="BH307" s="173" t="s">
        <v>725</v>
      </c>
      <c r="BI307" s="173" t="s">
        <v>725</v>
      </c>
      <c r="BJ307" s="173" t="s">
        <v>725</v>
      </c>
      <c r="BK307" s="173" t="s">
        <v>725</v>
      </c>
      <c r="BL307" s="173" t="s">
        <v>725</v>
      </c>
      <c r="BM307" s="173" t="s">
        <v>725</v>
      </c>
      <c r="BN307" s="173" t="s">
        <v>725</v>
      </c>
      <c r="BO307" s="173" t="s">
        <v>725</v>
      </c>
      <c r="BP307" s="173" t="s">
        <v>725</v>
      </c>
      <c r="BQ307" s="173" t="s">
        <v>725</v>
      </c>
      <c r="BR307" s="174"/>
      <c r="BS307" s="161" t="str">
        <v>#VALUE!</v>
      </c>
    </row>
    <row customHeight="true" ht="18.51851851851852" r="308">
      <c r="A308" s="161" t="s">
        <v>734</v>
      </c>
      <c r="B308" s="161" t="s">
        <v>730</v>
      </c>
      <c r="C308" s="183" t="s">
        <v>825</v>
      </c>
      <c r="D308" s="189" t="s">
        <v>828</v>
      </c>
      <c r="E308" s="186">
        <v>24</v>
      </c>
      <c r="F308" s="163">
        <v>34.99</v>
      </c>
      <c r="G308" s="164">
        <f t="shared" si="13"/>
      </c>
      <c r="H308" s="164">
        <f t="shared" si="77"/>
      </c>
      <c r="I308" s="164">
        <f t="shared" si="139"/>
      </c>
      <c r="J308" s="165">
        <f t="shared" si="220"/>
      </c>
      <c r="K308" s="166">
        <f t="shared" si="273"/>
      </c>
      <c r="L308" s="167">
        <f t="shared" si="344"/>
      </c>
      <c r="M308" s="164">
        <f t="shared" si="389"/>
      </c>
      <c r="N308" s="166">
        <f t="shared" si="437"/>
      </c>
      <c r="O308" s="166">
        <f t="shared" si="464"/>
      </c>
      <c r="P308" s="161">
        <v>40</v>
      </c>
      <c r="Q308" s="168">
        <v>8</v>
      </c>
      <c r="R308" s="169">
        <f t="shared" si="33"/>
      </c>
      <c r="S308" s="165">
        <f t="shared" si="530"/>
      </c>
      <c r="T308" s="169">
        <f t="shared" si="158"/>
      </c>
      <c r="U308" s="169">
        <v>0.01</v>
      </c>
      <c r="V308" s="169">
        <f t="shared" si="295"/>
      </c>
      <c r="W308" s="169">
        <f t="shared" si="366"/>
      </c>
      <c r="X308" s="170">
        <v>0.1646</v>
      </c>
      <c r="Y308" s="171">
        <v>4</v>
      </c>
      <c r="Z308" s="171">
        <f>F308*0.15</f>
      </c>
      <c r="AA308" s="171">
        <f t="shared" si="486"/>
      </c>
      <c r="AB308" s="166">
        <f t="shared" si="508"/>
      </c>
      <c r="AC308" s="166">
        <v>70</v>
      </c>
      <c r="AD308" s="172">
        <f t="shared" si="55"/>
      </c>
      <c r="AE308" s="168">
        <f t="shared" si="108"/>
      </c>
      <c r="AF308" s="169">
        <f t="shared" si="180"/>
      </c>
      <c r="AG308" s="169">
        <f t="shared" si="322"/>
      </c>
      <c r="AH308" s="168">
        <v>7</v>
      </c>
      <c r="AI308" s="169">
        <f t="shared" si="198"/>
      </c>
      <c r="AJ308" s="169"/>
      <c r="AK308" s="169"/>
      <c r="AL308" s="169"/>
      <c r="AM308" s="169"/>
      <c r="AN308" s="173"/>
      <c r="AO308" s="173"/>
      <c r="AP308" s="173"/>
      <c r="AQ308" s="173"/>
      <c r="AR308" s="173"/>
      <c r="AS308" s="173"/>
      <c r="AT308" s="173" t="s">
        <v>725</v>
      </c>
      <c r="AU308" s="173" t="s">
        <v>725</v>
      </c>
      <c r="AV308" s="173" t="s">
        <v>725</v>
      </c>
      <c r="AW308" s="173" t="s">
        <v>725</v>
      </c>
      <c r="AX308" s="173" t="s">
        <v>725</v>
      </c>
      <c r="AY308" s="173" t="s">
        <v>725</v>
      </c>
      <c r="AZ308" s="173" t="s">
        <v>725</v>
      </c>
      <c r="BA308" s="173" t="s">
        <v>725</v>
      </c>
      <c r="BB308" s="173" t="s">
        <v>725</v>
      </c>
      <c r="BC308" s="173" t="s">
        <v>725</v>
      </c>
      <c r="BD308" s="173" t="s">
        <v>725</v>
      </c>
      <c r="BE308" s="173" t="s">
        <v>725</v>
      </c>
      <c r="BF308" s="173" t="s">
        <v>725</v>
      </c>
      <c r="BG308" s="173" t="s">
        <v>725</v>
      </c>
      <c r="BH308" s="173" t="s">
        <v>725</v>
      </c>
      <c r="BI308" s="173" t="s">
        <v>725</v>
      </c>
      <c r="BJ308" s="173" t="s">
        <v>725</v>
      </c>
      <c r="BK308" s="173" t="s">
        <v>725</v>
      </c>
      <c r="BL308" s="173" t="s">
        <v>725</v>
      </c>
      <c r="BM308" s="173" t="s">
        <v>725</v>
      </c>
      <c r="BN308" s="173" t="s">
        <v>725</v>
      </c>
      <c r="BO308" s="173" t="s">
        <v>725</v>
      </c>
      <c r="BP308" s="173" t="s">
        <v>725</v>
      </c>
      <c r="BQ308" s="173" t="s">
        <v>725</v>
      </c>
      <c r="BR308" s="174"/>
      <c r="BS308" s="161" t="str">
        <v>#VALUE!</v>
      </c>
    </row>
    <row customHeight="true" ht="18.51851851851852" r="309">
      <c r="A309" s="161" t="s">
        <v>735</v>
      </c>
      <c r="B309" s="161" t="s">
        <v>730</v>
      </c>
      <c r="C309" s="183" t="s">
        <v>825</v>
      </c>
      <c r="D309" s="178" t="s">
        <v>829</v>
      </c>
      <c r="E309" s="186">
        <v>24</v>
      </c>
      <c r="F309" s="163">
        <v>34.99</v>
      </c>
      <c r="G309" s="164">
        <f t="shared" si="13"/>
      </c>
      <c r="H309" s="164">
        <f t="shared" si="77"/>
      </c>
      <c r="I309" s="164">
        <f t="shared" si="139"/>
      </c>
      <c r="J309" s="165">
        <f t="shared" si="220"/>
      </c>
      <c r="K309" s="166">
        <f t="shared" si="273"/>
      </c>
      <c r="L309" s="167">
        <f t="shared" si="344"/>
      </c>
      <c r="M309" s="164">
        <f t="shared" si="389"/>
      </c>
      <c r="N309" s="166">
        <f t="shared" si="437"/>
      </c>
      <c r="O309" s="166">
        <f t="shared" si="464"/>
      </c>
      <c r="P309" s="161">
        <v>40</v>
      </c>
      <c r="Q309" s="168">
        <v>8</v>
      </c>
      <c r="R309" s="169">
        <f t="shared" si="33"/>
      </c>
      <c r="S309" s="165">
        <f t="shared" si="530"/>
      </c>
      <c r="T309" s="169">
        <f t="shared" si="158"/>
      </c>
      <c r="U309" s="169">
        <v>0.01</v>
      </c>
      <c r="V309" s="169">
        <f t="shared" si="295"/>
      </c>
      <c r="W309" s="169">
        <f t="shared" si="366"/>
      </c>
      <c r="X309" s="170">
        <v>0.158</v>
      </c>
      <c r="Y309" s="171">
        <v>4</v>
      </c>
      <c r="Z309" s="171">
        <f t="shared" ref="Z309:Z312" si="408">F309*0</f>
      </c>
      <c r="AA309" s="171">
        <f t="shared" si="486"/>
      </c>
      <c r="AB309" s="166">
        <f t="shared" si="508"/>
      </c>
      <c r="AC309" s="166">
        <v>70</v>
      </c>
      <c r="AD309" s="172">
        <f t="shared" si="55"/>
      </c>
      <c r="AE309" s="168">
        <f t="shared" si="108"/>
      </c>
      <c r="AF309" s="169">
        <f t="shared" si="180"/>
      </c>
      <c r="AG309" s="169">
        <f t="shared" si="322"/>
      </c>
      <c r="AH309" s="168">
        <v>7</v>
      </c>
      <c r="AI309" s="169">
        <f t="shared" si="198"/>
      </c>
      <c r="AJ309" s="173"/>
      <c r="AK309" s="173"/>
      <c r="AL309" s="173"/>
      <c r="AM309" s="173"/>
      <c r="AN309" s="173"/>
      <c r="AO309" s="173"/>
      <c r="AP309" s="173"/>
      <c r="AQ309" s="173"/>
      <c r="AR309" s="173"/>
      <c r="AS309" s="173"/>
      <c r="AT309" s="173" t="s">
        <v>725</v>
      </c>
      <c r="AU309" s="173" t="s">
        <v>725</v>
      </c>
      <c r="AV309" s="173" t="s">
        <v>725</v>
      </c>
      <c r="AW309" s="173" t="s">
        <v>725</v>
      </c>
      <c r="AX309" s="173" t="s">
        <v>725</v>
      </c>
      <c r="AY309" s="173" t="s">
        <v>725</v>
      </c>
      <c r="AZ309" s="173" t="s">
        <v>725</v>
      </c>
      <c r="BA309" s="173" t="s">
        <v>725</v>
      </c>
      <c r="BB309" s="173" t="s">
        <v>725</v>
      </c>
      <c r="BC309" s="173" t="s">
        <v>725</v>
      </c>
      <c r="BD309" s="173" t="s">
        <v>725</v>
      </c>
      <c r="BE309" s="173" t="s">
        <v>725</v>
      </c>
      <c r="BF309" s="173" t="s">
        <v>725</v>
      </c>
      <c r="BG309" s="173" t="s">
        <v>725</v>
      </c>
      <c r="BH309" s="173" t="s">
        <v>725</v>
      </c>
      <c r="BI309" s="173" t="s">
        <v>725</v>
      </c>
      <c r="BJ309" s="173" t="s">
        <v>725</v>
      </c>
      <c r="BK309" s="173" t="s">
        <v>725</v>
      </c>
      <c r="BL309" s="173" t="s">
        <v>725</v>
      </c>
      <c r="BM309" s="173" t="s">
        <v>725</v>
      </c>
      <c r="BN309" s="173" t="s">
        <v>725</v>
      </c>
      <c r="BO309" s="173" t="s">
        <v>725</v>
      </c>
      <c r="BP309" s="173" t="s">
        <v>725</v>
      </c>
      <c r="BQ309" s="173" t="s">
        <v>725</v>
      </c>
      <c r="BR309" s="180">
        <f t="shared" ref="BR309:BR312" si="249">IF(E309&lt;#REF!,1,0)</f>
      </c>
      <c r="BS309" s="161" t="str">
        <v>#VALUE!</v>
      </c>
    </row>
    <row customHeight="true" ht="18.51851851851852" r="310">
      <c r="A310" s="161" t="s">
        <v>737</v>
      </c>
      <c r="B310" s="161" t="s">
        <v>730</v>
      </c>
      <c r="C310" s="183" t="s">
        <v>825</v>
      </c>
      <c r="D310" s="178" t="s">
        <v>830</v>
      </c>
      <c r="E310" s="186">
        <v>27.5</v>
      </c>
      <c r="F310" s="163">
        <v>39.99</v>
      </c>
      <c r="G310" s="164">
        <f t="shared" si="13"/>
      </c>
      <c r="H310" s="164">
        <f t="shared" si="77"/>
      </c>
      <c r="I310" s="164">
        <f t="shared" si="139"/>
      </c>
      <c r="J310" s="165">
        <f t="shared" si="220"/>
      </c>
      <c r="K310" s="166">
        <f t="shared" si="273"/>
      </c>
      <c r="L310" s="167">
        <f t="shared" si="344"/>
      </c>
      <c r="M310" s="164">
        <f t="shared" si="389"/>
      </c>
      <c r="N310" s="166">
        <f t="shared" si="437"/>
      </c>
      <c r="O310" s="166">
        <f t="shared" si="464"/>
      </c>
      <c r="P310" s="161">
        <v>40</v>
      </c>
      <c r="Q310" s="168">
        <v>8</v>
      </c>
      <c r="R310" s="169">
        <f t="shared" si="33"/>
      </c>
      <c r="S310" s="165">
        <f t="shared" si="530"/>
      </c>
      <c r="T310" s="169">
        <f t="shared" si="158"/>
      </c>
      <c r="U310" s="169">
        <v>0.01</v>
      </c>
      <c r="V310" s="169">
        <f t="shared" si="295"/>
      </c>
      <c r="W310" s="169">
        <f t="shared" si="366"/>
      </c>
      <c r="X310" s="170">
        <v>0.223</v>
      </c>
      <c r="Y310" s="171">
        <v>4</v>
      </c>
      <c r="Z310" s="171">
        <f t="shared" si="408"/>
      </c>
      <c r="AA310" s="171">
        <f t="shared" si="486"/>
      </c>
      <c r="AB310" s="166">
        <f t="shared" si="508"/>
      </c>
      <c r="AC310" s="166">
        <v>70</v>
      </c>
      <c r="AD310" s="172">
        <f t="shared" si="55"/>
      </c>
      <c r="AE310" s="168">
        <f t="shared" si="108"/>
      </c>
      <c r="AF310" s="169">
        <f t="shared" si="180"/>
      </c>
      <c r="AG310" s="169">
        <f t="shared" si="322"/>
      </c>
      <c r="AH310" s="168">
        <v>7</v>
      </c>
      <c r="AI310" s="169">
        <f t="shared" si="198"/>
      </c>
      <c r="AJ310" s="173"/>
      <c r="AK310" s="173"/>
      <c r="AL310" s="173"/>
      <c r="AM310" s="173"/>
      <c r="AN310" s="173"/>
      <c r="AO310" s="173"/>
      <c r="AP310" s="173"/>
      <c r="AQ310" s="173"/>
      <c r="AR310" s="173"/>
      <c r="AS310" s="173"/>
      <c r="AT310" s="173" t="s">
        <v>725</v>
      </c>
      <c r="AU310" s="173" t="s">
        <v>725</v>
      </c>
      <c r="AV310" s="173" t="s">
        <v>725</v>
      </c>
      <c r="AW310" s="173" t="s">
        <v>725</v>
      </c>
      <c r="AX310" s="173" t="s">
        <v>725</v>
      </c>
      <c r="AY310" s="173" t="s">
        <v>725</v>
      </c>
      <c r="AZ310" s="173" t="s">
        <v>725</v>
      </c>
      <c r="BA310" s="173" t="s">
        <v>725</v>
      </c>
      <c r="BB310" s="173" t="s">
        <v>725</v>
      </c>
      <c r="BC310" s="173" t="s">
        <v>725</v>
      </c>
      <c r="BD310" s="173" t="s">
        <v>725</v>
      </c>
      <c r="BE310" s="173" t="s">
        <v>725</v>
      </c>
      <c r="BF310" s="173" t="s">
        <v>725</v>
      </c>
      <c r="BG310" s="173" t="s">
        <v>725</v>
      </c>
      <c r="BH310" s="173" t="s">
        <v>725</v>
      </c>
      <c r="BI310" s="173" t="s">
        <v>725</v>
      </c>
      <c r="BJ310" s="173" t="s">
        <v>725</v>
      </c>
      <c r="BK310" s="173" t="s">
        <v>725</v>
      </c>
      <c r="BL310" s="173" t="s">
        <v>725</v>
      </c>
      <c r="BM310" s="173" t="s">
        <v>725</v>
      </c>
      <c r="BN310" s="173" t="s">
        <v>725</v>
      </c>
      <c r="BO310" s="173" t="s">
        <v>725</v>
      </c>
      <c r="BP310" s="173" t="s">
        <v>725</v>
      </c>
      <c r="BQ310" s="173" t="s">
        <v>725</v>
      </c>
      <c r="BR310" s="180">
        <f t="shared" si="249"/>
      </c>
      <c r="BS310" s="161" t="str">
        <v>#VALUE!</v>
      </c>
    </row>
    <row customHeight="true" ht="18.51851851851852" r="311">
      <c r="A311" s="161" t="s">
        <v>739</v>
      </c>
      <c r="B311" s="161" t="s">
        <v>730</v>
      </c>
      <c r="C311" s="183" t="s">
        <v>825</v>
      </c>
      <c r="D311" s="178" t="s">
        <v>831</v>
      </c>
      <c r="E311" s="186">
        <v>27.5</v>
      </c>
      <c r="F311" s="163">
        <v>39.99</v>
      </c>
      <c r="G311" s="164">
        <f t="shared" si="13"/>
      </c>
      <c r="H311" s="164">
        <f t="shared" si="77"/>
      </c>
      <c r="I311" s="164">
        <f t="shared" si="139"/>
      </c>
      <c r="J311" s="165">
        <f t="shared" si="220"/>
      </c>
      <c r="K311" s="166">
        <f t="shared" si="273"/>
      </c>
      <c r="L311" s="167">
        <f t="shared" si="344"/>
      </c>
      <c r="M311" s="164">
        <f t="shared" si="389"/>
      </c>
      <c r="N311" s="166">
        <f t="shared" si="437"/>
      </c>
      <c r="O311" s="166">
        <f t="shared" si="464"/>
      </c>
      <c r="P311" s="161">
        <v>40</v>
      </c>
      <c r="Q311" s="168">
        <v>8</v>
      </c>
      <c r="R311" s="169">
        <f t="shared" si="33"/>
      </c>
      <c r="S311" s="165">
        <f t="shared" si="530"/>
      </c>
      <c r="T311" s="169">
        <f t="shared" si="158"/>
      </c>
      <c r="U311" s="169">
        <v>0.01</v>
      </c>
      <c r="V311" s="169">
        <f t="shared" si="295"/>
      </c>
      <c r="W311" s="169">
        <f t="shared" si="366"/>
      </c>
      <c r="X311" s="170">
        <v>0.223</v>
      </c>
      <c r="Y311" s="171">
        <v>4</v>
      </c>
      <c r="Z311" s="171">
        <f t="shared" si="408"/>
      </c>
      <c r="AA311" s="171">
        <f t="shared" si="486"/>
      </c>
      <c r="AB311" s="166">
        <f t="shared" si="508"/>
      </c>
      <c r="AC311" s="166">
        <v>70</v>
      </c>
      <c r="AD311" s="172">
        <f t="shared" si="55"/>
      </c>
      <c r="AE311" s="168">
        <f t="shared" si="108"/>
      </c>
      <c r="AF311" s="169">
        <f t="shared" si="180"/>
      </c>
      <c r="AG311" s="169">
        <f t="shared" si="322"/>
      </c>
      <c r="AH311" s="168">
        <v>7</v>
      </c>
      <c r="AI311" s="169">
        <f t="shared" si="198"/>
      </c>
      <c r="AJ311" s="173"/>
      <c r="AK311" s="173"/>
      <c r="AL311" s="173"/>
      <c r="AM311" s="173"/>
      <c r="AN311" s="173"/>
      <c r="AO311" s="173"/>
      <c r="AP311" s="173"/>
      <c r="AQ311" s="173"/>
      <c r="AR311" s="173"/>
      <c r="AS311" s="173"/>
      <c r="AT311" s="173" t="s">
        <v>725</v>
      </c>
      <c r="AU311" s="173" t="s">
        <v>725</v>
      </c>
      <c r="AV311" s="173" t="s">
        <v>725</v>
      </c>
      <c r="AW311" s="173" t="s">
        <v>725</v>
      </c>
      <c r="AX311" s="173" t="s">
        <v>725</v>
      </c>
      <c r="AY311" s="173" t="s">
        <v>725</v>
      </c>
      <c r="AZ311" s="173" t="s">
        <v>725</v>
      </c>
      <c r="BA311" s="173" t="s">
        <v>725</v>
      </c>
      <c r="BB311" s="173" t="s">
        <v>725</v>
      </c>
      <c r="BC311" s="173" t="s">
        <v>725</v>
      </c>
      <c r="BD311" s="173" t="s">
        <v>725</v>
      </c>
      <c r="BE311" s="173" t="s">
        <v>725</v>
      </c>
      <c r="BF311" s="173" t="s">
        <v>725</v>
      </c>
      <c r="BG311" s="173" t="s">
        <v>725</v>
      </c>
      <c r="BH311" s="173" t="s">
        <v>725</v>
      </c>
      <c r="BI311" s="173" t="s">
        <v>725</v>
      </c>
      <c r="BJ311" s="173" t="s">
        <v>725</v>
      </c>
      <c r="BK311" s="173" t="s">
        <v>725</v>
      </c>
      <c r="BL311" s="173" t="s">
        <v>725</v>
      </c>
      <c r="BM311" s="173" t="s">
        <v>725</v>
      </c>
      <c r="BN311" s="173" t="s">
        <v>725</v>
      </c>
      <c r="BO311" s="173" t="s">
        <v>725</v>
      </c>
      <c r="BP311" s="173" t="s">
        <v>725</v>
      </c>
      <c r="BQ311" s="173" t="s">
        <v>725</v>
      </c>
      <c r="BR311" s="180">
        <f t="shared" si="249"/>
      </c>
      <c r="BS311" s="161" t="str">
        <v>#VALUE!</v>
      </c>
    </row>
    <row customHeight="true" ht="18.51851851851852" r="312">
      <c r="A312" s="161" t="s">
        <v>741</v>
      </c>
      <c r="B312" s="161" t="s">
        <v>730</v>
      </c>
      <c r="C312" s="183" t="s">
        <v>825</v>
      </c>
      <c r="D312" s="178" t="s">
        <v>832</v>
      </c>
      <c r="E312" s="186">
        <v>24</v>
      </c>
      <c r="F312" s="163">
        <v>34.99</v>
      </c>
      <c r="G312" s="164">
        <f t="shared" si="13"/>
      </c>
      <c r="H312" s="164">
        <f t="shared" si="77"/>
      </c>
      <c r="I312" s="164">
        <f t="shared" si="139"/>
      </c>
      <c r="J312" s="165">
        <f t="shared" si="220"/>
      </c>
      <c r="K312" s="166">
        <f t="shared" si="273"/>
      </c>
      <c r="L312" s="167">
        <f t="shared" si="344"/>
      </c>
      <c r="M312" s="164">
        <f t="shared" si="389"/>
      </c>
      <c r="N312" s="166">
        <f t="shared" si="437"/>
      </c>
      <c r="O312" s="166">
        <f t="shared" si="464"/>
      </c>
      <c r="P312" s="161">
        <v>40</v>
      </c>
      <c r="Q312" s="168">
        <v>8</v>
      </c>
      <c r="R312" s="169">
        <f t="shared" si="33"/>
      </c>
      <c r="S312" s="165">
        <f t="shared" si="530"/>
      </c>
      <c r="T312" s="169">
        <f t="shared" si="158"/>
      </c>
      <c r="U312" s="169">
        <v>0.01</v>
      </c>
      <c r="V312" s="169">
        <f t="shared" si="295"/>
      </c>
      <c r="W312" s="169">
        <f t="shared" si="366"/>
      </c>
      <c r="X312" s="170">
        <v>0.158</v>
      </c>
      <c r="Y312" s="171">
        <v>4</v>
      </c>
      <c r="Z312" s="171">
        <f t="shared" si="408"/>
      </c>
      <c r="AA312" s="171">
        <f t="shared" si="486"/>
      </c>
      <c r="AB312" s="166">
        <f t="shared" si="508"/>
      </c>
      <c r="AC312" s="166">
        <v>70</v>
      </c>
      <c r="AD312" s="172">
        <f t="shared" si="55"/>
      </c>
      <c r="AE312" s="168">
        <f t="shared" si="108"/>
      </c>
      <c r="AF312" s="169">
        <f t="shared" si="180"/>
      </c>
      <c r="AG312" s="169">
        <f t="shared" si="322"/>
      </c>
      <c r="AH312" s="168">
        <v>7</v>
      </c>
      <c r="AI312" s="169">
        <f t="shared" si="198"/>
      </c>
      <c r="AJ312" s="169"/>
      <c r="AK312" s="169"/>
      <c r="AL312" s="169"/>
      <c r="AM312" s="169"/>
      <c r="AN312" s="173"/>
      <c r="AO312" s="173"/>
      <c r="AP312" s="173"/>
      <c r="AQ312" s="173"/>
      <c r="AR312" s="173"/>
      <c r="AS312" s="173"/>
      <c r="AT312" s="173" t="s">
        <v>725</v>
      </c>
      <c r="AU312" s="173" t="s">
        <v>725</v>
      </c>
      <c r="AV312" s="173" t="s">
        <v>725</v>
      </c>
      <c r="AW312" s="173" t="s">
        <v>725</v>
      </c>
      <c r="AX312" s="173" t="s">
        <v>725</v>
      </c>
      <c r="AY312" s="173" t="s">
        <v>725</v>
      </c>
      <c r="AZ312" s="173" t="s">
        <v>725</v>
      </c>
      <c r="BA312" s="173" t="s">
        <v>725</v>
      </c>
      <c r="BB312" s="173" t="s">
        <v>725</v>
      </c>
      <c r="BC312" s="173" t="s">
        <v>725</v>
      </c>
      <c r="BD312" s="173" t="s">
        <v>725</v>
      </c>
      <c r="BE312" s="173" t="s">
        <v>725</v>
      </c>
      <c r="BF312" s="173" t="s">
        <v>725</v>
      </c>
      <c r="BG312" s="173" t="s">
        <v>725</v>
      </c>
      <c r="BH312" s="173" t="s">
        <v>725</v>
      </c>
      <c r="BI312" s="173" t="s">
        <v>725</v>
      </c>
      <c r="BJ312" s="173" t="s">
        <v>725</v>
      </c>
      <c r="BK312" s="173" t="s">
        <v>725</v>
      </c>
      <c r="BL312" s="173" t="s">
        <v>725</v>
      </c>
      <c r="BM312" s="173" t="s">
        <v>725</v>
      </c>
      <c r="BN312" s="173" t="s">
        <v>725</v>
      </c>
      <c r="BO312" s="173" t="s">
        <v>725</v>
      </c>
      <c r="BP312" s="173" t="s">
        <v>725</v>
      </c>
      <c r="BQ312" s="173" t="s">
        <v>725</v>
      </c>
      <c r="BR312" s="180">
        <f t="shared" si="249"/>
      </c>
      <c r="BS312" s="161" t="str">
        <v>#VALUE!</v>
      </c>
    </row>
    <row customHeight="true" ht="18.51851851851852" r="313">
      <c r="G313" s="181"/>
      <c r="H313" s="181"/>
      <c r="S313" s="181"/>
      <c r="AE313" s="188"/>
      <c r="AI313" s="181"/>
    </row>
    <row customHeight="true" ht="18.51851851851852" r="314">
      <c r="A314" s="161" t="s">
        <v>721</v>
      </c>
      <c r="B314" s="161" t="s">
        <v>730</v>
      </c>
      <c r="C314" s="183" t="s">
        <v>833</v>
      </c>
      <c r="D314" s="189" t="s">
        <v>834</v>
      </c>
      <c r="E314" s="186">
        <v>25.5</v>
      </c>
      <c r="F314" s="163">
        <v>36.99</v>
      </c>
      <c r="G314" s="164">
        <f t="shared" ref="G314:G332" si="14">(F314-Z314)</f>
      </c>
      <c r="H314" s="164">
        <f t="shared" ref="H314:H332" si="78">(F314-Z314)/1.2</f>
      </c>
      <c r="I314" s="164">
        <f t="shared" ref="I314:I332" si="140">E314-N314/Q314-AB314-Y314-O314-Z314-AA314</f>
      </c>
      <c r="J314" s="165">
        <f t="shared" ref="J314:J332" si="221">I314/E314</f>
      </c>
      <c r="K314" s="166">
        <f t="shared" ref="K314:K332" si="274">F314/1.2</f>
      </c>
      <c r="L314" s="167">
        <f t="shared" ref="L314:L332" si="345">(K314-E314)/K314</f>
      </c>
      <c r="M314" s="164">
        <f t="shared" ref="M314:M332" si="390">F314/1.2-E314</f>
      </c>
      <c r="N314" s="166">
        <f>AD314+AH315</f>
      </c>
      <c r="O314" s="166">
        <f t="shared" ref="O314:O332" si="465">IFERROR(IF(A314="UK",8.95/P314,IF(A314="DE",7.75/P314,IF(A314="FR",14.25/P314,IF(A314="IT",15.25/P314,IF(A314="ES",19.25/P314,IF(A314="NL",16.75/P314,IF(A314="PL",14.05/P314,IF(A314="SE",18.25/P314,IF(A314="BE",14.25/P314))))))))),0)</f>
      </c>
      <c r="P314" s="161">
        <v>24</v>
      </c>
      <c r="Q314" s="168">
        <v>9</v>
      </c>
      <c r="R314" s="169">
        <f t="shared" ref="R314:R332" si="34">Y314/E314</f>
      </c>
      <c r="S314" s="165">
        <f t="shared" ref="S314:S332" si="531">Y314/F314</f>
      </c>
      <c r="T314" s="169">
        <f t="shared" ref="T314:T332" si="159">Z314/E314</f>
      </c>
      <c r="U314" s="169">
        <v>0.01</v>
      </c>
      <c r="V314" s="169">
        <f t="shared" ref="V314:V332" si="296">N314/(E314*Q314)</f>
      </c>
      <c r="W314" s="169">
        <f t="shared" ref="W314:W332" si="367">O314/E314</f>
      </c>
      <c r="X314" s="170">
        <v>0.158</v>
      </c>
      <c r="Y314" s="171">
        <v>5</v>
      </c>
      <c r="Z314" s="171">
        <v>0</v>
      </c>
      <c r="AA314" s="171">
        <f t="shared" ref="AA314:AA332" si="487">E314*U314</f>
      </c>
      <c r="AB314" s="166">
        <f t="shared" ref="AB314:AB332" si="509">E314*X314</f>
      </c>
      <c r="AC314" s="166">
        <v>75</v>
      </c>
      <c r="AD314" s="172">
        <f t="shared" ref="AD314:AD332" si="56">AC314/1.13</f>
      </c>
      <c r="AE314" s="168">
        <f>AH315/Q314</f>
      </c>
      <c r="AF314" s="169">
        <f t="shared" ref="AF314:AF332" si="181">AD314/(E314*Q314)</f>
      </c>
      <c r="AG314" s="169">
        <f t="shared" ref="AG314:AG332" si="323">AE314/Q314/E314</f>
      </c>
      <c r="AH314" s="168">
        <v>12</v>
      </c>
      <c r="AI314" s="169">
        <f t="shared" ref="AI314:AI332" si="199">(H314-E314+AB314)/H314</f>
      </c>
      <c r="AJ314" s="169"/>
      <c r="AK314" s="169"/>
      <c r="AL314" s="169"/>
      <c r="AM314" s="169"/>
      <c r="AN314" s="173"/>
      <c r="AO314" s="173"/>
      <c r="AP314" s="173"/>
      <c r="AQ314" s="173"/>
      <c r="AR314" s="173"/>
      <c r="AS314" s="173"/>
      <c r="AT314" s="173" t="s">
        <v>725</v>
      </c>
      <c r="AU314" s="173" t="s">
        <v>725</v>
      </c>
      <c r="AV314" s="173" t="s">
        <v>725</v>
      </c>
      <c r="AW314" s="173" t="s">
        <v>725</v>
      </c>
      <c r="AX314" s="173" t="s">
        <v>725</v>
      </c>
      <c r="AY314" s="173" t="s">
        <v>725</v>
      </c>
      <c r="AZ314" s="173" t="s">
        <v>725</v>
      </c>
      <c r="BA314" s="173" t="s">
        <v>725</v>
      </c>
      <c r="BB314" s="173" t="s">
        <v>725</v>
      </c>
      <c r="BC314" s="173" t="s">
        <v>725</v>
      </c>
      <c r="BD314" s="173" t="s">
        <v>725</v>
      </c>
      <c r="BE314" s="173" t="s">
        <v>725</v>
      </c>
      <c r="BF314" s="173" t="s">
        <v>725</v>
      </c>
      <c r="BG314" s="173" t="s">
        <v>725</v>
      </c>
      <c r="BH314" s="173" t="s">
        <v>725</v>
      </c>
      <c r="BI314" s="173" t="s">
        <v>725</v>
      </c>
      <c r="BJ314" s="173" t="s">
        <v>725</v>
      </c>
      <c r="BK314" s="173" t="s">
        <v>725</v>
      </c>
      <c r="BL314" s="173" t="s">
        <v>725</v>
      </c>
      <c r="BM314" s="173" t="s">
        <v>725</v>
      </c>
      <c r="BN314" s="173" t="s">
        <v>725</v>
      </c>
      <c r="BO314" s="173" t="s">
        <v>725</v>
      </c>
      <c r="BP314" s="173" t="s">
        <v>725</v>
      </c>
      <c r="BQ314" s="173" t="s">
        <v>725</v>
      </c>
      <c r="BR314" s="174"/>
      <c r="BS314" s="161" t="str">
        <v>#VALUE!</v>
      </c>
    </row>
    <row customHeight="true" ht="18.51851851851852" r="315">
      <c r="A315" s="161" t="s">
        <v>721</v>
      </c>
      <c r="B315" s="161" t="s">
        <v>730</v>
      </c>
      <c r="C315" s="183" t="s">
        <v>833</v>
      </c>
      <c r="D315" s="189" t="s">
        <v>835</v>
      </c>
      <c r="E315" s="186">
        <v>25.5</v>
      </c>
      <c r="F315" s="163">
        <v>36.99</v>
      </c>
      <c r="G315" s="164">
        <f t="shared" si="14"/>
      </c>
      <c r="H315" s="164">
        <f t="shared" si="78"/>
      </c>
      <c r="I315" s="175">
        <f t="shared" si="140"/>
      </c>
      <c r="J315" s="165">
        <f t="shared" si="221"/>
      </c>
      <c r="K315" s="166">
        <f t="shared" si="274"/>
      </c>
      <c r="L315" s="167">
        <f t="shared" si="345"/>
      </c>
      <c r="M315" s="164">
        <f t="shared" si="390"/>
      </c>
      <c r="N315" s="166">
        <f t="shared" ref="N315:N316" si="438">AD315+AH315</f>
      </c>
      <c r="O315" s="166">
        <f t="shared" si="465"/>
      </c>
      <c r="P315" s="161">
        <v>24</v>
      </c>
      <c r="Q315" s="168">
        <v>9</v>
      </c>
      <c r="R315" s="169">
        <f t="shared" si="34"/>
      </c>
      <c r="S315" s="165">
        <f t="shared" si="531"/>
      </c>
      <c r="T315" s="169">
        <f t="shared" si="159"/>
      </c>
      <c r="U315" s="169">
        <v>0.01</v>
      </c>
      <c r="V315" s="169">
        <f t="shared" si="296"/>
      </c>
      <c r="W315" s="169">
        <f t="shared" si="367"/>
      </c>
      <c r="X315" s="170">
        <v>0.158</v>
      </c>
      <c r="Y315" s="171">
        <v>5</v>
      </c>
      <c r="Z315" s="171">
        <f>F315*0.1</f>
      </c>
      <c r="AA315" s="171">
        <f t="shared" si="487"/>
      </c>
      <c r="AB315" s="166">
        <f t="shared" si="509"/>
      </c>
      <c r="AC315" s="166">
        <v>75</v>
      </c>
      <c r="AD315" s="172">
        <f t="shared" si="56"/>
      </c>
      <c r="AE315" s="168">
        <f t="shared" ref="AE315:AE316" si="109">AH315/Q315</f>
      </c>
      <c r="AF315" s="169">
        <f t="shared" si="181"/>
      </c>
      <c r="AG315" s="169">
        <f t="shared" si="323"/>
      </c>
      <c r="AH315" s="168">
        <v>12</v>
      </c>
      <c r="AI315" s="169">
        <f t="shared" si="199"/>
      </c>
      <c r="AJ315" s="169"/>
      <c r="AK315" s="169"/>
      <c r="AL315" s="169"/>
      <c r="AM315" s="169"/>
      <c r="AN315" s="173"/>
      <c r="AO315" s="173"/>
      <c r="AP315" s="173"/>
      <c r="AQ315" s="173"/>
      <c r="AR315" s="173"/>
      <c r="AS315" s="173"/>
      <c r="AT315" s="173" t="s">
        <v>725</v>
      </c>
      <c r="AU315" s="173" t="s">
        <v>725</v>
      </c>
      <c r="AV315" s="173" t="s">
        <v>725</v>
      </c>
      <c r="AW315" s="173" t="s">
        <v>725</v>
      </c>
      <c r="AX315" s="173" t="s">
        <v>725</v>
      </c>
      <c r="AY315" s="173" t="s">
        <v>725</v>
      </c>
      <c r="AZ315" s="173" t="s">
        <v>725</v>
      </c>
      <c r="BA315" s="173" t="s">
        <v>725</v>
      </c>
      <c r="BB315" s="173" t="s">
        <v>725</v>
      </c>
      <c r="BC315" s="173" t="s">
        <v>725</v>
      </c>
      <c r="BD315" s="173" t="s">
        <v>725</v>
      </c>
      <c r="BE315" s="173" t="s">
        <v>725</v>
      </c>
      <c r="BF315" s="173" t="s">
        <v>725</v>
      </c>
      <c r="BG315" s="173" t="s">
        <v>725</v>
      </c>
      <c r="BH315" s="173" t="s">
        <v>725</v>
      </c>
      <c r="BI315" s="173" t="s">
        <v>725</v>
      </c>
      <c r="BJ315" s="173" t="s">
        <v>725</v>
      </c>
      <c r="BK315" s="173" t="s">
        <v>725</v>
      </c>
      <c r="BL315" s="173" t="s">
        <v>725</v>
      </c>
      <c r="BM315" s="173" t="s">
        <v>725</v>
      </c>
      <c r="BN315" s="173" t="s">
        <v>725</v>
      </c>
      <c r="BO315" s="173" t="s">
        <v>725</v>
      </c>
      <c r="BP315" s="173" t="s">
        <v>725</v>
      </c>
      <c r="BQ315" s="173" t="s">
        <v>725</v>
      </c>
      <c r="BR315" s="174"/>
      <c r="BS315" s="161" t="str">
        <v>#VALUE!</v>
      </c>
    </row>
    <row customHeight="true" ht="18.51851851851852" r="316">
      <c r="A316" s="161" t="s">
        <v>721</v>
      </c>
      <c r="B316" s="161" t="s">
        <v>730</v>
      </c>
      <c r="C316" s="183" t="s">
        <v>833</v>
      </c>
      <c r="D316" s="189" t="s">
        <v>836</v>
      </c>
      <c r="E316" s="186">
        <v>25.5</v>
      </c>
      <c r="F316" s="163">
        <v>36.99</v>
      </c>
      <c r="G316" s="164">
        <f t="shared" si="14"/>
      </c>
      <c r="H316" s="164">
        <f t="shared" si="78"/>
      </c>
      <c r="I316" s="164">
        <f t="shared" si="140"/>
      </c>
      <c r="J316" s="165">
        <f t="shared" si="221"/>
      </c>
      <c r="K316" s="166">
        <f t="shared" si="274"/>
      </c>
      <c r="L316" s="167">
        <f t="shared" si="345"/>
      </c>
      <c r="M316" s="164">
        <f t="shared" si="390"/>
      </c>
      <c r="N316" s="166">
        <f t="shared" si="438"/>
      </c>
      <c r="O316" s="166">
        <f t="shared" si="465"/>
      </c>
      <c r="P316" s="161">
        <v>24</v>
      </c>
      <c r="Q316" s="168">
        <v>9</v>
      </c>
      <c r="R316" s="169">
        <f t="shared" si="34"/>
      </c>
      <c r="S316" s="165">
        <f t="shared" si="531"/>
      </c>
      <c r="T316" s="169">
        <f t="shared" si="159"/>
      </c>
      <c r="U316" s="169">
        <v>0.01</v>
      </c>
      <c r="V316" s="169">
        <f t="shared" si="296"/>
      </c>
      <c r="W316" s="169">
        <f t="shared" si="367"/>
      </c>
      <c r="X316" s="170">
        <v>0.158</v>
      </c>
      <c r="Y316" s="171">
        <v>5</v>
      </c>
      <c r="Z316" s="171">
        <f>F316*0.15</f>
      </c>
      <c r="AA316" s="171">
        <f t="shared" si="487"/>
      </c>
      <c r="AB316" s="166">
        <f t="shared" si="509"/>
      </c>
      <c r="AC316" s="166">
        <v>75</v>
      </c>
      <c r="AD316" s="172">
        <f t="shared" si="56"/>
      </c>
      <c r="AE316" s="168">
        <f t="shared" si="109"/>
      </c>
      <c r="AF316" s="169">
        <f t="shared" si="181"/>
      </c>
      <c r="AG316" s="169">
        <f t="shared" si="323"/>
      </c>
      <c r="AH316" s="168">
        <v>12</v>
      </c>
      <c r="AI316" s="169">
        <f t="shared" si="199"/>
      </c>
      <c r="AJ316" s="169"/>
      <c r="AK316" s="169"/>
      <c r="AL316" s="169"/>
      <c r="AM316" s="169"/>
      <c r="AN316" s="173"/>
      <c r="AO316" s="173"/>
      <c r="AP316" s="173"/>
      <c r="AQ316" s="173"/>
      <c r="AR316" s="173"/>
      <c r="AS316" s="173"/>
      <c r="AT316" s="173" t="s">
        <v>725</v>
      </c>
      <c r="AU316" s="173" t="s">
        <v>725</v>
      </c>
      <c r="AV316" s="173" t="s">
        <v>725</v>
      </c>
      <c r="AW316" s="173" t="s">
        <v>725</v>
      </c>
      <c r="AX316" s="173" t="s">
        <v>725</v>
      </c>
      <c r="AY316" s="173" t="s">
        <v>725</v>
      </c>
      <c r="AZ316" s="173" t="s">
        <v>725</v>
      </c>
      <c r="BA316" s="173" t="s">
        <v>725</v>
      </c>
      <c r="BB316" s="173" t="s">
        <v>725</v>
      </c>
      <c r="BC316" s="173" t="s">
        <v>725</v>
      </c>
      <c r="BD316" s="173" t="s">
        <v>725</v>
      </c>
      <c r="BE316" s="173" t="s">
        <v>725</v>
      </c>
      <c r="BF316" s="173" t="s">
        <v>725</v>
      </c>
      <c r="BG316" s="173" t="s">
        <v>725</v>
      </c>
      <c r="BH316" s="173" t="s">
        <v>725</v>
      </c>
      <c r="BI316" s="173" t="s">
        <v>725</v>
      </c>
      <c r="BJ316" s="173" t="s">
        <v>725</v>
      </c>
      <c r="BK316" s="173" t="s">
        <v>725</v>
      </c>
      <c r="BL316" s="173" t="s">
        <v>725</v>
      </c>
      <c r="BM316" s="173" t="s">
        <v>725</v>
      </c>
      <c r="BN316" s="173" t="s">
        <v>725</v>
      </c>
      <c r="BO316" s="173" t="s">
        <v>725</v>
      </c>
      <c r="BP316" s="173" t="s">
        <v>725</v>
      </c>
      <c r="BQ316" s="173" t="s">
        <v>725</v>
      </c>
      <c r="BR316" s="174"/>
      <c r="BS316" s="161" t="str">
        <v>#VALUE!</v>
      </c>
    </row>
    <row customHeight="true" ht="18.51851851851852" r="317">
      <c r="A317" s="161" t="s">
        <v>729</v>
      </c>
      <c r="B317" s="161" t="s">
        <v>730</v>
      </c>
      <c r="C317" s="183" t="s">
        <v>833</v>
      </c>
      <c r="D317" s="189" t="s">
        <v>834</v>
      </c>
      <c r="E317" s="186">
        <v>27.5</v>
      </c>
      <c r="F317" s="163">
        <v>39.99</v>
      </c>
      <c r="G317" s="164">
        <f t="shared" si="14"/>
      </c>
      <c r="H317" s="164">
        <f t="shared" si="78"/>
      </c>
      <c r="I317" s="164">
        <f t="shared" si="140"/>
      </c>
      <c r="J317" s="165">
        <f t="shared" si="221"/>
      </c>
      <c r="K317" s="166">
        <f t="shared" si="274"/>
      </c>
      <c r="L317" s="167">
        <f t="shared" si="345"/>
      </c>
      <c r="M317" s="164">
        <f t="shared" si="390"/>
      </c>
      <c r="N317" s="166">
        <f>AD317+AH318</f>
      </c>
      <c r="O317" s="166">
        <f t="shared" si="465"/>
      </c>
      <c r="P317" s="161">
        <v>24</v>
      </c>
      <c r="Q317" s="168">
        <v>8</v>
      </c>
      <c r="R317" s="169">
        <f t="shared" si="34"/>
      </c>
      <c r="S317" s="165">
        <f t="shared" si="531"/>
      </c>
      <c r="T317" s="169">
        <f t="shared" si="159"/>
      </c>
      <c r="U317" s="169">
        <v>0.01</v>
      </c>
      <c r="V317" s="169">
        <f t="shared" si="296"/>
      </c>
      <c r="W317" s="169">
        <f t="shared" si="367"/>
      </c>
      <c r="X317" s="170">
        <v>0.1695</v>
      </c>
      <c r="Y317" s="171">
        <v>5</v>
      </c>
      <c r="Z317" s="171">
        <v>0</v>
      </c>
      <c r="AA317" s="171">
        <f t="shared" si="487"/>
      </c>
      <c r="AB317" s="166">
        <f t="shared" si="509"/>
      </c>
      <c r="AC317" s="166">
        <v>75</v>
      </c>
      <c r="AD317" s="172">
        <f t="shared" si="56"/>
      </c>
      <c r="AE317" s="168">
        <f>AH318/Q317</f>
      </c>
      <c r="AF317" s="169">
        <f t="shared" si="181"/>
      </c>
      <c r="AG317" s="169">
        <f t="shared" si="323"/>
      </c>
      <c r="AH317" s="168">
        <v>12</v>
      </c>
      <c r="AI317" s="169">
        <f t="shared" si="199"/>
      </c>
      <c r="AJ317" s="169"/>
      <c r="AK317" s="169"/>
      <c r="AL317" s="169"/>
      <c r="AM317" s="169"/>
      <c r="AN317" s="173"/>
      <c r="AO317" s="173"/>
      <c r="AP317" s="173"/>
      <c r="AQ317" s="173"/>
      <c r="AR317" s="173"/>
      <c r="AS317" s="173"/>
      <c r="AT317" s="173" t="s">
        <v>725</v>
      </c>
      <c r="AU317" s="173" t="s">
        <v>725</v>
      </c>
      <c r="AV317" s="173" t="s">
        <v>725</v>
      </c>
      <c r="AW317" s="173" t="s">
        <v>725</v>
      </c>
      <c r="AX317" s="173" t="s">
        <v>725</v>
      </c>
      <c r="AY317" s="173" t="s">
        <v>725</v>
      </c>
      <c r="AZ317" s="173" t="s">
        <v>725</v>
      </c>
      <c r="BA317" s="173" t="s">
        <v>725</v>
      </c>
      <c r="BB317" s="173" t="s">
        <v>725</v>
      </c>
      <c r="BC317" s="173" t="s">
        <v>725</v>
      </c>
      <c r="BD317" s="173" t="s">
        <v>725</v>
      </c>
      <c r="BE317" s="173" t="s">
        <v>725</v>
      </c>
      <c r="BF317" s="173" t="s">
        <v>725</v>
      </c>
      <c r="BG317" s="173" t="s">
        <v>725</v>
      </c>
      <c r="BH317" s="173" t="s">
        <v>725</v>
      </c>
      <c r="BI317" s="173" t="s">
        <v>725</v>
      </c>
      <c r="BJ317" s="173" t="s">
        <v>725</v>
      </c>
      <c r="BK317" s="173" t="s">
        <v>725</v>
      </c>
      <c r="BL317" s="173" t="s">
        <v>725</v>
      </c>
      <c r="BM317" s="173" t="s">
        <v>725</v>
      </c>
      <c r="BN317" s="173" t="s">
        <v>725</v>
      </c>
      <c r="BO317" s="173" t="s">
        <v>725</v>
      </c>
      <c r="BP317" s="173" t="s">
        <v>725</v>
      </c>
      <c r="BQ317" s="173" t="s">
        <v>725</v>
      </c>
      <c r="BR317" s="174"/>
      <c r="BS317" s="161" t="str">
        <v>#VALUE!</v>
      </c>
    </row>
    <row customHeight="true" ht="18.51851851851852" r="318">
      <c r="A318" s="161" t="s">
        <v>729</v>
      </c>
      <c r="B318" s="161" t="s">
        <v>730</v>
      </c>
      <c r="C318" s="183" t="s">
        <v>833</v>
      </c>
      <c r="D318" s="189" t="s">
        <v>835</v>
      </c>
      <c r="E318" s="186">
        <v>27.5</v>
      </c>
      <c r="F318" s="163">
        <v>39.99</v>
      </c>
      <c r="G318" s="164">
        <f t="shared" si="14"/>
      </c>
      <c r="H318" s="164">
        <f t="shared" si="78"/>
      </c>
      <c r="I318" s="175">
        <f t="shared" si="140"/>
      </c>
      <c r="J318" s="165">
        <f t="shared" si="221"/>
      </c>
      <c r="K318" s="166">
        <f t="shared" si="274"/>
      </c>
      <c r="L318" s="167">
        <f t="shared" si="345"/>
      </c>
      <c r="M318" s="164">
        <f t="shared" si="390"/>
      </c>
      <c r="N318" s="166">
        <f t="shared" ref="N318:N332" si="439">AD318+AH318</f>
      </c>
      <c r="O318" s="166">
        <f t="shared" si="465"/>
      </c>
      <c r="P318" s="161">
        <v>24</v>
      </c>
      <c r="Q318" s="168">
        <v>8</v>
      </c>
      <c r="R318" s="169">
        <f t="shared" si="34"/>
      </c>
      <c r="S318" s="165">
        <f t="shared" si="531"/>
      </c>
      <c r="T318" s="169">
        <f t="shared" si="159"/>
      </c>
      <c r="U318" s="169">
        <v>0.01</v>
      </c>
      <c r="V318" s="169">
        <f t="shared" si="296"/>
      </c>
      <c r="W318" s="169">
        <f t="shared" si="367"/>
      </c>
      <c r="X318" s="170">
        <v>0.1695</v>
      </c>
      <c r="Y318" s="171">
        <v>5</v>
      </c>
      <c r="Z318" s="171">
        <f>F318*0.1</f>
      </c>
      <c r="AA318" s="171">
        <f t="shared" si="487"/>
      </c>
      <c r="AB318" s="166">
        <f t="shared" si="509"/>
      </c>
      <c r="AC318" s="166">
        <v>75</v>
      </c>
      <c r="AD318" s="172">
        <f t="shared" si="56"/>
      </c>
      <c r="AE318" s="168">
        <f t="shared" ref="AE318:AE332" si="110">AH318/Q318</f>
      </c>
      <c r="AF318" s="169">
        <f t="shared" si="181"/>
      </c>
      <c r="AG318" s="169">
        <f t="shared" si="323"/>
      </c>
      <c r="AH318" s="168">
        <v>12</v>
      </c>
      <c r="AI318" s="169">
        <f t="shared" si="199"/>
      </c>
      <c r="AJ318" s="169"/>
      <c r="AK318" s="169"/>
      <c r="AL318" s="169"/>
      <c r="AM318" s="169"/>
      <c r="AN318" s="173"/>
      <c r="AO318" s="173"/>
      <c r="AP318" s="173"/>
      <c r="AQ318" s="173"/>
      <c r="AR318" s="173"/>
      <c r="AS318" s="173"/>
      <c r="AT318" s="173" t="s">
        <v>725</v>
      </c>
      <c r="AU318" s="173" t="s">
        <v>725</v>
      </c>
      <c r="AV318" s="173" t="s">
        <v>725</v>
      </c>
      <c r="AW318" s="173" t="s">
        <v>725</v>
      </c>
      <c r="AX318" s="173" t="s">
        <v>725</v>
      </c>
      <c r="AY318" s="173" t="s">
        <v>725</v>
      </c>
      <c r="AZ318" s="173" t="s">
        <v>725</v>
      </c>
      <c r="BA318" s="173" t="s">
        <v>725</v>
      </c>
      <c r="BB318" s="173" t="s">
        <v>725</v>
      </c>
      <c r="BC318" s="173" t="s">
        <v>725</v>
      </c>
      <c r="BD318" s="173" t="s">
        <v>725</v>
      </c>
      <c r="BE318" s="173" t="s">
        <v>725</v>
      </c>
      <c r="BF318" s="173" t="s">
        <v>725</v>
      </c>
      <c r="BG318" s="173" t="s">
        <v>725</v>
      </c>
      <c r="BH318" s="173" t="s">
        <v>725</v>
      </c>
      <c r="BI318" s="173" t="s">
        <v>725</v>
      </c>
      <c r="BJ318" s="173" t="s">
        <v>725</v>
      </c>
      <c r="BK318" s="173" t="s">
        <v>725</v>
      </c>
      <c r="BL318" s="173" t="s">
        <v>725</v>
      </c>
      <c r="BM318" s="173" t="s">
        <v>725</v>
      </c>
      <c r="BN318" s="173" t="s">
        <v>725</v>
      </c>
      <c r="BO318" s="173" t="s">
        <v>725</v>
      </c>
      <c r="BP318" s="173" t="s">
        <v>725</v>
      </c>
      <c r="BQ318" s="173" t="s">
        <v>725</v>
      </c>
      <c r="BR318" s="174"/>
      <c r="BS318" s="161" t="str">
        <v>#VALUE!</v>
      </c>
    </row>
    <row customHeight="true" ht="18.51851851851852" r="319">
      <c r="A319" s="161" t="s">
        <v>729</v>
      </c>
      <c r="B319" s="161" t="s">
        <v>730</v>
      </c>
      <c r="C319" s="183" t="s">
        <v>833</v>
      </c>
      <c r="D319" s="189" t="s">
        <v>836</v>
      </c>
      <c r="E319" s="186">
        <v>27.5</v>
      </c>
      <c r="F319" s="163">
        <v>39.99</v>
      </c>
      <c r="G319" s="164">
        <f t="shared" si="14"/>
      </c>
      <c r="H319" s="164">
        <f t="shared" si="78"/>
      </c>
      <c r="I319" s="164">
        <f t="shared" si="140"/>
      </c>
      <c r="J319" s="165">
        <f t="shared" si="221"/>
      </c>
      <c r="K319" s="166">
        <f t="shared" si="274"/>
      </c>
      <c r="L319" s="167">
        <f t="shared" si="345"/>
      </c>
      <c r="M319" s="164">
        <f t="shared" si="390"/>
      </c>
      <c r="N319" s="166">
        <f t="shared" si="439"/>
      </c>
      <c r="O319" s="166">
        <f t="shared" si="465"/>
      </c>
      <c r="P319" s="161">
        <v>24</v>
      </c>
      <c r="Q319" s="168">
        <v>8</v>
      </c>
      <c r="R319" s="169">
        <f t="shared" si="34"/>
      </c>
      <c r="S319" s="165">
        <f t="shared" si="531"/>
      </c>
      <c r="T319" s="169">
        <f t="shared" si="159"/>
      </c>
      <c r="U319" s="169">
        <v>0.01</v>
      </c>
      <c r="V319" s="169">
        <f t="shared" si="296"/>
      </c>
      <c r="W319" s="169">
        <f t="shared" si="367"/>
      </c>
      <c r="X319" s="170">
        <v>0.1695</v>
      </c>
      <c r="Y319" s="171">
        <v>5</v>
      </c>
      <c r="Z319" s="171">
        <f>F319*0.15</f>
      </c>
      <c r="AA319" s="171">
        <f t="shared" si="487"/>
      </c>
      <c r="AB319" s="166">
        <f t="shared" si="509"/>
      </c>
      <c r="AC319" s="166">
        <v>75</v>
      </c>
      <c r="AD319" s="172">
        <f t="shared" si="56"/>
      </c>
      <c r="AE319" s="168">
        <f t="shared" si="110"/>
      </c>
      <c r="AF319" s="169">
        <f t="shared" si="181"/>
      </c>
      <c r="AG319" s="169">
        <f t="shared" si="323"/>
      </c>
      <c r="AH319" s="168">
        <v>12</v>
      </c>
      <c r="AI319" s="169">
        <f t="shared" si="199"/>
      </c>
      <c r="AJ319" s="169"/>
      <c r="AK319" s="169"/>
      <c r="AL319" s="169"/>
      <c r="AM319" s="169"/>
      <c r="AN319" s="173"/>
      <c r="AO319" s="173"/>
      <c r="AP319" s="173"/>
      <c r="AQ319" s="173"/>
      <c r="AR319" s="173"/>
      <c r="AS319" s="173"/>
      <c r="AT319" s="173" t="s">
        <v>725</v>
      </c>
      <c r="AU319" s="173" t="s">
        <v>725</v>
      </c>
      <c r="AV319" s="173" t="s">
        <v>725</v>
      </c>
      <c r="AW319" s="173" t="s">
        <v>725</v>
      </c>
      <c r="AX319" s="173" t="s">
        <v>725</v>
      </c>
      <c r="AY319" s="173" t="s">
        <v>725</v>
      </c>
      <c r="AZ319" s="173" t="s">
        <v>725</v>
      </c>
      <c r="BA319" s="173" t="s">
        <v>725</v>
      </c>
      <c r="BB319" s="173" t="s">
        <v>725</v>
      </c>
      <c r="BC319" s="173" t="s">
        <v>725</v>
      </c>
      <c r="BD319" s="173" t="s">
        <v>725</v>
      </c>
      <c r="BE319" s="173" t="s">
        <v>725</v>
      </c>
      <c r="BF319" s="173" t="s">
        <v>725</v>
      </c>
      <c r="BG319" s="173" t="s">
        <v>725</v>
      </c>
      <c r="BH319" s="173" t="s">
        <v>725</v>
      </c>
      <c r="BI319" s="173" t="s">
        <v>725</v>
      </c>
      <c r="BJ319" s="173" t="s">
        <v>725</v>
      </c>
      <c r="BK319" s="173" t="s">
        <v>725</v>
      </c>
      <c r="BL319" s="173" t="s">
        <v>725</v>
      </c>
      <c r="BM319" s="173" t="s">
        <v>725</v>
      </c>
      <c r="BN319" s="173" t="s">
        <v>725</v>
      </c>
      <c r="BO319" s="173" t="s">
        <v>725</v>
      </c>
      <c r="BP319" s="173" t="s">
        <v>725</v>
      </c>
      <c r="BQ319" s="173" t="s">
        <v>725</v>
      </c>
      <c r="BR319" s="174"/>
      <c r="BS319" s="161" t="str">
        <v>#VALUE!</v>
      </c>
    </row>
    <row customHeight="true" ht="18.51851851851852" r="320">
      <c r="A320" s="161" t="s">
        <v>732</v>
      </c>
      <c r="B320" s="161" t="s">
        <v>730</v>
      </c>
      <c r="C320" s="183" t="s">
        <v>833</v>
      </c>
      <c r="D320" s="189" t="s">
        <v>834</v>
      </c>
      <c r="E320" s="186">
        <v>27.5</v>
      </c>
      <c r="F320" s="163">
        <v>39.99</v>
      </c>
      <c r="G320" s="164">
        <f t="shared" si="14"/>
      </c>
      <c r="H320" s="164">
        <f t="shared" si="78"/>
      </c>
      <c r="I320" s="164">
        <f t="shared" si="140"/>
      </c>
      <c r="J320" s="165">
        <f t="shared" si="221"/>
      </c>
      <c r="K320" s="166">
        <f t="shared" si="274"/>
      </c>
      <c r="L320" s="167">
        <f t="shared" si="345"/>
      </c>
      <c r="M320" s="164">
        <f t="shared" si="390"/>
      </c>
      <c r="N320" s="166">
        <f t="shared" si="439"/>
      </c>
      <c r="O320" s="166">
        <f t="shared" si="465"/>
      </c>
      <c r="P320" s="161">
        <v>24</v>
      </c>
      <c r="Q320" s="168">
        <v>8</v>
      </c>
      <c r="R320" s="169">
        <f t="shared" si="34"/>
      </c>
      <c r="S320" s="165">
        <f t="shared" si="531"/>
      </c>
      <c r="T320" s="169">
        <f t="shared" si="159"/>
      </c>
      <c r="U320" s="169">
        <v>0.01</v>
      </c>
      <c r="V320" s="169">
        <f t="shared" si="296"/>
      </c>
      <c r="W320" s="169">
        <f t="shared" si="367"/>
      </c>
      <c r="X320" s="170">
        <v>0.198</v>
      </c>
      <c r="Y320" s="171">
        <v>5</v>
      </c>
      <c r="Z320" s="171">
        <v>0</v>
      </c>
      <c r="AA320" s="171">
        <f t="shared" si="487"/>
      </c>
      <c r="AB320" s="166">
        <f t="shared" si="509"/>
      </c>
      <c r="AC320" s="166">
        <v>75</v>
      </c>
      <c r="AD320" s="172">
        <f t="shared" si="56"/>
      </c>
      <c r="AE320" s="168">
        <f t="shared" si="110"/>
      </c>
      <c r="AF320" s="169">
        <f t="shared" si="181"/>
      </c>
      <c r="AG320" s="169">
        <f t="shared" si="323"/>
      </c>
      <c r="AH320" s="168">
        <v>12</v>
      </c>
      <c r="AI320" s="169">
        <f t="shared" si="199"/>
      </c>
      <c r="AJ320" s="169"/>
      <c r="AK320" s="169"/>
      <c r="AL320" s="169"/>
      <c r="AM320" s="169"/>
      <c r="AN320" s="173"/>
      <c r="AO320" s="173"/>
      <c r="AP320" s="173"/>
      <c r="AQ320" s="173"/>
      <c r="AR320" s="173"/>
      <c r="AS320" s="173"/>
      <c r="AT320" s="173" t="s">
        <v>725</v>
      </c>
      <c r="AU320" s="173" t="s">
        <v>725</v>
      </c>
      <c r="AV320" s="173" t="s">
        <v>725</v>
      </c>
      <c r="AW320" s="173" t="s">
        <v>725</v>
      </c>
      <c r="AX320" s="173" t="s">
        <v>725</v>
      </c>
      <c r="AY320" s="173" t="s">
        <v>725</v>
      </c>
      <c r="AZ320" s="173" t="s">
        <v>725</v>
      </c>
      <c r="BA320" s="173" t="s">
        <v>725</v>
      </c>
      <c r="BB320" s="173" t="s">
        <v>725</v>
      </c>
      <c r="BC320" s="173" t="s">
        <v>725</v>
      </c>
      <c r="BD320" s="173" t="s">
        <v>725</v>
      </c>
      <c r="BE320" s="173" t="s">
        <v>725</v>
      </c>
      <c r="BF320" s="173" t="s">
        <v>725</v>
      </c>
      <c r="BG320" s="173" t="s">
        <v>725</v>
      </c>
      <c r="BH320" s="173" t="s">
        <v>725</v>
      </c>
      <c r="BI320" s="173" t="s">
        <v>725</v>
      </c>
      <c r="BJ320" s="173" t="s">
        <v>725</v>
      </c>
      <c r="BK320" s="173" t="s">
        <v>725</v>
      </c>
      <c r="BL320" s="173" t="s">
        <v>725</v>
      </c>
      <c r="BM320" s="173" t="s">
        <v>725</v>
      </c>
      <c r="BN320" s="173" t="s">
        <v>725</v>
      </c>
      <c r="BO320" s="173" t="s">
        <v>725</v>
      </c>
      <c r="BP320" s="173" t="s">
        <v>725</v>
      </c>
      <c r="BQ320" s="173" t="s">
        <v>725</v>
      </c>
      <c r="BR320" s="174"/>
      <c r="BS320" s="161" t="str">
        <v>#VALUE!</v>
      </c>
    </row>
    <row customHeight="true" ht="18.51851851851852" r="321">
      <c r="A321" s="161" t="s">
        <v>732</v>
      </c>
      <c r="B321" s="161" t="s">
        <v>730</v>
      </c>
      <c r="C321" s="183" t="s">
        <v>833</v>
      </c>
      <c r="D321" s="189" t="s">
        <v>835</v>
      </c>
      <c r="E321" s="186">
        <v>27.5</v>
      </c>
      <c r="F321" s="163">
        <v>39.99</v>
      </c>
      <c r="G321" s="164">
        <f t="shared" si="14"/>
      </c>
      <c r="H321" s="164">
        <f t="shared" si="78"/>
      </c>
      <c r="I321" s="175">
        <f t="shared" si="140"/>
      </c>
      <c r="J321" s="165">
        <f t="shared" si="221"/>
      </c>
      <c r="K321" s="166">
        <f t="shared" si="274"/>
      </c>
      <c r="L321" s="167">
        <f t="shared" si="345"/>
      </c>
      <c r="M321" s="164">
        <f t="shared" si="390"/>
      </c>
      <c r="N321" s="166">
        <f t="shared" si="439"/>
      </c>
      <c r="O321" s="166">
        <f t="shared" si="465"/>
      </c>
      <c r="P321" s="161">
        <v>24</v>
      </c>
      <c r="Q321" s="168">
        <v>8</v>
      </c>
      <c r="R321" s="169">
        <f t="shared" si="34"/>
      </c>
      <c r="S321" s="165">
        <f t="shared" si="531"/>
      </c>
      <c r="T321" s="169">
        <f t="shared" si="159"/>
      </c>
      <c r="U321" s="169">
        <v>0.01</v>
      </c>
      <c r="V321" s="169">
        <f t="shared" si="296"/>
      </c>
      <c r="W321" s="169">
        <f t="shared" si="367"/>
      </c>
      <c r="X321" s="170">
        <v>0.198</v>
      </c>
      <c r="Y321" s="171">
        <v>5</v>
      </c>
      <c r="Z321" s="171">
        <f>F321*0.1</f>
      </c>
      <c r="AA321" s="171">
        <f t="shared" si="487"/>
      </c>
      <c r="AB321" s="166">
        <f t="shared" si="509"/>
      </c>
      <c r="AC321" s="166">
        <v>75</v>
      </c>
      <c r="AD321" s="172">
        <f t="shared" si="56"/>
      </c>
      <c r="AE321" s="168">
        <f t="shared" si="110"/>
      </c>
      <c r="AF321" s="169">
        <f t="shared" si="181"/>
      </c>
      <c r="AG321" s="169">
        <f t="shared" si="323"/>
      </c>
      <c r="AH321" s="168">
        <v>12</v>
      </c>
      <c r="AI321" s="169">
        <f t="shared" si="199"/>
      </c>
      <c r="AJ321" s="169"/>
      <c r="AK321" s="169"/>
      <c r="AL321" s="169"/>
      <c r="AM321" s="169"/>
      <c r="AN321" s="173"/>
      <c r="AO321" s="173"/>
      <c r="AP321" s="173"/>
      <c r="AQ321" s="173"/>
      <c r="AR321" s="173"/>
      <c r="AS321" s="173"/>
      <c r="AT321" s="173" t="s">
        <v>725</v>
      </c>
      <c r="AU321" s="173" t="s">
        <v>725</v>
      </c>
      <c r="AV321" s="173" t="s">
        <v>725</v>
      </c>
      <c r="AW321" s="173" t="s">
        <v>725</v>
      </c>
      <c r="AX321" s="173" t="s">
        <v>725</v>
      </c>
      <c r="AY321" s="173" t="s">
        <v>725</v>
      </c>
      <c r="AZ321" s="173" t="s">
        <v>725</v>
      </c>
      <c r="BA321" s="173" t="s">
        <v>725</v>
      </c>
      <c r="BB321" s="173" t="s">
        <v>725</v>
      </c>
      <c r="BC321" s="173" t="s">
        <v>725</v>
      </c>
      <c r="BD321" s="173" t="s">
        <v>725</v>
      </c>
      <c r="BE321" s="173" t="s">
        <v>725</v>
      </c>
      <c r="BF321" s="173" t="s">
        <v>725</v>
      </c>
      <c r="BG321" s="173" t="s">
        <v>725</v>
      </c>
      <c r="BH321" s="173" t="s">
        <v>725</v>
      </c>
      <c r="BI321" s="173" t="s">
        <v>725</v>
      </c>
      <c r="BJ321" s="173" t="s">
        <v>725</v>
      </c>
      <c r="BK321" s="173" t="s">
        <v>725</v>
      </c>
      <c r="BL321" s="173" t="s">
        <v>725</v>
      </c>
      <c r="BM321" s="173" t="s">
        <v>725</v>
      </c>
      <c r="BN321" s="173" t="s">
        <v>725</v>
      </c>
      <c r="BO321" s="173" t="s">
        <v>725</v>
      </c>
      <c r="BP321" s="173" t="s">
        <v>725</v>
      </c>
      <c r="BQ321" s="173" t="s">
        <v>725</v>
      </c>
      <c r="BR321" s="174"/>
      <c r="BS321" s="161" t="str">
        <v>#VALUE!</v>
      </c>
    </row>
    <row customHeight="true" ht="18.51851851851852" r="322">
      <c r="A322" s="161" t="s">
        <v>732</v>
      </c>
      <c r="B322" s="161" t="s">
        <v>730</v>
      </c>
      <c r="C322" s="183" t="s">
        <v>833</v>
      </c>
      <c r="D322" s="189" t="s">
        <v>836</v>
      </c>
      <c r="E322" s="186">
        <v>27.5</v>
      </c>
      <c r="F322" s="163">
        <v>39.99</v>
      </c>
      <c r="G322" s="164">
        <f t="shared" si="14"/>
      </c>
      <c r="H322" s="164">
        <f t="shared" si="78"/>
      </c>
      <c r="I322" s="164">
        <f t="shared" si="140"/>
      </c>
      <c r="J322" s="165">
        <f t="shared" si="221"/>
      </c>
      <c r="K322" s="166">
        <f t="shared" si="274"/>
      </c>
      <c r="L322" s="167">
        <f t="shared" si="345"/>
      </c>
      <c r="M322" s="164">
        <f t="shared" si="390"/>
      </c>
      <c r="N322" s="166">
        <f t="shared" si="439"/>
      </c>
      <c r="O322" s="166">
        <f t="shared" si="465"/>
      </c>
      <c r="P322" s="161">
        <v>24</v>
      </c>
      <c r="Q322" s="168">
        <v>8</v>
      </c>
      <c r="R322" s="169">
        <f t="shared" si="34"/>
      </c>
      <c r="S322" s="165">
        <f t="shared" si="531"/>
      </c>
      <c r="T322" s="169">
        <f t="shared" si="159"/>
      </c>
      <c r="U322" s="169">
        <v>0.01</v>
      </c>
      <c r="V322" s="169">
        <f t="shared" si="296"/>
      </c>
      <c r="W322" s="169">
        <f t="shared" si="367"/>
      </c>
      <c r="X322" s="170">
        <v>0.198</v>
      </c>
      <c r="Y322" s="171">
        <v>5</v>
      </c>
      <c r="Z322" s="171">
        <f>F322*0.15</f>
      </c>
      <c r="AA322" s="171">
        <f t="shared" si="487"/>
      </c>
      <c r="AB322" s="166">
        <f t="shared" si="509"/>
      </c>
      <c r="AC322" s="166">
        <v>75</v>
      </c>
      <c r="AD322" s="172">
        <f t="shared" si="56"/>
      </c>
      <c r="AE322" s="168">
        <f t="shared" si="110"/>
      </c>
      <c r="AF322" s="169">
        <f t="shared" si="181"/>
      </c>
      <c r="AG322" s="169">
        <f t="shared" si="323"/>
      </c>
      <c r="AH322" s="168">
        <v>12</v>
      </c>
      <c r="AI322" s="169">
        <f t="shared" si="199"/>
      </c>
      <c r="AJ322" s="169"/>
      <c r="AK322" s="169"/>
      <c r="AL322" s="169"/>
      <c r="AM322" s="169"/>
      <c r="AN322" s="173"/>
      <c r="AO322" s="173"/>
      <c r="AP322" s="173"/>
      <c r="AQ322" s="173"/>
      <c r="AR322" s="173"/>
      <c r="AS322" s="173"/>
      <c r="AT322" s="173" t="s">
        <v>725</v>
      </c>
      <c r="AU322" s="173" t="s">
        <v>725</v>
      </c>
      <c r="AV322" s="173" t="s">
        <v>725</v>
      </c>
      <c r="AW322" s="173" t="s">
        <v>725</v>
      </c>
      <c r="AX322" s="173" t="s">
        <v>725</v>
      </c>
      <c r="AY322" s="173" t="s">
        <v>725</v>
      </c>
      <c r="AZ322" s="173" t="s">
        <v>725</v>
      </c>
      <c r="BA322" s="173" t="s">
        <v>725</v>
      </c>
      <c r="BB322" s="173" t="s">
        <v>725</v>
      </c>
      <c r="BC322" s="173" t="s">
        <v>725</v>
      </c>
      <c r="BD322" s="173" t="s">
        <v>725</v>
      </c>
      <c r="BE322" s="173" t="s">
        <v>725</v>
      </c>
      <c r="BF322" s="173" t="s">
        <v>725</v>
      </c>
      <c r="BG322" s="173" t="s">
        <v>725</v>
      </c>
      <c r="BH322" s="173" t="s">
        <v>725</v>
      </c>
      <c r="BI322" s="173" t="s">
        <v>725</v>
      </c>
      <c r="BJ322" s="173" t="s">
        <v>725</v>
      </c>
      <c r="BK322" s="173" t="s">
        <v>725</v>
      </c>
      <c r="BL322" s="173" t="s">
        <v>725</v>
      </c>
      <c r="BM322" s="173" t="s">
        <v>725</v>
      </c>
      <c r="BN322" s="173" t="s">
        <v>725</v>
      </c>
      <c r="BO322" s="173" t="s">
        <v>725</v>
      </c>
      <c r="BP322" s="173" t="s">
        <v>725</v>
      </c>
      <c r="BQ322" s="173" t="s">
        <v>725</v>
      </c>
      <c r="BR322" s="174"/>
      <c r="BS322" s="161" t="str">
        <v>#VALUE!</v>
      </c>
    </row>
    <row customHeight="true" ht="18.51851851851852" r="323">
      <c r="A323" s="161" t="s">
        <v>733</v>
      </c>
      <c r="B323" s="161" t="s">
        <v>730</v>
      </c>
      <c r="C323" s="183" t="s">
        <v>833</v>
      </c>
      <c r="D323" s="189" t="s">
        <v>834</v>
      </c>
      <c r="E323" s="186">
        <v>27.5</v>
      </c>
      <c r="F323" s="163">
        <v>39.99</v>
      </c>
      <c r="G323" s="164">
        <f t="shared" si="14"/>
      </c>
      <c r="H323" s="164">
        <f t="shared" si="78"/>
      </c>
      <c r="I323" s="164">
        <f t="shared" si="140"/>
      </c>
      <c r="J323" s="165">
        <f t="shared" si="221"/>
      </c>
      <c r="K323" s="166">
        <f t="shared" si="274"/>
      </c>
      <c r="L323" s="167">
        <f t="shared" si="345"/>
      </c>
      <c r="M323" s="164">
        <f t="shared" si="390"/>
      </c>
      <c r="N323" s="166">
        <f t="shared" si="439"/>
      </c>
      <c r="O323" s="166">
        <f t="shared" si="465"/>
      </c>
      <c r="P323" s="161">
        <v>24</v>
      </c>
      <c r="Q323" s="168">
        <v>8</v>
      </c>
      <c r="R323" s="169">
        <f t="shared" si="34"/>
      </c>
      <c r="S323" s="165">
        <f t="shared" si="531"/>
      </c>
      <c r="T323" s="169">
        <f t="shared" si="159"/>
      </c>
      <c r="U323" s="169">
        <v>0.01</v>
      </c>
      <c r="V323" s="169">
        <f t="shared" si="296"/>
      </c>
      <c r="W323" s="169">
        <f t="shared" si="367"/>
      </c>
      <c r="X323" s="170">
        <v>0.1846</v>
      </c>
      <c r="Y323" s="171">
        <v>5</v>
      </c>
      <c r="Z323" s="171">
        <v>0</v>
      </c>
      <c r="AA323" s="171">
        <f t="shared" si="487"/>
      </c>
      <c r="AB323" s="166">
        <f t="shared" si="509"/>
      </c>
      <c r="AC323" s="166">
        <v>75</v>
      </c>
      <c r="AD323" s="172">
        <f t="shared" si="56"/>
      </c>
      <c r="AE323" s="168">
        <f t="shared" si="110"/>
      </c>
      <c r="AF323" s="169">
        <f t="shared" si="181"/>
      </c>
      <c r="AG323" s="169">
        <f t="shared" si="323"/>
      </c>
      <c r="AH323" s="168">
        <v>12</v>
      </c>
      <c r="AI323" s="165">
        <f t="shared" si="199"/>
      </c>
      <c r="AJ323" s="165"/>
      <c r="AK323" s="165"/>
      <c r="AL323" s="165"/>
      <c r="AM323" s="165"/>
      <c r="AN323" s="173"/>
      <c r="AO323" s="173"/>
      <c r="AP323" s="173"/>
      <c r="AQ323" s="173"/>
      <c r="AR323" s="173"/>
      <c r="AS323" s="173"/>
      <c r="AT323" s="173" t="s">
        <v>725</v>
      </c>
      <c r="AU323" s="173" t="s">
        <v>725</v>
      </c>
      <c r="AV323" s="173" t="s">
        <v>725</v>
      </c>
      <c r="AW323" s="173" t="s">
        <v>725</v>
      </c>
      <c r="AX323" s="173" t="s">
        <v>725</v>
      </c>
      <c r="AY323" s="173" t="s">
        <v>725</v>
      </c>
      <c r="AZ323" s="173" t="s">
        <v>725</v>
      </c>
      <c r="BA323" s="173" t="s">
        <v>725</v>
      </c>
      <c r="BB323" s="173" t="s">
        <v>725</v>
      </c>
      <c r="BC323" s="173" t="s">
        <v>725</v>
      </c>
      <c r="BD323" s="173" t="s">
        <v>725</v>
      </c>
      <c r="BE323" s="173" t="s">
        <v>725</v>
      </c>
      <c r="BF323" s="173" t="s">
        <v>725</v>
      </c>
      <c r="BG323" s="173" t="s">
        <v>725</v>
      </c>
      <c r="BH323" s="173" t="s">
        <v>725</v>
      </c>
      <c r="BI323" s="173" t="s">
        <v>725</v>
      </c>
      <c r="BJ323" s="173" t="s">
        <v>725</v>
      </c>
      <c r="BK323" s="173" t="s">
        <v>725</v>
      </c>
      <c r="BL323" s="173" t="s">
        <v>725</v>
      </c>
      <c r="BM323" s="173" t="s">
        <v>725</v>
      </c>
      <c r="BN323" s="173" t="s">
        <v>725</v>
      </c>
      <c r="BO323" s="173" t="s">
        <v>725</v>
      </c>
      <c r="BP323" s="173" t="s">
        <v>725</v>
      </c>
      <c r="BQ323" s="173" t="s">
        <v>725</v>
      </c>
      <c r="BR323" s="174"/>
      <c r="BS323" s="161" t="str">
        <v>#VALUE!</v>
      </c>
    </row>
    <row customHeight="true" ht="18.51851851851852" r="324">
      <c r="A324" s="161" t="s">
        <v>733</v>
      </c>
      <c r="B324" s="161" t="s">
        <v>730</v>
      </c>
      <c r="C324" s="183" t="s">
        <v>833</v>
      </c>
      <c r="D324" s="189" t="s">
        <v>835</v>
      </c>
      <c r="E324" s="186">
        <v>27.5</v>
      </c>
      <c r="F324" s="163">
        <v>39.99</v>
      </c>
      <c r="G324" s="164">
        <f t="shared" si="14"/>
      </c>
      <c r="H324" s="164">
        <f t="shared" si="78"/>
      </c>
      <c r="I324" s="175">
        <f t="shared" si="140"/>
      </c>
      <c r="J324" s="165">
        <f t="shared" si="221"/>
      </c>
      <c r="K324" s="166">
        <f t="shared" si="274"/>
      </c>
      <c r="L324" s="167">
        <f t="shared" si="345"/>
      </c>
      <c r="M324" s="164">
        <f t="shared" si="390"/>
      </c>
      <c r="N324" s="166">
        <f t="shared" si="439"/>
      </c>
      <c r="O324" s="166">
        <f t="shared" si="465"/>
      </c>
      <c r="P324" s="161">
        <v>24</v>
      </c>
      <c r="Q324" s="168">
        <v>8</v>
      </c>
      <c r="R324" s="169">
        <f t="shared" si="34"/>
      </c>
      <c r="S324" s="165">
        <f t="shared" si="531"/>
      </c>
      <c r="T324" s="169">
        <f t="shared" si="159"/>
      </c>
      <c r="U324" s="169">
        <v>0.01</v>
      </c>
      <c r="V324" s="169">
        <f t="shared" si="296"/>
      </c>
      <c r="W324" s="169">
        <f t="shared" si="367"/>
      </c>
      <c r="X324" s="170">
        <v>0.1846</v>
      </c>
      <c r="Y324" s="171">
        <v>5</v>
      </c>
      <c r="Z324" s="171">
        <f>F324*0.1</f>
      </c>
      <c r="AA324" s="171">
        <f t="shared" si="487"/>
      </c>
      <c r="AB324" s="166">
        <f t="shared" si="509"/>
      </c>
      <c r="AC324" s="166">
        <v>75</v>
      </c>
      <c r="AD324" s="172">
        <f t="shared" si="56"/>
      </c>
      <c r="AE324" s="168">
        <f t="shared" si="110"/>
      </c>
      <c r="AF324" s="169">
        <f t="shared" si="181"/>
      </c>
      <c r="AG324" s="169">
        <f t="shared" si="323"/>
      </c>
      <c r="AH324" s="168">
        <v>12</v>
      </c>
      <c r="AI324" s="165">
        <f t="shared" si="199"/>
      </c>
      <c r="AJ324" s="165"/>
      <c r="AK324" s="165"/>
      <c r="AL324" s="165"/>
      <c r="AM324" s="165"/>
      <c r="AN324" s="173"/>
      <c r="AO324" s="173"/>
      <c r="AP324" s="173"/>
      <c r="AQ324" s="173"/>
      <c r="AR324" s="173"/>
      <c r="AS324" s="173"/>
      <c r="AT324" s="173" t="s">
        <v>725</v>
      </c>
      <c r="AU324" s="173" t="s">
        <v>725</v>
      </c>
      <c r="AV324" s="173" t="s">
        <v>725</v>
      </c>
      <c r="AW324" s="173" t="s">
        <v>725</v>
      </c>
      <c r="AX324" s="173" t="s">
        <v>725</v>
      </c>
      <c r="AY324" s="173" t="s">
        <v>725</v>
      </c>
      <c r="AZ324" s="173" t="s">
        <v>725</v>
      </c>
      <c r="BA324" s="173" t="s">
        <v>725</v>
      </c>
      <c r="BB324" s="173" t="s">
        <v>725</v>
      </c>
      <c r="BC324" s="173" t="s">
        <v>725</v>
      </c>
      <c r="BD324" s="173" t="s">
        <v>725</v>
      </c>
      <c r="BE324" s="173" t="s">
        <v>725</v>
      </c>
      <c r="BF324" s="173" t="s">
        <v>725</v>
      </c>
      <c r="BG324" s="173" t="s">
        <v>725</v>
      </c>
      <c r="BH324" s="173" t="s">
        <v>725</v>
      </c>
      <c r="BI324" s="173" t="s">
        <v>725</v>
      </c>
      <c r="BJ324" s="173" t="s">
        <v>725</v>
      </c>
      <c r="BK324" s="173" t="s">
        <v>725</v>
      </c>
      <c r="BL324" s="173" t="s">
        <v>725</v>
      </c>
      <c r="BM324" s="173" t="s">
        <v>725</v>
      </c>
      <c r="BN324" s="173" t="s">
        <v>725</v>
      </c>
      <c r="BO324" s="173" t="s">
        <v>725</v>
      </c>
      <c r="BP324" s="173" t="s">
        <v>725</v>
      </c>
      <c r="BQ324" s="173" t="s">
        <v>725</v>
      </c>
      <c r="BR324" s="174"/>
      <c r="BS324" s="161" t="str">
        <v>#VALUE!</v>
      </c>
    </row>
    <row customHeight="true" ht="18.51851851851852" r="325">
      <c r="A325" s="161" t="s">
        <v>733</v>
      </c>
      <c r="B325" s="161" t="s">
        <v>730</v>
      </c>
      <c r="C325" s="183" t="s">
        <v>833</v>
      </c>
      <c r="D325" s="189" t="s">
        <v>836</v>
      </c>
      <c r="E325" s="186">
        <v>27.5</v>
      </c>
      <c r="F325" s="163">
        <v>39.99</v>
      </c>
      <c r="G325" s="164">
        <f t="shared" si="14"/>
      </c>
      <c r="H325" s="164">
        <f t="shared" si="78"/>
      </c>
      <c r="I325" s="164">
        <f t="shared" si="140"/>
      </c>
      <c r="J325" s="165">
        <f t="shared" si="221"/>
      </c>
      <c r="K325" s="166">
        <f t="shared" si="274"/>
      </c>
      <c r="L325" s="167">
        <f t="shared" si="345"/>
      </c>
      <c r="M325" s="164">
        <f t="shared" si="390"/>
      </c>
      <c r="N325" s="166">
        <f t="shared" si="439"/>
      </c>
      <c r="O325" s="166">
        <f t="shared" si="465"/>
      </c>
      <c r="P325" s="161">
        <v>24</v>
      </c>
      <c r="Q325" s="168">
        <v>8</v>
      </c>
      <c r="R325" s="169">
        <f t="shared" si="34"/>
      </c>
      <c r="S325" s="165">
        <f t="shared" si="531"/>
      </c>
      <c r="T325" s="169">
        <f t="shared" si="159"/>
      </c>
      <c r="U325" s="169">
        <v>0.01</v>
      </c>
      <c r="V325" s="169">
        <f t="shared" si="296"/>
      </c>
      <c r="W325" s="169">
        <f t="shared" si="367"/>
      </c>
      <c r="X325" s="170">
        <v>0.1846</v>
      </c>
      <c r="Y325" s="171">
        <v>5</v>
      </c>
      <c r="Z325" s="171">
        <f>F325*0.15</f>
      </c>
      <c r="AA325" s="171">
        <f t="shared" si="487"/>
      </c>
      <c r="AB325" s="166">
        <f t="shared" si="509"/>
      </c>
      <c r="AC325" s="166">
        <v>75</v>
      </c>
      <c r="AD325" s="172">
        <f t="shared" si="56"/>
      </c>
      <c r="AE325" s="168">
        <f t="shared" si="110"/>
      </c>
      <c r="AF325" s="169">
        <f t="shared" si="181"/>
      </c>
      <c r="AG325" s="169">
        <f t="shared" si="323"/>
      </c>
      <c r="AH325" s="168">
        <v>12</v>
      </c>
      <c r="AI325" s="165">
        <f t="shared" si="199"/>
      </c>
      <c r="AJ325" s="165"/>
      <c r="AK325" s="165"/>
      <c r="AL325" s="165"/>
      <c r="AM325" s="165"/>
      <c r="AN325" s="173"/>
      <c r="AO325" s="173"/>
      <c r="AP325" s="173"/>
      <c r="AQ325" s="173"/>
      <c r="AR325" s="173"/>
      <c r="AS325" s="173"/>
      <c r="AT325" s="173" t="s">
        <v>725</v>
      </c>
      <c r="AU325" s="173" t="s">
        <v>725</v>
      </c>
      <c r="AV325" s="173" t="s">
        <v>725</v>
      </c>
      <c r="AW325" s="173" t="s">
        <v>725</v>
      </c>
      <c r="AX325" s="173" t="s">
        <v>725</v>
      </c>
      <c r="AY325" s="173" t="s">
        <v>725</v>
      </c>
      <c r="AZ325" s="173" t="s">
        <v>725</v>
      </c>
      <c r="BA325" s="173" t="s">
        <v>725</v>
      </c>
      <c r="BB325" s="173" t="s">
        <v>725</v>
      </c>
      <c r="BC325" s="173" t="s">
        <v>725</v>
      </c>
      <c r="BD325" s="173" t="s">
        <v>725</v>
      </c>
      <c r="BE325" s="173" t="s">
        <v>725</v>
      </c>
      <c r="BF325" s="173" t="s">
        <v>725</v>
      </c>
      <c r="BG325" s="173" t="s">
        <v>725</v>
      </c>
      <c r="BH325" s="173" t="s">
        <v>725</v>
      </c>
      <c r="BI325" s="173" t="s">
        <v>725</v>
      </c>
      <c r="BJ325" s="173" t="s">
        <v>725</v>
      </c>
      <c r="BK325" s="173" t="s">
        <v>725</v>
      </c>
      <c r="BL325" s="173" t="s">
        <v>725</v>
      </c>
      <c r="BM325" s="173" t="s">
        <v>725</v>
      </c>
      <c r="BN325" s="173" t="s">
        <v>725</v>
      </c>
      <c r="BO325" s="173" t="s">
        <v>725</v>
      </c>
      <c r="BP325" s="173" t="s">
        <v>725</v>
      </c>
      <c r="BQ325" s="173" t="s">
        <v>725</v>
      </c>
      <c r="BR325" s="174"/>
      <c r="BS325" s="161" t="str">
        <v>#VALUE!</v>
      </c>
    </row>
    <row customHeight="true" ht="18.51851851851852" r="326">
      <c r="A326" s="161" t="s">
        <v>734</v>
      </c>
      <c r="B326" s="161" t="s">
        <v>730</v>
      </c>
      <c r="C326" s="183" t="s">
        <v>833</v>
      </c>
      <c r="D326" s="189" t="s">
        <v>834</v>
      </c>
      <c r="E326" s="186">
        <v>27.5</v>
      </c>
      <c r="F326" s="163">
        <v>39.99</v>
      </c>
      <c r="G326" s="164">
        <f t="shared" si="14"/>
      </c>
      <c r="H326" s="164">
        <f t="shared" si="78"/>
      </c>
      <c r="I326" s="164">
        <f t="shared" si="140"/>
      </c>
      <c r="J326" s="165">
        <f t="shared" si="221"/>
      </c>
      <c r="K326" s="166">
        <f t="shared" si="274"/>
      </c>
      <c r="L326" s="167">
        <f t="shared" si="345"/>
      </c>
      <c r="M326" s="164">
        <f t="shared" si="390"/>
      </c>
      <c r="N326" s="166">
        <f t="shared" si="439"/>
      </c>
      <c r="O326" s="166">
        <f t="shared" si="465"/>
      </c>
      <c r="P326" s="161">
        <v>24</v>
      </c>
      <c r="Q326" s="168">
        <v>8</v>
      </c>
      <c r="R326" s="169">
        <f t="shared" si="34"/>
      </c>
      <c r="S326" s="165">
        <f t="shared" si="531"/>
      </c>
      <c r="T326" s="169">
        <f t="shared" si="159"/>
      </c>
      <c r="U326" s="169">
        <v>0.01</v>
      </c>
      <c r="V326" s="169">
        <f t="shared" si="296"/>
      </c>
      <c r="W326" s="169">
        <f t="shared" si="367"/>
      </c>
      <c r="X326" s="170">
        <v>0.1646</v>
      </c>
      <c r="Y326" s="171">
        <v>5</v>
      </c>
      <c r="Z326" s="171">
        <v>0</v>
      </c>
      <c r="AA326" s="171">
        <f t="shared" si="487"/>
      </c>
      <c r="AB326" s="166">
        <f t="shared" si="509"/>
      </c>
      <c r="AC326" s="166">
        <v>75</v>
      </c>
      <c r="AD326" s="172">
        <f t="shared" si="56"/>
      </c>
      <c r="AE326" s="168">
        <f t="shared" si="110"/>
      </c>
      <c r="AF326" s="169">
        <f t="shared" si="181"/>
      </c>
      <c r="AG326" s="169">
        <f t="shared" si="323"/>
      </c>
      <c r="AH326" s="168">
        <v>12</v>
      </c>
      <c r="AI326" s="169">
        <f t="shared" si="199"/>
      </c>
      <c r="AJ326" s="169"/>
      <c r="AK326" s="169"/>
      <c r="AL326" s="169"/>
      <c r="AM326" s="169"/>
      <c r="AN326" s="173"/>
      <c r="AO326" s="173"/>
      <c r="AP326" s="173"/>
      <c r="AQ326" s="173"/>
      <c r="AR326" s="173"/>
      <c r="AS326" s="173"/>
      <c r="AT326" s="173" t="s">
        <v>725</v>
      </c>
      <c r="AU326" s="173" t="s">
        <v>725</v>
      </c>
      <c r="AV326" s="173" t="s">
        <v>725</v>
      </c>
      <c r="AW326" s="173" t="s">
        <v>725</v>
      </c>
      <c r="AX326" s="173" t="s">
        <v>725</v>
      </c>
      <c r="AY326" s="173" t="s">
        <v>725</v>
      </c>
      <c r="AZ326" s="173" t="s">
        <v>725</v>
      </c>
      <c r="BA326" s="173" t="s">
        <v>725</v>
      </c>
      <c r="BB326" s="173" t="s">
        <v>725</v>
      </c>
      <c r="BC326" s="173" t="s">
        <v>725</v>
      </c>
      <c r="BD326" s="173" t="s">
        <v>725</v>
      </c>
      <c r="BE326" s="173" t="s">
        <v>725</v>
      </c>
      <c r="BF326" s="173" t="s">
        <v>725</v>
      </c>
      <c r="BG326" s="173" t="s">
        <v>725</v>
      </c>
      <c r="BH326" s="173" t="s">
        <v>725</v>
      </c>
      <c r="BI326" s="173" t="s">
        <v>725</v>
      </c>
      <c r="BJ326" s="173" t="s">
        <v>725</v>
      </c>
      <c r="BK326" s="173" t="s">
        <v>725</v>
      </c>
      <c r="BL326" s="173" t="s">
        <v>725</v>
      </c>
      <c r="BM326" s="173" t="s">
        <v>725</v>
      </c>
      <c r="BN326" s="173" t="s">
        <v>725</v>
      </c>
      <c r="BO326" s="173" t="s">
        <v>725</v>
      </c>
      <c r="BP326" s="173" t="s">
        <v>725</v>
      </c>
      <c r="BQ326" s="173" t="s">
        <v>725</v>
      </c>
      <c r="BR326" s="174"/>
      <c r="BS326" s="161" t="str">
        <v>#VALUE!</v>
      </c>
    </row>
    <row customHeight="true" ht="18.51851851851852" r="327">
      <c r="A327" s="161" t="s">
        <v>734</v>
      </c>
      <c r="B327" s="161" t="s">
        <v>730</v>
      </c>
      <c r="C327" s="183" t="s">
        <v>833</v>
      </c>
      <c r="D327" s="189" t="s">
        <v>835</v>
      </c>
      <c r="E327" s="186">
        <v>27.5</v>
      </c>
      <c r="F327" s="163">
        <v>39.99</v>
      </c>
      <c r="G327" s="164">
        <f t="shared" si="14"/>
      </c>
      <c r="H327" s="164">
        <f t="shared" si="78"/>
      </c>
      <c r="I327" s="175">
        <f t="shared" si="140"/>
      </c>
      <c r="J327" s="165">
        <f t="shared" si="221"/>
      </c>
      <c r="K327" s="166">
        <f t="shared" si="274"/>
      </c>
      <c r="L327" s="167">
        <f t="shared" si="345"/>
      </c>
      <c r="M327" s="164">
        <f t="shared" si="390"/>
      </c>
      <c r="N327" s="166">
        <f t="shared" si="439"/>
      </c>
      <c r="O327" s="166">
        <f t="shared" si="465"/>
      </c>
      <c r="P327" s="161">
        <v>24</v>
      </c>
      <c r="Q327" s="168">
        <v>8</v>
      </c>
      <c r="R327" s="169">
        <f t="shared" si="34"/>
      </c>
      <c r="S327" s="165">
        <f t="shared" si="531"/>
      </c>
      <c r="T327" s="169">
        <f t="shared" si="159"/>
      </c>
      <c r="U327" s="169">
        <v>0.01</v>
      </c>
      <c r="V327" s="169">
        <f t="shared" si="296"/>
      </c>
      <c r="W327" s="169">
        <f t="shared" si="367"/>
      </c>
      <c r="X327" s="170">
        <v>0.1646</v>
      </c>
      <c r="Y327" s="171">
        <v>5</v>
      </c>
      <c r="Z327" s="171">
        <f>F327*0.1</f>
      </c>
      <c r="AA327" s="171">
        <f t="shared" si="487"/>
      </c>
      <c r="AB327" s="166">
        <f t="shared" si="509"/>
      </c>
      <c r="AC327" s="166">
        <v>75</v>
      </c>
      <c r="AD327" s="172">
        <f t="shared" si="56"/>
      </c>
      <c r="AE327" s="168">
        <f t="shared" si="110"/>
      </c>
      <c r="AF327" s="169">
        <f t="shared" si="181"/>
      </c>
      <c r="AG327" s="169">
        <f t="shared" si="323"/>
      </c>
      <c r="AH327" s="168">
        <v>12</v>
      </c>
      <c r="AI327" s="169">
        <f t="shared" si="199"/>
      </c>
      <c r="AJ327" s="169"/>
      <c r="AK327" s="169"/>
      <c r="AL327" s="169"/>
      <c r="AM327" s="169"/>
      <c r="AN327" s="173"/>
      <c r="AO327" s="173"/>
      <c r="AP327" s="173"/>
      <c r="AQ327" s="173"/>
      <c r="AR327" s="173"/>
      <c r="AS327" s="173"/>
      <c r="AT327" s="173" t="s">
        <v>725</v>
      </c>
      <c r="AU327" s="173" t="s">
        <v>725</v>
      </c>
      <c r="AV327" s="173" t="s">
        <v>725</v>
      </c>
      <c r="AW327" s="173" t="s">
        <v>725</v>
      </c>
      <c r="AX327" s="173" t="s">
        <v>725</v>
      </c>
      <c r="AY327" s="173" t="s">
        <v>725</v>
      </c>
      <c r="AZ327" s="173" t="s">
        <v>725</v>
      </c>
      <c r="BA327" s="173" t="s">
        <v>725</v>
      </c>
      <c r="BB327" s="173" t="s">
        <v>725</v>
      </c>
      <c r="BC327" s="173" t="s">
        <v>725</v>
      </c>
      <c r="BD327" s="173" t="s">
        <v>725</v>
      </c>
      <c r="BE327" s="173" t="s">
        <v>725</v>
      </c>
      <c r="BF327" s="173" t="s">
        <v>725</v>
      </c>
      <c r="BG327" s="173" t="s">
        <v>725</v>
      </c>
      <c r="BH327" s="173" t="s">
        <v>725</v>
      </c>
      <c r="BI327" s="173" t="s">
        <v>725</v>
      </c>
      <c r="BJ327" s="173" t="s">
        <v>725</v>
      </c>
      <c r="BK327" s="173" t="s">
        <v>725</v>
      </c>
      <c r="BL327" s="173" t="s">
        <v>725</v>
      </c>
      <c r="BM327" s="173" t="s">
        <v>725</v>
      </c>
      <c r="BN327" s="173" t="s">
        <v>725</v>
      </c>
      <c r="BO327" s="173" t="s">
        <v>725</v>
      </c>
      <c r="BP327" s="173" t="s">
        <v>725</v>
      </c>
      <c r="BQ327" s="173" t="s">
        <v>725</v>
      </c>
      <c r="BR327" s="174"/>
      <c r="BS327" s="161" t="str">
        <v>#VALUE!</v>
      </c>
    </row>
    <row customHeight="true" ht="18.51851851851852" r="328">
      <c r="A328" s="161" t="s">
        <v>734</v>
      </c>
      <c r="B328" s="161" t="s">
        <v>730</v>
      </c>
      <c r="C328" s="183" t="s">
        <v>833</v>
      </c>
      <c r="D328" s="189" t="s">
        <v>836</v>
      </c>
      <c r="E328" s="186">
        <v>27.5</v>
      </c>
      <c r="F328" s="163">
        <v>39.99</v>
      </c>
      <c r="G328" s="164">
        <f t="shared" si="14"/>
      </c>
      <c r="H328" s="164">
        <f t="shared" si="78"/>
      </c>
      <c r="I328" s="164">
        <f t="shared" si="140"/>
      </c>
      <c r="J328" s="165">
        <f t="shared" si="221"/>
      </c>
      <c r="K328" s="166">
        <f t="shared" si="274"/>
      </c>
      <c r="L328" s="167">
        <f t="shared" si="345"/>
      </c>
      <c r="M328" s="164">
        <f t="shared" si="390"/>
      </c>
      <c r="N328" s="166">
        <f t="shared" si="439"/>
      </c>
      <c r="O328" s="166">
        <f t="shared" si="465"/>
      </c>
      <c r="P328" s="161">
        <v>24</v>
      </c>
      <c r="Q328" s="168">
        <v>8</v>
      </c>
      <c r="R328" s="169">
        <f t="shared" si="34"/>
      </c>
      <c r="S328" s="165">
        <f t="shared" si="531"/>
      </c>
      <c r="T328" s="169">
        <f t="shared" si="159"/>
      </c>
      <c r="U328" s="169">
        <v>0.01</v>
      </c>
      <c r="V328" s="169">
        <f t="shared" si="296"/>
      </c>
      <c r="W328" s="169">
        <f t="shared" si="367"/>
      </c>
      <c r="X328" s="170">
        <v>0.1646</v>
      </c>
      <c r="Y328" s="171">
        <v>5</v>
      </c>
      <c r="Z328" s="171">
        <f>F328*0.15</f>
      </c>
      <c r="AA328" s="171">
        <f t="shared" si="487"/>
      </c>
      <c r="AB328" s="166">
        <f t="shared" si="509"/>
      </c>
      <c r="AC328" s="166">
        <v>75</v>
      </c>
      <c r="AD328" s="172">
        <f t="shared" si="56"/>
      </c>
      <c r="AE328" s="168">
        <f t="shared" si="110"/>
      </c>
      <c r="AF328" s="169">
        <f t="shared" si="181"/>
      </c>
      <c r="AG328" s="169">
        <f t="shared" si="323"/>
      </c>
      <c r="AH328" s="168">
        <v>12</v>
      </c>
      <c r="AI328" s="169">
        <f t="shared" si="199"/>
      </c>
      <c r="AJ328" s="169"/>
      <c r="AK328" s="169"/>
      <c r="AL328" s="169"/>
      <c r="AM328" s="169"/>
      <c r="AN328" s="173"/>
      <c r="AO328" s="173"/>
      <c r="AP328" s="173"/>
      <c r="AQ328" s="173"/>
      <c r="AR328" s="173"/>
      <c r="AS328" s="173"/>
      <c r="AT328" s="173" t="s">
        <v>725</v>
      </c>
      <c r="AU328" s="173" t="s">
        <v>725</v>
      </c>
      <c r="AV328" s="173" t="s">
        <v>725</v>
      </c>
      <c r="AW328" s="173" t="s">
        <v>725</v>
      </c>
      <c r="AX328" s="173" t="s">
        <v>725</v>
      </c>
      <c r="AY328" s="173" t="s">
        <v>725</v>
      </c>
      <c r="AZ328" s="173" t="s">
        <v>725</v>
      </c>
      <c r="BA328" s="173" t="s">
        <v>725</v>
      </c>
      <c r="BB328" s="173" t="s">
        <v>725</v>
      </c>
      <c r="BC328" s="173" t="s">
        <v>725</v>
      </c>
      <c r="BD328" s="173" t="s">
        <v>725</v>
      </c>
      <c r="BE328" s="173" t="s">
        <v>725</v>
      </c>
      <c r="BF328" s="173" t="s">
        <v>725</v>
      </c>
      <c r="BG328" s="173" t="s">
        <v>725</v>
      </c>
      <c r="BH328" s="173" t="s">
        <v>725</v>
      </c>
      <c r="BI328" s="173" t="s">
        <v>725</v>
      </c>
      <c r="BJ328" s="173" t="s">
        <v>725</v>
      </c>
      <c r="BK328" s="173" t="s">
        <v>725</v>
      </c>
      <c r="BL328" s="173" t="s">
        <v>725</v>
      </c>
      <c r="BM328" s="173" t="s">
        <v>725</v>
      </c>
      <c r="BN328" s="173" t="s">
        <v>725</v>
      </c>
      <c r="BO328" s="173" t="s">
        <v>725</v>
      </c>
      <c r="BP328" s="173" t="s">
        <v>725</v>
      </c>
      <c r="BQ328" s="173" t="s">
        <v>725</v>
      </c>
      <c r="BR328" s="174"/>
      <c r="BS328" s="161" t="str">
        <v>#VALUE!</v>
      </c>
    </row>
    <row customHeight="true" ht="18.51851851851852" r="329">
      <c r="A329" s="161" t="s">
        <v>735</v>
      </c>
      <c r="B329" s="161" t="s">
        <v>730</v>
      </c>
      <c r="C329" s="183" t="s">
        <v>833</v>
      </c>
      <c r="D329" s="178" t="s">
        <v>837</v>
      </c>
      <c r="E329" s="186">
        <v>27.5</v>
      </c>
      <c r="F329" s="163">
        <v>39.99</v>
      </c>
      <c r="G329" s="164">
        <f t="shared" si="14"/>
      </c>
      <c r="H329" s="164">
        <f t="shared" si="78"/>
      </c>
      <c r="I329" s="164">
        <f t="shared" si="140"/>
      </c>
      <c r="J329" s="165">
        <f t="shared" si="221"/>
      </c>
      <c r="K329" s="166">
        <f t="shared" si="274"/>
      </c>
      <c r="L329" s="167">
        <f t="shared" si="345"/>
      </c>
      <c r="M329" s="164">
        <f t="shared" si="390"/>
      </c>
      <c r="N329" s="166">
        <f t="shared" si="439"/>
      </c>
      <c r="O329" s="166">
        <f t="shared" si="465"/>
      </c>
      <c r="P329" s="161">
        <v>24</v>
      </c>
      <c r="Q329" s="168">
        <v>8</v>
      </c>
      <c r="R329" s="169">
        <f t="shared" si="34"/>
      </c>
      <c r="S329" s="165">
        <f t="shared" si="531"/>
      </c>
      <c r="T329" s="169">
        <f t="shared" si="159"/>
      </c>
      <c r="U329" s="169">
        <v>0.01</v>
      </c>
      <c r="V329" s="169">
        <f t="shared" si="296"/>
      </c>
      <c r="W329" s="169">
        <f t="shared" si="367"/>
      </c>
      <c r="X329" s="170">
        <v>0.158</v>
      </c>
      <c r="Y329" s="171">
        <v>5</v>
      </c>
      <c r="Z329" s="171">
        <f t="shared" ref="Z329:Z332" si="409">F329*0</f>
      </c>
      <c r="AA329" s="171">
        <f t="shared" si="487"/>
      </c>
      <c r="AB329" s="166">
        <f t="shared" si="509"/>
      </c>
      <c r="AC329" s="166">
        <v>75</v>
      </c>
      <c r="AD329" s="172">
        <f t="shared" si="56"/>
      </c>
      <c r="AE329" s="168">
        <f t="shared" si="110"/>
      </c>
      <c r="AF329" s="169">
        <f t="shared" si="181"/>
      </c>
      <c r="AG329" s="169">
        <f t="shared" si="323"/>
      </c>
      <c r="AH329" s="168">
        <v>12</v>
      </c>
      <c r="AI329" s="169">
        <f t="shared" si="199"/>
      </c>
      <c r="AJ329" s="173"/>
      <c r="AK329" s="173"/>
      <c r="AL329" s="173"/>
      <c r="AM329" s="173"/>
      <c r="AN329" s="173"/>
      <c r="AO329" s="173"/>
      <c r="AP329" s="173"/>
      <c r="AQ329" s="173"/>
      <c r="AR329" s="173"/>
      <c r="AS329" s="173"/>
      <c r="AT329" s="173" t="s">
        <v>725</v>
      </c>
      <c r="AU329" s="173" t="s">
        <v>725</v>
      </c>
      <c r="AV329" s="173" t="s">
        <v>725</v>
      </c>
      <c r="AW329" s="173" t="s">
        <v>725</v>
      </c>
      <c r="AX329" s="173" t="s">
        <v>725</v>
      </c>
      <c r="AY329" s="173" t="s">
        <v>725</v>
      </c>
      <c r="AZ329" s="173" t="s">
        <v>725</v>
      </c>
      <c r="BA329" s="173" t="s">
        <v>725</v>
      </c>
      <c r="BB329" s="173" t="s">
        <v>725</v>
      </c>
      <c r="BC329" s="173" t="s">
        <v>725</v>
      </c>
      <c r="BD329" s="173" t="s">
        <v>725</v>
      </c>
      <c r="BE329" s="173" t="s">
        <v>725</v>
      </c>
      <c r="BF329" s="173" t="s">
        <v>725</v>
      </c>
      <c r="BG329" s="173" t="s">
        <v>725</v>
      </c>
      <c r="BH329" s="173" t="s">
        <v>725</v>
      </c>
      <c r="BI329" s="173" t="s">
        <v>725</v>
      </c>
      <c r="BJ329" s="173" t="s">
        <v>725</v>
      </c>
      <c r="BK329" s="173" t="s">
        <v>725</v>
      </c>
      <c r="BL329" s="173" t="s">
        <v>725</v>
      </c>
      <c r="BM329" s="173" t="s">
        <v>725</v>
      </c>
      <c r="BN329" s="173" t="s">
        <v>725</v>
      </c>
      <c r="BO329" s="173" t="s">
        <v>725</v>
      </c>
      <c r="BP329" s="173" t="s">
        <v>725</v>
      </c>
      <c r="BQ329" s="173" t="s">
        <v>725</v>
      </c>
      <c r="BR329" s="180">
        <f t="shared" ref="BR329:BR332" si="250">IF(E329&lt;#REF!,1,0)</f>
      </c>
      <c r="BS329" s="161" t="str">
        <v>#VALUE!</v>
      </c>
    </row>
    <row customHeight="true" ht="18.51851851851852" r="330">
      <c r="A330" s="161" t="s">
        <v>737</v>
      </c>
      <c r="B330" s="161" t="s">
        <v>730</v>
      </c>
      <c r="C330" s="183" t="s">
        <v>833</v>
      </c>
      <c r="D330" s="178" t="s">
        <v>838</v>
      </c>
      <c r="E330" s="186">
        <v>31</v>
      </c>
      <c r="F330" s="163">
        <v>44.99</v>
      </c>
      <c r="G330" s="164">
        <f t="shared" si="14"/>
      </c>
      <c r="H330" s="164">
        <f t="shared" si="78"/>
      </c>
      <c r="I330" s="164">
        <f t="shared" si="140"/>
      </c>
      <c r="J330" s="165">
        <f t="shared" si="221"/>
      </c>
      <c r="K330" s="166">
        <f t="shared" si="274"/>
      </c>
      <c r="L330" s="167">
        <f t="shared" si="345"/>
      </c>
      <c r="M330" s="164">
        <f t="shared" si="390"/>
      </c>
      <c r="N330" s="166">
        <f t="shared" si="439"/>
      </c>
      <c r="O330" s="166">
        <f t="shared" si="465"/>
      </c>
      <c r="P330" s="161">
        <v>24</v>
      </c>
      <c r="Q330" s="168">
        <v>8</v>
      </c>
      <c r="R330" s="169">
        <f t="shared" si="34"/>
      </c>
      <c r="S330" s="165">
        <f t="shared" si="531"/>
      </c>
      <c r="T330" s="169">
        <f t="shared" si="159"/>
      </c>
      <c r="U330" s="169">
        <v>0.01</v>
      </c>
      <c r="V330" s="169">
        <f t="shared" si="296"/>
      </c>
      <c r="W330" s="169">
        <f t="shared" si="367"/>
      </c>
      <c r="X330" s="170">
        <v>0.223</v>
      </c>
      <c r="Y330" s="171">
        <v>5</v>
      </c>
      <c r="Z330" s="171">
        <f t="shared" si="409"/>
      </c>
      <c r="AA330" s="171">
        <f t="shared" si="487"/>
      </c>
      <c r="AB330" s="166">
        <f t="shared" si="509"/>
      </c>
      <c r="AC330" s="166">
        <v>75</v>
      </c>
      <c r="AD330" s="172">
        <f t="shared" si="56"/>
      </c>
      <c r="AE330" s="168">
        <f t="shared" si="110"/>
      </c>
      <c r="AF330" s="169">
        <f t="shared" si="181"/>
      </c>
      <c r="AG330" s="169">
        <f t="shared" si="323"/>
      </c>
      <c r="AH330" s="168">
        <v>12</v>
      </c>
      <c r="AI330" s="169">
        <f t="shared" si="199"/>
      </c>
      <c r="AJ330" s="173"/>
      <c r="AK330" s="173"/>
      <c r="AL330" s="173"/>
      <c r="AM330" s="173"/>
      <c r="AN330" s="173"/>
      <c r="AO330" s="173"/>
      <c r="AP330" s="173"/>
      <c r="AQ330" s="173"/>
      <c r="AR330" s="173"/>
      <c r="AS330" s="173"/>
      <c r="AT330" s="173" t="s">
        <v>725</v>
      </c>
      <c r="AU330" s="173" t="s">
        <v>725</v>
      </c>
      <c r="AV330" s="173" t="s">
        <v>725</v>
      </c>
      <c r="AW330" s="173" t="s">
        <v>725</v>
      </c>
      <c r="AX330" s="173" t="s">
        <v>725</v>
      </c>
      <c r="AY330" s="173" t="s">
        <v>725</v>
      </c>
      <c r="AZ330" s="173" t="s">
        <v>725</v>
      </c>
      <c r="BA330" s="173" t="s">
        <v>725</v>
      </c>
      <c r="BB330" s="173" t="s">
        <v>725</v>
      </c>
      <c r="BC330" s="173" t="s">
        <v>725</v>
      </c>
      <c r="BD330" s="173" t="s">
        <v>725</v>
      </c>
      <c r="BE330" s="173" t="s">
        <v>725</v>
      </c>
      <c r="BF330" s="173" t="s">
        <v>725</v>
      </c>
      <c r="BG330" s="173" t="s">
        <v>725</v>
      </c>
      <c r="BH330" s="173" t="s">
        <v>725</v>
      </c>
      <c r="BI330" s="173" t="s">
        <v>725</v>
      </c>
      <c r="BJ330" s="173" t="s">
        <v>725</v>
      </c>
      <c r="BK330" s="173" t="s">
        <v>725</v>
      </c>
      <c r="BL330" s="173" t="s">
        <v>725</v>
      </c>
      <c r="BM330" s="173" t="s">
        <v>725</v>
      </c>
      <c r="BN330" s="173" t="s">
        <v>725</v>
      </c>
      <c r="BO330" s="173" t="s">
        <v>725</v>
      </c>
      <c r="BP330" s="173" t="s">
        <v>725</v>
      </c>
      <c r="BQ330" s="173" t="s">
        <v>725</v>
      </c>
      <c r="BR330" s="180">
        <f t="shared" si="250"/>
      </c>
      <c r="BS330" s="161" t="str">
        <v>#VALUE!</v>
      </c>
    </row>
    <row customHeight="true" ht="18.51851851851852" r="331">
      <c r="A331" s="161" t="s">
        <v>739</v>
      </c>
      <c r="B331" s="161" t="s">
        <v>730</v>
      </c>
      <c r="C331" s="183" t="s">
        <v>833</v>
      </c>
      <c r="D331" s="178" t="s">
        <v>839</v>
      </c>
      <c r="E331" s="186">
        <v>31</v>
      </c>
      <c r="F331" s="163">
        <v>44.99</v>
      </c>
      <c r="G331" s="164">
        <f t="shared" si="14"/>
      </c>
      <c r="H331" s="164">
        <f t="shared" si="78"/>
      </c>
      <c r="I331" s="164">
        <f t="shared" si="140"/>
      </c>
      <c r="J331" s="165">
        <f t="shared" si="221"/>
      </c>
      <c r="K331" s="166">
        <f t="shared" si="274"/>
      </c>
      <c r="L331" s="167">
        <f t="shared" si="345"/>
      </c>
      <c r="M331" s="164">
        <f t="shared" si="390"/>
      </c>
      <c r="N331" s="166">
        <f t="shared" si="439"/>
      </c>
      <c r="O331" s="166">
        <f t="shared" si="465"/>
      </c>
      <c r="P331" s="161">
        <v>24</v>
      </c>
      <c r="Q331" s="168">
        <v>8</v>
      </c>
      <c r="R331" s="169">
        <f t="shared" si="34"/>
      </c>
      <c r="S331" s="165">
        <f t="shared" si="531"/>
      </c>
      <c r="T331" s="169">
        <f t="shared" si="159"/>
      </c>
      <c r="U331" s="169">
        <v>0.01</v>
      </c>
      <c r="V331" s="169">
        <f t="shared" si="296"/>
      </c>
      <c r="W331" s="169">
        <f t="shared" si="367"/>
      </c>
      <c r="X331" s="170">
        <v>0.223</v>
      </c>
      <c r="Y331" s="171">
        <v>5</v>
      </c>
      <c r="Z331" s="171">
        <f t="shared" si="409"/>
      </c>
      <c r="AA331" s="171">
        <f t="shared" si="487"/>
      </c>
      <c r="AB331" s="166">
        <f t="shared" si="509"/>
      </c>
      <c r="AC331" s="166">
        <v>75</v>
      </c>
      <c r="AD331" s="172">
        <f t="shared" si="56"/>
      </c>
      <c r="AE331" s="168">
        <f t="shared" si="110"/>
      </c>
      <c r="AF331" s="169">
        <f t="shared" si="181"/>
      </c>
      <c r="AG331" s="169">
        <f t="shared" si="323"/>
      </c>
      <c r="AH331" s="168">
        <v>12</v>
      </c>
      <c r="AI331" s="169">
        <f t="shared" si="199"/>
      </c>
      <c r="AJ331" s="173"/>
      <c r="AK331" s="173"/>
      <c r="AL331" s="173"/>
      <c r="AM331" s="173"/>
      <c r="AN331" s="173"/>
      <c r="AO331" s="173"/>
      <c r="AP331" s="173"/>
      <c r="AQ331" s="173"/>
      <c r="AR331" s="173"/>
      <c r="AS331" s="173"/>
      <c r="AT331" s="173" t="s">
        <v>725</v>
      </c>
      <c r="AU331" s="173" t="s">
        <v>725</v>
      </c>
      <c r="AV331" s="173" t="s">
        <v>725</v>
      </c>
      <c r="AW331" s="173" t="s">
        <v>725</v>
      </c>
      <c r="AX331" s="173" t="s">
        <v>725</v>
      </c>
      <c r="AY331" s="173" t="s">
        <v>725</v>
      </c>
      <c r="AZ331" s="173" t="s">
        <v>725</v>
      </c>
      <c r="BA331" s="173" t="s">
        <v>725</v>
      </c>
      <c r="BB331" s="173" t="s">
        <v>725</v>
      </c>
      <c r="BC331" s="173" t="s">
        <v>725</v>
      </c>
      <c r="BD331" s="173" t="s">
        <v>725</v>
      </c>
      <c r="BE331" s="173" t="s">
        <v>725</v>
      </c>
      <c r="BF331" s="173" t="s">
        <v>725</v>
      </c>
      <c r="BG331" s="173" t="s">
        <v>725</v>
      </c>
      <c r="BH331" s="173" t="s">
        <v>725</v>
      </c>
      <c r="BI331" s="173" t="s">
        <v>725</v>
      </c>
      <c r="BJ331" s="173" t="s">
        <v>725</v>
      </c>
      <c r="BK331" s="173" t="s">
        <v>725</v>
      </c>
      <c r="BL331" s="173" t="s">
        <v>725</v>
      </c>
      <c r="BM331" s="173" t="s">
        <v>725</v>
      </c>
      <c r="BN331" s="173" t="s">
        <v>725</v>
      </c>
      <c r="BO331" s="173" t="s">
        <v>725</v>
      </c>
      <c r="BP331" s="173" t="s">
        <v>725</v>
      </c>
      <c r="BQ331" s="173" t="s">
        <v>725</v>
      </c>
      <c r="BR331" s="180">
        <f t="shared" si="250"/>
      </c>
      <c r="BS331" s="161" t="str">
        <v>#VALUE!</v>
      </c>
    </row>
    <row customHeight="true" ht="18.51851851851852" r="332">
      <c r="A332" s="161" t="s">
        <v>741</v>
      </c>
      <c r="B332" s="161" t="s">
        <v>730</v>
      </c>
      <c r="C332" s="183" t="s">
        <v>833</v>
      </c>
      <c r="D332" s="178" t="s">
        <v>840</v>
      </c>
      <c r="E332" s="186">
        <v>27.5</v>
      </c>
      <c r="F332" s="163">
        <v>39.99</v>
      </c>
      <c r="G332" s="164">
        <f t="shared" si="14"/>
      </c>
      <c r="H332" s="164">
        <f t="shared" si="78"/>
      </c>
      <c r="I332" s="164">
        <f t="shared" si="140"/>
      </c>
      <c r="J332" s="165">
        <f t="shared" si="221"/>
      </c>
      <c r="K332" s="166">
        <f t="shared" si="274"/>
      </c>
      <c r="L332" s="167">
        <f t="shared" si="345"/>
      </c>
      <c r="M332" s="164">
        <f t="shared" si="390"/>
      </c>
      <c r="N332" s="166">
        <f t="shared" si="439"/>
      </c>
      <c r="O332" s="166">
        <f t="shared" si="465"/>
      </c>
      <c r="P332" s="161">
        <v>24</v>
      </c>
      <c r="Q332" s="168">
        <v>8</v>
      </c>
      <c r="R332" s="169">
        <f t="shared" si="34"/>
      </c>
      <c r="S332" s="165">
        <f t="shared" si="531"/>
      </c>
      <c r="T332" s="169">
        <f t="shared" si="159"/>
      </c>
      <c r="U332" s="169">
        <v>0.01</v>
      </c>
      <c r="V332" s="169">
        <f t="shared" si="296"/>
      </c>
      <c r="W332" s="169">
        <f t="shared" si="367"/>
      </c>
      <c r="X332" s="170">
        <v>0.158</v>
      </c>
      <c r="Y332" s="171">
        <v>5</v>
      </c>
      <c r="Z332" s="171">
        <f t="shared" si="409"/>
      </c>
      <c r="AA332" s="171">
        <f t="shared" si="487"/>
      </c>
      <c r="AB332" s="166">
        <f t="shared" si="509"/>
      </c>
      <c r="AC332" s="166">
        <v>75</v>
      </c>
      <c r="AD332" s="172">
        <f t="shared" si="56"/>
      </c>
      <c r="AE332" s="168">
        <f t="shared" si="110"/>
      </c>
      <c r="AF332" s="169">
        <f t="shared" si="181"/>
      </c>
      <c r="AG332" s="169">
        <f t="shared" si="323"/>
      </c>
      <c r="AH332" s="168">
        <v>12</v>
      </c>
      <c r="AI332" s="169">
        <f t="shared" si="199"/>
      </c>
      <c r="AJ332" s="169"/>
      <c r="AK332" s="169"/>
      <c r="AL332" s="169"/>
      <c r="AM332" s="169"/>
      <c r="AN332" s="173"/>
      <c r="AO332" s="173"/>
      <c r="AP332" s="173"/>
      <c r="AQ332" s="173"/>
      <c r="AR332" s="173"/>
      <c r="AS332" s="173"/>
      <c r="AT332" s="173" t="s">
        <v>725</v>
      </c>
      <c r="AU332" s="173" t="s">
        <v>725</v>
      </c>
      <c r="AV332" s="173" t="s">
        <v>725</v>
      </c>
      <c r="AW332" s="173" t="s">
        <v>725</v>
      </c>
      <c r="AX332" s="173" t="s">
        <v>725</v>
      </c>
      <c r="AY332" s="173" t="s">
        <v>725</v>
      </c>
      <c r="AZ332" s="173" t="s">
        <v>725</v>
      </c>
      <c r="BA332" s="173" t="s">
        <v>725</v>
      </c>
      <c r="BB332" s="173" t="s">
        <v>725</v>
      </c>
      <c r="BC332" s="173" t="s">
        <v>725</v>
      </c>
      <c r="BD332" s="173" t="s">
        <v>725</v>
      </c>
      <c r="BE332" s="173" t="s">
        <v>725</v>
      </c>
      <c r="BF332" s="173" t="s">
        <v>725</v>
      </c>
      <c r="BG332" s="173" t="s">
        <v>725</v>
      </c>
      <c r="BH332" s="173" t="s">
        <v>725</v>
      </c>
      <c r="BI332" s="173" t="s">
        <v>725</v>
      </c>
      <c r="BJ332" s="173" t="s">
        <v>725</v>
      </c>
      <c r="BK332" s="173" t="s">
        <v>725</v>
      </c>
      <c r="BL332" s="173" t="s">
        <v>725</v>
      </c>
      <c r="BM332" s="173" t="s">
        <v>725</v>
      </c>
      <c r="BN332" s="173" t="s">
        <v>725</v>
      </c>
      <c r="BO332" s="173" t="s">
        <v>725</v>
      </c>
      <c r="BP332" s="173" t="s">
        <v>725</v>
      </c>
      <c r="BQ332" s="173" t="s">
        <v>725</v>
      </c>
      <c r="BR332" s="180">
        <f t="shared" si="250"/>
      </c>
      <c r="BS332" s="161" t="str">
        <v>#VALUE!</v>
      </c>
    </row>
    <row customHeight="true" ht="18.51851851851852" r="333">
      <c r="G333" s="181"/>
      <c r="H333" s="181"/>
      <c r="S333" s="181"/>
      <c r="AE333" s="188"/>
      <c r="AI333" s="181"/>
    </row>
    <row customHeight="true" ht="18.51851851851852" r="334">
      <c r="A334" s="161" t="s">
        <v>721</v>
      </c>
      <c r="B334" s="161" t="s">
        <v>730</v>
      </c>
      <c r="C334" s="183" t="s">
        <v>841</v>
      </c>
      <c r="D334" s="189" t="s">
        <v>842</v>
      </c>
      <c r="E334" s="186">
        <v>13.7</v>
      </c>
      <c r="F334" s="163">
        <v>19.99</v>
      </c>
      <c r="G334" s="164">
        <f t="shared" ref="G334:G352" si="15">(F334-Z334)</f>
      </c>
      <c r="H334" s="164">
        <f t="shared" ref="H334:H352" si="79">(F334-Z334)/1.2</f>
      </c>
      <c r="I334" s="164">
        <f t="shared" ref="I334:I352" si="141">E334-N334/Q334-AB334-Y334-O334-Z334-AA334</f>
      </c>
      <c r="J334" s="165">
        <f t="shared" ref="J334:J352" si="222">I334/E334</f>
      </c>
      <c r="K334" s="166">
        <f t="shared" ref="K334:K352" si="275">F334/1.2</f>
      </c>
      <c r="L334" s="167">
        <f t="shared" ref="L334:L352" si="346">(K334-E334)/K334</f>
      </c>
      <c r="M334" s="164">
        <f t="shared" ref="M334:M352" si="391">F334/1.2-E334</f>
      </c>
      <c r="N334" s="166">
        <f>AD334+AH335</f>
      </c>
      <c r="O334" s="166">
        <f t="shared" ref="O334:O352" si="466">IFERROR(IF(A334="UK",8.95/P334,IF(A334="DE",7.75/P334,IF(A334="FR",14.25/P334,IF(A334="IT",15.25/P334,IF(A334="ES",19.25/P334,IF(A334="NL",16.75/P334,IF(A334="PL",14.05/P334,IF(A334="SE",18.25/P334,IF(A334="BE",14.25/P334))))))))),0)</f>
      </c>
      <c r="P334" s="161">
        <v>30</v>
      </c>
      <c r="Q334" s="168">
        <v>9</v>
      </c>
      <c r="R334" s="169">
        <f t="shared" ref="R334:R352" si="35">Y334/E334</f>
      </c>
      <c r="S334" s="165">
        <f t="shared" ref="S334:S352" si="532">Y334/F334</f>
      </c>
      <c r="T334" s="169">
        <f t="shared" ref="T334:T352" si="160">Z334/E334</f>
      </c>
      <c r="U334" s="169">
        <v>0.01</v>
      </c>
      <c r="V334" s="169">
        <f t="shared" ref="V334:V352" si="297">N334/(E334*Q334)</f>
      </c>
      <c r="W334" s="169">
        <f t="shared" ref="W334:W352" si="368">O334/E334</f>
      </c>
      <c r="X334" s="170">
        <v>0.158</v>
      </c>
      <c r="Y334" s="171">
        <v>3</v>
      </c>
      <c r="Z334" s="171">
        <v>0</v>
      </c>
      <c r="AA334" s="171">
        <f t="shared" ref="AA334:AA352" si="488">E334*U334</f>
      </c>
      <c r="AB334" s="166">
        <f t="shared" ref="AB334:AB352" si="510">E334*X334</f>
      </c>
      <c r="AC334" s="166">
        <v>40</v>
      </c>
      <c r="AD334" s="172">
        <f t="shared" ref="AD334:AD352" si="57">AC334/1.13</f>
      </c>
      <c r="AE334" s="168">
        <f>AH335/Q334</f>
      </c>
      <c r="AF334" s="169">
        <f t="shared" ref="AF334:AF352" si="182">AD334/(E334*Q334)</f>
      </c>
      <c r="AG334" s="169">
        <f t="shared" ref="AG334:AG352" si="324">AE334/Q334/E334</f>
      </c>
      <c r="AH334" s="168">
        <v>6</v>
      </c>
      <c r="AI334" s="169">
        <f t="shared" ref="AI334:AI352" si="200">(H334-E334+AB334)/H334</f>
      </c>
      <c r="AJ334" s="169"/>
      <c r="AK334" s="169"/>
      <c r="AL334" s="169"/>
      <c r="AM334" s="169"/>
      <c r="AN334" s="173"/>
      <c r="AO334" s="173"/>
      <c r="AP334" s="173"/>
      <c r="AQ334" s="173"/>
      <c r="AR334" s="173"/>
      <c r="AS334" s="173"/>
      <c r="AT334" s="173" t="s">
        <v>725</v>
      </c>
      <c r="AU334" s="173" t="s">
        <v>725</v>
      </c>
      <c r="AV334" s="173" t="s">
        <v>725</v>
      </c>
      <c r="AW334" s="173" t="s">
        <v>725</v>
      </c>
      <c r="AX334" s="173" t="s">
        <v>725</v>
      </c>
      <c r="AY334" s="173" t="s">
        <v>725</v>
      </c>
      <c r="AZ334" s="173" t="s">
        <v>725</v>
      </c>
      <c r="BA334" s="173" t="s">
        <v>725</v>
      </c>
      <c r="BB334" s="173" t="s">
        <v>725</v>
      </c>
      <c r="BC334" s="173" t="s">
        <v>725</v>
      </c>
      <c r="BD334" s="173" t="s">
        <v>725</v>
      </c>
      <c r="BE334" s="173" t="s">
        <v>725</v>
      </c>
      <c r="BF334" s="173" t="s">
        <v>725</v>
      </c>
      <c r="BG334" s="173" t="s">
        <v>725</v>
      </c>
      <c r="BH334" s="173" t="s">
        <v>725</v>
      </c>
      <c r="BI334" s="173" t="s">
        <v>725</v>
      </c>
      <c r="BJ334" s="173" t="s">
        <v>725</v>
      </c>
      <c r="BK334" s="173" t="s">
        <v>725</v>
      </c>
      <c r="BL334" s="173" t="s">
        <v>725</v>
      </c>
      <c r="BM334" s="173" t="s">
        <v>725</v>
      </c>
      <c r="BN334" s="173" t="s">
        <v>725</v>
      </c>
      <c r="BO334" s="173" t="s">
        <v>725</v>
      </c>
      <c r="BP334" s="173" t="s">
        <v>725</v>
      </c>
      <c r="BQ334" s="173" t="s">
        <v>725</v>
      </c>
      <c r="BR334" s="174"/>
      <c r="BS334" s="161" t="str">
        <v>#VALUE!</v>
      </c>
    </row>
    <row customHeight="true" ht="18.51851851851852" r="335">
      <c r="A335" s="161" t="s">
        <v>721</v>
      </c>
      <c r="B335" s="161" t="s">
        <v>730</v>
      </c>
      <c r="C335" s="183" t="s">
        <v>841</v>
      </c>
      <c r="D335" s="189" t="s">
        <v>843</v>
      </c>
      <c r="E335" s="186">
        <v>13.7</v>
      </c>
      <c r="F335" s="163">
        <v>19.99</v>
      </c>
      <c r="G335" s="164">
        <f t="shared" si="15"/>
      </c>
      <c r="H335" s="164">
        <f t="shared" si="79"/>
      </c>
      <c r="I335" s="175">
        <f t="shared" si="141"/>
      </c>
      <c r="J335" s="165">
        <f t="shared" si="222"/>
      </c>
      <c r="K335" s="166">
        <f t="shared" si="275"/>
      </c>
      <c r="L335" s="167">
        <f t="shared" si="346"/>
      </c>
      <c r="M335" s="164">
        <f t="shared" si="391"/>
      </c>
      <c r="N335" s="166">
        <f t="shared" ref="N335:N336" si="440">AD335+AH335</f>
      </c>
      <c r="O335" s="166">
        <f t="shared" si="466"/>
      </c>
      <c r="P335" s="161">
        <v>30</v>
      </c>
      <c r="Q335" s="168">
        <v>9</v>
      </c>
      <c r="R335" s="169">
        <f t="shared" si="35"/>
      </c>
      <c r="S335" s="165">
        <f t="shared" si="532"/>
      </c>
      <c r="T335" s="169">
        <f t="shared" si="160"/>
      </c>
      <c r="U335" s="169">
        <v>0.01</v>
      </c>
      <c r="V335" s="169">
        <f t="shared" si="297"/>
      </c>
      <c r="W335" s="169">
        <f t="shared" si="368"/>
      </c>
      <c r="X335" s="170">
        <v>0.158</v>
      </c>
      <c r="Y335" s="171">
        <v>3</v>
      </c>
      <c r="Z335" s="171">
        <f>F335*0.1</f>
      </c>
      <c r="AA335" s="171">
        <f t="shared" si="488"/>
      </c>
      <c r="AB335" s="166">
        <f t="shared" si="510"/>
      </c>
      <c r="AC335" s="166">
        <v>40</v>
      </c>
      <c r="AD335" s="172">
        <f t="shared" si="57"/>
      </c>
      <c r="AE335" s="168">
        <f t="shared" ref="AE335:AE336" si="111">AH335/Q335</f>
      </c>
      <c r="AF335" s="169">
        <f t="shared" si="182"/>
      </c>
      <c r="AG335" s="169">
        <f t="shared" si="324"/>
      </c>
      <c r="AH335" s="168">
        <v>6</v>
      </c>
      <c r="AI335" s="169">
        <f t="shared" si="200"/>
      </c>
      <c r="AJ335" s="169"/>
      <c r="AK335" s="169"/>
      <c r="AL335" s="169"/>
      <c r="AM335" s="169"/>
      <c r="AN335" s="173"/>
      <c r="AO335" s="173"/>
      <c r="AP335" s="173"/>
      <c r="AQ335" s="173"/>
      <c r="AR335" s="173"/>
      <c r="AS335" s="173"/>
      <c r="AT335" s="173" t="s">
        <v>725</v>
      </c>
      <c r="AU335" s="173" t="s">
        <v>725</v>
      </c>
      <c r="AV335" s="173" t="s">
        <v>725</v>
      </c>
      <c r="AW335" s="173" t="s">
        <v>725</v>
      </c>
      <c r="AX335" s="173" t="s">
        <v>725</v>
      </c>
      <c r="AY335" s="173" t="s">
        <v>725</v>
      </c>
      <c r="AZ335" s="173" t="s">
        <v>725</v>
      </c>
      <c r="BA335" s="173" t="s">
        <v>725</v>
      </c>
      <c r="BB335" s="173" t="s">
        <v>725</v>
      </c>
      <c r="BC335" s="173" t="s">
        <v>725</v>
      </c>
      <c r="BD335" s="173" t="s">
        <v>725</v>
      </c>
      <c r="BE335" s="173" t="s">
        <v>725</v>
      </c>
      <c r="BF335" s="173" t="s">
        <v>725</v>
      </c>
      <c r="BG335" s="173" t="s">
        <v>725</v>
      </c>
      <c r="BH335" s="173" t="s">
        <v>725</v>
      </c>
      <c r="BI335" s="173" t="s">
        <v>725</v>
      </c>
      <c r="BJ335" s="173" t="s">
        <v>725</v>
      </c>
      <c r="BK335" s="173" t="s">
        <v>725</v>
      </c>
      <c r="BL335" s="173" t="s">
        <v>725</v>
      </c>
      <c r="BM335" s="173" t="s">
        <v>725</v>
      </c>
      <c r="BN335" s="173" t="s">
        <v>725</v>
      </c>
      <c r="BO335" s="173" t="s">
        <v>725</v>
      </c>
      <c r="BP335" s="173" t="s">
        <v>725</v>
      </c>
      <c r="BQ335" s="173" t="s">
        <v>725</v>
      </c>
      <c r="BR335" s="174"/>
      <c r="BS335" s="161" t="str">
        <v>#VALUE!</v>
      </c>
    </row>
    <row customHeight="true" ht="18.51851851851852" r="336">
      <c r="A336" s="161" t="s">
        <v>721</v>
      </c>
      <c r="B336" s="161" t="s">
        <v>730</v>
      </c>
      <c r="C336" s="183" t="s">
        <v>841</v>
      </c>
      <c r="D336" s="189" t="s">
        <v>844</v>
      </c>
      <c r="E336" s="186">
        <v>13.7</v>
      </c>
      <c r="F336" s="163">
        <v>19.99</v>
      </c>
      <c r="G336" s="164">
        <f t="shared" si="15"/>
      </c>
      <c r="H336" s="164">
        <f t="shared" si="79"/>
      </c>
      <c r="I336" s="164">
        <f t="shared" si="141"/>
      </c>
      <c r="J336" s="165">
        <f t="shared" si="222"/>
      </c>
      <c r="K336" s="166">
        <f t="shared" si="275"/>
      </c>
      <c r="L336" s="167">
        <f t="shared" si="346"/>
      </c>
      <c r="M336" s="164">
        <f t="shared" si="391"/>
      </c>
      <c r="N336" s="166">
        <f t="shared" si="440"/>
      </c>
      <c r="O336" s="166">
        <f t="shared" si="466"/>
      </c>
      <c r="P336" s="161">
        <v>30</v>
      </c>
      <c r="Q336" s="168">
        <v>9</v>
      </c>
      <c r="R336" s="169">
        <f t="shared" si="35"/>
      </c>
      <c r="S336" s="165">
        <f t="shared" si="532"/>
      </c>
      <c r="T336" s="169">
        <f t="shared" si="160"/>
      </c>
      <c r="U336" s="169">
        <v>0.01</v>
      </c>
      <c r="V336" s="169">
        <f t="shared" si="297"/>
      </c>
      <c r="W336" s="169">
        <f t="shared" si="368"/>
      </c>
      <c r="X336" s="170">
        <v>0.158</v>
      </c>
      <c r="Y336" s="171">
        <v>3</v>
      </c>
      <c r="Z336" s="171">
        <f>F336*0.15</f>
      </c>
      <c r="AA336" s="171">
        <f t="shared" si="488"/>
      </c>
      <c r="AB336" s="166">
        <f t="shared" si="510"/>
      </c>
      <c r="AC336" s="166">
        <v>40</v>
      </c>
      <c r="AD336" s="172">
        <f t="shared" si="57"/>
      </c>
      <c r="AE336" s="168">
        <f t="shared" si="111"/>
      </c>
      <c r="AF336" s="169">
        <f t="shared" si="182"/>
      </c>
      <c r="AG336" s="169">
        <f t="shared" si="324"/>
      </c>
      <c r="AH336" s="168">
        <v>6</v>
      </c>
      <c r="AI336" s="169">
        <f t="shared" si="200"/>
      </c>
      <c r="AJ336" s="169"/>
      <c r="AK336" s="169"/>
      <c r="AL336" s="169"/>
      <c r="AM336" s="169"/>
      <c r="AN336" s="173"/>
      <c r="AO336" s="173"/>
      <c r="AP336" s="173"/>
      <c r="AQ336" s="173"/>
      <c r="AR336" s="173"/>
      <c r="AS336" s="173"/>
      <c r="AT336" s="173" t="s">
        <v>725</v>
      </c>
      <c r="AU336" s="173" t="s">
        <v>725</v>
      </c>
      <c r="AV336" s="173" t="s">
        <v>725</v>
      </c>
      <c r="AW336" s="173" t="s">
        <v>725</v>
      </c>
      <c r="AX336" s="173" t="s">
        <v>725</v>
      </c>
      <c r="AY336" s="173" t="s">
        <v>725</v>
      </c>
      <c r="AZ336" s="173" t="s">
        <v>725</v>
      </c>
      <c r="BA336" s="173" t="s">
        <v>725</v>
      </c>
      <c r="BB336" s="173" t="s">
        <v>725</v>
      </c>
      <c r="BC336" s="173" t="s">
        <v>725</v>
      </c>
      <c r="BD336" s="173" t="s">
        <v>725</v>
      </c>
      <c r="BE336" s="173" t="s">
        <v>725</v>
      </c>
      <c r="BF336" s="173" t="s">
        <v>725</v>
      </c>
      <c r="BG336" s="173" t="s">
        <v>725</v>
      </c>
      <c r="BH336" s="173" t="s">
        <v>725</v>
      </c>
      <c r="BI336" s="173" t="s">
        <v>725</v>
      </c>
      <c r="BJ336" s="173" t="s">
        <v>725</v>
      </c>
      <c r="BK336" s="173" t="s">
        <v>725</v>
      </c>
      <c r="BL336" s="173" t="s">
        <v>725</v>
      </c>
      <c r="BM336" s="173" t="s">
        <v>725</v>
      </c>
      <c r="BN336" s="173" t="s">
        <v>725</v>
      </c>
      <c r="BO336" s="173" t="s">
        <v>725</v>
      </c>
      <c r="BP336" s="173" t="s">
        <v>725</v>
      </c>
      <c r="BQ336" s="173" t="s">
        <v>725</v>
      </c>
      <c r="BR336" s="174"/>
      <c r="BS336" s="161" t="str">
        <v>#VALUE!</v>
      </c>
    </row>
    <row customHeight="true" ht="18.51851851851852" r="337">
      <c r="A337" s="161" t="s">
        <v>729</v>
      </c>
      <c r="B337" s="161" t="s">
        <v>730</v>
      </c>
      <c r="C337" s="183" t="s">
        <v>841</v>
      </c>
      <c r="D337" s="189" t="s">
        <v>842</v>
      </c>
      <c r="E337" s="186">
        <v>15.2</v>
      </c>
      <c r="F337" s="163">
        <v>21.99</v>
      </c>
      <c r="G337" s="164">
        <f t="shared" si="15"/>
      </c>
      <c r="H337" s="164">
        <f t="shared" si="79"/>
      </c>
      <c r="I337" s="164">
        <f t="shared" si="141"/>
      </c>
      <c r="J337" s="165">
        <f t="shared" si="222"/>
      </c>
      <c r="K337" s="166">
        <f t="shared" si="275"/>
      </c>
      <c r="L337" s="167">
        <f t="shared" si="346"/>
      </c>
      <c r="M337" s="164">
        <f t="shared" si="391"/>
      </c>
      <c r="N337" s="166">
        <f>AD337+AH338</f>
      </c>
      <c r="O337" s="166">
        <f t="shared" si="466"/>
      </c>
      <c r="P337" s="161">
        <v>30</v>
      </c>
      <c r="Q337" s="168">
        <v>8</v>
      </c>
      <c r="R337" s="169">
        <f t="shared" si="35"/>
      </c>
      <c r="S337" s="165">
        <f t="shared" si="532"/>
      </c>
      <c r="T337" s="169">
        <f t="shared" si="160"/>
      </c>
      <c r="U337" s="169">
        <v>0.01</v>
      </c>
      <c r="V337" s="169">
        <f t="shared" si="297"/>
      </c>
      <c r="W337" s="169">
        <f t="shared" si="368"/>
      </c>
      <c r="X337" s="170">
        <v>0.1695</v>
      </c>
      <c r="Y337" s="171">
        <v>3</v>
      </c>
      <c r="Z337" s="171">
        <v>0</v>
      </c>
      <c r="AA337" s="171">
        <f t="shared" si="488"/>
      </c>
      <c r="AB337" s="166">
        <f t="shared" si="510"/>
      </c>
      <c r="AC337" s="166">
        <v>40</v>
      </c>
      <c r="AD337" s="172">
        <f t="shared" si="57"/>
      </c>
      <c r="AE337" s="168">
        <f>AH338/Q337</f>
      </c>
      <c r="AF337" s="169">
        <f t="shared" si="182"/>
      </c>
      <c r="AG337" s="169">
        <f t="shared" si="324"/>
      </c>
      <c r="AH337" s="168">
        <v>6</v>
      </c>
      <c r="AI337" s="169">
        <f t="shared" si="200"/>
      </c>
      <c r="AJ337" s="169"/>
      <c r="AK337" s="169"/>
      <c r="AL337" s="169"/>
      <c r="AM337" s="169"/>
      <c r="AN337" s="173"/>
      <c r="AO337" s="173"/>
      <c r="AP337" s="173"/>
      <c r="AQ337" s="173"/>
      <c r="AR337" s="173"/>
      <c r="AS337" s="173"/>
      <c r="AT337" s="173" t="s">
        <v>725</v>
      </c>
      <c r="AU337" s="173" t="s">
        <v>725</v>
      </c>
      <c r="AV337" s="173" t="s">
        <v>725</v>
      </c>
      <c r="AW337" s="173" t="s">
        <v>725</v>
      </c>
      <c r="AX337" s="173" t="s">
        <v>725</v>
      </c>
      <c r="AY337" s="173" t="s">
        <v>725</v>
      </c>
      <c r="AZ337" s="173" t="s">
        <v>725</v>
      </c>
      <c r="BA337" s="173" t="s">
        <v>725</v>
      </c>
      <c r="BB337" s="173" t="s">
        <v>725</v>
      </c>
      <c r="BC337" s="173" t="s">
        <v>725</v>
      </c>
      <c r="BD337" s="173" t="s">
        <v>725</v>
      </c>
      <c r="BE337" s="173" t="s">
        <v>725</v>
      </c>
      <c r="BF337" s="173" t="s">
        <v>725</v>
      </c>
      <c r="BG337" s="173" t="s">
        <v>725</v>
      </c>
      <c r="BH337" s="173" t="s">
        <v>725</v>
      </c>
      <c r="BI337" s="173" t="s">
        <v>725</v>
      </c>
      <c r="BJ337" s="173" t="s">
        <v>725</v>
      </c>
      <c r="BK337" s="173" t="s">
        <v>725</v>
      </c>
      <c r="BL337" s="173" t="s">
        <v>725</v>
      </c>
      <c r="BM337" s="173" t="s">
        <v>725</v>
      </c>
      <c r="BN337" s="173" t="s">
        <v>725</v>
      </c>
      <c r="BO337" s="173" t="s">
        <v>725</v>
      </c>
      <c r="BP337" s="173" t="s">
        <v>725</v>
      </c>
      <c r="BQ337" s="173" t="s">
        <v>725</v>
      </c>
      <c r="BR337" s="174"/>
      <c r="BS337" s="161" t="str">
        <v>#VALUE!</v>
      </c>
    </row>
    <row customHeight="true" ht="18.51851851851852" r="338">
      <c r="A338" s="161" t="s">
        <v>729</v>
      </c>
      <c r="B338" s="161" t="s">
        <v>730</v>
      </c>
      <c r="C338" s="183" t="s">
        <v>841</v>
      </c>
      <c r="D338" s="189" t="s">
        <v>843</v>
      </c>
      <c r="E338" s="186">
        <v>15.2</v>
      </c>
      <c r="F338" s="163">
        <v>21.99</v>
      </c>
      <c r="G338" s="164">
        <f t="shared" si="15"/>
      </c>
      <c r="H338" s="164">
        <f t="shared" si="79"/>
      </c>
      <c r="I338" s="175">
        <f t="shared" si="141"/>
      </c>
      <c r="J338" s="165">
        <f t="shared" si="222"/>
      </c>
      <c r="K338" s="166">
        <f t="shared" si="275"/>
      </c>
      <c r="L338" s="167">
        <f t="shared" si="346"/>
      </c>
      <c r="M338" s="164">
        <f t="shared" si="391"/>
      </c>
      <c r="N338" s="166">
        <f t="shared" ref="N338:N352" si="441">AD338+AH338</f>
      </c>
      <c r="O338" s="166">
        <f t="shared" si="466"/>
      </c>
      <c r="P338" s="161">
        <v>30</v>
      </c>
      <c r="Q338" s="168">
        <v>8</v>
      </c>
      <c r="R338" s="169">
        <f t="shared" si="35"/>
      </c>
      <c r="S338" s="165">
        <f t="shared" si="532"/>
      </c>
      <c r="T338" s="169">
        <f t="shared" si="160"/>
      </c>
      <c r="U338" s="169">
        <v>0.01</v>
      </c>
      <c r="V338" s="169">
        <f t="shared" si="297"/>
      </c>
      <c r="W338" s="169">
        <f t="shared" si="368"/>
      </c>
      <c r="X338" s="170">
        <v>0.1695</v>
      </c>
      <c r="Y338" s="171">
        <v>3</v>
      </c>
      <c r="Z338" s="171">
        <f>F338*0.1</f>
      </c>
      <c r="AA338" s="171">
        <f t="shared" si="488"/>
      </c>
      <c r="AB338" s="166">
        <f t="shared" si="510"/>
      </c>
      <c r="AC338" s="166">
        <v>40</v>
      </c>
      <c r="AD338" s="172">
        <f t="shared" si="57"/>
      </c>
      <c r="AE338" s="168">
        <f t="shared" ref="AE338:AE352" si="112">AH338/Q338</f>
      </c>
      <c r="AF338" s="169">
        <f t="shared" si="182"/>
      </c>
      <c r="AG338" s="169">
        <f t="shared" si="324"/>
      </c>
      <c r="AH338" s="168">
        <v>6</v>
      </c>
      <c r="AI338" s="169">
        <f t="shared" si="200"/>
      </c>
      <c r="AJ338" s="169"/>
      <c r="AK338" s="169"/>
      <c r="AL338" s="169"/>
      <c r="AM338" s="169"/>
      <c r="AN338" s="173"/>
      <c r="AO338" s="173"/>
      <c r="AP338" s="173"/>
      <c r="AQ338" s="173"/>
      <c r="AR338" s="173"/>
      <c r="AS338" s="173"/>
      <c r="AT338" s="173" t="s">
        <v>725</v>
      </c>
      <c r="AU338" s="173" t="s">
        <v>725</v>
      </c>
      <c r="AV338" s="173" t="s">
        <v>725</v>
      </c>
      <c r="AW338" s="173" t="s">
        <v>725</v>
      </c>
      <c r="AX338" s="173" t="s">
        <v>725</v>
      </c>
      <c r="AY338" s="173" t="s">
        <v>725</v>
      </c>
      <c r="AZ338" s="173" t="s">
        <v>725</v>
      </c>
      <c r="BA338" s="173" t="s">
        <v>725</v>
      </c>
      <c r="BB338" s="173" t="s">
        <v>725</v>
      </c>
      <c r="BC338" s="173" t="s">
        <v>725</v>
      </c>
      <c r="BD338" s="173" t="s">
        <v>725</v>
      </c>
      <c r="BE338" s="173" t="s">
        <v>725</v>
      </c>
      <c r="BF338" s="173" t="s">
        <v>725</v>
      </c>
      <c r="BG338" s="173" t="s">
        <v>725</v>
      </c>
      <c r="BH338" s="173" t="s">
        <v>725</v>
      </c>
      <c r="BI338" s="173" t="s">
        <v>725</v>
      </c>
      <c r="BJ338" s="173" t="s">
        <v>725</v>
      </c>
      <c r="BK338" s="173" t="s">
        <v>725</v>
      </c>
      <c r="BL338" s="173" t="s">
        <v>725</v>
      </c>
      <c r="BM338" s="173" t="s">
        <v>725</v>
      </c>
      <c r="BN338" s="173" t="s">
        <v>725</v>
      </c>
      <c r="BO338" s="173" t="s">
        <v>725</v>
      </c>
      <c r="BP338" s="173" t="s">
        <v>725</v>
      </c>
      <c r="BQ338" s="173" t="s">
        <v>725</v>
      </c>
      <c r="BR338" s="174"/>
      <c r="BS338" s="161" t="str">
        <v>#VALUE!</v>
      </c>
    </row>
    <row customHeight="true" ht="18.51851851851852" r="339">
      <c r="A339" s="161" t="s">
        <v>729</v>
      </c>
      <c r="B339" s="161" t="s">
        <v>730</v>
      </c>
      <c r="C339" s="183" t="s">
        <v>841</v>
      </c>
      <c r="D339" s="189" t="s">
        <v>844</v>
      </c>
      <c r="E339" s="186">
        <v>15.2</v>
      </c>
      <c r="F339" s="163">
        <v>21.99</v>
      </c>
      <c r="G339" s="164">
        <f t="shared" si="15"/>
      </c>
      <c r="H339" s="164">
        <f t="shared" si="79"/>
      </c>
      <c r="I339" s="164">
        <f t="shared" si="141"/>
      </c>
      <c r="J339" s="165">
        <f t="shared" si="222"/>
      </c>
      <c r="K339" s="166">
        <f t="shared" si="275"/>
      </c>
      <c r="L339" s="167">
        <f t="shared" si="346"/>
      </c>
      <c r="M339" s="164">
        <f t="shared" si="391"/>
      </c>
      <c r="N339" s="166">
        <f t="shared" si="441"/>
      </c>
      <c r="O339" s="166">
        <f t="shared" si="466"/>
      </c>
      <c r="P339" s="161">
        <v>30</v>
      </c>
      <c r="Q339" s="168">
        <v>8</v>
      </c>
      <c r="R339" s="169">
        <f t="shared" si="35"/>
      </c>
      <c r="S339" s="165">
        <f t="shared" si="532"/>
      </c>
      <c r="T339" s="169">
        <f t="shared" si="160"/>
      </c>
      <c r="U339" s="169">
        <v>0.01</v>
      </c>
      <c r="V339" s="169">
        <f t="shared" si="297"/>
      </c>
      <c r="W339" s="169">
        <f t="shared" si="368"/>
      </c>
      <c r="X339" s="170">
        <v>0.1695</v>
      </c>
      <c r="Y339" s="171">
        <v>3</v>
      </c>
      <c r="Z339" s="171">
        <f>F339*0.15</f>
      </c>
      <c r="AA339" s="171">
        <f t="shared" si="488"/>
      </c>
      <c r="AB339" s="166">
        <f t="shared" si="510"/>
      </c>
      <c r="AC339" s="166">
        <v>40</v>
      </c>
      <c r="AD339" s="172">
        <f t="shared" si="57"/>
      </c>
      <c r="AE339" s="168">
        <f t="shared" si="112"/>
      </c>
      <c r="AF339" s="169">
        <f t="shared" si="182"/>
      </c>
      <c r="AG339" s="169">
        <f t="shared" si="324"/>
      </c>
      <c r="AH339" s="168">
        <v>6</v>
      </c>
      <c r="AI339" s="169">
        <f t="shared" si="200"/>
      </c>
      <c r="AJ339" s="169"/>
      <c r="AK339" s="169"/>
      <c r="AL339" s="169"/>
      <c r="AM339" s="169"/>
      <c r="AN339" s="173"/>
      <c r="AO339" s="173"/>
      <c r="AP339" s="173"/>
      <c r="AQ339" s="173"/>
      <c r="AR339" s="173"/>
      <c r="AS339" s="173"/>
      <c r="AT339" s="173" t="s">
        <v>725</v>
      </c>
      <c r="AU339" s="173" t="s">
        <v>725</v>
      </c>
      <c r="AV339" s="173" t="s">
        <v>725</v>
      </c>
      <c r="AW339" s="173" t="s">
        <v>725</v>
      </c>
      <c r="AX339" s="173" t="s">
        <v>725</v>
      </c>
      <c r="AY339" s="173" t="s">
        <v>725</v>
      </c>
      <c r="AZ339" s="173" t="s">
        <v>725</v>
      </c>
      <c r="BA339" s="173" t="s">
        <v>725</v>
      </c>
      <c r="BB339" s="173" t="s">
        <v>725</v>
      </c>
      <c r="BC339" s="173" t="s">
        <v>725</v>
      </c>
      <c r="BD339" s="173" t="s">
        <v>725</v>
      </c>
      <c r="BE339" s="173" t="s">
        <v>725</v>
      </c>
      <c r="BF339" s="173" t="s">
        <v>725</v>
      </c>
      <c r="BG339" s="173" t="s">
        <v>725</v>
      </c>
      <c r="BH339" s="173" t="s">
        <v>725</v>
      </c>
      <c r="BI339" s="173" t="s">
        <v>725</v>
      </c>
      <c r="BJ339" s="173" t="s">
        <v>725</v>
      </c>
      <c r="BK339" s="173" t="s">
        <v>725</v>
      </c>
      <c r="BL339" s="173" t="s">
        <v>725</v>
      </c>
      <c r="BM339" s="173" t="s">
        <v>725</v>
      </c>
      <c r="BN339" s="173" t="s">
        <v>725</v>
      </c>
      <c r="BO339" s="173" t="s">
        <v>725</v>
      </c>
      <c r="BP339" s="173" t="s">
        <v>725</v>
      </c>
      <c r="BQ339" s="173" t="s">
        <v>725</v>
      </c>
      <c r="BR339" s="174"/>
      <c r="BS339" s="161" t="str">
        <v>#VALUE!</v>
      </c>
    </row>
    <row customHeight="true" ht="18.51851851851852" r="340">
      <c r="A340" s="161" t="s">
        <v>732</v>
      </c>
      <c r="B340" s="161" t="s">
        <v>730</v>
      </c>
      <c r="C340" s="183" t="s">
        <v>841</v>
      </c>
      <c r="D340" s="189" t="s">
        <v>842</v>
      </c>
      <c r="E340" s="186">
        <v>15.2</v>
      </c>
      <c r="F340" s="163">
        <v>21.99</v>
      </c>
      <c r="G340" s="164">
        <f t="shared" si="15"/>
      </c>
      <c r="H340" s="164">
        <f t="shared" si="79"/>
      </c>
      <c r="I340" s="164">
        <f t="shared" si="141"/>
      </c>
      <c r="J340" s="165">
        <f t="shared" si="222"/>
      </c>
      <c r="K340" s="166">
        <f t="shared" si="275"/>
      </c>
      <c r="L340" s="167">
        <f t="shared" si="346"/>
      </c>
      <c r="M340" s="164">
        <f t="shared" si="391"/>
      </c>
      <c r="N340" s="166">
        <f t="shared" si="441"/>
      </c>
      <c r="O340" s="166">
        <f t="shared" si="466"/>
      </c>
      <c r="P340" s="161">
        <v>30</v>
      </c>
      <c r="Q340" s="168">
        <v>8</v>
      </c>
      <c r="R340" s="169">
        <f t="shared" si="35"/>
      </c>
      <c r="S340" s="165">
        <f t="shared" si="532"/>
      </c>
      <c r="T340" s="169">
        <f t="shared" si="160"/>
      </c>
      <c r="U340" s="169">
        <v>0.01</v>
      </c>
      <c r="V340" s="169">
        <f t="shared" si="297"/>
      </c>
      <c r="W340" s="169">
        <f t="shared" si="368"/>
      </c>
      <c r="X340" s="170">
        <v>0.198</v>
      </c>
      <c r="Y340" s="171">
        <v>3</v>
      </c>
      <c r="Z340" s="171">
        <v>0</v>
      </c>
      <c r="AA340" s="171">
        <f t="shared" si="488"/>
      </c>
      <c r="AB340" s="166">
        <f t="shared" si="510"/>
      </c>
      <c r="AC340" s="166">
        <v>40</v>
      </c>
      <c r="AD340" s="172">
        <f t="shared" si="57"/>
      </c>
      <c r="AE340" s="168">
        <f t="shared" si="112"/>
      </c>
      <c r="AF340" s="169">
        <f t="shared" si="182"/>
      </c>
      <c r="AG340" s="169">
        <f t="shared" si="324"/>
      </c>
      <c r="AH340" s="168">
        <v>6</v>
      </c>
      <c r="AI340" s="169">
        <f t="shared" si="200"/>
      </c>
      <c r="AJ340" s="169"/>
      <c r="AK340" s="169"/>
      <c r="AL340" s="169"/>
      <c r="AM340" s="169"/>
      <c r="AN340" s="173"/>
      <c r="AO340" s="173"/>
      <c r="AP340" s="173"/>
      <c r="AQ340" s="173"/>
      <c r="AR340" s="173"/>
      <c r="AS340" s="173"/>
      <c r="AT340" s="173" t="s">
        <v>725</v>
      </c>
      <c r="AU340" s="173" t="s">
        <v>725</v>
      </c>
      <c r="AV340" s="173" t="s">
        <v>725</v>
      </c>
      <c r="AW340" s="173" t="s">
        <v>725</v>
      </c>
      <c r="AX340" s="173" t="s">
        <v>725</v>
      </c>
      <c r="AY340" s="173" t="s">
        <v>725</v>
      </c>
      <c r="AZ340" s="173" t="s">
        <v>725</v>
      </c>
      <c r="BA340" s="173" t="s">
        <v>725</v>
      </c>
      <c r="BB340" s="173" t="s">
        <v>725</v>
      </c>
      <c r="BC340" s="173" t="s">
        <v>725</v>
      </c>
      <c r="BD340" s="173" t="s">
        <v>725</v>
      </c>
      <c r="BE340" s="173" t="s">
        <v>725</v>
      </c>
      <c r="BF340" s="173" t="s">
        <v>725</v>
      </c>
      <c r="BG340" s="173" t="s">
        <v>725</v>
      </c>
      <c r="BH340" s="173" t="s">
        <v>725</v>
      </c>
      <c r="BI340" s="173" t="s">
        <v>725</v>
      </c>
      <c r="BJ340" s="173" t="s">
        <v>725</v>
      </c>
      <c r="BK340" s="173" t="s">
        <v>725</v>
      </c>
      <c r="BL340" s="173" t="s">
        <v>725</v>
      </c>
      <c r="BM340" s="173" t="s">
        <v>725</v>
      </c>
      <c r="BN340" s="173" t="s">
        <v>725</v>
      </c>
      <c r="BO340" s="173" t="s">
        <v>725</v>
      </c>
      <c r="BP340" s="173" t="s">
        <v>725</v>
      </c>
      <c r="BQ340" s="173" t="s">
        <v>725</v>
      </c>
      <c r="BR340" s="174"/>
      <c r="BS340" s="161" t="str">
        <v>#VALUE!</v>
      </c>
    </row>
    <row customHeight="true" ht="18.51851851851852" r="341">
      <c r="A341" s="161" t="s">
        <v>732</v>
      </c>
      <c r="B341" s="161" t="s">
        <v>730</v>
      </c>
      <c r="C341" s="183" t="s">
        <v>841</v>
      </c>
      <c r="D341" s="189" t="s">
        <v>843</v>
      </c>
      <c r="E341" s="186">
        <v>15.2</v>
      </c>
      <c r="F341" s="163">
        <v>21.99</v>
      </c>
      <c r="G341" s="164">
        <f t="shared" si="15"/>
      </c>
      <c r="H341" s="164">
        <f t="shared" si="79"/>
      </c>
      <c r="I341" s="175">
        <f t="shared" si="141"/>
      </c>
      <c r="J341" s="165">
        <f t="shared" si="222"/>
      </c>
      <c r="K341" s="166">
        <f t="shared" si="275"/>
      </c>
      <c r="L341" s="167">
        <f t="shared" si="346"/>
      </c>
      <c r="M341" s="164">
        <f t="shared" si="391"/>
      </c>
      <c r="N341" s="166">
        <f t="shared" si="441"/>
      </c>
      <c r="O341" s="166">
        <f t="shared" si="466"/>
      </c>
      <c r="P341" s="161">
        <v>30</v>
      </c>
      <c r="Q341" s="168">
        <v>8</v>
      </c>
      <c r="R341" s="169">
        <f t="shared" si="35"/>
      </c>
      <c r="S341" s="165">
        <f t="shared" si="532"/>
      </c>
      <c r="T341" s="169">
        <f t="shared" si="160"/>
      </c>
      <c r="U341" s="169">
        <v>0.01</v>
      </c>
      <c r="V341" s="169">
        <f t="shared" si="297"/>
      </c>
      <c r="W341" s="169">
        <f t="shared" si="368"/>
      </c>
      <c r="X341" s="170">
        <v>0.198</v>
      </c>
      <c r="Y341" s="171">
        <v>3</v>
      </c>
      <c r="Z341" s="171">
        <f>F341*0.1</f>
      </c>
      <c r="AA341" s="171">
        <f t="shared" si="488"/>
      </c>
      <c r="AB341" s="166">
        <f t="shared" si="510"/>
      </c>
      <c r="AC341" s="166">
        <v>40</v>
      </c>
      <c r="AD341" s="172">
        <f t="shared" si="57"/>
      </c>
      <c r="AE341" s="168">
        <f t="shared" si="112"/>
      </c>
      <c r="AF341" s="169">
        <f t="shared" si="182"/>
      </c>
      <c r="AG341" s="169">
        <f t="shared" si="324"/>
      </c>
      <c r="AH341" s="168">
        <v>6</v>
      </c>
      <c r="AI341" s="169">
        <f t="shared" si="200"/>
      </c>
      <c r="AJ341" s="169"/>
      <c r="AK341" s="169"/>
      <c r="AL341" s="169"/>
      <c r="AM341" s="169"/>
      <c r="AN341" s="173"/>
      <c r="AO341" s="173"/>
      <c r="AP341" s="173"/>
      <c r="AQ341" s="173"/>
      <c r="AR341" s="173"/>
      <c r="AS341" s="173"/>
      <c r="AT341" s="173" t="s">
        <v>725</v>
      </c>
      <c r="AU341" s="173" t="s">
        <v>725</v>
      </c>
      <c r="AV341" s="173" t="s">
        <v>725</v>
      </c>
      <c r="AW341" s="173" t="s">
        <v>725</v>
      </c>
      <c r="AX341" s="173" t="s">
        <v>725</v>
      </c>
      <c r="AY341" s="173" t="s">
        <v>725</v>
      </c>
      <c r="AZ341" s="173" t="s">
        <v>725</v>
      </c>
      <c r="BA341" s="173" t="s">
        <v>725</v>
      </c>
      <c r="BB341" s="173" t="s">
        <v>725</v>
      </c>
      <c r="BC341" s="173" t="s">
        <v>725</v>
      </c>
      <c r="BD341" s="173" t="s">
        <v>725</v>
      </c>
      <c r="BE341" s="173" t="s">
        <v>725</v>
      </c>
      <c r="BF341" s="173" t="s">
        <v>725</v>
      </c>
      <c r="BG341" s="173" t="s">
        <v>725</v>
      </c>
      <c r="BH341" s="173" t="s">
        <v>725</v>
      </c>
      <c r="BI341" s="173" t="s">
        <v>725</v>
      </c>
      <c r="BJ341" s="173" t="s">
        <v>725</v>
      </c>
      <c r="BK341" s="173" t="s">
        <v>725</v>
      </c>
      <c r="BL341" s="173" t="s">
        <v>725</v>
      </c>
      <c r="BM341" s="173" t="s">
        <v>725</v>
      </c>
      <c r="BN341" s="173" t="s">
        <v>725</v>
      </c>
      <c r="BO341" s="173" t="s">
        <v>725</v>
      </c>
      <c r="BP341" s="173" t="s">
        <v>725</v>
      </c>
      <c r="BQ341" s="173" t="s">
        <v>725</v>
      </c>
      <c r="BR341" s="174"/>
      <c r="BS341" s="161" t="str">
        <v>#VALUE!</v>
      </c>
    </row>
    <row customHeight="true" ht="18.51851851851852" r="342">
      <c r="A342" s="161" t="s">
        <v>732</v>
      </c>
      <c r="B342" s="161" t="s">
        <v>730</v>
      </c>
      <c r="C342" s="183" t="s">
        <v>841</v>
      </c>
      <c r="D342" s="189" t="s">
        <v>844</v>
      </c>
      <c r="E342" s="186">
        <v>15.2</v>
      </c>
      <c r="F342" s="163">
        <v>21.99</v>
      </c>
      <c r="G342" s="164">
        <f t="shared" si="15"/>
      </c>
      <c r="H342" s="164">
        <f t="shared" si="79"/>
      </c>
      <c r="I342" s="164">
        <f t="shared" si="141"/>
      </c>
      <c r="J342" s="165">
        <f t="shared" si="222"/>
      </c>
      <c r="K342" s="166">
        <f t="shared" si="275"/>
      </c>
      <c r="L342" s="167">
        <f t="shared" si="346"/>
      </c>
      <c r="M342" s="164">
        <f t="shared" si="391"/>
      </c>
      <c r="N342" s="166">
        <f t="shared" si="441"/>
      </c>
      <c r="O342" s="166">
        <f t="shared" si="466"/>
      </c>
      <c r="P342" s="161">
        <v>30</v>
      </c>
      <c r="Q342" s="168">
        <v>8</v>
      </c>
      <c r="R342" s="169">
        <f t="shared" si="35"/>
      </c>
      <c r="S342" s="165">
        <f t="shared" si="532"/>
      </c>
      <c r="T342" s="169">
        <f t="shared" si="160"/>
      </c>
      <c r="U342" s="169">
        <v>0.01</v>
      </c>
      <c r="V342" s="169">
        <f t="shared" si="297"/>
      </c>
      <c r="W342" s="169">
        <f t="shared" si="368"/>
      </c>
      <c r="X342" s="170">
        <v>0.198</v>
      </c>
      <c r="Y342" s="171">
        <v>3</v>
      </c>
      <c r="Z342" s="171">
        <f>F342*0.15</f>
      </c>
      <c r="AA342" s="171">
        <f t="shared" si="488"/>
      </c>
      <c r="AB342" s="166">
        <f t="shared" si="510"/>
      </c>
      <c r="AC342" s="166">
        <v>40</v>
      </c>
      <c r="AD342" s="172">
        <f t="shared" si="57"/>
      </c>
      <c r="AE342" s="168">
        <f t="shared" si="112"/>
      </c>
      <c r="AF342" s="169">
        <f t="shared" si="182"/>
      </c>
      <c r="AG342" s="169">
        <f t="shared" si="324"/>
      </c>
      <c r="AH342" s="168">
        <v>6</v>
      </c>
      <c r="AI342" s="169">
        <f t="shared" si="200"/>
      </c>
      <c r="AJ342" s="169"/>
      <c r="AK342" s="169"/>
      <c r="AL342" s="169"/>
      <c r="AM342" s="169"/>
      <c r="AN342" s="173"/>
      <c r="AO342" s="173"/>
      <c r="AP342" s="173"/>
      <c r="AQ342" s="173"/>
      <c r="AR342" s="173"/>
      <c r="AS342" s="173"/>
      <c r="AT342" s="173" t="s">
        <v>725</v>
      </c>
      <c r="AU342" s="173" t="s">
        <v>725</v>
      </c>
      <c r="AV342" s="173" t="s">
        <v>725</v>
      </c>
      <c r="AW342" s="173" t="s">
        <v>725</v>
      </c>
      <c r="AX342" s="173" t="s">
        <v>725</v>
      </c>
      <c r="AY342" s="173" t="s">
        <v>725</v>
      </c>
      <c r="AZ342" s="173" t="s">
        <v>725</v>
      </c>
      <c r="BA342" s="173" t="s">
        <v>725</v>
      </c>
      <c r="BB342" s="173" t="s">
        <v>725</v>
      </c>
      <c r="BC342" s="173" t="s">
        <v>725</v>
      </c>
      <c r="BD342" s="173" t="s">
        <v>725</v>
      </c>
      <c r="BE342" s="173" t="s">
        <v>725</v>
      </c>
      <c r="BF342" s="173" t="s">
        <v>725</v>
      </c>
      <c r="BG342" s="173" t="s">
        <v>725</v>
      </c>
      <c r="BH342" s="173" t="s">
        <v>725</v>
      </c>
      <c r="BI342" s="173" t="s">
        <v>725</v>
      </c>
      <c r="BJ342" s="173" t="s">
        <v>725</v>
      </c>
      <c r="BK342" s="173" t="s">
        <v>725</v>
      </c>
      <c r="BL342" s="173" t="s">
        <v>725</v>
      </c>
      <c r="BM342" s="173" t="s">
        <v>725</v>
      </c>
      <c r="BN342" s="173" t="s">
        <v>725</v>
      </c>
      <c r="BO342" s="173" t="s">
        <v>725</v>
      </c>
      <c r="BP342" s="173" t="s">
        <v>725</v>
      </c>
      <c r="BQ342" s="173" t="s">
        <v>725</v>
      </c>
      <c r="BR342" s="174"/>
      <c r="BS342" s="161" t="str">
        <v>#VALUE!</v>
      </c>
    </row>
    <row customHeight="true" ht="18.51851851851852" r="343">
      <c r="A343" s="161" t="s">
        <v>733</v>
      </c>
      <c r="B343" s="161" t="s">
        <v>730</v>
      </c>
      <c r="C343" s="183" t="s">
        <v>841</v>
      </c>
      <c r="D343" s="189" t="s">
        <v>842</v>
      </c>
      <c r="E343" s="186">
        <v>15.2</v>
      </c>
      <c r="F343" s="163">
        <v>21.99</v>
      </c>
      <c r="G343" s="164">
        <f t="shared" si="15"/>
      </c>
      <c r="H343" s="164">
        <f t="shared" si="79"/>
      </c>
      <c r="I343" s="164">
        <f t="shared" si="141"/>
      </c>
      <c r="J343" s="165">
        <f t="shared" si="222"/>
      </c>
      <c r="K343" s="166">
        <f t="shared" si="275"/>
      </c>
      <c r="L343" s="167">
        <f t="shared" si="346"/>
      </c>
      <c r="M343" s="164">
        <f t="shared" si="391"/>
      </c>
      <c r="N343" s="166">
        <f t="shared" si="441"/>
      </c>
      <c r="O343" s="166">
        <f t="shared" si="466"/>
      </c>
      <c r="P343" s="161">
        <v>30</v>
      </c>
      <c r="Q343" s="168">
        <v>8</v>
      </c>
      <c r="R343" s="169">
        <f t="shared" si="35"/>
      </c>
      <c r="S343" s="165">
        <f t="shared" si="532"/>
      </c>
      <c r="T343" s="169">
        <f t="shared" si="160"/>
      </c>
      <c r="U343" s="169">
        <v>0.01</v>
      </c>
      <c r="V343" s="169">
        <f t="shared" si="297"/>
      </c>
      <c r="W343" s="169">
        <f t="shared" si="368"/>
      </c>
      <c r="X343" s="170">
        <v>0.1846</v>
      </c>
      <c r="Y343" s="171">
        <v>3</v>
      </c>
      <c r="Z343" s="171">
        <v>0</v>
      </c>
      <c r="AA343" s="171">
        <f t="shared" si="488"/>
      </c>
      <c r="AB343" s="166">
        <f t="shared" si="510"/>
      </c>
      <c r="AC343" s="166">
        <v>40</v>
      </c>
      <c r="AD343" s="172">
        <f t="shared" si="57"/>
      </c>
      <c r="AE343" s="168">
        <f t="shared" si="112"/>
      </c>
      <c r="AF343" s="169">
        <f t="shared" si="182"/>
      </c>
      <c r="AG343" s="169">
        <f t="shared" si="324"/>
      </c>
      <c r="AH343" s="168">
        <v>6</v>
      </c>
      <c r="AI343" s="165">
        <f t="shared" si="200"/>
      </c>
      <c r="AJ343" s="165"/>
      <c r="AK343" s="165"/>
      <c r="AL343" s="165"/>
      <c r="AM343" s="165"/>
      <c r="AN343" s="173"/>
      <c r="AO343" s="173"/>
      <c r="AP343" s="173"/>
      <c r="AQ343" s="173"/>
      <c r="AR343" s="173"/>
      <c r="AS343" s="173"/>
      <c r="AT343" s="173" t="s">
        <v>725</v>
      </c>
      <c r="AU343" s="173" t="s">
        <v>725</v>
      </c>
      <c r="AV343" s="173" t="s">
        <v>725</v>
      </c>
      <c r="AW343" s="173" t="s">
        <v>725</v>
      </c>
      <c r="AX343" s="173" t="s">
        <v>725</v>
      </c>
      <c r="AY343" s="173" t="s">
        <v>725</v>
      </c>
      <c r="AZ343" s="173" t="s">
        <v>725</v>
      </c>
      <c r="BA343" s="173" t="s">
        <v>725</v>
      </c>
      <c r="BB343" s="173" t="s">
        <v>725</v>
      </c>
      <c r="BC343" s="173" t="s">
        <v>725</v>
      </c>
      <c r="BD343" s="173" t="s">
        <v>725</v>
      </c>
      <c r="BE343" s="173" t="s">
        <v>725</v>
      </c>
      <c r="BF343" s="173" t="s">
        <v>725</v>
      </c>
      <c r="BG343" s="173" t="s">
        <v>725</v>
      </c>
      <c r="BH343" s="173" t="s">
        <v>725</v>
      </c>
      <c r="BI343" s="173" t="s">
        <v>725</v>
      </c>
      <c r="BJ343" s="173" t="s">
        <v>725</v>
      </c>
      <c r="BK343" s="173" t="s">
        <v>725</v>
      </c>
      <c r="BL343" s="173" t="s">
        <v>725</v>
      </c>
      <c r="BM343" s="173" t="s">
        <v>725</v>
      </c>
      <c r="BN343" s="173" t="s">
        <v>725</v>
      </c>
      <c r="BO343" s="173" t="s">
        <v>725</v>
      </c>
      <c r="BP343" s="173" t="s">
        <v>725</v>
      </c>
      <c r="BQ343" s="173" t="s">
        <v>725</v>
      </c>
      <c r="BR343" s="174"/>
      <c r="BS343" s="161" t="str">
        <v>#VALUE!</v>
      </c>
    </row>
    <row customHeight="true" ht="18.51851851851852" r="344">
      <c r="A344" s="161" t="s">
        <v>733</v>
      </c>
      <c r="B344" s="161" t="s">
        <v>730</v>
      </c>
      <c r="C344" s="183" t="s">
        <v>841</v>
      </c>
      <c r="D344" s="189" t="s">
        <v>843</v>
      </c>
      <c r="E344" s="186">
        <v>15.2</v>
      </c>
      <c r="F344" s="163">
        <v>21.99</v>
      </c>
      <c r="G344" s="164">
        <f t="shared" si="15"/>
      </c>
      <c r="H344" s="164">
        <f t="shared" si="79"/>
      </c>
      <c r="I344" s="175">
        <f t="shared" si="141"/>
      </c>
      <c r="J344" s="165">
        <f t="shared" si="222"/>
      </c>
      <c r="K344" s="166">
        <f t="shared" si="275"/>
      </c>
      <c r="L344" s="167">
        <f t="shared" si="346"/>
      </c>
      <c r="M344" s="164">
        <f t="shared" si="391"/>
      </c>
      <c r="N344" s="166">
        <f t="shared" si="441"/>
      </c>
      <c r="O344" s="166">
        <f t="shared" si="466"/>
      </c>
      <c r="P344" s="161">
        <v>30</v>
      </c>
      <c r="Q344" s="168">
        <v>8</v>
      </c>
      <c r="R344" s="169">
        <f t="shared" si="35"/>
      </c>
      <c r="S344" s="165">
        <f t="shared" si="532"/>
      </c>
      <c r="T344" s="169">
        <f t="shared" si="160"/>
      </c>
      <c r="U344" s="169">
        <v>0.01</v>
      </c>
      <c r="V344" s="169">
        <f t="shared" si="297"/>
      </c>
      <c r="W344" s="169">
        <f t="shared" si="368"/>
      </c>
      <c r="X344" s="170">
        <v>0.1846</v>
      </c>
      <c r="Y344" s="171">
        <v>3</v>
      </c>
      <c r="Z344" s="171">
        <f>F344*0.1</f>
      </c>
      <c r="AA344" s="171">
        <f t="shared" si="488"/>
      </c>
      <c r="AB344" s="166">
        <f t="shared" si="510"/>
      </c>
      <c r="AC344" s="166">
        <v>40</v>
      </c>
      <c r="AD344" s="172">
        <f t="shared" si="57"/>
      </c>
      <c r="AE344" s="168">
        <f t="shared" si="112"/>
      </c>
      <c r="AF344" s="169">
        <f t="shared" si="182"/>
      </c>
      <c r="AG344" s="169">
        <f t="shared" si="324"/>
      </c>
      <c r="AH344" s="168">
        <v>6</v>
      </c>
      <c r="AI344" s="165">
        <f t="shared" si="200"/>
      </c>
      <c r="AJ344" s="165"/>
      <c r="AK344" s="165"/>
      <c r="AL344" s="165"/>
      <c r="AM344" s="165"/>
      <c r="AN344" s="173"/>
      <c r="AO344" s="173"/>
      <c r="AP344" s="173"/>
      <c r="AQ344" s="173"/>
      <c r="AR344" s="173"/>
      <c r="AS344" s="173"/>
      <c r="AT344" s="173" t="s">
        <v>725</v>
      </c>
      <c r="AU344" s="173" t="s">
        <v>725</v>
      </c>
      <c r="AV344" s="173" t="s">
        <v>725</v>
      </c>
      <c r="AW344" s="173" t="s">
        <v>725</v>
      </c>
      <c r="AX344" s="173" t="s">
        <v>725</v>
      </c>
      <c r="AY344" s="173" t="s">
        <v>725</v>
      </c>
      <c r="AZ344" s="173" t="s">
        <v>725</v>
      </c>
      <c r="BA344" s="173" t="s">
        <v>725</v>
      </c>
      <c r="BB344" s="173" t="s">
        <v>725</v>
      </c>
      <c r="BC344" s="173" t="s">
        <v>725</v>
      </c>
      <c r="BD344" s="173" t="s">
        <v>725</v>
      </c>
      <c r="BE344" s="173" t="s">
        <v>725</v>
      </c>
      <c r="BF344" s="173" t="s">
        <v>725</v>
      </c>
      <c r="BG344" s="173" t="s">
        <v>725</v>
      </c>
      <c r="BH344" s="173" t="s">
        <v>725</v>
      </c>
      <c r="BI344" s="173" t="s">
        <v>725</v>
      </c>
      <c r="BJ344" s="173" t="s">
        <v>725</v>
      </c>
      <c r="BK344" s="173" t="s">
        <v>725</v>
      </c>
      <c r="BL344" s="173" t="s">
        <v>725</v>
      </c>
      <c r="BM344" s="173" t="s">
        <v>725</v>
      </c>
      <c r="BN344" s="173" t="s">
        <v>725</v>
      </c>
      <c r="BO344" s="173" t="s">
        <v>725</v>
      </c>
      <c r="BP344" s="173" t="s">
        <v>725</v>
      </c>
      <c r="BQ344" s="173" t="s">
        <v>725</v>
      </c>
      <c r="BR344" s="174"/>
      <c r="BS344" s="161" t="str">
        <v>#VALUE!</v>
      </c>
    </row>
    <row customHeight="true" ht="18.51851851851852" r="345">
      <c r="A345" s="161" t="s">
        <v>733</v>
      </c>
      <c r="B345" s="161" t="s">
        <v>730</v>
      </c>
      <c r="C345" s="183" t="s">
        <v>841</v>
      </c>
      <c r="D345" s="189" t="s">
        <v>844</v>
      </c>
      <c r="E345" s="186">
        <v>15.2</v>
      </c>
      <c r="F345" s="163">
        <v>21.99</v>
      </c>
      <c r="G345" s="164">
        <f t="shared" si="15"/>
      </c>
      <c r="H345" s="164">
        <f t="shared" si="79"/>
      </c>
      <c r="I345" s="164">
        <f t="shared" si="141"/>
      </c>
      <c r="J345" s="165">
        <f t="shared" si="222"/>
      </c>
      <c r="K345" s="166">
        <f t="shared" si="275"/>
      </c>
      <c r="L345" s="167">
        <f t="shared" si="346"/>
      </c>
      <c r="M345" s="164">
        <f t="shared" si="391"/>
      </c>
      <c r="N345" s="166">
        <f t="shared" si="441"/>
      </c>
      <c r="O345" s="166">
        <f t="shared" si="466"/>
      </c>
      <c r="P345" s="161">
        <v>30</v>
      </c>
      <c r="Q345" s="168">
        <v>8</v>
      </c>
      <c r="R345" s="169">
        <f t="shared" si="35"/>
      </c>
      <c r="S345" s="165">
        <f t="shared" si="532"/>
      </c>
      <c r="T345" s="169">
        <f t="shared" si="160"/>
      </c>
      <c r="U345" s="169">
        <v>0.01</v>
      </c>
      <c r="V345" s="169">
        <f t="shared" si="297"/>
      </c>
      <c r="W345" s="169">
        <f t="shared" si="368"/>
      </c>
      <c r="X345" s="170">
        <v>0.1846</v>
      </c>
      <c r="Y345" s="171">
        <v>3</v>
      </c>
      <c r="Z345" s="171">
        <f>F345*0.15</f>
      </c>
      <c r="AA345" s="171">
        <f t="shared" si="488"/>
      </c>
      <c r="AB345" s="166">
        <f t="shared" si="510"/>
      </c>
      <c r="AC345" s="166">
        <v>40</v>
      </c>
      <c r="AD345" s="172">
        <f t="shared" si="57"/>
      </c>
      <c r="AE345" s="168">
        <f t="shared" si="112"/>
      </c>
      <c r="AF345" s="169">
        <f t="shared" si="182"/>
      </c>
      <c r="AG345" s="169">
        <f t="shared" si="324"/>
      </c>
      <c r="AH345" s="168">
        <v>6</v>
      </c>
      <c r="AI345" s="165">
        <f t="shared" si="200"/>
      </c>
      <c r="AJ345" s="165"/>
      <c r="AK345" s="165"/>
      <c r="AL345" s="165"/>
      <c r="AM345" s="165"/>
      <c r="AN345" s="173"/>
      <c r="AO345" s="173"/>
      <c r="AP345" s="173"/>
      <c r="AQ345" s="173"/>
      <c r="AR345" s="173"/>
      <c r="AS345" s="173"/>
      <c r="AT345" s="173" t="s">
        <v>725</v>
      </c>
      <c r="AU345" s="173" t="s">
        <v>725</v>
      </c>
      <c r="AV345" s="173" t="s">
        <v>725</v>
      </c>
      <c r="AW345" s="173" t="s">
        <v>725</v>
      </c>
      <c r="AX345" s="173" t="s">
        <v>725</v>
      </c>
      <c r="AY345" s="173" t="s">
        <v>725</v>
      </c>
      <c r="AZ345" s="173" t="s">
        <v>725</v>
      </c>
      <c r="BA345" s="173" t="s">
        <v>725</v>
      </c>
      <c r="BB345" s="173" t="s">
        <v>725</v>
      </c>
      <c r="BC345" s="173" t="s">
        <v>725</v>
      </c>
      <c r="BD345" s="173" t="s">
        <v>725</v>
      </c>
      <c r="BE345" s="173" t="s">
        <v>725</v>
      </c>
      <c r="BF345" s="173" t="s">
        <v>725</v>
      </c>
      <c r="BG345" s="173" t="s">
        <v>725</v>
      </c>
      <c r="BH345" s="173" t="s">
        <v>725</v>
      </c>
      <c r="BI345" s="173" t="s">
        <v>725</v>
      </c>
      <c r="BJ345" s="173" t="s">
        <v>725</v>
      </c>
      <c r="BK345" s="173" t="s">
        <v>725</v>
      </c>
      <c r="BL345" s="173" t="s">
        <v>725</v>
      </c>
      <c r="BM345" s="173" t="s">
        <v>725</v>
      </c>
      <c r="BN345" s="173" t="s">
        <v>725</v>
      </c>
      <c r="BO345" s="173" t="s">
        <v>725</v>
      </c>
      <c r="BP345" s="173" t="s">
        <v>725</v>
      </c>
      <c r="BQ345" s="173" t="s">
        <v>725</v>
      </c>
      <c r="BR345" s="174"/>
      <c r="BS345" s="161" t="str">
        <v>#VALUE!</v>
      </c>
    </row>
    <row customHeight="true" ht="18.51851851851852" r="346">
      <c r="A346" s="161" t="s">
        <v>734</v>
      </c>
      <c r="B346" s="161" t="s">
        <v>730</v>
      </c>
      <c r="C346" s="183" t="s">
        <v>841</v>
      </c>
      <c r="D346" s="189" t="s">
        <v>842</v>
      </c>
      <c r="E346" s="186">
        <v>15.2</v>
      </c>
      <c r="F346" s="163">
        <v>21.99</v>
      </c>
      <c r="G346" s="164">
        <f t="shared" si="15"/>
      </c>
      <c r="H346" s="164">
        <f t="shared" si="79"/>
      </c>
      <c r="I346" s="164">
        <f t="shared" si="141"/>
      </c>
      <c r="J346" s="165">
        <f t="shared" si="222"/>
      </c>
      <c r="K346" s="166">
        <f t="shared" si="275"/>
      </c>
      <c r="L346" s="167">
        <f t="shared" si="346"/>
      </c>
      <c r="M346" s="164">
        <f t="shared" si="391"/>
      </c>
      <c r="N346" s="166">
        <f t="shared" si="441"/>
      </c>
      <c r="O346" s="166">
        <f t="shared" si="466"/>
      </c>
      <c r="P346" s="161">
        <v>30</v>
      </c>
      <c r="Q346" s="168">
        <v>8</v>
      </c>
      <c r="R346" s="169">
        <f t="shared" si="35"/>
      </c>
      <c r="S346" s="165">
        <f t="shared" si="532"/>
      </c>
      <c r="T346" s="169">
        <f t="shared" si="160"/>
      </c>
      <c r="U346" s="169">
        <v>0.01</v>
      </c>
      <c r="V346" s="169">
        <f t="shared" si="297"/>
      </c>
      <c r="W346" s="169">
        <f t="shared" si="368"/>
      </c>
      <c r="X346" s="170">
        <v>0.1646</v>
      </c>
      <c r="Y346" s="171">
        <v>3</v>
      </c>
      <c r="Z346" s="171">
        <v>0</v>
      </c>
      <c r="AA346" s="171">
        <f t="shared" si="488"/>
      </c>
      <c r="AB346" s="166">
        <f t="shared" si="510"/>
      </c>
      <c r="AC346" s="166">
        <v>40</v>
      </c>
      <c r="AD346" s="172">
        <f t="shared" si="57"/>
      </c>
      <c r="AE346" s="168">
        <f t="shared" si="112"/>
      </c>
      <c r="AF346" s="169">
        <f t="shared" si="182"/>
      </c>
      <c r="AG346" s="169">
        <f t="shared" si="324"/>
      </c>
      <c r="AH346" s="168">
        <v>6</v>
      </c>
      <c r="AI346" s="169">
        <f t="shared" si="200"/>
      </c>
      <c r="AJ346" s="169"/>
      <c r="AK346" s="169"/>
      <c r="AL346" s="169"/>
      <c r="AM346" s="169"/>
      <c r="AN346" s="173"/>
      <c r="AO346" s="173"/>
      <c r="AP346" s="173"/>
      <c r="AQ346" s="173"/>
      <c r="AR346" s="173"/>
      <c r="AS346" s="173"/>
      <c r="AT346" s="173" t="s">
        <v>725</v>
      </c>
      <c r="AU346" s="173" t="s">
        <v>725</v>
      </c>
      <c r="AV346" s="173" t="s">
        <v>725</v>
      </c>
      <c r="AW346" s="173" t="s">
        <v>725</v>
      </c>
      <c r="AX346" s="173" t="s">
        <v>725</v>
      </c>
      <c r="AY346" s="173" t="s">
        <v>725</v>
      </c>
      <c r="AZ346" s="173" t="s">
        <v>725</v>
      </c>
      <c r="BA346" s="173" t="s">
        <v>725</v>
      </c>
      <c r="BB346" s="173" t="s">
        <v>725</v>
      </c>
      <c r="BC346" s="173" t="s">
        <v>725</v>
      </c>
      <c r="BD346" s="173" t="s">
        <v>725</v>
      </c>
      <c r="BE346" s="173" t="s">
        <v>725</v>
      </c>
      <c r="BF346" s="173" t="s">
        <v>725</v>
      </c>
      <c r="BG346" s="173" t="s">
        <v>725</v>
      </c>
      <c r="BH346" s="173" t="s">
        <v>725</v>
      </c>
      <c r="BI346" s="173" t="s">
        <v>725</v>
      </c>
      <c r="BJ346" s="173" t="s">
        <v>725</v>
      </c>
      <c r="BK346" s="173" t="s">
        <v>725</v>
      </c>
      <c r="BL346" s="173" t="s">
        <v>725</v>
      </c>
      <c r="BM346" s="173" t="s">
        <v>725</v>
      </c>
      <c r="BN346" s="173" t="s">
        <v>725</v>
      </c>
      <c r="BO346" s="173" t="s">
        <v>725</v>
      </c>
      <c r="BP346" s="173" t="s">
        <v>725</v>
      </c>
      <c r="BQ346" s="173" t="s">
        <v>725</v>
      </c>
      <c r="BR346" s="174"/>
      <c r="BS346" s="161" t="str">
        <v>#VALUE!</v>
      </c>
    </row>
    <row customHeight="true" ht="18.51851851851852" r="347">
      <c r="A347" s="161" t="s">
        <v>734</v>
      </c>
      <c r="B347" s="161" t="s">
        <v>730</v>
      </c>
      <c r="C347" s="183" t="s">
        <v>841</v>
      </c>
      <c r="D347" s="189" t="s">
        <v>843</v>
      </c>
      <c r="E347" s="186">
        <v>15.2</v>
      </c>
      <c r="F347" s="163">
        <v>21.99</v>
      </c>
      <c r="G347" s="164">
        <f t="shared" si="15"/>
      </c>
      <c r="H347" s="164">
        <f t="shared" si="79"/>
      </c>
      <c r="I347" s="175">
        <f t="shared" si="141"/>
      </c>
      <c r="J347" s="165">
        <f t="shared" si="222"/>
      </c>
      <c r="K347" s="166">
        <f t="shared" si="275"/>
      </c>
      <c r="L347" s="167">
        <f t="shared" si="346"/>
      </c>
      <c r="M347" s="164">
        <f t="shared" si="391"/>
      </c>
      <c r="N347" s="166">
        <f t="shared" si="441"/>
      </c>
      <c r="O347" s="166">
        <f t="shared" si="466"/>
      </c>
      <c r="P347" s="161">
        <v>30</v>
      </c>
      <c r="Q347" s="168">
        <v>8</v>
      </c>
      <c r="R347" s="169">
        <f t="shared" si="35"/>
      </c>
      <c r="S347" s="165">
        <f t="shared" si="532"/>
      </c>
      <c r="T347" s="169">
        <f t="shared" si="160"/>
      </c>
      <c r="U347" s="169">
        <v>0.01</v>
      </c>
      <c r="V347" s="169">
        <f t="shared" si="297"/>
      </c>
      <c r="W347" s="169">
        <f t="shared" si="368"/>
      </c>
      <c r="X347" s="170">
        <v>0.1646</v>
      </c>
      <c r="Y347" s="171">
        <v>3</v>
      </c>
      <c r="Z347" s="171">
        <f>F347*0.1</f>
      </c>
      <c r="AA347" s="171">
        <f t="shared" si="488"/>
      </c>
      <c r="AB347" s="166">
        <f t="shared" si="510"/>
      </c>
      <c r="AC347" s="166">
        <v>40</v>
      </c>
      <c r="AD347" s="172">
        <f t="shared" si="57"/>
      </c>
      <c r="AE347" s="168">
        <f t="shared" si="112"/>
      </c>
      <c r="AF347" s="169">
        <f t="shared" si="182"/>
      </c>
      <c r="AG347" s="169">
        <f t="shared" si="324"/>
      </c>
      <c r="AH347" s="168">
        <v>6</v>
      </c>
      <c r="AI347" s="169">
        <f t="shared" si="200"/>
      </c>
      <c r="AJ347" s="169"/>
      <c r="AK347" s="169"/>
      <c r="AL347" s="169"/>
      <c r="AM347" s="169"/>
      <c r="AN347" s="173"/>
      <c r="AO347" s="173"/>
      <c r="AP347" s="173"/>
      <c r="AQ347" s="173"/>
      <c r="AR347" s="173"/>
      <c r="AS347" s="173"/>
      <c r="AT347" s="173" t="s">
        <v>725</v>
      </c>
      <c r="AU347" s="173" t="s">
        <v>725</v>
      </c>
      <c r="AV347" s="173" t="s">
        <v>725</v>
      </c>
      <c r="AW347" s="173" t="s">
        <v>725</v>
      </c>
      <c r="AX347" s="173" t="s">
        <v>725</v>
      </c>
      <c r="AY347" s="173" t="s">
        <v>725</v>
      </c>
      <c r="AZ347" s="173" t="s">
        <v>725</v>
      </c>
      <c r="BA347" s="173" t="s">
        <v>725</v>
      </c>
      <c r="BB347" s="173" t="s">
        <v>725</v>
      </c>
      <c r="BC347" s="173" t="s">
        <v>725</v>
      </c>
      <c r="BD347" s="173" t="s">
        <v>725</v>
      </c>
      <c r="BE347" s="173" t="s">
        <v>725</v>
      </c>
      <c r="BF347" s="173" t="s">
        <v>725</v>
      </c>
      <c r="BG347" s="173" t="s">
        <v>725</v>
      </c>
      <c r="BH347" s="173" t="s">
        <v>725</v>
      </c>
      <c r="BI347" s="173" t="s">
        <v>725</v>
      </c>
      <c r="BJ347" s="173" t="s">
        <v>725</v>
      </c>
      <c r="BK347" s="173" t="s">
        <v>725</v>
      </c>
      <c r="BL347" s="173" t="s">
        <v>725</v>
      </c>
      <c r="BM347" s="173" t="s">
        <v>725</v>
      </c>
      <c r="BN347" s="173" t="s">
        <v>725</v>
      </c>
      <c r="BO347" s="173" t="s">
        <v>725</v>
      </c>
      <c r="BP347" s="173" t="s">
        <v>725</v>
      </c>
      <c r="BQ347" s="173" t="s">
        <v>725</v>
      </c>
      <c r="BR347" s="174"/>
      <c r="BS347" s="161" t="str">
        <v>#VALUE!</v>
      </c>
    </row>
    <row customHeight="true" ht="18.51851851851852" r="348">
      <c r="A348" s="161" t="s">
        <v>734</v>
      </c>
      <c r="B348" s="161" t="s">
        <v>730</v>
      </c>
      <c r="C348" s="183" t="s">
        <v>841</v>
      </c>
      <c r="D348" s="189" t="s">
        <v>844</v>
      </c>
      <c r="E348" s="186">
        <v>15.2</v>
      </c>
      <c r="F348" s="163">
        <v>21.99</v>
      </c>
      <c r="G348" s="164">
        <f t="shared" si="15"/>
      </c>
      <c r="H348" s="164">
        <f t="shared" si="79"/>
      </c>
      <c r="I348" s="164">
        <f t="shared" si="141"/>
      </c>
      <c r="J348" s="165">
        <f t="shared" si="222"/>
      </c>
      <c r="K348" s="166">
        <f t="shared" si="275"/>
      </c>
      <c r="L348" s="167">
        <f t="shared" si="346"/>
      </c>
      <c r="M348" s="164">
        <f t="shared" si="391"/>
      </c>
      <c r="N348" s="166">
        <f t="shared" si="441"/>
      </c>
      <c r="O348" s="166">
        <f t="shared" si="466"/>
      </c>
      <c r="P348" s="161">
        <v>30</v>
      </c>
      <c r="Q348" s="168">
        <v>8</v>
      </c>
      <c r="R348" s="169">
        <f t="shared" si="35"/>
      </c>
      <c r="S348" s="165">
        <f t="shared" si="532"/>
      </c>
      <c r="T348" s="169">
        <f t="shared" si="160"/>
      </c>
      <c r="U348" s="169">
        <v>0.01</v>
      </c>
      <c r="V348" s="169">
        <f t="shared" si="297"/>
      </c>
      <c r="W348" s="169">
        <f t="shared" si="368"/>
      </c>
      <c r="X348" s="170">
        <v>0.1646</v>
      </c>
      <c r="Y348" s="171">
        <v>3</v>
      </c>
      <c r="Z348" s="171">
        <f>F348*0.15</f>
      </c>
      <c r="AA348" s="171">
        <f t="shared" si="488"/>
      </c>
      <c r="AB348" s="166">
        <f t="shared" si="510"/>
      </c>
      <c r="AC348" s="166">
        <v>40</v>
      </c>
      <c r="AD348" s="172">
        <f t="shared" si="57"/>
      </c>
      <c r="AE348" s="168">
        <f t="shared" si="112"/>
      </c>
      <c r="AF348" s="169">
        <f t="shared" si="182"/>
      </c>
      <c r="AG348" s="169">
        <f t="shared" si="324"/>
      </c>
      <c r="AH348" s="168">
        <v>6</v>
      </c>
      <c r="AI348" s="169">
        <f t="shared" si="200"/>
      </c>
      <c r="AJ348" s="169"/>
      <c r="AK348" s="169"/>
      <c r="AL348" s="169"/>
      <c r="AM348" s="169"/>
      <c r="AN348" s="173"/>
      <c r="AO348" s="173"/>
      <c r="AP348" s="173"/>
      <c r="AQ348" s="173"/>
      <c r="AR348" s="173"/>
      <c r="AS348" s="173"/>
      <c r="AT348" s="173" t="s">
        <v>725</v>
      </c>
      <c r="AU348" s="173" t="s">
        <v>725</v>
      </c>
      <c r="AV348" s="173" t="s">
        <v>725</v>
      </c>
      <c r="AW348" s="173" t="s">
        <v>725</v>
      </c>
      <c r="AX348" s="173" t="s">
        <v>725</v>
      </c>
      <c r="AY348" s="173" t="s">
        <v>725</v>
      </c>
      <c r="AZ348" s="173" t="s">
        <v>725</v>
      </c>
      <c r="BA348" s="173" t="s">
        <v>725</v>
      </c>
      <c r="BB348" s="173" t="s">
        <v>725</v>
      </c>
      <c r="BC348" s="173" t="s">
        <v>725</v>
      </c>
      <c r="BD348" s="173" t="s">
        <v>725</v>
      </c>
      <c r="BE348" s="173" t="s">
        <v>725</v>
      </c>
      <c r="BF348" s="173" t="s">
        <v>725</v>
      </c>
      <c r="BG348" s="173" t="s">
        <v>725</v>
      </c>
      <c r="BH348" s="173" t="s">
        <v>725</v>
      </c>
      <c r="BI348" s="173" t="s">
        <v>725</v>
      </c>
      <c r="BJ348" s="173" t="s">
        <v>725</v>
      </c>
      <c r="BK348" s="173" t="s">
        <v>725</v>
      </c>
      <c r="BL348" s="173" t="s">
        <v>725</v>
      </c>
      <c r="BM348" s="173" t="s">
        <v>725</v>
      </c>
      <c r="BN348" s="173" t="s">
        <v>725</v>
      </c>
      <c r="BO348" s="173" t="s">
        <v>725</v>
      </c>
      <c r="BP348" s="173" t="s">
        <v>725</v>
      </c>
      <c r="BQ348" s="173" t="s">
        <v>725</v>
      </c>
      <c r="BR348" s="174"/>
      <c r="BS348" s="161" t="str">
        <v>#VALUE!</v>
      </c>
    </row>
    <row customHeight="true" ht="18.51851851851852" r="349">
      <c r="A349" s="161" t="s">
        <v>735</v>
      </c>
      <c r="B349" s="161" t="s">
        <v>730</v>
      </c>
      <c r="C349" s="183" t="s">
        <v>841</v>
      </c>
      <c r="D349" s="178" t="s">
        <v>845</v>
      </c>
      <c r="E349" s="186">
        <v>15.2</v>
      </c>
      <c r="F349" s="163">
        <v>21.99</v>
      </c>
      <c r="G349" s="164">
        <f t="shared" si="15"/>
      </c>
      <c r="H349" s="164">
        <f t="shared" si="79"/>
      </c>
      <c r="I349" s="164">
        <f t="shared" si="141"/>
      </c>
      <c r="J349" s="165">
        <f t="shared" si="222"/>
      </c>
      <c r="K349" s="166">
        <f t="shared" si="275"/>
      </c>
      <c r="L349" s="167">
        <f t="shared" si="346"/>
      </c>
      <c r="M349" s="164">
        <f t="shared" si="391"/>
      </c>
      <c r="N349" s="166">
        <f t="shared" si="441"/>
      </c>
      <c r="O349" s="166">
        <f t="shared" si="466"/>
      </c>
      <c r="P349" s="161">
        <v>30</v>
      </c>
      <c r="Q349" s="168">
        <v>8</v>
      </c>
      <c r="R349" s="169">
        <f t="shared" si="35"/>
      </c>
      <c r="S349" s="165">
        <f t="shared" si="532"/>
      </c>
      <c r="T349" s="169">
        <f t="shared" si="160"/>
      </c>
      <c r="U349" s="169">
        <v>0.01</v>
      </c>
      <c r="V349" s="169">
        <f t="shared" si="297"/>
      </c>
      <c r="W349" s="169">
        <f t="shared" si="368"/>
      </c>
      <c r="X349" s="170">
        <v>0.158</v>
      </c>
      <c r="Y349" s="171">
        <v>3</v>
      </c>
      <c r="Z349" s="171">
        <f t="shared" ref="Z349:Z352" si="410">F349*0</f>
      </c>
      <c r="AA349" s="171">
        <f t="shared" si="488"/>
      </c>
      <c r="AB349" s="166">
        <f t="shared" si="510"/>
      </c>
      <c r="AC349" s="166">
        <v>40</v>
      </c>
      <c r="AD349" s="172">
        <f t="shared" si="57"/>
      </c>
      <c r="AE349" s="168">
        <f t="shared" si="112"/>
      </c>
      <c r="AF349" s="169">
        <f t="shared" si="182"/>
      </c>
      <c r="AG349" s="169">
        <f t="shared" si="324"/>
      </c>
      <c r="AH349" s="168">
        <v>6</v>
      </c>
      <c r="AI349" s="169">
        <f t="shared" si="200"/>
      </c>
      <c r="AJ349" s="173"/>
      <c r="AK349" s="173"/>
      <c r="AL349" s="173"/>
      <c r="AM349" s="173"/>
      <c r="AN349" s="173"/>
      <c r="AO349" s="173"/>
      <c r="AP349" s="173"/>
      <c r="AQ349" s="173"/>
      <c r="AR349" s="173"/>
      <c r="AS349" s="173"/>
      <c r="AT349" s="173" t="s">
        <v>725</v>
      </c>
      <c r="AU349" s="173" t="s">
        <v>725</v>
      </c>
      <c r="AV349" s="173" t="s">
        <v>725</v>
      </c>
      <c r="AW349" s="173" t="s">
        <v>725</v>
      </c>
      <c r="AX349" s="173" t="s">
        <v>725</v>
      </c>
      <c r="AY349" s="173" t="s">
        <v>725</v>
      </c>
      <c r="AZ349" s="173" t="s">
        <v>725</v>
      </c>
      <c r="BA349" s="173" t="s">
        <v>725</v>
      </c>
      <c r="BB349" s="173" t="s">
        <v>725</v>
      </c>
      <c r="BC349" s="173" t="s">
        <v>725</v>
      </c>
      <c r="BD349" s="173" t="s">
        <v>725</v>
      </c>
      <c r="BE349" s="173" t="s">
        <v>725</v>
      </c>
      <c r="BF349" s="173" t="s">
        <v>725</v>
      </c>
      <c r="BG349" s="173" t="s">
        <v>725</v>
      </c>
      <c r="BH349" s="173" t="s">
        <v>725</v>
      </c>
      <c r="BI349" s="173" t="s">
        <v>725</v>
      </c>
      <c r="BJ349" s="173" t="s">
        <v>725</v>
      </c>
      <c r="BK349" s="173" t="s">
        <v>725</v>
      </c>
      <c r="BL349" s="173" t="s">
        <v>725</v>
      </c>
      <c r="BM349" s="173" t="s">
        <v>725</v>
      </c>
      <c r="BN349" s="173" t="s">
        <v>725</v>
      </c>
      <c r="BO349" s="173" t="s">
        <v>725</v>
      </c>
      <c r="BP349" s="173" t="s">
        <v>725</v>
      </c>
      <c r="BQ349" s="173" t="s">
        <v>725</v>
      </c>
      <c r="BR349" s="180">
        <f t="shared" ref="BR349:BR352" si="251">IF(E349&lt;#REF!,1,0)</f>
      </c>
      <c r="BS349" s="161" t="str">
        <v>#VALUE!</v>
      </c>
    </row>
    <row customHeight="true" ht="18.51851851851852" r="350">
      <c r="A350" s="161" t="s">
        <v>737</v>
      </c>
      <c r="B350" s="161" t="s">
        <v>730</v>
      </c>
      <c r="C350" s="183" t="s">
        <v>841</v>
      </c>
      <c r="D350" s="178" t="s">
        <v>846</v>
      </c>
      <c r="E350" s="186">
        <v>15.2</v>
      </c>
      <c r="F350" s="163">
        <v>21.99</v>
      </c>
      <c r="G350" s="164">
        <f t="shared" si="15"/>
      </c>
      <c r="H350" s="164">
        <f t="shared" si="79"/>
      </c>
      <c r="I350" s="164">
        <f t="shared" si="141"/>
      </c>
      <c r="J350" s="165">
        <f t="shared" si="222"/>
      </c>
      <c r="K350" s="166">
        <f t="shared" si="275"/>
      </c>
      <c r="L350" s="167">
        <f t="shared" si="346"/>
      </c>
      <c r="M350" s="164">
        <f t="shared" si="391"/>
      </c>
      <c r="N350" s="166">
        <f t="shared" si="441"/>
      </c>
      <c r="O350" s="166">
        <f t="shared" si="466"/>
      </c>
      <c r="P350" s="161">
        <v>30</v>
      </c>
      <c r="Q350" s="168">
        <v>8</v>
      </c>
      <c r="R350" s="169">
        <f t="shared" si="35"/>
      </c>
      <c r="S350" s="165">
        <f t="shared" si="532"/>
      </c>
      <c r="T350" s="169">
        <f t="shared" si="160"/>
      </c>
      <c r="U350" s="169">
        <v>0.01</v>
      </c>
      <c r="V350" s="169">
        <f t="shared" si="297"/>
      </c>
      <c r="W350" s="169">
        <f t="shared" si="368"/>
      </c>
      <c r="X350" s="170">
        <v>0.223</v>
      </c>
      <c r="Y350" s="171">
        <v>3</v>
      </c>
      <c r="Z350" s="171">
        <f t="shared" si="410"/>
      </c>
      <c r="AA350" s="171">
        <f t="shared" si="488"/>
      </c>
      <c r="AB350" s="166">
        <f t="shared" si="510"/>
      </c>
      <c r="AC350" s="166">
        <v>40</v>
      </c>
      <c r="AD350" s="172">
        <f t="shared" si="57"/>
      </c>
      <c r="AE350" s="168">
        <f t="shared" si="112"/>
      </c>
      <c r="AF350" s="169">
        <f t="shared" si="182"/>
      </c>
      <c r="AG350" s="169">
        <f t="shared" si="324"/>
      </c>
      <c r="AH350" s="168">
        <v>6</v>
      </c>
      <c r="AI350" s="169">
        <f t="shared" si="200"/>
      </c>
      <c r="AJ350" s="173"/>
      <c r="AK350" s="173"/>
      <c r="AL350" s="173"/>
      <c r="AM350" s="173"/>
      <c r="AN350" s="173"/>
      <c r="AO350" s="173"/>
      <c r="AP350" s="173"/>
      <c r="AQ350" s="173"/>
      <c r="AR350" s="173"/>
      <c r="AS350" s="173"/>
      <c r="AT350" s="173" t="s">
        <v>725</v>
      </c>
      <c r="AU350" s="173" t="s">
        <v>725</v>
      </c>
      <c r="AV350" s="173" t="s">
        <v>725</v>
      </c>
      <c r="AW350" s="173" t="s">
        <v>725</v>
      </c>
      <c r="AX350" s="173" t="s">
        <v>725</v>
      </c>
      <c r="AY350" s="173" t="s">
        <v>725</v>
      </c>
      <c r="AZ350" s="173" t="s">
        <v>725</v>
      </c>
      <c r="BA350" s="173" t="s">
        <v>725</v>
      </c>
      <c r="BB350" s="173" t="s">
        <v>725</v>
      </c>
      <c r="BC350" s="173" t="s">
        <v>725</v>
      </c>
      <c r="BD350" s="173" t="s">
        <v>725</v>
      </c>
      <c r="BE350" s="173" t="s">
        <v>725</v>
      </c>
      <c r="BF350" s="173" t="s">
        <v>725</v>
      </c>
      <c r="BG350" s="173" t="s">
        <v>725</v>
      </c>
      <c r="BH350" s="173" t="s">
        <v>725</v>
      </c>
      <c r="BI350" s="173" t="s">
        <v>725</v>
      </c>
      <c r="BJ350" s="173" t="s">
        <v>725</v>
      </c>
      <c r="BK350" s="173" t="s">
        <v>725</v>
      </c>
      <c r="BL350" s="173" t="s">
        <v>725</v>
      </c>
      <c r="BM350" s="173" t="s">
        <v>725</v>
      </c>
      <c r="BN350" s="173" t="s">
        <v>725</v>
      </c>
      <c r="BO350" s="173" t="s">
        <v>725</v>
      </c>
      <c r="BP350" s="173" t="s">
        <v>725</v>
      </c>
      <c r="BQ350" s="173" t="s">
        <v>725</v>
      </c>
      <c r="BR350" s="180">
        <f t="shared" si="251"/>
      </c>
      <c r="BS350" s="161" t="str">
        <v>#VALUE!</v>
      </c>
    </row>
    <row customHeight="true" ht="18.51851851851852" r="351">
      <c r="A351" s="161" t="s">
        <v>739</v>
      </c>
      <c r="B351" s="161" t="s">
        <v>730</v>
      </c>
      <c r="C351" s="183" t="s">
        <v>841</v>
      </c>
      <c r="D351" s="178" t="s">
        <v>847</v>
      </c>
      <c r="E351" s="186">
        <v>15.2</v>
      </c>
      <c r="F351" s="163">
        <v>21.99</v>
      </c>
      <c r="G351" s="164">
        <f t="shared" si="15"/>
      </c>
      <c r="H351" s="164">
        <f t="shared" si="79"/>
      </c>
      <c r="I351" s="164">
        <f t="shared" si="141"/>
      </c>
      <c r="J351" s="165">
        <f t="shared" si="222"/>
      </c>
      <c r="K351" s="166">
        <f t="shared" si="275"/>
      </c>
      <c r="L351" s="167">
        <f t="shared" si="346"/>
      </c>
      <c r="M351" s="164">
        <f t="shared" si="391"/>
      </c>
      <c r="N351" s="166">
        <f t="shared" si="441"/>
      </c>
      <c r="O351" s="166">
        <f t="shared" si="466"/>
      </c>
      <c r="P351" s="161">
        <v>30</v>
      </c>
      <c r="Q351" s="168">
        <v>8</v>
      </c>
      <c r="R351" s="169">
        <f t="shared" si="35"/>
      </c>
      <c r="S351" s="165">
        <f t="shared" si="532"/>
      </c>
      <c r="T351" s="169">
        <f t="shared" si="160"/>
      </c>
      <c r="U351" s="169">
        <v>0.01</v>
      </c>
      <c r="V351" s="169">
        <f t="shared" si="297"/>
      </c>
      <c r="W351" s="169">
        <f t="shared" si="368"/>
      </c>
      <c r="X351" s="170">
        <v>0.223</v>
      </c>
      <c r="Y351" s="171">
        <v>3</v>
      </c>
      <c r="Z351" s="171">
        <f t="shared" si="410"/>
      </c>
      <c r="AA351" s="171">
        <f t="shared" si="488"/>
      </c>
      <c r="AB351" s="166">
        <f t="shared" si="510"/>
      </c>
      <c r="AC351" s="166">
        <v>40</v>
      </c>
      <c r="AD351" s="172">
        <f t="shared" si="57"/>
      </c>
      <c r="AE351" s="168">
        <f t="shared" si="112"/>
      </c>
      <c r="AF351" s="169">
        <f t="shared" si="182"/>
      </c>
      <c r="AG351" s="169">
        <f t="shared" si="324"/>
      </c>
      <c r="AH351" s="168">
        <v>6</v>
      </c>
      <c r="AI351" s="169">
        <f t="shared" si="200"/>
      </c>
      <c r="AJ351" s="173"/>
      <c r="AK351" s="173"/>
      <c r="AL351" s="173"/>
      <c r="AM351" s="173"/>
      <c r="AN351" s="173"/>
      <c r="AO351" s="173"/>
      <c r="AP351" s="173"/>
      <c r="AQ351" s="173"/>
      <c r="AR351" s="173"/>
      <c r="AS351" s="173"/>
      <c r="AT351" s="173" t="s">
        <v>725</v>
      </c>
      <c r="AU351" s="173" t="s">
        <v>725</v>
      </c>
      <c r="AV351" s="173" t="s">
        <v>725</v>
      </c>
      <c r="AW351" s="173" t="s">
        <v>725</v>
      </c>
      <c r="AX351" s="173" t="s">
        <v>725</v>
      </c>
      <c r="AY351" s="173" t="s">
        <v>725</v>
      </c>
      <c r="AZ351" s="173" t="s">
        <v>725</v>
      </c>
      <c r="BA351" s="173" t="s">
        <v>725</v>
      </c>
      <c r="BB351" s="173" t="s">
        <v>725</v>
      </c>
      <c r="BC351" s="173" t="s">
        <v>725</v>
      </c>
      <c r="BD351" s="173" t="s">
        <v>725</v>
      </c>
      <c r="BE351" s="173" t="s">
        <v>725</v>
      </c>
      <c r="BF351" s="173" t="s">
        <v>725</v>
      </c>
      <c r="BG351" s="173" t="s">
        <v>725</v>
      </c>
      <c r="BH351" s="173" t="s">
        <v>725</v>
      </c>
      <c r="BI351" s="173" t="s">
        <v>725</v>
      </c>
      <c r="BJ351" s="173" t="s">
        <v>725</v>
      </c>
      <c r="BK351" s="173" t="s">
        <v>725</v>
      </c>
      <c r="BL351" s="173" t="s">
        <v>725</v>
      </c>
      <c r="BM351" s="173" t="s">
        <v>725</v>
      </c>
      <c r="BN351" s="173" t="s">
        <v>725</v>
      </c>
      <c r="BO351" s="173" t="s">
        <v>725</v>
      </c>
      <c r="BP351" s="173" t="s">
        <v>725</v>
      </c>
      <c r="BQ351" s="173" t="s">
        <v>725</v>
      </c>
      <c r="BR351" s="180">
        <f t="shared" si="251"/>
      </c>
      <c r="BS351" s="161" t="str">
        <v>#VALUE!</v>
      </c>
    </row>
    <row customHeight="true" ht="18.51851851851852" r="352">
      <c r="A352" s="161" t="s">
        <v>741</v>
      </c>
      <c r="B352" s="161" t="s">
        <v>730</v>
      </c>
      <c r="C352" s="183" t="s">
        <v>841</v>
      </c>
      <c r="D352" s="178" t="s">
        <v>848</v>
      </c>
      <c r="E352" s="186">
        <v>15.2</v>
      </c>
      <c r="F352" s="163">
        <v>21.99</v>
      </c>
      <c r="G352" s="164">
        <f t="shared" si="15"/>
      </c>
      <c r="H352" s="164">
        <f t="shared" si="79"/>
      </c>
      <c r="I352" s="164">
        <f t="shared" si="141"/>
      </c>
      <c r="J352" s="165">
        <f t="shared" si="222"/>
      </c>
      <c r="K352" s="166">
        <f t="shared" si="275"/>
      </c>
      <c r="L352" s="167">
        <f t="shared" si="346"/>
      </c>
      <c r="M352" s="164">
        <f t="shared" si="391"/>
      </c>
      <c r="N352" s="166">
        <f t="shared" si="441"/>
      </c>
      <c r="O352" s="166">
        <f t="shared" si="466"/>
      </c>
      <c r="P352" s="161">
        <v>30</v>
      </c>
      <c r="Q352" s="168">
        <v>8</v>
      </c>
      <c r="R352" s="169">
        <f t="shared" si="35"/>
      </c>
      <c r="S352" s="165">
        <f t="shared" si="532"/>
      </c>
      <c r="T352" s="169">
        <f t="shared" si="160"/>
      </c>
      <c r="U352" s="169">
        <v>0.01</v>
      </c>
      <c r="V352" s="169">
        <f t="shared" si="297"/>
      </c>
      <c r="W352" s="169">
        <f t="shared" si="368"/>
      </c>
      <c r="X352" s="170">
        <v>0.158</v>
      </c>
      <c r="Y352" s="171">
        <v>3</v>
      </c>
      <c r="Z352" s="171">
        <f t="shared" si="410"/>
      </c>
      <c r="AA352" s="171">
        <f t="shared" si="488"/>
      </c>
      <c r="AB352" s="166">
        <f t="shared" si="510"/>
      </c>
      <c r="AC352" s="166">
        <v>40</v>
      </c>
      <c r="AD352" s="172">
        <f t="shared" si="57"/>
      </c>
      <c r="AE352" s="168">
        <f t="shared" si="112"/>
      </c>
      <c r="AF352" s="169">
        <f t="shared" si="182"/>
      </c>
      <c r="AG352" s="169">
        <f t="shared" si="324"/>
      </c>
      <c r="AH352" s="168">
        <v>6</v>
      </c>
      <c r="AI352" s="169">
        <f t="shared" si="200"/>
      </c>
      <c r="AJ352" s="169"/>
      <c r="AK352" s="169"/>
      <c r="AL352" s="169"/>
      <c r="AM352" s="169"/>
      <c r="AN352" s="173"/>
      <c r="AO352" s="173"/>
      <c r="AP352" s="173"/>
      <c r="AQ352" s="173"/>
      <c r="AR352" s="173"/>
      <c r="AS352" s="173"/>
      <c r="AT352" s="173" t="s">
        <v>725</v>
      </c>
      <c r="AU352" s="173" t="s">
        <v>725</v>
      </c>
      <c r="AV352" s="173" t="s">
        <v>725</v>
      </c>
      <c r="AW352" s="173" t="s">
        <v>725</v>
      </c>
      <c r="AX352" s="173" t="s">
        <v>725</v>
      </c>
      <c r="AY352" s="173" t="s">
        <v>725</v>
      </c>
      <c r="AZ352" s="173" t="s">
        <v>725</v>
      </c>
      <c r="BA352" s="173" t="s">
        <v>725</v>
      </c>
      <c r="BB352" s="173" t="s">
        <v>725</v>
      </c>
      <c r="BC352" s="173" t="s">
        <v>725</v>
      </c>
      <c r="BD352" s="173" t="s">
        <v>725</v>
      </c>
      <c r="BE352" s="173" t="s">
        <v>725</v>
      </c>
      <c r="BF352" s="173" t="s">
        <v>725</v>
      </c>
      <c r="BG352" s="173" t="s">
        <v>725</v>
      </c>
      <c r="BH352" s="173" t="s">
        <v>725</v>
      </c>
      <c r="BI352" s="173" t="s">
        <v>725</v>
      </c>
      <c r="BJ352" s="173" t="s">
        <v>725</v>
      </c>
      <c r="BK352" s="173" t="s">
        <v>725</v>
      </c>
      <c r="BL352" s="173" t="s">
        <v>725</v>
      </c>
      <c r="BM352" s="173" t="s">
        <v>725</v>
      </c>
      <c r="BN352" s="173" t="s">
        <v>725</v>
      </c>
      <c r="BO352" s="173" t="s">
        <v>725</v>
      </c>
      <c r="BP352" s="173" t="s">
        <v>725</v>
      </c>
      <c r="BQ352" s="173" t="s">
        <v>725</v>
      </c>
      <c r="BR352" s="180">
        <f t="shared" si="251"/>
      </c>
      <c r="BS352" s="161" t="str">
        <v>#VALUE!</v>
      </c>
    </row>
    <row customHeight="true" ht="18.51851851851852" r="353">
      <c r="G353" s="181"/>
      <c r="H353" s="181"/>
      <c r="S353" s="181"/>
      <c r="AE353" s="188"/>
      <c r="AI353" s="181"/>
    </row>
    <row customHeight="true" ht="18.51851851851852" r="354">
      <c r="A354" s="161" t="s">
        <v>721</v>
      </c>
      <c r="B354" s="161" t="s">
        <v>730</v>
      </c>
      <c r="C354" s="183" t="s">
        <v>849</v>
      </c>
      <c r="D354" s="189" t="s">
        <v>850</v>
      </c>
      <c r="E354" s="186">
        <v>27.6</v>
      </c>
      <c r="F354" s="163">
        <v>39.99</v>
      </c>
      <c r="G354" s="164">
        <f t="shared" ref="G354:G372" si="16">(F354-Z354)</f>
      </c>
      <c r="H354" s="164">
        <f t="shared" ref="H354:H372" si="80">(F354-Z354)/1.2</f>
      </c>
      <c r="I354" s="164">
        <f t="shared" ref="I354:I372" si="142">E354-N354/Q354-AB354-Y354-O354-Z354-AA354</f>
      </c>
      <c r="J354" s="165">
        <f t="shared" ref="J354:J372" si="223">I354/E354</f>
      </c>
      <c r="K354" s="166">
        <f t="shared" ref="K354:K372" si="276">F354/1.2</f>
      </c>
      <c r="L354" s="167">
        <f t="shared" ref="L354:L372" si="347">(K354-E354)/K354</f>
      </c>
      <c r="M354" s="164">
        <f t="shared" ref="M354:M372" si="392">F354/1.2-E354</f>
      </c>
      <c r="N354" s="166">
        <f>AD354+AH355</f>
      </c>
      <c r="O354" s="166">
        <f t="shared" ref="O354:O372" si="467">IFERROR(IF(A354="UK",8.95/P354,IF(A354="DE",7.75/P354,IF(A354="FR",14.25/P354,IF(A354="IT",15.25/P354,IF(A354="ES",19.25/P354,IF(A354="NL",16.75/P354,IF(A354="PL",14.05/P354,IF(A354="SE",18.25/P354,IF(A354="BE",14.25/P354))))))))),0)</f>
      </c>
      <c r="P354" s="161">
        <v>30</v>
      </c>
      <c r="Q354" s="168">
        <v>9</v>
      </c>
      <c r="R354" s="169">
        <f t="shared" ref="R354:R372" si="36">Y354/E354</f>
      </c>
      <c r="S354" s="165">
        <f t="shared" ref="S354:S372" si="533">Y354/F354</f>
      </c>
      <c r="T354" s="169">
        <f t="shared" ref="T354:T372" si="161">Z354/E354</f>
      </c>
      <c r="U354" s="169">
        <v>0.01</v>
      </c>
      <c r="V354" s="169">
        <f t="shared" ref="V354:V372" si="298">N354/(E354*Q354)</f>
      </c>
      <c r="W354" s="169">
        <f t="shared" ref="W354:W372" si="369">O354/E354</f>
      </c>
      <c r="X354" s="170">
        <v>0.158</v>
      </c>
      <c r="Y354" s="171">
        <v>6</v>
      </c>
      <c r="Z354" s="171">
        <v>0</v>
      </c>
      <c r="AA354" s="171">
        <f t="shared" ref="AA354:AA372" si="489">E354*U354</f>
      </c>
      <c r="AB354" s="166">
        <f t="shared" ref="AB354:AB372" si="511">E354*X354</f>
      </c>
      <c r="AC354" s="166">
        <v>80</v>
      </c>
      <c r="AD354" s="172">
        <f t="shared" ref="AD354:AD372" si="58">AC354/1.13</f>
      </c>
      <c r="AE354" s="168">
        <f>AH355/Q354</f>
      </c>
      <c r="AF354" s="169">
        <f t="shared" ref="AF354:AF372" si="183">AD354/(E354*Q354)</f>
      </c>
      <c r="AG354" s="169">
        <f t="shared" ref="AG354:AG372" si="325">AE354/Q354/E354</f>
      </c>
      <c r="AH354" s="168">
        <v>6</v>
      </c>
      <c r="AI354" s="169">
        <f t="shared" ref="AI354:AI372" si="201">(H354-E354+AB354)/H354</f>
      </c>
      <c r="AJ354" s="169"/>
      <c r="AK354" s="169"/>
      <c r="AL354" s="169"/>
      <c r="AM354" s="169"/>
      <c r="AN354" s="173"/>
      <c r="AO354" s="173"/>
      <c r="AP354" s="173"/>
      <c r="AQ354" s="173"/>
      <c r="AR354" s="173"/>
      <c r="AS354" s="173"/>
      <c r="AT354" s="173" t="s">
        <v>725</v>
      </c>
      <c r="AU354" s="173" t="s">
        <v>725</v>
      </c>
      <c r="AV354" s="173" t="s">
        <v>725</v>
      </c>
      <c r="AW354" s="173" t="s">
        <v>725</v>
      </c>
      <c r="AX354" s="173" t="s">
        <v>725</v>
      </c>
      <c r="AY354" s="173" t="s">
        <v>725</v>
      </c>
      <c r="AZ354" s="173" t="s">
        <v>725</v>
      </c>
      <c r="BA354" s="173" t="s">
        <v>725</v>
      </c>
      <c r="BB354" s="173" t="s">
        <v>725</v>
      </c>
      <c r="BC354" s="173" t="s">
        <v>725</v>
      </c>
      <c r="BD354" s="173" t="s">
        <v>725</v>
      </c>
      <c r="BE354" s="173" t="s">
        <v>725</v>
      </c>
      <c r="BF354" s="173" t="s">
        <v>725</v>
      </c>
      <c r="BG354" s="173" t="s">
        <v>725</v>
      </c>
      <c r="BH354" s="173" t="s">
        <v>725</v>
      </c>
      <c r="BI354" s="173" t="s">
        <v>725</v>
      </c>
      <c r="BJ354" s="173" t="s">
        <v>725</v>
      </c>
      <c r="BK354" s="173" t="s">
        <v>725</v>
      </c>
      <c r="BL354" s="173" t="s">
        <v>725</v>
      </c>
      <c r="BM354" s="173" t="s">
        <v>725</v>
      </c>
      <c r="BN354" s="173" t="s">
        <v>725</v>
      </c>
      <c r="BO354" s="173" t="s">
        <v>725</v>
      </c>
      <c r="BP354" s="173" t="s">
        <v>725</v>
      </c>
      <c r="BQ354" s="173" t="s">
        <v>725</v>
      </c>
      <c r="BR354" s="174"/>
      <c r="BS354" s="161" t="str">
        <v>#VALUE!</v>
      </c>
    </row>
    <row customHeight="true" ht="18.51851851851852" r="355">
      <c r="A355" s="161" t="s">
        <v>721</v>
      </c>
      <c r="B355" s="161" t="s">
        <v>730</v>
      </c>
      <c r="C355" s="183" t="s">
        <v>849</v>
      </c>
      <c r="D355" s="189" t="s">
        <v>851</v>
      </c>
      <c r="E355" s="186">
        <v>27.6</v>
      </c>
      <c r="F355" s="163">
        <v>39.99</v>
      </c>
      <c r="G355" s="164">
        <f t="shared" si="16"/>
      </c>
      <c r="H355" s="164">
        <f t="shared" si="80"/>
      </c>
      <c r="I355" s="175">
        <f t="shared" si="142"/>
      </c>
      <c r="J355" s="165">
        <f t="shared" si="223"/>
      </c>
      <c r="K355" s="166">
        <f t="shared" si="276"/>
      </c>
      <c r="L355" s="167">
        <f t="shared" si="347"/>
      </c>
      <c r="M355" s="164">
        <f t="shared" si="392"/>
      </c>
      <c r="N355" s="166">
        <f t="shared" ref="N355:N356" si="442">AD355+AH355</f>
      </c>
      <c r="O355" s="166">
        <f t="shared" si="467"/>
      </c>
      <c r="P355" s="161">
        <v>30</v>
      </c>
      <c r="Q355" s="168">
        <v>9</v>
      </c>
      <c r="R355" s="169">
        <f t="shared" si="36"/>
      </c>
      <c r="S355" s="165">
        <f t="shared" si="533"/>
      </c>
      <c r="T355" s="169">
        <f t="shared" si="161"/>
      </c>
      <c r="U355" s="169">
        <v>0.01</v>
      </c>
      <c r="V355" s="169">
        <f t="shared" si="298"/>
      </c>
      <c r="W355" s="169">
        <f t="shared" si="369"/>
      </c>
      <c r="X355" s="170">
        <v>0.158</v>
      </c>
      <c r="Y355" s="171">
        <v>6</v>
      </c>
      <c r="Z355" s="171">
        <f>F355*0.1</f>
      </c>
      <c r="AA355" s="171">
        <f t="shared" si="489"/>
      </c>
      <c r="AB355" s="166">
        <f t="shared" si="511"/>
      </c>
      <c r="AC355" s="166">
        <v>80</v>
      </c>
      <c r="AD355" s="172">
        <f t="shared" si="58"/>
      </c>
      <c r="AE355" s="168">
        <f t="shared" ref="AE355:AE356" si="113">AH355/Q355</f>
      </c>
      <c r="AF355" s="169">
        <f t="shared" si="183"/>
      </c>
      <c r="AG355" s="169">
        <f t="shared" si="325"/>
      </c>
      <c r="AH355" s="168">
        <v>6</v>
      </c>
      <c r="AI355" s="169">
        <f t="shared" si="201"/>
      </c>
      <c r="AJ355" s="169"/>
      <c r="AK355" s="169"/>
      <c r="AL355" s="169"/>
      <c r="AM355" s="169"/>
      <c r="AN355" s="173"/>
      <c r="AO355" s="173"/>
      <c r="AP355" s="173"/>
      <c r="AQ355" s="173"/>
      <c r="AR355" s="173"/>
      <c r="AS355" s="173"/>
      <c r="AT355" s="173" t="s">
        <v>725</v>
      </c>
      <c r="AU355" s="173" t="s">
        <v>725</v>
      </c>
      <c r="AV355" s="173" t="s">
        <v>725</v>
      </c>
      <c r="AW355" s="173" t="s">
        <v>725</v>
      </c>
      <c r="AX355" s="173" t="s">
        <v>725</v>
      </c>
      <c r="AY355" s="173" t="s">
        <v>725</v>
      </c>
      <c r="AZ355" s="173" t="s">
        <v>725</v>
      </c>
      <c r="BA355" s="173" t="s">
        <v>725</v>
      </c>
      <c r="BB355" s="173" t="s">
        <v>725</v>
      </c>
      <c r="BC355" s="173" t="s">
        <v>725</v>
      </c>
      <c r="BD355" s="173" t="s">
        <v>725</v>
      </c>
      <c r="BE355" s="173" t="s">
        <v>725</v>
      </c>
      <c r="BF355" s="173" t="s">
        <v>725</v>
      </c>
      <c r="BG355" s="173" t="s">
        <v>725</v>
      </c>
      <c r="BH355" s="173" t="s">
        <v>725</v>
      </c>
      <c r="BI355" s="173" t="s">
        <v>725</v>
      </c>
      <c r="BJ355" s="173" t="s">
        <v>725</v>
      </c>
      <c r="BK355" s="173" t="s">
        <v>725</v>
      </c>
      <c r="BL355" s="173" t="s">
        <v>725</v>
      </c>
      <c r="BM355" s="173" t="s">
        <v>725</v>
      </c>
      <c r="BN355" s="173" t="s">
        <v>725</v>
      </c>
      <c r="BO355" s="173" t="s">
        <v>725</v>
      </c>
      <c r="BP355" s="173" t="s">
        <v>725</v>
      </c>
      <c r="BQ355" s="173" t="s">
        <v>725</v>
      </c>
      <c r="BR355" s="174"/>
      <c r="BS355" s="161" t="str">
        <v>#VALUE!</v>
      </c>
    </row>
    <row customHeight="true" ht="18.51851851851852" r="356">
      <c r="A356" s="161" t="s">
        <v>721</v>
      </c>
      <c r="B356" s="161" t="s">
        <v>730</v>
      </c>
      <c r="C356" s="183" t="s">
        <v>849</v>
      </c>
      <c r="D356" s="189" t="s">
        <v>852</v>
      </c>
      <c r="E356" s="186">
        <v>27.6</v>
      </c>
      <c r="F356" s="163">
        <v>39.99</v>
      </c>
      <c r="G356" s="164">
        <f t="shared" si="16"/>
      </c>
      <c r="H356" s="164">
        <f t="shared" si="80"/>
      </c>
      <c r="I356" s="164">
        <f t="shared" si="142"/>
      </c>
      <c r="J356" s="165">
        <f t="shared" si="223"/>
      </c>
      <c r="K356" s="166">
        <f t="shared" si="276"/>
      </c>
      <c r="L356" s="167">
        <f t="shared" si="347"/>
      </c>
      <c r="M356" s="164">
        <f t="shared" si="392"/>
      </c>
      <c r="N356" s="166">
        <f t="shared" si="442"/>
      </c>
      <c r="O356" s="166">
        <f t="shared" si="467"/>
      </c>
      <c r="P356" s="161">
        <v>30</v>
      </c>
      <c r="Q356" s="168">
        <v>9</v>
      </c>
      <c r="R356" s="169">
        <f t="shared" si="36"/>
      </c>
      <c r="S356" s="165">
        <f t="shared" si="533"/>
      </c>
      <c r="T356" s="169">
        <f t="shared" si="161"/>
      </c>
      <c r="U356" s="169">
        <v>0.01</v>
      </c>
      <c r="V356" s="169">
        <f t="shared" si="298"/>
      </c>
      <c r="W356" s="169">
        <f t="shared" si="369"/>
      </c>
      <c r="X356" s="170">
        <v>0.158</v>
      </c>
      <c r="Y356" s="171">
        <v>6</v>
      </c>
      <c r="Z356" s="171">
        <f>F356*0.15</f>
      </c>
      <c r="AA356" s="171">
        <f t="shared" si="489"/>
      </c>
      <c r="AB356" s="166">
        <f t="shared" si="511"/>
      </c>
      <c r="AC356" s="166">
        <v>80</v>
      </c>
      <c r="AD356" s="172">
        <f t="shared" si="58"/>
      </c>
      <c r="AE356" s="168">
        <f t="shared" si="113"/>
      </c>
      <c r="AF356" s="169">
        <f t="shared" si="183"/>
      </c>
      <c r="AG356" s="169">
        <f t="shared" si="325"/>
      </c>
      <c r="AH356" s="168">
        <v>6</v>
      </c>
      <c r="AI356" s="169">
        <f t="shared" si="201"/>
      </c>
      <c r="AJ356" s="169"/>
      <c r="AK356" s="169"/>
      <c r="AL356" s="169"/>
      <c r="AM356" s="169"/>
      <c r="AN356" s="173"/>
      <c r="AO356" s="173"/>
      <c r="AP356" s="173"/>
      <c r="AQ356" s="173"/>
      <c r="AR356" s="173"/>
      <c r="AS356" s="173"/>
      <c r="AT356" s="173" t="s">
        <v>725</v>
      </c>
      <c r="AU356" s="173" t="s">
        <v>725</v>
      </c>
      <c r="AV356" s="173" t="s">
        <v>725</v>
      </c>
      <c r="AW356" s="173" t="s">
        <v>725</v>
      </c>
      <c r="AX356" s="173" t="s">
        <v>725</v>
      </c>
      <c r="AY356" s="173" t="s">
        <v>725</v>
      </c>
      <c r="AZ356" s="173" t="s">
        <v>725</v>
      </c>
      <c r="BA356" s="173" t="s">
        <v>725</v>
      </c>
      <c r="BB356" s="173" t="s">
        <v>725</v>
      </c>
      <c r="BC356" s="173" t="s">
        <v>725</v>
      </c>
      <c r="BD356" s="173" t="s">
        <v>725</v>
      </c>
      <c r="BE356" s="173" t="s">
        <v>725</v>
      </c>
      <c r="BF356" s="173" t="s">
        <v>725</v>
      </c>
      <c r="BG356" s="173" t="s">
        <v>725</v>
      </c>
      <c r="BH356" s="173" t="s">
        <v>725</v>
      </c>
      <c r="BI356" s="173" t="s">
        <v>725</v>
      </c>
      <c r="BJ356" s="173" t="s">
        <v>725</v>
      </c>
      <c r="BK356" s="173" t="s">
        <v>725</v>
      </c>
      <c r="BL356" s="173" t="s">
        <v>725</v>
      </c>
      <c r="BM356" s="173" t="s">
        <v>725</v>
      </c>
      <c r="BN356" s="173" t="s">
        <v>725</v>
      </c>
      <c r="BO356" s="173" t="s">
        <v>725</v>
      </c>
      <c r="BP356" s="173" t="s">
        <v>725</v>
      </c>
      <c r="BQ356" s="173" t="s">
        <v>725</v>
      </c>
      <c r="BR356" s="174"/>
      <c r="BS356" s="161" t="str">
        <v>#VALUE!</v>
      </c>
    </row>
    <row customHeight="true" ht="18.51851851851852" r="357">
      <c r="A357" s="161" t="s">
        <v>729</v>
      </c>
      <c r="B357" s="161" t="s">
        <v>730</v>
      </c>
      <c r="C357" s="183" t="s">
        <v>849</v>
      </c>
      <c r="D357" s="189" t="s">
        <v>850</v>
      </c>
      <c r="E357" s="186">
        <v>31</v>
      </c>
      <c r="F357" s="163">
        <v>44.99</v>
      </c>
      <c r="G357" s="164">
        <f t="shared" si="16"/>
      </c>
      <c r="H357" s="164">
        <f t="shared" si="80"/>
      </c>
      <c r="I357" s="164">
        <f t="shared" si="142"/>
      </c>
      <c r="J357" s="165">
        <f t="shared" si="223"/>
      </c>
      <c r="K357" s="166">
        <f t="shared" si="276"/>
      </c>
      <c r="L357" s="167">
        <f t="shared" si="347"/>
      </c>
      <c r="M357" s="164">
        <f t="shared" si="392"/>
      </c>
      <c r="N357" s="166">
        <f>AD357+AH358</f>
      </c>
      <c r="O357" s="166">
        <f t="shared" si="467"/>
      </c>
      <c r="P357" s="161">
        <v>30</v>
      </c>
      <c r="Q357" s="168">
        <v>8</v>
      </c>
      <c r="R357" s="169">
        <f t="shared" si="36"/>
      </c>
      <c r="S357" s="165">
        <f t="shared" si="533"/>
      </c>
      <c r="T357" s="169">
        <f t="shared" si="161"/>
      </c>
      <c r="U357" s="169">
        <v>0.01</v>
      </c>
      <c r="V357" s="169">
        <f t="shared" si="298"/>
      </c>
      <c r="W357" s="169">
        <f t="shared" si="369"/>
      </c>
      <c r="X357" s="170">
        <v>0.1695</v>
      </c>
      <c r="Y357" s="171">
        <v>6</v>
      </c>
      <c r="Z357" s="171">
        <v>0</v>
      </c>
      <c r="AA357" s="171">
        <f t="shared" si="489"/>
      </c>
      <c r="AB357" s="166">
        <f t="shared" si="511"/>
      </c>
      <c r="AC357" s="166">
        <v>80</v>
      </c>
      <c r="AD357" s="172">
        <f t="shared" si="58"/>
      </c>
      <c r="AE357" s="168">
        <f>AH358/Q357</f>
      </c>
      <c r="AF357" s="169">
        <f t="shared" si="183"/>
      </c>
      <c r="AG357" s="169">
        <f t="shared" si="325"/>
      </c>
      <c r="AH357" s="168">
        <v>6</v>
      </c>
      <c r="AI357" s="169">
        <f t="shared" si="201"/>
      </c>
      <c r="AJ357" s="169"/>
      <c r="AK357" s="169"/>
      <c r="AL357" s="169"/>
      <c r="AM357" s="169"/>
      <c r="AN357" s="173"/>
      <c r="AO357" s="173"/>
      <c r="AP357" s="173"/>
      <c r="AQ357" s="173"/>
      <c r="AR357" s="173"/>
      <c r="AS357" s="173"/>
      <c r="AT357" s="173" t="s">
        <v>725</v>
      </c>
      <c r="AU357" s="173" t="s">
        <v>725</v>
      </c>
      <c r="AV357" s="173" t="s">
        <v>725</v>
      </c>
      <c r="AW357" s="173" t="s">
        <v>725</v>
      </c>
      <c r="AX357" s="173" t="s">
        <v>725</v>
      </c>
      <c r="AY357" s="173" t="s">
        <v>725</v>
      </c>
      <c r="AZ357" s="173" t="s">
        <v>725</v>
      </c>
      <c r="BA357" s="173" t="s">
        <v>725</v>
      </c>
      <c r="BB357" s="173" t="s">
        <v>725</v>
      </c>
      <c r="BC357" s="173" t="s">
        <v>725</v>
      </c>
      <c r="BD357" s="173" t="s">
        <v>725</v>
      </c>
      <c r="BE357" s="173" t="s">
        <v>725</v>
      </c>
      <c r="BF357" s="173" t="s">
        <v>725</v>
      </c>
      <c r="BG357" s="173" t="s">
        <v>725</v>
      </c>
      <c r="BH357" s="173" t="s">
        <v>725</v>
      </c>
      <c r="BI357" s="173" t="s">
        <v>725</v>
      </c>
      <c r="BJ357" s="173" t="s">
        <v>725</v>
      </c>
      <c r="BK357" s="173" t="s">
        <v>725</v>
      </c>
      <c r="BL357" s="173" t="s">
        <v>725</v>
      </c>
      <c r="BM357" s="173" t="s">
        <v>725</v>
      </c>
      <c r="BN357" s="173" t="s">
        <v>725</v>
      </c>
      <c r="BO357" s="173" t="s">
        <v>725</v>
      </c>
      <c r="BP357" s="173" t="s">
        <v>725</v>
      </c>
      <c r="BQ357" s="173" t="s">
        <v>725</v>
      </c>
      <c r="BR357" s="174"/>
      <c r="BS357" s="161" t="str">
        <v>#VALUE!</v>
      </c>
    </row>
    <row customHeight="true" ht="18.51851851851852" r="358">
      <c r="A358" s="161" t="s">
        <v>729</v>
      </c>
      <c r="B358" s="161" t="s">
        <v>730</v>
      </c>
      <c r="C358" s="183" t="s">
        <v>849</v>
      </c>
      <c r="D358" s="189" t="s">
        <v>851</v>
      </c>
      <c r="E358" s="186">
        <v>31</v>
      </c>
      <c r="F358" s="163">
        <v>44.99</v>
      </c>
      <c r="G358" s="164">
        <f t="shared" si="16"/>
      </c>
      <c r="H358" s="164">
        <f t="shared" si="80"/>
      </c>
      <c r="I358" s="175">
        <f t="shared" si="142"/>
      </c>
      <c r="J358" s="165">
        <f t="shared" si="223"/>
      </c>
      <c r="K358" s="166">
        <f t="shared" si="276"/>
      </c>
      <c r="L358" s="167">
        <f t="shared" si="347"/>
      </c>
      <c r="M358" s="164">
        <f t="shared" si="392"/>
      </c>
      <c r="N358" s="166">
        <f t="shared" ref="N358:N372" si="443">AD358+AH358</f>
      </c>
      <c r="O358" s="166">
        <f t="shared" si="467"/>
      </c>
      <c r="P358" s="161">
        <v>30</v>
      </c>
      <c r="Q358" s="168">
        <v>8</v>
      </c>
      <c r="R358" s="169">
        <f t="shared" si="36"/>
      </c>
      <c r="S358" s="165">
        <f t="shared" si="533"/>
      </c>
      <c r="T358" s="169">
        <f t="shared" si="161"/>
      </c>
      <c r="U358" s="169">
        <v>0.01</v>
      </c>
      <c r="V358" s="169">
        <f t="shared" si="298"/>
      </c>
      <c r="W358" s="169">
        <f t="shared" si="369"/>
      </c>
      <c r="X358" s="170">
        <v>0.1695</v>
      </c>
      <c r="Y358" s="171">
        <v>6</v>
      </c>
      <c r="Z358" s="171">
        <f>F358*0.1</f>
      </c>
      <c r="AA358" s="171">
        <f t="shared" si="489"/>
      </c>
      <c r="AB358" s="166">
        <f t="shared" si="511"/>
      </c>
      <c r="AC358" s="166">
        <v>80</v>
      </c>
      <c r="AD358" s="172">
        <f t="shared" si="58"/>
      </c>
      <c r="AE358" s="168">
        <f t="shared" ref="AE358:AE372" si="114">AH358/Q358</f>
      </c>
      <c r="AF358" s="169">
        <f t="shared" si="183"/>
      </c>
      <c r="AG358" s="169">
        <f t="shared" si="325"/>
      </c>
      <c r="AH358" s="168">
        <v>6</v>
      </c>
      <c r="AI358" s="169">
        <f t="shared" si="201"/>
      </c>
      <c r="AJ358" s="169"/>
      <c r="AK358" s="169"/>
      <c r="AL358" s="169"/>
      <c r="AM358" s="169"/>
      <c r="AN358" s="173"/>
      <c r="AO358" s="173"/>
      <c r="AP358" s="173"/>
      <c r="AQ358" s="173"/>
      <c r="AR358" s="173"/>
      <c r="AS358" s="173"/>
      <c r="AT358" s="173" t="s">
        <v>725</v>
      </c>
      <c r="AU358" s="173" t="s">
        <v>725</v>
      </c>
      <c r="AV358" s="173" t="s">
        <v>725</v>
      </c>
      <c r="AW358" s="173" t="s">
        <v>725</v>
      </c>
      <c r="AX358" s="173" t="s">
        <v>725</v>
      </c>
      <c r="AY358" s="173" t="s">
        <v>725</v>
      </c>
      <c r="AZ358" s="173" t="s">
        <v>725</v>
      </c>
      <c r="BA358" s="173" t="s">
        <v>725</v>
      </c>
      <c r="BB358" s="173" t="s">
        <v>725</v>
      </c>
      <c r="BC358" s="173" t="s">
        <v>725</v>
      </c>
      <c r="BD358" s="173" t="s">
        <v>725</v>
      </c>
      <c r="BE358" s="173" t="s">
        <v>725</v>
      </c>
      <c r="BF358" s="173" t="s">
        <v>725</v>
      </c>
      <c r="BG358" s="173" t="s">
        <v>725</v>
      </c>
      <c r="BH358" s="173" t="s">
        <v>725</v>
      </c>
      <c r="BI358" s="173" t="s">
        <v>725</v>
      </c>
      <c r="BJ358" s="173" t="s">
        <v>725</v>
      </c>
      <c r="BK358" s="173" t="s">
        <v>725</v>
      </c>
      <c r="BL358" s="173" t="s">
        <v>725</v>
      </c>
      <c r="BM358" s="173" t="s">
        <v>725</v>
      </c>
      <c r="BN358" s="173" t="s">
        <v>725</v>
      </c>
      <c r="BO358" s="173" t="s">
        <v>725</v>
      </c>
      <c r="BP358" s="173" t="s">
        <v>725</v>
      </c>
      <c r="BQ358" s="173" t="s">
        <v>725</v>
      </c>
      <c r="BR358" s="174"/>
      <c r="BS358" s="161" t="str">
        <v>#VALUE!</v>
      </c>
    </row>
    <row customHeight="true" ht="18.51851851851852" r="359">
      <c r="A359" s="161" t="s">
        <v>729</v>
      </c>
      <c r="B359" s="161" t="s">
        <v>730</v>
      </c>
      <c r="C359" s="183" t="s">
        <v>849</v>
      </c>
      <c r="D359" s="189" t="s">
        <v>852</v>
      </c>
      <c r="E359" s="186">
        <v>31</v>
      </c>
      <c r="F359" s="163">
        <v>44.99</v>
      </c>
      <c r="G359" s="164">
        <f t="shared" si="16"/>
      </c>
      <c r="H359" s="164">
        <f t="shared" si="80"/>
      </c>
      <c r="I359" s="164">
        <f t="shared" si="142"/>
      </c>
      <c r="J359" s="165">
        <f t="shared" si="223"/>
      </c>
      <c r="K359" s="166">
        <f t="shared" si="276"/>
      </c>
      <c r="L359" s="167">
        <f t="shared" si="347"/>
      </c>
      <c r="M359" s="164">
        <f t="shared" si="392"/>
      </c>
      <c r="N359" s="166">
        <f t="shared" si="443"/>
      </c>
      <c r="O359" s="166">
        <f t="shared" si="467"/>
      </c>
      <c r="P359" s="161">
        <v>30</v>
      </c>
      <c r="Q359" s="168">
        <v>8</v>
      </c>
      <c r="R359" s="169">
        <f t="shared" si="36"/>
      </c>
      <c r="S359" s="165">
        <f t="shared" si="533"/>
      </c>
      <c r="T359" s="169">
        <f t="shared" si="161"/>
      </c>
      <c r="U359" s="169">
        <v>0.01</v>
      </c>
      <c r="V359" s="169">
        <f t="shared" si="298"/>
      </c>
      <c r="W359" s="169">
        <f t="shared" si="369"/>
      </c>
      <c r="X359" s="170">
        <v>0.1695</v>
      </c>
      <c r="Y359" s="171">
        <v>6</v>
      </c>
      <c r="Z359" s="171">
        <f>F359*0.15</f>
      </c>
      <c r="AA359" s="171">
        <f t="shared" si="489"/>
      </c>
      <c r="AB359" s="166">
        <f t="shared" si="511"/>
      </c>
      <c r="AC359" s="166">
        <v>80</v>
      </c>
      <c r="AD359" s="172">
        <f t="shared" si="58"/>
      </c>
      <c r="AE359" s="168">
        <f t="shared" si="114"/>
      </c>
      <c r="AF359" s="169">
        <f t="shared" si="183"/>
      </c>
      <c r="AG359" s="169">
        <f t="shared" si="325"/>
      </c>
      <c r="AH359" s="168">
        <v>6</v>
      </c>
      <c r="AI359" s="169">
        <f t="shared" si="201"/>
      </c>
      <c r="AJ359" s="169"/>
      <c r="AK359" s="169"/>
      <c r="AL359" s="169"/>
      <c r="AM359" s="169"/>
      <c r="AN359" s="173"/>
      <c r="AO359" s="173"/>
      <c r="AP359" s="173"/>
      <c r="AQ359" s="173"/>
      <c r="AR359" s="173"/>
      <c r="AS359" s="173"/>
      <c r="AT359" s="173" t="s">
        <v>725</v>
      </c>
      <c r="AU359" s="173" t="s">
        <v>725</v>
      </c>
      <c r="AV359" s="173" t="s">
        <v>725</v>
      </c>
      <c r="AW359" s="173" t="s">
        <v>725</v>
      </c>
      <c r="AX359" s="173" t="s">
        <v>725</v>
      </c>
      <c r="AY359" s="173" t="s">
        <v>725</v>
      </c>
      <c r="AZ359" s="173" t="s">
        <v>725</v>
      </c>
      <c r="BA359" s="173" t="s">
        <v>725</v>
      </c>
      <c r="BB359" s="173" t="s">
        <v>725</v>
      </c>
      <c r="BC359" s="173" t="s">
        <v>725</v>
      </c>
      <c r="BD359" s="173" t="s">
        <v>725</v>
      </c>
      <c r="BE359" s="173" t="s">
        <v>725</v>
      </c>
      <c r="BF359" s="173" t="s">
        <v>725</v>
      </c>
      <c r="BG359" s="173" t="s">
        <v>725</v>
      </c>
      <c r="BH359" s="173" t="s">
        <v>725</v>
      </c>
      <c r="BI359" s="173" t="s">
        <v>725</v>
      </c>
      <c r="BJ359" s="173" t="s">
        <v>725</v>
      </c>
      <c r="BK359" s="173" t="s">
        <v>725</v>
      </c>
      <c r="BL359" s="173" t="s">
        <v>725</v>
      </c>
      <c r="BM359" s="173" t="s">
        <v>725</v>
      </c>
      <c r="BN359" s="173" t="s">
        <v>725</v>
      </c>
      <c r="BO359" s="173" t="s">
        <v>725</v>
      </c>
      <c r="BP359" s="173" t="s">
        <v>725</v>
      </c>
      <c r="BQ359" s="173" t="s">
        <v>725</v>
      </c>
      <c r="BR359" s="174"/>
      <c r="BS359" s="161" t="str">
        <v>#VALUE!</v>
      </c>
    </row>
    <row customHeight="true" ht="18.51851851851852" r="360">
      <c r="A360" s="161" t="s">
        <v>732</v>
      </c>
      <c r="B360" s="161" t="s">
        <v>730</v>
      </c>
      <c r="C360" s="183" t="s">
        <v>849</v>
      </c>
      <c r="D360" s="189" t="s">
        <v>850</v>
      </c>
      <c r="E360" s="186">
        <v>31</v>
      </c>
      <c r="F360" s="163">
        <v>44.99</v>
      </c>
      <c r="G360" s="164">
        <f t="shared" si="16"/>
      </c>
      <c r="H360" s="164">
        <f t="shared" si="80"/>
      </c>
      <c r="I360" s="164">
        <f t="shared" si="142"/>
      </c>
      <c r="J360" s="165">
        <f t="shared" si="223"/>
      </c>
      <c r="K360" s="166">
        <f t="shared" si="276"/>
      </c>
      <c r="L360" s="167">
        <f t="shared" si="347"/>
      </c>
      <c r="M360" s="164">
        <f t="shared" si="392"/>
      </c>
      <c r="N360" s="166">
        <f t="shared" si="443"/>
      </c>
      <c r="O360" s="166">
        <f t="shared" si="467"/>
      </c>
      <c r="P360" s="161">
        <v>30</v>
      </c>
      <c r="Q360" s="168">
        <v>8</v>
      </c>
      <c r="R360" s="169">
        <f t="shared" si="36"/>
      </c>
      <c r="S360" s="165">
        <f t="shared" si="533"/>
      </c>
      <c r="T360" s="169">
        <f t="shared" si="161"/>
      </c>
      <c r="U360" s="169">
        <v>0.01</v>
      </c>
      <c r="V360" s="169">
        <f t="shared" si="298"/>
      </c>
      <c r="W360" s="169">
        <f t="shared" si="369"/>
      </c>
      <c r="X360" s="170">
        <v>0.198</v>
      </c>
      <c r="Y360" s="171">
        <v>6</v>
      </c>
      <c r="Z360" s="171">
        <v>0</v>
      </c>
      <c r="AA360" s="171">
        <f t="shared" si="489"/>
      </c>
      <c r="AB360" s="166">
        <f t="shared" si="511"/>
      </c>
      <c r="AC360" s="166">
        <v>80</v>
      </c>
      <c r="AD360" s="172">
        <f t="shared" si="58"/>
      </c>
      <c r="AE360" s="168">
        <f t="shared" si="114"/>
      </c>
      <c r="AF360" s="169">
        <f t="shared" si="183"/>
      </c>
      <c r="AG360" s="169">
        <f t="shared" si="325"/>
      </c>
      <c r="AH360" s="168">
        <v>6</v>
      </c>
      <c r="AI360" s="169">
        <f t="shared" si="201"/>
      </c>
      <c r="AJ360" s="169"/>
      <c r="AK360" s="169"/>
      <c r="AL360" s="169"/>
      <c r="AM360" s="169"/>
      <c r="AN360" s="173"/>
      <c r="AO360" s="173"/>
      <c r="AP360" s="173"/>
      <c r="AQ360" s="173"/>
      <c r="AR360" s="173"/>
      <c r="AS360" s="173"/>
      <c r="AT360" s="173" t="s">
        <v>725</v>
      </c>
      <c r="AU360" s="173" t="s">
        <v>725</v>
      </c>
      <c r="AV360" s="173" t="s">
        <v>725</v>
      </c>
      <c r="AW360" s="173" t="s">
        <v>725</v>
      </c>
      <c r="AX360" s="173" t="s">
        <v>725</v>
      </c>
      <c r="AY360" s="173" t="s">
        <v>725</v>
      </c>
      <c r="AZ360" s="173" t="s">
        <v>725</v>
      </c>
      <c r="BA360" s="173" t="s">
        <v>725</v>
      </c>
      <c r="BB360" s="173" t="s">
        <v>725</v>
      </c>
      <c r="BC360" s="173" t="s">
        <v>725</v>
      </c>
      <c r="BD360" s="173" t="s">
        <v>725</v>
      </c>
      <c r="BE360" s="173" t="s">
        <v>725</v>
      </c>
      <c r="BF360" s="173" t="s">
        <v>725</v>
      </c>
      <c r="BG360" s="173" t="s">
        <v>725</v>
      </c>
      <c r="BH360" s="173" t="s">
        <v>725</v>
      </c>
      <c r="BI360" s="173" t="s">
        <v>725</v>
      </c>
      <c r="BJ360" s="173" t="s">
        <v>725</v>
      </c>
      <c r="BK360" s="173" t="s">
        <v>725</v>
      </c>
      <c r="BL360" s="173" t="s">
        <v>725</v>
      </c>
      <c r="BM360" s="173" t="s">
        <v>725</v>
      </c>
      <c r="BN360" s="173" t="s">
        <v>725</v>
      </c>
      <c r="BO360" s="173" t="s">
        <v>725</v>
      </c>
      <c r="BP360" s="173" t="s">
        <v>725</v>
      </c>
      <c r="BQ360" s="173" t="s">
        <v>725</v>
      </c>
      <c r="BR360" s="174"/>
      <c r="BS360" s="161" t="str">
        <v>#VALUE!</v>
      </c>
    </row>
    <row customHeight="true" ht="18.51851851851852" r="361">
      <c r="A361" s="161" t="s">
        <v>732</v>
      </c>
      <c r="B361" s="161" t="s">
        <v>730</v>
      </c>
      <c r="C361" s="183" t="s">
        <v>849</v>
      </c>
      <c r="D361" s="189" t="s">
        <v>851</v>
      </c>
      <c r="E361" s="186">
        <v>31</v>
      </c>
      <c r="F361" s="163">
        <v>44.99</v>
      </c>
      <c r="G361" s="164">
        <f t="shared" si="16"/>
      </c>
      <c r="H361" s="164">
        <f t="shared" si="80"/>
      </c>
      <c r="I361" s="175">
        <f t="shared" si="142"/>
      </c>
      <c r="J361" s="165">
        <f t="shared" si="223"/>
      </c>
      <c r="K361" s="166">
        <f t="shared" si="276"/>
      </c>
      <c r="L361" s="167">
        <f t="shared" si="347"/>
      </c>
      <c r="M361" s="164">
        <f t="shared" si="392"/>
      </c>
      <c r="N361" s="166">
        <f t="shared" si="443"/>
      </c>
      <c r="O361" s="166">
        <f t="shared" si="467"/>
      </c>
      <c r="P361" s="161">
        <v>30</v>
      </c>
      <c r="Q361" s="168">
        <v>8</v>
      </c>
      <c r="R361" s="169">
        <f t="shared" si="36"/>
      </c>
      <c r="S361" s="165">
        <f t="shared" si="533"/>
      </c>
      <c r="T361" s="169">
        <f t="shared" si="161"/>
      </c>
      <c r="U361" s="169">
        <v>0.01</v>
      </c>
      <c r="V361" s="169">
        <f t="shared" si="298"/>
      </c>
      <c r="W361" s="169">
        <f t="shared" si="369"/>
      </c>
      <c r="X361" s="170">
        <v>0.198</v>
      </c>
      <c r="Y361" s="171">
        <v>6</v>
      </c>
      <c r="Z361" s="171">
        <f>F361*0.1</f>
      </c>
      <c r="AA361" s="171">
        <f t="shared" si="489"/>
      </c>
      <c r="AB361" s="166">
        <f t="shared" si="511"/>
      </c>
      <c r="AC361" s="166">
        <v>80</v>
      </c>
      <c r="AD361" s="172">
        <f t="shared" si="58"/>
      </c>
      <c r="AE361" s="168">
        <f t="shared" si="114"/>
      </c>
      <c r="AF361" s="169">
        <f t="shared" si="183"/>
      </c>
      <c r="AG361" s="169">
        <f t="shared" si="325"/>
      </c>
      <c r="AH361" s="168">
        <v>6</v>
      </c>
      <c r="AI361" s="169">
        <f t="shared" si="201"/>
      </c>
      <c r="AJ361" s="169"/>
      <c r="AK361" s="169"/>
      <c r="AL361" s="169"/>
      <c r="AM361" s="169"/>
      <c r="AN361" s="173"/>
      <c r="AO361" s="173"/>
      <c r="AP361" s="173"/>
      <c r="AQ361" s="173"/>
      <c r="AR361" s="173"/>
      <c r="AS361" s="173"/>
      <c r="AT361" s="173" t="s">
        <v>725</v>
      </c>
      <c r="AU361" s="173" t="s">
        <v>725</v>
      </c>
      <c r="AV361" s="173" t="s">
        <v>725</v>
      </c>
      <c r="AW361" s="173" t="s">
        <v>725</v>
      </c>
      <c r="AX361" s="173" t="s">
        <v>725</v>
      </c>
      <c r="AY361" s="173" t="s">
        <v>725</v>
      </c>
      <c r="AZ361" s="173" t="s">
        <v>725</v>
      </c>
      <c r="BA361" s="173" t="s">
        <v>725</v>
      </c>
      <c r="BB361" s="173" t="s">
        <v>725</v>
      </c>
      <c r="BC361" s="173" t="s">
        <v>725</v>
      </c>
      <c r="BD361" s="173" t="s">
        <v>725</v>
      </c>
      <c r="BE361" s="173" t="s">
        <v>725</v>
      </c>
      <c r="BF361" s="173" t="s">
        <v>725</v>
      </c>
      <c r="BG361" s="173" t="s">
        <v>725</v>
      </c>
      <c r="BH361" s="173" t="s">
        <v>725</v>
      </c>
      <c r="BI361" s="173" t="s">
        <v>725</v>
      </c>
      <c r="BJ361" s="173" t="s">
        <v>725</v>
      </c>
      <c r="BK361" s="173" t="s">
        <v>725</v>
      </c>
      <c r="BL361" s="173" t="s">
        <v>725</v>
      </c>
      <c r="BM361" s="173" t="s">
        <v>725</v>
      </c>
      <c r="BN361" s="173" t="s">
        <v>725</v>
      </c>
      <c r="BO361" s="173" t="s">
        <v>725</v>
      </c>
      <c r="BP361" s="173" t="s">
        <v>725</v>
      </c>
      <c r="BQ361" s="173" t="s">
        <v>725</v>
      </c>
      <c r="BR361" s="174"/>
      <c r="BS361" s="161" t="str">
        <v>#VALUE!</v>
      </c>
    </row>
    <row customHeight="true" ht="18.51851851851852" r="362">
      <c r="A362" s="161" t="s">
        <v>732</v>
      </c>
      <c r="B362" s="161" t="s">
        <v>730</v>
      </c>
      <c r="C362" s="183" t="s">
        <v>849</v>
      </c>
      <c r="D362" s="189" t="s">
        <v>852</v>
      </c>
      <c r="E362" s="186">
        <v>31</v>
      </c>
      <c r="F362" s="163">
        <v>44.99</v>
      </c>
      <c r="G362" s="164">
        <f t="shared" si="16"/>
      </c>
      <c r="H362" s="164">
        <f t="shared" si="80"/>
      </c>
      <c r="I362" s="164">
        <f t="shared" si="142"/>
      </c>
      <c r="J362" s="165">
        <f t="shared" si="223"/>
      </c>
      <c r="K362" s="166">
        <f t="shared" si="276"/>
      </c>
      <c r="L362" s="167">
        <f t="shared" si="347"/>
      </c>
      <c r="M362" s="164">
        <f t="shared" si="392"/>
      </c>
      <c r="N362" s="166">
        <f t="shared" si="443"/>
      </c>
      <c r="O362" s="166">
        <f t="shared" si="467"/>
      </c>
      <c r="P362" s="161">
        <v>30</v>
      </c>
      <c r="Q362" s="168">
        <v>8</v>
      </c>
      <c r="R362" s="169">
        <f t="shared" si="36"/>
      </c>
      <c r="S362" s="165">
        <f t="shared" si="533"/>
      </c>
      <c r="T362" s="169">
        <f t="shared" si="161"/>
      </c>
      <c r="U362" s="169">
        <v>0.01</v>
      </c>
      <c r="V362" s="169">
        <f t="shared" si="298"/>
      </c>
      <c r="W362" s="169">
        <f t="shared" si="369"/>
      </c>
      <c r="X362" s="170">
        <v>0.198</v>
      </c>
      <c r="Y362" s="171">
        <v>6</v>
      </c>
      <c r="Z362" s="171">
        <f>F362*0.15</f>
      </c>
      <c r="AA362" s="171">
        <f t="shared" si="489"/>
      </c>
      <c r="AB362" s="166">
        <f t="shared" si="511"/>
      </c>
      <c r="AC362" s="166">
        <v>80</v>
      </c>
      <c r="AD362" s="172">
        <f t="shared" si="58"/>
      </c>
      <c r="AE362" s="168">
        <f t="shared" si="114"/>
      </c>
      <c r="AF362" s="169">
        <f t="shared" si="183"/>
      </c>
      <c r="AG362" s="169">
        <f t="shared" si="325"/>
      </c>
      <c r="AH362" s="168">
        <v>6</v>
      </c>
      <c r="AI362" s="169">
        <f t="shared" si="201"/>
      </c>
      <c r="AJ362" s="169"/>
      <c r="AK362" s="169"/>
      <c r="AL362" s="169"/>
      <c r="AM362" s="169"/>
      <c r="AN362" s="173"/>
      <c r="AO362" s="173"/>
      <c r="AP362" s="173"/>
      <c r="AQ362" s="173"/>
      <c r="AR362" s="173"/>
      <c r="AS362" s="173"/>
      <c r="AT362" s="173" t="s">
        <v>725</v>
      </c>
      <c r="AU362" s="173" t="s">
        <v>725</v>
      </c>
      <c r="AV362" s="173" t="s">
        <v>725</v>
      </c>
      <c r="AW362" s="173" t="s">
        <v>725</v>
      </c>
      <c r="AX362" s="173" t="s">
        <v>725</v>
      </c>
      <c r="AY362" s="173" t="s">
        <v>725</v>
      </c>
      <c r="AZ362" s="173" t="s">
        <v>725</v>
      </c>
      <c r="BA362" s="173" t="s">
        <v>725</v>
      </c>
      <c r="BB362" s="173" t="s">
        <v>725</v>
      </c>
      <c r="BC362" s="173" t="s">
        <v>725</v>
      </c>
      <c r="BD362" s="173" t="s">
        <v>725</v>
      </c>
      <c r="BE362" s="173" t="s">
        <v>725</v>
      </c>
      <c r="BF362" s="173" t="s">
        <v>725</v>
      </c>
      <c r="BG362" s="173" t="s">
        <v>725</v>
      </c>
      <c r="BH362" s="173" t="s">
        <v>725</v>
      </c>
      <c r="BI362" s="173" t="s">
        <v>725</v>
      </c>
      <c r="BJ362" s="173" t="s">
        <v>725</v>
      </c>
      <c r="BK362" s="173" t="s">
        <v>725</v>
      </c>
      <c r="BL362" s="173" t="s">
        <v>725</v>
      </c>
      <c r="BM362" s="173" t="s">
        <v>725</v>
      </c>
      <c r="BN362" s="173" t="s">
        <v>725</v>
      </c>
      <c r="BO362" s="173" t="s">
        <v>725</v>
      </c>
      <c r="BP362" s="173" t="s">
        <v>725</v>
      </c>
      <c r="BQ362" s="173" t="s">
        <v>725</v>
      </c>
      <c r="BR362" s="174"/>
      <c r="BS362" s="161" t="str">
        <v>#VALUE!</v>
      </c>
    </row>
    <row customHeight="true" ht="18.51851851851852" r="363">
      <c r="A363" s="161" t="s">
        <v>733</v>
      </c>
      <c r="B363" s="161" t="s">
        <v>730</v>
      </c>
      <c r="C363" s="183" t="s">
        <v>849</v>
      </c>
      <c r="D363" s="189" t="s">
        <v>850</v>
      </c>
      <c r="E363" s="186">
        <v>31</v>
      </c>
      <c r="F363" s="163">
        <v>44.99</v>
      </c>
      <c r="G363" s="164">
        <f t="shared" si="16"/>
      </c>
      <c r="H363" s="164">
        <f t="shared" si="80"/>
      </c>
      <c r="I363" s="164">
        <f t="shared" si="142"/>
      </c>
      <c r="J363" s="165">
        <f t="shared" si="223"/>
      </c>
      <c r="K363" s="166">
        <f t="shared" si="276"/>
      </c>
      <c r="L363" s="167">
        <f t="shared" si="347"/>
      </c>
      <c r="M363" s="164">
        <f t="shared" si="392"/>
      </c>
      <c r="N363" s="166">
        <f t="shared" si="443"/>
      </c>
      <c r="O363" s="166">
        <f t="shared" si="467"/>
      </c>
      <c r="P363" s="161">
        <v>30</v>
      </c>
      <c r="Q363" s="168">
        <v>8</v>
      </c>
      <c r="R363" s="169">
        <f t="shared" si="36"/>
      </c>
      <c r="S363" s="165">
        <f t="shared" si="533"/>
      </c>
      <c r="T363" s="169">
        <f t="shared" si="161"/>
      </c>
      <c r="U363" s="169">
        <v>0.01</v>
      </c>
      <c r="V363" s="169">
        <f t="shared" si="298"/>
      </c>
      <c r="W363" s="169">
        <f t="shared" si="369"/>
      </c>
      <c r="X363" s="170">
        <v>0.1846</v>
      </c>
      <c r="Y363" s="171">
        <v>6</v>
      </c>
      <c r="Z363" s="171">
        <v>0</v>
      </c>
      <c r="AA363" s="171">
        <f t="shared" si="489"/>
      </c>
      <c r="AB363" s="166">
        <f t="shared" si="511"/>
      </c>
      <c r="AC363" s="166">
        <v>80</v>
      </c>
      <c r="AD363" s="172">
        <f t="shared" si="58"/>
      </c>
      <c r="AE363" s="168">
        <f t="shared" si="114"/>
      </c>
      <c r="AF363" s="169">
        <f t="shared" si="183"/>
      </c>
      <c r="AG363" s="169">
        <f t="shared" si="325"/>
      </c>
      <c r="AH363" s="168">
        <v>6</v>
      </c>
      <c r="AI363" s="165">
        <f t="shared" si="201"/>
      </c>
      <c r="AJ363" s="165"/>
      <c r="AK363" s="165"/>
      <c r="AL363" s="165"/>
      <c r="AM363" s="165"/>
      <c r="AN363" s="173"/>
      <c r="AO363" s="173"/>
      <c r="AP363" s="173"/>
      <c r="AQ363" s="173"/>
      <c r="AR363" s="173"/>
      <c r="AS363" s="173"/>
      <c r="AT363" s="173" t="s">
        <v>725</v>
      </c>
      <c r="AU363" s="173" t="s">
        <v>725</v>
      </c>
      <c r="AV363" s="173" t="s">
        <v>725</v>
      </c>
      <c r="AW363" s="173" t="s">
        <v>725</v>
      </c>
      <c r="AX363" s="173" t="s">
        <v>725</v>
      </c>
      <c r="AY363" s="173" t="s">
        <v>725</v>
      </c>
      <c r="AZ363" s="173" t="s">
        <v>725</v>
      </c>
      <c r="BA363" s="173" t="s">
        <v>725</v>
      </c>
      <c r="BB363" s="173" t="s">
        <v>725</v>
      </c>
      <c r="BC363" s="173" t="s">
        <v>725</v>
      </c>
      <c r="BD363" s="173" t="s">
        <v>725</v>
      </c>
      <c r="BE363" s="173" t="s">
        <v>725</v>
      </c>
      <c r="BF363" s="173" t="s">
        <v>725</v>
      </c>
      <c r="BG363" s="173" t="s">
        <v>725</v>
      </c>
      <c r="BH363" s="173" t="s">
        <v>725</v>
      </c>
      <c r="BI363" s="173" t="s">
        <v>725</v>
      </c>
      <c r="BJ363" s="173" t="s">
        <v>725</v>
      </c>
      <c r="BK363" s="173" t="s">
        <v>725</v>
      </c>
      <c r="BL363" s="173" t="s">
        <v>725</v>
      </c>
      <c r="BM363" s="173" t="s">
        <v>725</v>
      </c>
      <c r="BN363" s="173" t="s">
        <v>725</v>
      </c>
      <c r="BO363" s="173" t="s">
        <v>725</v>
      </c>
      <c r="BP363" s="173" t="s">
        <v>725</v>
      </c>
      <c r="BQ363" s="173" t="s">
        <v>725</v>
      </c>
      <c r="BR363" s="174"/>
      <c r="BS363" s="161" t="str">
        <v>#VALUE!</v>
      </c>
    </row>
    <row customHeight="true" ht="18.51851851851852" r="364">
      <c r="A364" s="161" t="s">
        <v>733</v>
      </c>
      <c r="B364" s="161" t="s">
        <v>730</v>
      </c>
      <c r="C364" s="183" t="s">
        <v>849</v>
      </c>
      <c r="D364" s="189" t="s">
        <v>851</v>
      </c>
      <c r="E364" s="186">
        <v>31</v>
      </c>
      <c r="F364" s="163">
        <v>44.99</v>
      </c>
      <c r="G364" s="164">
        <f t="shared" si="16"/>
      </c>
      <c r="H364" s="164">
        <f t="shared" si="80"/>
      </c>
      <c r="I364" s="175">
        <f t="shared" si="142"/>
      </c>
      <c r="J364" s="165">
        <f t="shared" si="223"/>
      </c>
      <c r="K364" s="166">
        <f t="shared" si="276"/>
      </c>
      <c r="L364" s="167">
        <f t="shared" si="347"/>
      </c>
      <c r="M364" s="164">
        <f t="shared" si="392"/>
      </c>
      <c r="N364" s="166">
        <f t="shared" si="443"/>
      </c>
      <c r="O364" s="166">
        <f t="shared" si="467"/>
      </c>
      <c r="P364" s="161">
        <v>30</v>
      </c>
      <c r="Q364" s="168">
        <v>8</v>
      </c>
      <c r="R364" s="169">
        <f t="shared" si="36"/>
      </c>
      <c r="S364" s="165">
        <f t="shared" si="533"/>
      </c>
      <c r="T364" s="169">
        <f t="shared" si="161"/>
      </c>
      <c r="U364" s="169">
        <v>0.01</v>
      </c>
      <c r="V364" s="169">
        <f t="shared" si="298"/>
      </c>
      <c r="W364" s="169">
        <f t="shared" si="369"/>
      </c>
      <c r="X364" s="170">
        <v>0.1846</v>
      </c>
      <c r="Y364" s="171">
        <v>6</v>
      </c>
      <c r="Z364" s="171">
        <f>F364*0.1</f>
      </c>
      <c r="AA364" s="171">
        <f t="shared" si="489"/>
      </c>
      <c r="AB364" s="166">
        <f t="shared" si="511"/>
      </c>
      <c r="AC364" s="166">
        <v>80</v>
      </c>
      <c r="AD364" s="172">
        <f t="shared" si="58"/>
      </c>
      <c r="AE364" s="168">
        <f t="shared" si="114"/>
      </c>
      <c r="AF364" s="169">
        <f t="shared" si="183"/>
      </c>
      <c r="AG364" s="169">
        <f t="shared" si="325"/>
      </c>
      <c r="AH364" s="168">
        <v>6</v>
      </c>
      <c r="AI364" s="165">
        <f t="shared" si="201"/>
      </c>
      <c r="AJ364" s="165"/>
      <c r="AK364" s="165"/>
      <c r="AL364" s="165"/>
      <c r="AM364" s="165"/>
      <c r="AN364" s="173"/>
      <c r="AO364" s="173"/>
      <c r="AP364" s="173"/>
      <c r="AQ364" s="173"/>
      <c r="AR364" s="173"/>
      <c r="AS364" s="173"/>
      <c r="AT364" s="173" t="s">
        <v>725</v>
      </c>
      <c r="AU364" s="173" t="s">
        <v>725</v>
      </c>
      <c r="AV364" s="173" t="s">
        <v>725</v>
      </c>
      <c r="AW364" s="173" t="s">
        <v>725</v>
      </c>
      <c r="AX364" s="173" t="s">
        <v>725</v>
      </c>
      <c r="AY364" s="173" t="s">
        <v>725</v>
      </c>
      <c r="AZ364" s="173" t="s">
        <v>725</v>
      </c>
      <c r="BA364" s="173" t="s">
        <v>725</v>
      </c>
      <c r="BB364" s="173" t="s">
        <v>725</v>
      </c>
      <c r="BC364" s="173" t="s">
        <v>725</v>
      </c>
      <c r="BD364" s="173" t="s">
        <v>725</v>
      </c>
      <c r="BE364" s="173" t="s">
        <v>725</v>
      </c>
      <c r="BF364" s="173" t="s">
        <v>725</v>
      </c>
      <c r="BG364" s="173" t="s">
        <v>725</v>
      </c>
      <c r="BH364" s="173" t="s">
        <v>725</v>
      </c>
      <c r="BI364" s="173" t="s">
        <v>725</v>
      </c>
      <c r="BJ364" s="173" t="s">
        <v>725</v>
      </c>
      <c r="BK364" s="173" t="s">
        <v>725</v>
      </c>
      <c r="BL364" s="173" t="s">
        <v>725</v>
      </c>
      <c r="BM364" s="173" t="s">
        <v>725</v>
      </c>
      <c r="BN364" s="173" t="s">
        <v>725</v>
      </c>
      <c r="BO364" s="173" t="s">
        <v>725</v>
      </c>
      <c r="BP364" s="173" t="s">
        <v>725</v>
      </c>
      <c r="BQ364" s="173" t="s">
        <v>725</v>
      </c>
      <c r="BR364" s="174"/>
      <c r="BS364" s="161" t="str">
        <v>#VALUE!</v>
      </c>
    </row>
    <row customHeight="true" ht="18.51851851851852" r="365">
      <c r="A365" s="161" t="s">
        <v>733</v>
      </c>
      <c r="B365" s="161" t="s">
        <v>730</v>
      </c>
      <c r="C365" s="183" t="s">
        <v>849</v>
      </c>
      <c r="D365" s="189" t="s">
        <v>852</v>
      </c>
      <c r="E365" s="186">
        <v>31</v>
      </c>
      <c r="F365" s="163">
        <v>44.99</v>
      </c>
      <c r="G365" s="164">
        <f t="shared" si="16"/>
      </c>
      <c r="H365" s="164">
        <f t="shared" si="80"/>
      </c>
      <c r="I365" s="164">
        <f t="shared" si="142"/>
      </c>
      <c r="J365" s="165">
        <f t="shared" si="223"/>
      </c>
      <c r="K365" s="166">
        <f t="shared" si="276"/>
      </c>
      <c r="L365" s="167">
        <f t="shared" si="347"/>
      </c>
      <c r="M365" s="164">
        <f t="shared" si="392"/>
      </c>
      <c r="N365" s="166">
        <f t="shared" si="443"/>
      </c>
      <c r="O365" s="166">
        <f t="shared" si="467"/>
      </c>
      <c r="P365" s="161">
        <v>30</v>
      </c>
      <c r="Q365" s="168">
        <v>8</v>
      </c>
      <c r="R365" s="169">
        <f t="shared" si="36"/>
      </c>
      <c r="S365" s="165">
        <f t="shared" si="533"/>
      </c>
      <c r="T365" s="169">
        <f t="shared" si="161"/>
      </c>
      <c r="U365" s="169">
        <v>0.01</v>
      </c>
      <c r="V365" s="169">
        <f t="shared" si="298"/>
      </c>
      <c r="W365" s="169">
        <f t="shared" si="369"/>
      </c>
      <c r="X365" s="170">
        <v>0.1846</v>
      </c>
      <c r="Y365" s="171">
        <v>6</v>
      </c>
      <c r="Z365" s="171">
        <f>F365*0.15</f>
      </c>
      <c r="AA365" s="171">
        <f t="shared" si="489"/>
      </c>
      <c r="AB365" s="166">
        <f t="shared" si="511"/>
      </c>
      <c r="AC365" s="166">
        <v>80</v>
      </c>
      <c r="AD365" s="172">
        <f t="shared" si="58"/>
      </c>
      <c r="AE365" s="168">
        <f t="shared" si="114"/>
      </c>
      <c r="AF365" s="169">
        <f t="shared" si="183"/>
      </c>
      <c r="AG365" s="169">
        <f t="shared" si="325"/>
      </c>
      <c r="AH365" s="168">
        <v>6</v>
      </c>
      <c r="AI365" s="165">
        <f t="shared" si="201"/>
      </c>
      <c r="AJ365" s="165"/>
      <c r="AK365" s="165"/>
      <c r="AL365" s="165"/>
      <c r="AM365" s="165"/>
      <c r="AN365" s="173"/>
      <c r="AO365" s="173"/>
      <c r="AP365" s="173"/>
      <c r="AQ365" s="173"/>
      <c r="AR365" s="173"/>
      <c r="AS365" s="173"/>
      <c r="AT365" s="173" t="s">
        <v>725</v>
      </c>
      <c r="AU365" s="173" t="s">
        <v>725</v>
      </c>
      <c r="AV365" s="173" t="s">
        <v>725</v>
      </c>
      <c r="AW365" s="173" t="s">
        <v>725</v>
      </c>
      <c r="AX365" s="173" t="s">
        <v>725</v>
      </c>
      <c r="AY365" s="173" t="s">
        <v>725</v>
      </c>
      <c r="AZ365" s="173" t="s">
        <v>725</v>
      </c>
      <c r="BA365" s="173" t="s">
        <v>725</v>
      </c>
      <c r="BB365" s="173" t="s">
        <v>725</v>
      </c>
      <c r="BC365" s="173" t="s">
        <v>725</v>
      </c>
      <c r="BD365" s="173" t="s">
        <v>725</v>
      </c>
      <c r="BE365" s="173" t="s">
        <v>725</v>
      </c>
      <c r="BF365" s="173" t="s">
        <v>725</v>
      </c>
      <c r="BG365" s="173" t="s">
        <v>725</v>
      </c>
      <c r="BH365" s="173" t="s">
        <v>725</v>
      </c>
      <c r="BI365" s="173" t="s">
        <v>725</v>
      </c>
      <c r="BJ365" s="173" t="s">
        <v>725</v>
      </c>
      <c r="BK365" s="173" t="s">
        <v>725</v>
      </c>
      <c r="BL365" s="173" t="s">
        <v>725</v>
      </c>
      <c r="BM365" s="173" t="s">
        <v>725</v>
      </c>
      <c r="BN365" s="173" t="s">
        <v>725</v>
      </c>
      <c r="BO365" s="173" t="s">
        <v>725</v>
      </c>
      <c r="BP365" s="173" t="s">
        <v>725</v>
      </c>
      <c r="BQ365" s="173" t="s">
        <v>725</v>
      </c>
      <c r="BR365" s="174"/>
      <c r="BS365" s="161" t="str">
        <v>#VALUE!</v>
      </c>
    </row>
    <row customHeight="true" ht="18.51851851851852" r="366">
      <c r="A366" s="161" t="s">
        <v>734</v>
      </c>
      <c r="B366" s="161" t="s">
        <v>730</v>
      </c>
      <c r="C366" s="183" t="s">
        <v>849</v>
      </c>
      <c r="D366" s="189" t="s">
        <v>850</v>
      </c>
      <c r="E366" s="186">
        <v>31</v>
      </c>
      <c r="F366" s="163">
        <v>44.99</v>
      </c>
      <c r="G366" s="164">
        <f t="shared" si="16"/>
      </c>
      <c r="H366" s="164">
        <f t="shared" si="80"/>
      </c>
      <c r="I366" s="164">
        <f t="shared" si="142"/>
      </c>
      <c r="J366" s="165">
        <f t="shared" si="223"/>
      </c>
      <c r="K366" s="166">
        <f t="shared" si="276"/>
      </c>
      <c r="L366" s="167">
        <f t="shared" si="347"/>
      </c>
      <c r="M366" s="164">
        <f t="shared" si="392"/>
      </c>
      <c r="N366" s="166">
        <f t="shared" si="443"/>
      </c>
      <c r="O366" s="166">
        <f t="shared" si="467"/>
      </c>
      <c r="P366" s="161">
        <v>30</v>
      </c>
      <c r="Q366" s="168">
        <v>8</v>
      </c>
      <c r="R366" s="169">
        <f t="shared" si="36"/>
      </c>
      <c r="S366" s="165">
        <f t="shared" si="533"/>
      </c>
      <c r="T366" s="169">
        <f t="shared" si="161"/>
      </c>
      <c r="U366" s="169">
        <v>0.01</v>
      </c>
      <c r="V366" s="169">
        <f t="shared" si="298"/>
      </c>
      <c r="W366" s="169">
        <f t="shared" si="369"/>
      </c>
      <c r="X366" s="170">
        <v>0.1646</v>
      </c>
      <c r="Y366" s="171">
        <v>6</v>
      </c>
      <c r="Z366" s="171">
        <v>0</v>
      </c>
      <c r="AA366" s="171">
        <f t="shared" si="489"/>
      </c>
      <c r="AB366" s="166">
        <f t="shared" si="511"/>
      </c>
      <c r="AC366" s="166">
        <v>80</v>
      </c>
      <c r="AD366" s="172">
        <f t="shared" si="58"/>
      </c>
      <c r="AE366" s="168">
        <f t="shared" si="114"/>
      </c>
      <c r="AF366" s="169">
        <f t="shared" si="183"/>
      </c>
      <c r="AG366" s="169">
        <f t="shared" si="325"/>
      </c>
      <c r="AH366" s="168">
        <v>6</v>
      </c>
      <c r="AI366" s="169">
        <f t="shared" si="201"/>
      </c>
      <c r="AJ366" s="169"/>
      <c r="AK366" s="169"/>
      <c r="AL366" s="169"/>
      <c r="AM366" s="169"/>
      <c r="AN366" s="173"/>
      <c r="AO366" s="173"/>
      <c r="AP366" s="173"/>
      <c r="AQ366" s="173"/>
      <c r="AR366" s="173"/>
      <c r="AS366" s="173"/>
      <c r="AT366" s="173" t="s">
        <v>725</v>
      </c>
      <c r="AU366" s="173" t="s">
        <v>725</v>
      </c>
      <c r="AV366" s="173" t="s">
        <v>725</v>
      </c>
      <c r="AW366" s="173" t="s">
        <v>725</v>
      </c>
      <c r="AX366" s="173" t="s">
        <v>725</v>
      </c>
      <c r="AY366" s="173" t="s">
        <v>725</v>
      </c>
      <c r="AZ366" s="173" t="s">
        <v>725</v>
      </c>
      <c r="BA366" s="173" t="s">
        <v>725</v>
      </c>
      <c r="BB366" s="173" t="s">
        <v>725</v>
      </c>
      <c r="BC366" s="173" t="s">
        <v>725</v>
      </c>
      <c r="BD366" s="173" t="s">
        <v>725</v>
      </c>
      <c r="BE366" s="173" t="s">
        <v>725</v>
      </c>
      <c r="BF366" s="173" t="s">
        <v>725</v>
      </c>
      <c r="BG366" s="173" t="s">
        <v>725</v>
      </c>
      <c r="BH366" s="173" t="s">
        <v>725</v>
      </c>
      <c r="BI366" s="173" t="s">
        <v>725</v>
      </c>
      <c r="BJ366" s="173" t="s">
        <v>725</v>
      </c>
      <c r="BK366" s="173" t="s">
        <v>725</v>
      </c>
      <c r="BL366" s="173" t="s">
        <v>725</v>
      </c>
      <c r="BM366" s="173" t="s">
        <v>725</v>
      </c>
      <c r="BN366" s="173" t="s">
        <v>725</v>
      </c>
      <c r="BO366" s="173" t="s">
        <v>725</v>
      </c>
      <c r="BP366" s="173" t="s">
        <v>725</v>
      </c>
      <c r="BQ366" s="173" t="s">
        <v>725</v>
      </c>
      <c r="BR366" s="174"/>
      <c r="BS366" s="161" t="str">
        <v>#VALUE!</v>
      </c>
    </row>
    <row customHeight="true" ht="18.51851851851852" r="367">
      <c r="A367" s="161" t="s">
        <v>734</v>
      </c>
      <c r="B367" s="161" t="s">
        <v>730</v>
      </c>
      <c r="C367" s="183" t="s">
        <v>849</v>
      </c>
      <c r="D367" s="189" t="s">
        <v>851</v>
      </c>
      <c r="E367" s="186">
        <v>31</v>
      </c>
      <c r="F367" s="163">
        <v>44.99</v>
      </c>
      <c r="G367" s="164">
        <f t="shared" si="16"/>
      </c>
      <c r="H367" s="164">
        <f t="shared" si="80"/>
      </c>
      <c r="I367" s="175">
        <f t="shared" si="142"/>
      </c>
      <c r="J367" s="165">
        <f t="shared" si="223"/>
      </c>
      <c r="K367" s="166">
        <f t="shared" si="276"/>
      </c>
      <c r="L367" s="167">
        <f t="shared" si="347"/>
      </c>
      <c r="M367" s="164">
        <f t="shared" si="392"/>
      </c>
      <c r="N367" s="166">
        <f t="shared" si="443"/>
      </c>
      <c r="O367" s="166">
        <f t="shared" si="467"/>
      </c>
      <c r="P367" s="161">
        <v>30</v>
      </c>
      <c r="Q367" s="168">
        <v>8</v>
      </c>
      <c r="R367" s="169">
        <f t="shared" si="36"/>
      </c>
      <c r="S367" s="165">
        <f t="shared" si="533"/>
      </c>
      <c r="T367" s="169">
        <f t="shared" si="161"/>
      </c>
      <c r="U367" s="169">
        <v>0.01</v>
      </c>
      <c r="V367" s="169">
        <f t="shared" si="298"/>
      </c>
      <c r="W367" s="169">
        <f t="shared" si="369"/>
      </c>
      <c r="X367" s="170">
        <v>0.1646</v>
      </c>
      <c r="Y367" s="171">
        <v>6</v>
      </c>
      <c r="Z367" s="171">
        <f>F367*0.1</f>
      </c>
      <c r="AA367" s="171">
        <f t="shared" si="489"/>
      </c>
      <c r="AB367" s="166">
        <f t="shared" si="511"/>
      </c>
      <c r="AC367" s="166">
        <v>80</v>
      </c>
      <c r="AD367" s="172">
        <f t="shared" si="58"/>
      </c>
      <c r="AE367" s="168">
        <f t="shared" si="114"/>
      </c>
      <c r="AF367" s="169">
        <f t="shared" si="183"/>
      </c>
      <c r="AG367" s="169">
        <f t="shared" si="325"/>
      </c>
      <c r="AH367" s="168">
        <v>6</v>
      </c>
      <c r="AI367" s="169">
        <f t="shared" si="201"/>
      </c>
      <c r="AJ367" s="169"/>
      <c r="AK367" s="169"/>
      <c r="AL367" s="169"/>
      <c r="AM367" s="169"/>
      <c r="AN367" s="173"/>
      <c r="AO367" s="173"/>
      <c r="AP367" s="173"/>
      <c r="AQ367" s="173"/>
      <c r="AR367" s="173"/>
      <c r="AS367" s="173"/>
      <c r="AT367" s="173" t="s">
        <v>725</v>
      </c>
      <c r="AU367" s="173" t="s">
        <v>725</v>
      </c>
      <c r="AV367" s="173" t="s">
        <v>725</v>
      </c>
      <c r="AW367" s="173" t="s">
        <v>725</v>
      </c>
      <c r="AX367" s="173" t="s">
        <v>725</v>
      </c>
      <c r="AY367" s="173" t="s">
        <v>725</v>
      </c>
      <c r="AZ367" s="173" t="s">
        <v>725</v>
      </c>
      <c r="BA367" s="173" t="s">
        <v>725</v>
      </c>
      <c r="BB367" s="173" t="s">
        <v>725</v>
      </c>
      <c r="BC367" s="173" t="s">
        <v>725</v>
      </c>
      <c r="BD367" s="173" t="s">
        <v>725</v>
      </c>
      <c r="BE367" s="173" t="s">
        <v>725</v>
      </c>
      <c r="BF367" s="173" t="s">
        <v>725</v>
      </c>
      <c r="BG367" s="173" t="s">
        <v>725</v>
      </c>
      <c r="BH367" s="173" t="s">
        <v>725</v>
      </c>
      <c r="BI367" s="173" t="s">
        <v>725</v>
      </c>
      <c r="BJ367" s="173" t="s">
        <v>725</v>
      </c>
      <c r="BK367" s="173" t="s">
        <v>725</v>
      </c>
      <c r="BL367" s="173" t="s">
        <v>725</v>
      </c>
      <c r="BM367" s="173" t="s">
        <v>725</v>
      </c>
      <c r="BN367" s="173" t="s">
        <v>725</v>
      </c>
      <c r="BO367" s="173" t="s">
        <v>725</v>
      </c>
      <c r="BP367" s="173" t="s">
        <v>725</v>
      </c>
      <c r="BQ367" s="173" t="s">
        <v>725</v>
      </c>
      <c r="BR367" s="174"/>
      <c r="BS367" s="161" t="str">
        <v>#VALUE!</v>
      </c>
    </row>
    <row customHeight="true" ht="18.51851851851852" r="368">
      <c r="A368" s="161" t="s">
        <v>734</v>
      </c>
      <c r="B368" s="161" t="s">
        <v>730</v>
      </c>
      <c r="C368" s="183" t="s">
        <v>849</v>
      </c>
      <c r="D368" s="189" t="s">
        <v>852</v>
      </c>
      <c r="E368" s="186">
        <v>31</v>
      </c>
      <c r="F368" s="163">
        <v>44.99</v>
      </c>
      <c r="G368" s="164">
        <f t="shared" si="16"/>
      </c>
      <c r="H368" s="164">
        <f t="shared" si="80"/>
      </c>
      <c r="I368" s="164">
        <f t="shared" si="142"/>
      </c>
      <c r="J368" s="165">
        <f t="shared" si="223"/>
      </c>
      <c r="K368" s="166">
        <f t="shared" si="276"/>
      </c>
      <c r="L368" s="167">
        <f t="shared" si="347"/>
      </c>
      <c r="M368" s="164">
        <f t="shared" si="392"/>
      </c>
      <c r="N368" s="166">
        <f t="shared" si="443"/>
      </c>
      <c r="O368" s="166">
        <f t="shared" si="467"/>
      </c>
      <c r="P368" s="161">
        <v>30</v>
      </c>
      <c r="Q368" s="168">
        <v>8</v>
      </c>
      <c r="R368" s="169">
        <f t="shared" si="36"/>
      </c>
      <c r="S368" s="165">
        <f t="shared" si="533"/>
      </c>
      <c r="T368" s="169">
        <f t="shared" si="161"/>
      </c>
      <c r="U368" s="169">
        <v>0.01</v>
      </c>
      <c r="V368" s="169">
        <f t="shared" si="298"/>
      </c>
      <c r="W368" s="169">
        <f t="shared" si="369"/>
      </c>
      <c r="X368" s="170">
        <v>0.1646</v>
      </c>
      <c r="Y368" s="171">
        <v>6</v>
      </c>
      <c r="Z368" s="171">
        <f>F368*0.15</f>
      </c>
      <c r="AA368" s="171">
        <f t="shared" si="489"/>
      </c>
      <c r="AB368" s="166">
        <f t="shared" si="511"/>
      </c>
      <c r="AC368" s="166">
        <v>80</v>
      </c>
      <c r="AD368" s="172">
        <f t="shared" si="58"/>
      </c>
      <c r="AE368" s="168">
        <f t="shared" si="114"/>
      </c>
      <c r="AF368" s="169">
        <f t="shared" si="183"/>
      </c>
      <c r="AG368" s="169">
        <f t="shared" si="325"/>
      </c>
      <c r="AH368" s="168">
        <v>6</v>
      </c>
      <c r="AI368" s="169">
        <f t="shared" si="201"/>
      </c>
      <c r="AJ368" s="169"/>
      <c r="AK368" s="169"/>
      <c r="AL368" s="169"/>
      <c r="AM368" s="169"/>
      <c r="AN368" s="173"/>
      <c r="AO368" s="173"/>
      <c r="AP368" s="173"/>
      <c r="AQ368" s="173"/>
      <c r="AR368" s="173"/>
      <c r="AS368" s="173"/>
      <c r="AT368" s="173" t="s">
        <v>725</v>
      </c>
      <c r="AU368" s="173" t="s">
        <v>725</v>
      </c>
      <c r="AV368" s="173" t="s">
        <v>725</v>
      </c>
      <c r="AW368" s="173" t="s">
        <v>725</v>
      </c>
      <c r="AX368" s="173" t="s">
        <v>725</v>
      </c>
      <c r="AY368" s="173" t="s">
        <v>725</v>
      </c>
      <c r="AZ368" s="173" t="s">
        <v>725</v>
      </c>
      <c r="BA368" s="173" t="s">
        <v>725</v>
      </c>
      <c r="BB368" s="173" t="s">
        <v>725</v>
      </c>
      <c r="BC368" s="173" t="s">
        <v>725</v>
      </c>
      <c r="BD368" s="173" t="s">
        <v>725</v>
      </c>
      <c r="BE368" s="173" t="s">
        <v>725</v>
      </c>
      <c r="BF368" s="173" t="s">
        <v>725</v>
      </c>
      <c r="BG368" s="173" t="s">
        <v>725</v>
      </c>
      <c r="BH368" s="173" t="s">
        <v>725</v>
      </c>
      <c r="BI368" s="173" t="s">
        <v>725</v>
      </c>
      <c r="BJ368" s="173" t="s">
        <v>725</v>
      </c>
      <c r="BK368" s="173" t="s">
        <v>725</v>
      </c>
      <c r="BL368" s="173" t="s">
        <v>725</v>
      </c>
      <c r="BM368" s="173" t="s">
        <v>725</v>
      </c>
      <c r="BN368" s="173" t="s">
        <v>725</v>
      </c>
      <c r="BO368" s="173" t="s">
        <v>725</v>
      </c>
      <c r="BP368" s="173" t="s">
        <v>725</v>
      </c>
      <c r="BQ368" s="173" t="s">
        <v>725</v>
      </c>
      <c r="BR368" s="174"/>
      <c r="BS368" s="161" t="str">
        <v>#VALUE!</v>
      </c>
    </row>
    <row customHeight="true" ht="18.51851851851852" r="369">
      <c r="A369" s="161" t="s">
        <v>735</v>
      </c>
      <c r="B369" s="161" t="s">
        <v>730</v>
      </c>
      <c r="C369" s="183" t="s">
        <v>849</v>
      </c>
      <c r="D369" s="178" t="s">
        <v>853</v>
      </c>
      <c r="E369" s="186">
        <v>34.5</v>
      </c>
      <c r="F369" s="163">
        <v>49.99</v>
      </c>
      <c r="G369" s="164">
        <f t="shared" si="16"/>
      </c>
      <c r="H369" s="164">
        <f t="shared" si="80"/>
      </c>
      <c r="I369" s="164">
        <f t="shared" si="142"/>
      </c>
      <c r="J369" s="165">
        <f t="shared" si="223"/>
      </c>
      <c r="K369" s="166">
        <f t="shared" si="276"/>
      </c>
      <c r="L369" s="167">
        <f t="shared" si="347"/>
      </c>
      <c r="M369" s="164">
        <f t="shared" si="392"/>
      </c>
      <c r="N369" s="166">
        <f t="shared" si="443"/>
      </c>
      <c r="O369" s="166">
        <f t="shared" si="467"/>
      </c>
      <c r="P369" s="161">
        <v>30</v>
      </c>
      <c r="Q369" s="168">
        <v>8</v>
      </c>
      <c r="R369" s="169">
        <f t="shared" si="36"/>
      </c>
      <c r="S369" s="165">
        <f t="shared" si="533"/>
      </c>
      <c r="T369" s="169">
        <f t="shared" si="161"/>
      </c>
      <c r="U369" s="169">
        <v>0.01</v>
      </c>
      <c r="V369" s="169">
        <f t="shared" si="298"/>
      </c>
      <c r="W369" s="169">
        <f t="shared" si="369"/>
      </c>
      <c r="X369" s="170">
        <v>0.158</v>
      </c>
      <c r="Y369" s="171">
        <v>6</v>
      </c>
      <c r="Z369" s="171">
        <f t="shared" ref="Z369:Z372" si="411">F369*0</f>
      </c>
      <c r="AA369" s="171">
        <f t="shared" si="489"/>
      </c>
      <c r="AB369" s="166">
        <f t="shared" si="511"/>
      </c>
      <c r="AC369" s="166">
        <v>80</v>
      </c>
      <c r="AD369" s="172">
        <f t="shared" si="58"/>
      </c>
      <c r="AE369" s="168">
        <f t="shared" si="114"/>
      </c>
      <c r="AF369" s="169">
        <f t="shared" si="183"/>
      </c>
      <c r="AG369" s="169">
        <f t="shared" si="325"/>
      </c>
      <c r="AH369" s="168">
        <v>6</v>
      </c>
      <c r="AI369" s="169">
        <f t="shared" si="201"/>
      </c>
      <c r="AJ369" s="173"/>
      <c r="AK369" s="173"/>
      <c r="AL369" s="173"/>
      <c r="AM369" s="173"/>
      <c r="AN369" s="173"/>
      <c r="AO369" s="173"/>
      <c r="AP369" s="173"/>
      <c r="AQ369" s="173"/>
      <c r="AR369" s="173"/>
      <c r="AS369" s="173"/>
      <c r="AT369" s="173" t="s">
        <v>725</v>
      </c>
      <c r="AU369" s="173" t="s">
        <v>725</v>
      </c>
      <c r="AV369" s="173" t="s">
        <v>725</v>
      </c>
      <c r="AW369" s="173" t="s">
        <v>725</v>
      </c>
      <c r="AX369" s="173" t="s">
        <v>725</v>
      </c>
      <c r="AY369" s="173" t="s">
        <v>725</v>
      </c>
      <c r="AZ369" s="173" t="s">
        <v>725</v>
      </c>
      <c r="BA369" s="173" t="s">
        <v>725</v>
      </c>
      <c r="BB369" s="173" t="s">
        <v>725</v>
      </c>
      <c r="BC369" s="173" t="s">
        <v>725</v>
      </c>
      <c r="BD369" s="173" t="s">
        <v>725</v>
      </c>
      <c r="BE369" s="173" t="s">
        <v>725</v>
      </c>
      <c r="BF369" s="173" t="s">
        <v>725</v>
      </c>
      <c r="BG369" s="173" t="s">
        <v>725</v>
      </c>
      <c r="BH369" s="173" t="s">
        <v>725</v>
      </c>
      <c r="BI369" s="173" t="s">
        <v>725</v>
      </c>
      <c r="BJ369" s="173" t="s">
        <v>725</v>
      </c>
      <c r="BK369" s="173" t="s">
        <v>725</v>
      </c>
      <c r="BL369" s="173" t="s">
        <v>725</v>
      </c>
      <c r="BM369" s="173" t="s">
        <v>725</v>
      </c>
      <c r="BN369" s="173" t="s">
        <v>725</v>
      </c>
      <c r="BO369" s="173" t="s">
        <v>725</v>
      </c>
      <c r="BP369" s="173" t="s">
        <v>725</v>
      </c>
      <c r="BQ369" s="173" t="s">
        <v>725</v>
      </c>
      <c r="BR369" s="180">
        <f t="shared" ref="BR369:BR372" si="252">IF(E369&lt;#REF!,1,0)</f>
      </c>
      <c r="BS369" s="161" t="str">
        <v>#VALUE!</v>
      </c>
    </row>
    <row customHeight="true" ht="18.51851851851852" r="370">
      <c r="A370" s="161" t="s">
        <v>737</v>
      </c>
      <c r="B370" s="161" t="s">
        <v>730</v>
      </c>
      <c r="C370" s="183" t="s">
        <v>849</v>
      </c>
      <c r="D370" s="178" t="s">
        <v>854</v>
      </c>
      <c r="E370" s="186">
        <v>34.5</v>
      </c>
      <c r="F370" s="163">
        <v>49.99</v>
      </c>
      <c r="G370" s="164">
        <f t="shared" si="16"/>
      </c>
      <c r="H370" s="164">
        <f t="shared" si="80"/>
      </c>
      <c r="I370" s="164">
        <f t="shared" si="142"/>
      </c>
      <c r="J370" s="165">
        <f t="shared" si="223"/>
      </c>
      <c r="K370" s="166">
        <f t="shared" si="276"/>
      </c>
      <c r="L370" s="167">
        <f t="shared" si="347"/>
      </c>
      <c r="M370" s="164">
        <f t="shared" si="392"/>
      </c>
      <c r="N370" s="166">
        <f t="shared" si="443"/>
      </c>
      <c r="O370" s="166">
        <f t="shared" si="467"/>
      </c>
      <c r="P370" s="161">
        <v>30</v>
      </c>
      <c r="Q370" s="168">
        <v>8</v>
      </c>
      <c r="R370" s="169">
        <f t="shared" si="36"/>
      </c>
      <c r="S370" s="165">
        <f t="shared" si="533"/>
      </c>
      <c r="T370" s="169">
        <f t="shared" si="161"/>
      </c>
      <c r="U370" s="169">
        <v>0.01</v>
      </c>
      <c r="V370" s="169">
        <f t="shared" si="298"/>
      </c>
      <c r="W370" s="169">
        <f t="shared" si="369"/>
      </c>
      <c r="X370" s="170">
        <v>0.223</v>
      </c>
      <c r="Y370" s="171">
        <v>6</v>
      </c>
      <c r="Z370" s="171">
        <f t="shared" si="411"/>
      </c>
      <c r="AA370" s="171">
        <f t="shared" si="489"/>
      </c>
      <c r="AB370" s="166">
        <f t="shared" si="511"/>
      </c>
      <c r="AC370" s="166">
        <v>80</v>
      </c>
      <c r="AD370" s="172">
        <f t="shared" si="58"/>
      </c>
      <c r="AE370" s="168">
        <f t="shared" si="114"/>
      </c>
      <c r="AF370" s="169">
        <f t="shared" si="183"/>
      </c>
      <c r="AG370" s="169">
        <f t="shared" si="325"/>
      </c>
      <c r="AH370" s="168">
        <v>6</v>
      </c>
      <c r="AI370" s="169">
        <f t="shared" si="201"/>
      </c>
      <c r="AJ370" s="173"/>
      <c r="AK370" s="173"/>
      <c r="AL370" s="173"/>
      <c r="AM370" s="173"/>
      <c r="AN370" s="173"/>
      <c r="AO370" s="173"/>
      <c r="AP370" s="173"/>
      <c r="AQ370" s="173"/>
      <c r="AR370" s="173"/>
      <c r="AS370" s="173"/>
      <c r="AT370" s="173" t="s">
        <v>725</v>
      </c>
      <c r="AU370" s="173" t="s">
        <v>725</v>
      </c>
      <c r="AV370" s="173" t="s">
        <v>725</v>
      </c>
      <c r="AW370" s="173" t="s">
        <v>725</v>
      </c>
      <c r="AX370" s="173" t="s">
        <v>725</v>
      </c>
      <c r="AY370" s="173" t="s">
        <v>725</v>
      </c>
      <c r="AZ370" s="173" t="s">
        <v>725</v>
      </c>
      <c r="BA370" s="173" t="s">
        <v>725</v>
      </c>
      <c r="BB370" s="173" t="s">
        <v>725</v>
      </c>
      <c r="BC370" s="173" t="s">
        <v>725</v>
      </c>
      <c r="BD370" s="173" t="s">
        <v>725</v>
      </c>
      <c r="BE370" s="173" t="s">
        <v>725</v>
      </c>
      <c r="BF370" s="173" t="s">
        <v>725</v>
      </c>
      <c r="BG370" s="173" t="s">
        <v>725</v>
      </c>
      <c r="BH370" s="173" t="s">
        <v>725</v>
      </c>
      <c r="BI370" s="173" t="s">
        <v>725</v>
      </c>
      <c r="BJ370" s="173" t="s">
        <v>725</v>
      </c>
      <c r="BK370" s="173" t="s">
        <v>725</v>
      </c>
      <c r="BL370" s="173" t="s">
        <v>725</v>
      </c>
      <c r="BM370" s="173" t="s">
        <v>725</v>
      </c>
      <c r="BN370" s="173" t="s">
        <v>725</v>
      </c>
      <c r="BO370" s="173" t="s">
        <v>725</v>
      </c>
      <c r="BP370" s="173" t="s">
        <v>725</v>
      </c>
      <c r="BQ370" s="173" t="s">
        <v>725</v>
      </c>
      <c r="BR370" s="180">
        <f t="shared" si="252"/>
      </c>
      <c r="BS370" s="161" t="str">
        <v>#VALUE!</v>
      </c>
    </row>
    <row customHeight="true" ht="18.51851851851852" r="371">
      <c r="A371" s="161" t="s">
        <v>739</v>
      </c>
      <c r="B371" s="161" t="s">
        <v>730</v>
      </c>
      <c r="C371" s="183" t="s">
        <v>849</v>
      </c>
      <c r="D371" s="178" t="s">
        <v>855</v>
      </c>
      <c r="E371" s="186">
        <v>34.5</v>
      </c>
      <c r="F371" s="163">
        <v>49.99</v>
      </c>
      <c r="G371" s="164">
        <f t="shared" si="16"/>
      </c>
      <c r="H371" s="164">
        <f t="shared" si="80"/>
      </c>
      <c r="I371" s="164">
        <f t="shared" si="142"/>
      </c>
      <c r="J371" s="165">
        <f t="shared" si="223"/>
      </c>
      <c r="K371" s="166">
        <f t="shared" si="276"/>
      </c>
      <c r="L371" s="167">
        <f t="shared" si="347"/>
      </c>
      <c r="M371" s="164">
        <f t="shared" si="392"/>
      </c>
      <c r="N371" s="166">
        <f t="shared" si="443"/>
      </c>
      <c r="O371" s="166">
        <f t="shared" si="467"/>
      </c>
      <c r="P371" s="161">
        <v>30</v>
      </c>
      <c r="Q371" s="168">
        <v>8</v>
      </c>
      <c r="R371" s="169">
        <f t="shared" si="36"/>
      </c>
      <c r="S371" s="165">
        <f t="shared" si="533"/>
      </c>
      <c r="T371" s="169">
        <f t="shared" si="161"/>
      </c>
      <c r="U371" s="169">
        <v>0.01</v>
      </c>
      <c r="V371" s="169">
        <f t="shared" si="298"/>
      </c>
      <c r="W371" s="169">
        <f t="shared" si="369"/>
      </c>
      <c r="X371" s="170">
        <v>0.223</v>
      </c>
      <c r="Y371" s="171">
        <v>6</v>
      </c>
      <c r="Z371" s="171">
        <f t="shared" si="411"/>
      </c>
      <c r="AA371" s="171">
        <f t="shared" si="489"/>
      </c>
      <c r="AB371" s="166">
        <f t="shared" si="511"/>
      </c>
      <c r="AC371" s="166">
        <v>80</v>
      </c>
      <c r="AD371" s="172">
        <f t="shared" si="58"/>
      </c>
      <c r="AE371" s="168">
        <f t="shared" si="114"/>
      </c>
      <c r="AF371" s="169">
        <f t="shared" si="183"/>
      </c>
      <c r="AG371" s="169">
        <f t="shared" si="325"/>
      </c>
      <c r="AH371" s="168">
        <v>6</v>
      </c>
      <c r="AI371" s="169">
        <f t="shared" si="201"/>
      </c>
      <c r="AJ371" s="173"/>
      <c r="AK371" s="173"/>
      <c r="AL371" s="173"/>
      <c r="AM371" s="173"/>
      <c r="AN371" s="173"/>
      <c r="AO371" s="173"/>
      <c r="AP371" s="173"/>
      <c r="AQ371" s="173"/>
      <c r="AR371" s="173"/>
      <c r="AS371" s="173"/>
      <c r="AT371" s="173" t="s">
        <v>725</v>
      </c>
      <c r="AU371" s="173" t="s">
        <v>725</v>
      </c>
      <c r="AV371" s="173" t="s">
        <v>725</v>
      </c>
      <c r="AW371" s="173" t="s">
        <v>725</v>
      </c>
      <c r="AX371" s="173" t="s">
        <v>725</v>
      </c>
      <c r="AY371" s="173" t="s">
        <v>725</v>
      </c>
      <c r="AZ371" s="173" t="s">
        <v>725</v>
      </c>
      <c r="BA371" s="173" t="s">
        <v>725</v>
      </c>
      <c r="BB371" s="173" t="s">
        <v>725</v>
      </c>
      <c r="BC371" s="173" t="s">
        <v>725</v>
      </c>
      <c r="BD371" s="173" t="s">
        <v>725</v>
      </c>
      <c r="BE371" s="173" t="s">
        <v>725</v>
      </c>
      <c r="BF371" s="173" t="s">
        <v>725</v>
      </c>
      <c r="BG371" s="173" t="s">
        <v>725</v>
      </c>
      <c r="BH371" s="173" t="s">
        <v>725</v>
      </c>
      <c r="BI371" s="173" t="s">
        <v>725</v>
      </c>
      <c r="BJ371" s="173" t="s">
        <v>725</v>
      </c>
      <c r="BK371" s="173" t="s">
        <v>725</v>
      </c>
      <c r="BL371" s="173" t="s">
        <v>725</v>
      </c>
      <c r="BM371" s="173" t="s">
        <v>725</v>
      </c>
      <c r="BN371" s="173" t="s">
        <v>725</v>
      </c>
      <c r="BO371" s="173" t="s">
        <v>725</v>
      </c>
      <c r="BP371" s="173" t="s">
        <v>725</v>
      </c>
      <c r="BQ371" s="173" t="s">
        <v>725</v>
      </c>
      <c r="BR371" s="180">
        <f t="shared" si="252"/>
      </c>
      <c r="BS371" s="161" t="str">
        <v>#VALUE!</v>
      </c>
    </row>
    <row customHeight="true" ht="18.51851851851852" r="372">
      <c r="A372" s="161" t="s">
        <v>741</v>
      </c>
      <c r="B372" s="161" t="s">
        <v>730</v>
      </c>
      <c r="C372" s="183" t="s">
        <v>849</v>
      </c>
      <c r="D372" s="178" t="s">
        <v>856</v>
      </c>
      <c r="E372" s="186">
        <v>34.5</v>
      </c>
      <c r="F372" s="163">
        <v>49.99</v>
      </c>
      <c r="G372" s="164">
        <f t="shared" si="16"/>
      </c>
      <c r="H372" s="164">
        <f t="shared" si="80"/>
      </c>
      <c r="I372" s="164">
        <f t="shared" si="142"/>
      </c>
      <c r="J372" s="165">
        <f t="shared" si="223"/>
      </c>
      <c r="K372" s="166">
        <f t="shared" si="276"/>
      </c>
      <c r="L372" s="167">
        <f t="shared" si="347"/>
      </c>
      <c r="M372" s="164">
        <f t="shared" si="392"/>
      </c>
      <c r="N372" s="166">
        <f t="shared" si="443"/>
      </c>
      <c r="O372" s="166">
        <f t="shared" si="467"/>
      </c>
      <c r="P372" s="161">
        <v>30</v>
      </c>
      <c r="Q372" s="168">
        <v>8</v>
      </c>
      <c r="R372" s="169">
        <f t="shared" si="36"/>
      </c>
      <c r="S372" s="165">
        <f t="shared" si="533"/>
      </c>
      <c r="T372" s="169">
        <f t="shared" si="161"/>
      </c>
      <c r="U372" s="169">
        <v>0.01</v>
      </c>
      <c r="V372" s="169">
        <f t="shared" si="298"/>
      </c>
      <c r="W372" s="169">
        <f t="shared" si="369"/>
      </c>
      <c r="X372" s="170">
        <v>0.158</v>
      </c>
      <c r="Y372" s="171">
        <v>6</v>
      </c>
      <c r="Z372" s="171">
        <f t="shared" si="411"/>
      </c>
      <c r="AA372" s="171">
        <f t="shared" si="489"/>
      </c>
      <c r="AB372" s="166">
        <f t="shared" si="511"/>
      </c>
      <c r="AC372" s="166">
        <v>80</v>
      </c>
      <c r="AD372" s="172">
        <f t="shared" si="58"/>
      </c>
      <c r="AE372" s="168">
        <f t="shared" si="114"/>
      </c>
      <c r="AF372" s="169">
        <f t="shared" si="183"/>
      </c>
      <c r="AG372" s="169">
        <f t="shared" si="325"/>
      </c>
      <c r="AH372" s="168">
        <v>6</v>
      </c>
      <c r="AI372" s="169">
        <f t="shared" si="201"/>
      </c>
      <c r="AJ372" s="169"/>
      <c r="AK372" s="169"/>
      <c r="AL372" s="169"/>
      <c r="AM372" s="169"/>
      <c r="AN372" s="173"/>
      <c r="AO372" s="173"/>
      <c r="AP372" s="173"/>
      <c r="AQ372" s="173"/>
      <c r="AR372" s="173"/>
      <c r="AS372" s="173"/>
      <c r="AT372" s="173" t="s">
        <v>725</v>
      </c>
      <c r="AU372" s="173" t="s">
        <v>725</v>
      </c>
      <c r="AV372" s="173" t="s">
        <v>725</v>
      </c>
      <c r="AW372" s="173" t="s">
        <v>725</v>
      </c>
      <c r="AX372" s="173" t="s">
        <v>725</v>
      </c>
      <c r="AY372" s="173" t="s">
        <v>725</v>
      </c>
      <c r="AZ372" s="173" t="s">
        <v>725</v>
      </c>
      <c r="BA372" s="173" t="s">
        <v>725</v>
      </c>
      <c r="BB372" s="173" t="s">
        <v>725</v>
      </c>
      <c r="BC372" s="173" t="s">
        <v>725</v>
      </c>
      <c r="BD372" s="173" t="s">
        <v>725</v>
      </c>
      <c r="BE372" s="173" t="s">
        <v>725</v>
      </c>
      <c r="BF372" s="173" t="s">
        <v>725</v>
      </c>
      <c r="BG372" s="173" t="s">
        <v>725</v>
      </c>
      <c r="BH372" s="173" t="s">
        <v>725</v>
      </c>
      <c r="BI372" s="173" t="s">
        <v>725</v>
      </c>
      <c r="BJ372" s="173" t="s">
        <v>725</v>
      </c>
      <c r="BK372" s="173" t="s">
        <v>725</v>
      </c>
      <c r="BL372" s="173" t="s">
        <v>725</v>
      </c>
      <c r="BM372" s="173" t="s">
        <v>725</v>
      </c>
      <c r="BN372" s="173" t="s">
        <v>725</v>
      </c>
      <c r="BO372" s="173" t="s">
        <v>725</v>
      </c>
      <c r="BP372" s="173" t="s">
        <v>725</v>
      </c>
      <c r="BQ372" s="173" t="s">
        <v>725</v>
      </c>
      <c r="BR372" s="180">
        <f t="shared" si="252"/>
      </c>
      <c r="BS372" s="161" t="str">
        <v>#VALUE!</v>
      </c>
    </row>
    <row customHeight="true" ht="18.51851851851852" r="373"/>
    <row customHeight="true" ht="18.51851851851852" r="374">
      <c r="A374" s="161" t="s">
        <v>721</v>
      </c>
      <c r="B374" s="161" t="s">
        <v>730</v>
      </c>
      <c r="C374" s="183" t="s">
        <v>857</v>
      </c>
      <c r="D374" s="189" t="s">
        <v>858</v>
      </c>
      <c r="E374" s="186">
        <v>27.6</v>
      </c>
      <c r="F374" s="163">
        <v>39.99</v>
      </c>
      <c r="G374" s="164">
        <f t="shared" ref="G374:G392" si="17">(F374-Z374)</f>
      </c>
      <c r="H374" s="164">
        <f t="shared" ref="H374:H392" si="81">(F374-Z374)/1.2</f>
      </c>
      <c r="I374" s="164">
        <f t="shared" ref="I374:I392" si="143">E374-N374/Q374-AB374-Y374-O374-Z374-AA374</f>
      </c>
      <c r="J374" s="165">
        <f t="shared" ref="J374:J392" si="224">I374/E374</f>
      </c>
      <c r="K374" s="166">
        <f t="shared" ref="K374:K392" si="277">F374/1.2</f>
      </c>
      <c r="L374" s="167">
        <f t="shared" ref="L374:L392" si="348">(K374-E374)/K374</f>
      </c>
      <c r="M374" s="164">
        <f t="shared" ref="M374:M392" si="393">F374/1.2-E374</f>
      </c>
      <c r="N374" s="166">
        <f>AD374+AH375</f>
      </c>
      <c r="O374" s="166">
        <f t="shared" ref="O374:O392" si="468">IFERROR(IF(A374="UK",8.95/P374,IF(A374="DE",7.75/P374,IF(A374="FR",14.25/P374,IF(A374="IT",15.25/P374,IF(A374="ES",19.25/P374,IF(A374="NL",16.75/P374,IF(A374="PL",14.05/P374,IF(A374="SE",18.25/P374,IF(A374="BE",14.25/P374))))))))),0)</f>
      </c>
      <c r="P374" s="161">
        <v>30</v>
      </c>
      <c r="Q374" s="168">
        <v>9</v>
      </c>
      <c r="R374" s="169">
        <f t="shared" ref="R374:R392" si="37">Y374/E374</f>
      </c>
      <c r="S374" s="165">
        <f t="shared" ref="S374:S392" si="534">Y374/F374</f>
      </c>
      <c r="T374" s="169">
        <f t="shared" ref="T374:T392" si="162">Z374/E374</f>
      </c>
      <c r="U374" s="169">
        <v>0.01</v>
      </c>
      <c r="V374" s="169">
        <f t="shared" ref="V374:V392" si="299">N374/(E374*Q374)</f>
      </c>
      <c r="W374" s="169">
        <f t="shared" ref="W374:W392" si="370">O374/E374</f>
      </c>
      <c r="X374" s="170">
        <v>0.158</v>
      </c>
      <c r="Y374" s="171">
        <v>5</v>
      </c>
      <c r="Z374" s="171">
        <v>0</v>
      </c>
      <c r="AA374" s="171">
        <f t="shared" ref="AA374:AA392" si="490">E374*U374</f>
      </c>
      <c r="AB374" s="166">
        <f t="shared" ref="AB374:AB392" si="512">E374*X374</f>
      </c>
      <c r="AC374" s="166">
        <v>90</v>
      </c>
      <c r="AD374" s="172">
        <f t="shared" ref="AD374:AD392" si="59">AC374/1.13</f>
      </c>
      <c r="AE374" s="168">
        <f>AH375/Q374</f>
      </c>
      <c r="AF374" s="169">
        <f t="shared" ref="AF374:AF392" si="184">AD374/(E374*Q374)</f>
      </c>
      <c r="AG374" s="169">
        <f t="shared" ref="AG374:AG392" si="326">AE374/Q374/E374</f>
      </c>
      <c r="AH374" s="168">
        <v>8</v>
      </c>
      <c r="AI374" s="169">
        <f t="shared" ref="AI374:AI392" si="202">(H374-E374+AB374)/H374</f>
      </c>
      <c r="AJ374" s="169"/>
      <c r="AK374" s="169"/>
      <c r="AL374" s="169"/>
      <c r="AM374" s="169"/>
      <c r="AN374" s="173"/>
      <c r="AO374" s="173"/>
      <c r="AP374" s="173"/>
      <c r="AQ374" s="173"/>
      <c r="AR374" s="173"/>
      <c r="AS374" s="173"/>
      <c r="AT374" s="173" t="s">
        <v>725</v>
      </c>
      <c r="AU374" s="173" t="s">
        <v>725</v>
      </c>
      <c r="AV374" s="173" t="s">
        <v>725</v>
      </c>
      <c r="AW374" s="173" t="s">
        <v>725</v>
      </c>
      <c r="AX374" s="173" t="s">
        <v>725</v>
      </c>
      <c r="AY374" s="173" t="s">
        <v>725</v>
      </c>
      <c r="AZ374" s="173" t="s">
        <v>725</v>
      </c>
      <c r="BA374" s="173" t="s">
        <v>725</v>
      </c>
      <c r="BB374" s="173" t="s">
        <v>725</v>
      </c>
      <c r="BC374" s="173" t="s">
        <v>725</v>
      </c>
      <c r="BD374" s="173" t="s">
        <v>725</v>
      </c>
      <c r="BE374" s="173" t="s">
        <v>725</v>
      </c>
      <c r="BF374" s="173" t="s">
        <v>725</v>
      </c>
      <c r="BG374" s="173" t="s">
        <v>725</v>
      </c>
      <c r="BH374" s="173" t="s">
        <v>725</v>
      </c>
      <c r="BI374" s="173" t="s">
        <v>725</v>
      </c>
      <c r="BJ374" s="173" t="s">
        <v>725</v>
      </c>
      <c r="BK374" s="173" t="s">
        <v>725</v>
      </c>
      <c r="BL374" s="173" t="s">
        <v>725</v>
      </c>
      <c r="BM374" s="173" t="s">
        <v>725</v>
      </c>
      <c r="BN374" s="173" t="s">
        <v>725</v>
      </c>
      <c r="BO374" s="173" t="s">
        <v>725</v>
      </c>
      <c r="BP374" s="173" t="s">
        <v>725</v>
      </c>
      <c r="BQ374" s="173" t="s">
        <v>725</v>
      </c>
      <c r="BR374" s="174"/>
      <c r="BS374" s="161" t="str">
        <v>#VALUE!</v>
      </c>
    </row>
    <row customHeight="true" ht="18.51851851851852" r="375">
      <c r="A375" s="161" t="s">
        <v>721</v>
      </c>
      <c r="B375" s="161" t="s">
        <v>730</v>
      </c>
      <c r="C375" s="183" t="s">
        <v>857</v>
      </c>
      <c r="D375" s="189" t="s">
        <v>859</v>
      </c>
      <c r="E375" s="186">
        <v>27.6</v>
      </c>
      <c r="F375" s="163">
        <v>39.99</v>
      </c>
      <c r="G375" s="164">
        <f t="shared" si="17"/>
      </c>
      <c r="H375" s="164">
        <f t="shared" si="81"/>
      </c>
      <c r="I375" s="175">
        <f t="shared" si="143"/>
      </c>
      <c r="J375" s="165">
        <f t="shared" si="224"/>
      </c>
      <c r="K375" s="166">
        <f t="shared" si="277"/>
      </c>
      <c r="L375" s="167">
        <f t="shared" si="348"/>
      </c>
      <c r="M375" s="164">
        <f t="shared" si="393"/>
      </c>
      <c r="N375" s="166">
        <f t="shared" ref="N375:N376" si="444">AD375+AH375</f>
      </c>
      <c r="O375" s="166">
        <f t="shared" si="468"/>
      </c>
      <c r="P375" s="161">
        <v>30</v>
      </c>
      <c r="Q375" s="168">
        <v>9</v>
      </c>
      <c r="R375" s="169">
        <f t="shared" si="37"/>
      </c>
      <c r="S375" s="165">
        <f t="shared" si="534"/>
      </c>
      <c r="T375" s="169">
        <f t="shared" si="162"/>
      </c>
      <c r="U375" s="169">
        <v>0.01</v>
      </c>
      <c r="V375" s="169">
        <f t="shared" si="299"/>
      </c>
      <c r="W375" s="169">
        <f t="shared" si="370"/>
      </c>
      <c r="X375" s="170">
        <v>0.158</v>
      </c>
      <c r="Y375" s="171">
        <v>5</v>
      </c>
      <c r="Z375" s="171">
        <f>F375*0.1</f>
      </c>
      <c r="AA375" s="171">
        <f t="shared" si="490"/>
      </c>
      <c r="AB375" s="166">
        <f t="shared" si="512"/>
      </c>
      <c r="AC375" s="166">
        <v>90</v>
      </c>
      <c r="AD375" s="172">
        <f t="shared" si="59"/>
      </c>
      <c r="AE375" s="168">
        <f t="shared" ref="AE375:AE376" si="115">AH375/Q375</f>
      </c>
      <c r="AF375" s="169">
        <f t="shared" si="184"/>
      </c>
      <c r="AG375" s="169">
        <f t="shared" si="326"/>
      </c>
      <c r="AH375" s="168">
        <v>8</v>
      </c>
      <c r="AI375" s="169">
        <f t="shared" si="202"/>
      </c>
      <c r="AJ375" s="169"/>
      <c r="AK375" s="169"/>
      <c r="AL375" s="169"/>
      <c r="AM375" s="169"/>
      <c r="AN375" s="173"/>
      <c r="AO375" s="173"/>
      <c r="AP375" s="173"/>
      <c r="AQ375" s="173"/>
      <c r="AR375" s="173"/>
      <c r="AS375" s="173"/>
      <c r="AT375" s="173" t="s">
        <v>725</v>
      </c>
      <c r="AU375" s="173" t="s">
        <v>725</v>
      </c>
      <c r="AV375" s="173" t="s">
        <v>725</v>
      </c>
      <c r="AW375" s="173" t="s">
        <v>725</v>
      </c>
      <c r="AX375" s="173" t="s">
        <v>725</v>
      </c>
      <c r="AY375" s="173" t="s">
        <v>725</v>
      </c>
      <c r="AZ375" s="173" t="s">
        <v>725</v>
      </c>
      <c r="BA375" s="173" t="s">
        <v>725</v>
      </c>
      <c r="BB375" s="173" t="s">
        <v>725</v>
      </c>
      <c r="BC375" s="173" t="s">
        <v>725</v>
      </c>
      <c r="BD375" s="173" t="s">
        <v>725</v>
      </c>
      <c r="BE375" s="173" t="s">
        <v>725</v>
      </c>
      <c r="BF375" s="173" t="s">
        <v>725</v>
      </c>
      <c r="BG375" s="173" t="s">
        <v>725</v>
      </c>
      <c r="BH375" s="173" t="s">
        <v>725</v>
      </c>
      <c r="BI375" s="173" t="s">
        <v>725</v>
      </c>
      <c r="BJ375" s="173" t="s">
        <v>725</v>
      </c>
      <c r="BK375" s="173" t="s">
        <v>725</v>
      </c>
      <c r="BL375" s="173" t="s">
        <v>725</v>
      </c>
      <c r="BM375" s="173" t="s">
        <v>725</v>
      </c>
      <c r="BN375" s="173" t="s">
        <v>725</v>
      </c>
      <c r="BO375" s="173" t="s">
        <v>725</v>
      </c>
      <c r="BP375" s="173" t="s">
        <v>725</v>
      </c>
      <c r="BQ375" s="173" t="s">
        <v>725</v>
      </c>
      <c r="BR375" s="174"/>
      <c r="BS375" s="161" t="str">
        <v>#VALUE!</v>
      </c>
    </row>
    <row customHeight="true" ht="18.51851851851852" r="376">
      <c r="A376" s="161" t="s">
        <v>721</v>
      </c>
      <c r="B376" s="161" t="s">
        <v>730</v>
      </c>
      <c r="C376" s="183" t="s">
        <v>857</v>
      </c>
      <c r="D376" s="189" t="s">
        <v>860</v>
      </c>
      <c r="E376" s="186">
        <v>27.6</v>
      </c>
      <c r="F376" s="163">
        <v>39.99</v>
      </c>
      <c r="G376" s="164">
        <f t="shared" si="17"/>
      </c>
      <c r="H376" s="164">
        <f t="shared" si="81"/>
      </c>
      <c r="I376" s="164">
        <f t="shared" si="143"/>
      </c>
      <c r="J376" s="165">
        <f t="shared" si="224"/>
      </c>
      <c r="K376" s="166">
        <f t="shared" si="277"/>
      </c>
      <c r="L376" s="167">
        <f t="shared" si="348"/>
      </c>
      <c r="M376" s="164">
        <f t="shared" si="393"/>
      </c>
      <c r="N376" s="166">
        <f t="shared" si="444"/>
      </c>
      <c r="O376" s="166">
        <f t="shared" si="468"/>
      </c>
      <c r="P376" s="161">
        <v>30</v>
      </c>
      <c r="Q376" s="168">
        <v>9</v>
      </c>
      <c r="R376" s="169">
        <f t="shared" si="37"/>
      </c>
      <c r="S376" s="165">
        <f t="shared" si="534"/>
      </c>
      <c r="T376" s="169">
        <f t="shared" si="162"/>
      </c>
      <c r="U376" s="169">
        <v>0.01</v>
      </c>
      <c r="V376" s="169">
        <f t="shared" si="299"/>
      </c>
      <c r="W376" s="169">
        <f t="shared" si="370"/>
      </c>
      <c r="X376" s="170">
        <v>0.158</v>
      </c>
      <c r="Y376" s="171">
        <v>5</v>
      </c>
      <c r="Z376" s="171">
        <f>F376*0.15</f>
      </c>
      <c r="AA376" s="171">
        <f t="shared" si="490"/>
      </c>
      <c r="AB376" s="166">
        <f t="shared" si="512"/>
      </c>
      <c r="AC376" s="166">
        <v>90</v>
      </c>
      <c r="AD376" s="172">
        <f t="shared" si="59"/>
      </c>
      <c r="AE376" s="168">
        <f t="shared" si="115"/>
      </c>
      <c r="AF376" s="169">
        <f t="shared" si="184"/>
      </c>
      <c r="AG376" s="169">
        <f t="shared" si="326"/>
      </c>
      <c r="AH376" s="168">
        <v>8</v>
      </c>
      <c r="AI376" s="169">
        <f t="shared" si="202"/>
      </c>
      <c r="AJ376" s="169"/>
      <c r="AK376" s="169"/>
      <c r="AL376" s="169"/>
      <c r="AM376" s="169"/>
      <c r="AN376" s="173"/>
      <c r="AO376" s="173"/>
      <c r="AP376" s="173"/>
      <c r="AQ376" s="173"/>
      <c r="AR376" s="173"/>
      <c r="AS376" s="173"/>
      <c r="AT376" s="173" t="s">
        <v>725</v>
      </c>
      <c r="AU376" s="173" t="s">
        <v>725</v>
      </c>
      <c r="AV376" s="173" t="s">
        <v>725</v>
      </c>
      <c r="AW376" s="173" t="s">
        <v>725</v>
      </c>
      <c r="AX376" s="173" t="s">
        <v>725</v>
      </c>
      <c r="AY376" s="173" t="s">
        <v>725</v>
      </c>
      <c r="AZ376" s="173" t="s">
        <v>725</v>
      </c>
      <c r="BA376" s="173" t="s">
        <v>725</v>
      </c>
      <c r="BB376" s="173" t="s">
        <v>725</v>
      </c>
      <c r="BC376" s="173" t="s">
        <v>725</v>
      </c>
      <c r="BD376" s="173" t="s">
        <v>725</v>
      </c>
      <c r="BE376" s="173" t="s">
        <v>725</v>
      </c>
      <c r="BF376" s="173" t="s">
        <v>725</v>
      </c>
      <c r="BG376" s="173" t="s">
        <v>725</v>
      </c>
      <c r="BH376" s="173" t="s">
        <v>725</v>
      </c>
      <c r="BI376" s="173" t="s">
        <v>725</v>
      </c>
      <c r="BJ376" s="173" t="s">
        <v>725</v>
      </c>
      <c r="BK376" s="173" t="s">
        <v>725</v>
      </c>
      <c r="BL376" s="173" t="s">
        <v>725</v>
      </c>
      <c r="BM376" s="173" t="s">
        <v>725</v>
      </c>
      <c r="BN376" s="173" t="s">
        <v>725</v>
      </c>
      <c r="BO376" s="173" t="s">
        <v>725</v>
      </c>
      <c r="BP376" s="173" t="s">
        <v>725</v>
      </c>
      <c r="BQ376" s="173" t="s">
        <v>725</v>
      </c>
      <c r="BR376" s="174"/>
      <c r="BS376" s="161" t="str">
        <v>#VALUE!</v>
      </c>
    </row>
    <row customHeight="true" ht="18.51851851851852" r="377">
      <c r="A377" s="161" t="s">
        <v>729</v>
      </c>
      <c r="B377" s="161" t="s">
        <v>730</v>
      </c>
      <c r="C377" s="183" t="s">
        <v>857</v>
      </c>
      <c r="D377" s="189" t="s">
        <v>858</v>
      </c>
      <c r="E377" s="186">
        <v>31</v>
      </c>
      <c r="F377" s="163">
        <v>44.99</v>
      </c>
      <c r="G377" s="164">
        <f t="shared" si="17"/>
      </c>
      <c r="H377" s="164">
        <f t="shared" si="81"/>
      </c>
      <c r="I377" s="164">
        <f t="shared" si="143"/>
      </c>
      <c r="J377" s="165">
        <f t="shared" si="224"/>
      </c>
      <c r="K377" s="166">
        <f t="shared" si="277"/>
      </c>
      <c r="L377" s="167">
        <f t="shared" si="348"/>
      </c>
      <c r="M377" s="164">
        <f t="shared" si="393"/>
      </c>
      <c r="N377" s="166">
        <f>AD377+AH378</f>
      </c>
      <c r="O377" s="166">
        <f t="shared" si="468"/>
      </c>
      <c r="P377" s="161">
        <v>30</v>
      </c>
      <c r="Q377" s="168">
        <v>8</v>
      </c>
      <c r="R377" s="169">
        <f t="shared" si="37"/>
      </c>
      <c r="S377" s="165">
        <f t="shared" si="534"/>
      </c>
      <c r="T377" s="169">
        <f t="shared" si="162"/>
      </c>
      <c r="U377" s="169">
        <v>0.01</v>
      </c>
      <c r="V377" s="169">
        <f t="shared" si="299"/>
      </c>
      <c r="W377" s="169">
        <f t="shared" si="370"/>
      </c>
      <c r="X377" s="170">
        <v>0.1695</v>
      </c>
      <c r="Y377" s="171">
        <v>5</v>
      </c>
      <c r="Z377" s="171">
        <v>0</v>
      </c>
      <c r="AA377" s="171">
        <f t="shared" si="490"/>
      </c>
      <c r="AB377" s="166">
        <f t="shared" si="512"/>
      </c>
      <c r="AC377" s="166">
        <v>90</v>
      </c>
      <c r="AD377" s="172">
        <f t="shared" si="59"/>
      </c>
      <c r="AE377" s="168">
        <f>AH378/Q377</f>
      </c>
      <c r="AF377" s="169">
        <f t="shared" si="184"/>
      </c>
      <c r="AG377" s="169">
        <f t="shared" si="326"/>
      </c>
      <c r="AH377" s="168">
        <v>8</v>
      </c>
      <c r="AI377" s="169">
        <f t="shared" si="202"/>
      </c>
      <c r="AJ377" s="169"/>
      <c r="AK377" s="169"/>
      <c r="AL377" s="169"/>
      <c r="AM377" s="169"/>
      <c r="AN377" s="173"/>
      <c r="AO377" s="173"/>
      <c r="AP377" s="173"/>
      <c r="AQ377" s="173"/>
      <c r="AR377" s="173"/>
      <c r="AS377" s="173"/>
      <c r="AT377" s="173" t="s">
        <v>725</v>
      </c>
      <c r="AU377" s="173" t="s">
        <v>725</v>
      </c>
      <c r="AV377" s="173" t="s">
        <v>725</v>
      </c>
      <c r="AW377" s="173" t="s">
        <v>725</v>
      </c>
      <c r="AX377" s="173" t="s">
        <v>725</v>
      </c>
      <c r="AY377" s="173" t="s">
        <v>725</v>
      </c>
      <c r="AZ377" s="173" t="s">
        <v>725</v>
      </c>
      <c r="BA377" s="173" t="s">
        <v>725</v>
      </c>
      <c r="BB377" s="173" t="s">
        <v>725</v>
      </c>
      <c r="BC377" s="173" t="s">
        <v>725</v>
      </c>
      <c r="BD377" s="173" t="s">
        <v>725</v>
      </c>
      <c r="BE377" s="173" t="s">
        <v>725</v>
      </c>
      <c r="BF377" s="173" t="s">
        <v>725</v>
      </c>
      <c r="BG377" s="173" t="s">
        <v>725</v>
      </c>
      <c r="BH377" s="173" t="s">
        <v>725</v>
      </c>
      <c r="BI377" s="173" t="s">
        <v>725</v>
      </c>
      <c r="BJ377" s="173" t="s">
        <v>725</v>
      </c>
      <c r="BK377" s="173" t="s">
        <v>725</v>
      </c>
      <c r="BL377" s="173" t="s">
        <v>725</v>
      </c>
      <c r="BM377" s="173" t="s">
        <v>725</v>
      </c>
      <c r="BN377" s="173" t="s">
        <v>725</v>
      </c>
      <c r="BO377" s="173" t="s">
        <v>725</v>
      </c>
      <c r="BP377" s="173" t="s">
        <v>725</v>
      </c>
      <c r="BQ377" s="173" t="s">
        <v>725</v>
      </c>
      <c r="BR377" s="174"/>
      <c r="BS377" s="161" t="str">
        <v>#VALUE!</v>
      </c>
    </row>
    <row customHeight="true" ht="18.51851851851852" r="378">
      <c r="A378" s="161" t="s">
        <v>729</v>
      </c>
      <c r="B378" s="161" t="s">
        <v>730</v>
      </c>
      <c r="C378" s="183" t="s">
        <v>857</v>
      </c>
      <c r="D378" s="189" t="s">
        <v>859</v>
      </c>
      <c r="E378" s="186">
        <v>31</v>
      </c>
      <c r="F378" s="163">
        <v>44.99</v>
      </c>
      <c r="G378" s="164">
        <f t="shared" si="17"/>
      </c>
      <c r="H378" s="164">
        <f t="shared" si="81"/>
      </c>
      <c r="I378" s="175">
        <f t="shared" si="143"/>
      </c>
      <c r="J378" s="165">
        <f t="shared" si="224"/>
      </c>
      <c r="K378" s="166">
        <f t="shared" si="277"/>
      </c>
      <c r="L378" s="167">
        <f t="shared" si="348"/>
      </c>
      <c r="M378" s="164">
        <f t="shared" si="393"/>
      </c>
      <c r="N378" s="166">
        <f t="shared" ref="N378:N392" si="445">AD378+AH378</f>
      </c>
      <c r="O378" s="166">
        <f t="shared" si="468"/>
      </c>
      <c r="P378" s="161">
        <v>30</v>
      </c>
      <c r="Q378" s="168">
        <v>8</v>
      </c>
      <c r="R378" s="169">
        <f t="shared" si="37"/>
      </c>
      <c r="S378" s="165">
        <f t="shared" si="534"/>
      </c>
      <c r="T378" s="169">
        <f t="shared" si="162"/>
      </c>
      <c r="U378" s="169">
        <v>0.01</v>
      </c>
      <c r="V378" s="169">
        <f t="shared" si="299"/>
      </c>
      <c r="W378" s="169">
        <f t="shared" si="370"/>
      </c>
      <c r="X378" s="170">
        <v>0.1695</v>
      </c>
      <c r="Y378" s="171">
        <v>5</v>
      </c>
      <c r="Z378" s="171">
        <f>F378*0.1</f>
      </c>
      <c r="AA378" s="171">
        <f t="shared" si="490"/>
      </c>
      <c r="AB378" s="166">
        <f t="shared" si="512"/>
      </c>
      <c r="AC378" s="166">
        <v>90</v>
      </c>
      <c r="AD378" s="172">
        <f t="shared" si="59"/>
      </c>
      <c r="AE378" s="168">
        <f t="shared" ref="AE378:AE392" si="116">AH378/Q378</f>
      </c>
      <c r="AF378" s="169">
        <f t="shared" si="184"/>
      </c>
      <c r="AG378" s="169">
        <f t="shared" si="326"/>
      </c>
      <c r="AH378" s="168">
        <v>8</v>
      </c>
      <c r="AI378" s="169">
        <f t="shared" si="202"/>
      </c>
      <c r="AJ378" s="169"/>
      <c r="AK378" s="169"/>
      <c r="AL378" s="169"/>
      <c r="AM378" s="169"/>
      <c r="AN378" s="173"/>
      <c r="AO378" s="173"/>
      <c r="AP378" s="173"/>
      <c r="AQ378" s="173"/>
      <c r="AR378" s="173"/>
      <c r="AS378" s="173"/>
      <c r="AT378" s="173" t="s">
        <v>725</v>
      </c>
      <c r="AU378" s="173" t="s">
        <v>725</v>
      </c>
      <c r="AV378" s="173" t="s">
        <v>725</v>
      </c>
      <c r="AW378" s="173" t="s">
        <v>725</v>
      </c>
      <c r="AX378" s="173" t="s">
        <v>725</v>
      </c>
      <c r="AY378" s="173" t="s">
        <v>725</v>
      </c>
      <c r="AZ378" s="173" t="s">
        <v>725</v>
      </c>
      <c r="BA378" s="173" t="s">
        <v>725</v>
      </c>
      <c r="BB378" s="173" t="s">
        <v>725</v>
      </c>
      <c r="BC378" s="173" t="s">
        <v>725</v>
      </c>
      <c r="BD378" s="173" t="s">
        <v>725</v>
      </c>
      <c r="BE378" s="173" t="s">
        <v>725</v>
      </c>
      <c r="BF378" s="173" t="s">
        <v>725</v>
      </c>
      <c r="BG378" s="173" t="s">
        <v>725</v>
      </c>
      <c r="BH378" s="173" t="s">
        <v>725</v>
      </c>
      <c r="BI378" s="173" t="s">
        <v>725</v>
      </c>
      <c r="BJ378" s="173" t="s">
        <v>725</v>
      </c>
      <c r="BK378" s="173" t="s">
        <v>725</v>
      </c>
      <c r="BL378" s="173" t="s">
        <v>725</v>
      </c>
      <c r="BM378" s="173" t="s">
        <v>725</v>
      </c>
      <c r="BN378" s="173" t="s">
        <v>725</v>
      </c>
      <c r="BO378" s="173" t="s">
        <v>725</v>
      </c>
      <c r="BP378" s="173" t="s">
        <v>725</v>
      </c>
      <c r="BQ378" s="173" t="s">
        <v>725</v>
      </c>
      <c r="BR378" s="174"/>
      <c r="BS378" s="161" t="str">
        <v>#VALUE!</v>
      </c>
    </row>
    <row customHeight="true" ht="18.51851851851852" r="379">
      <c r="A379" s="161" t="s">
        <v>729</v>
      </c>
      <c r="B379" s="161" t="s">
        <v>730</v>
      </c>
      <c r="C379" s="183" t="s">
        <v>857</v>
      </c>
      <c r="D379" s="189" t="s">
        <v>860</v>
      </c>
      <c r="E379" s="186">
        <v>31</v>
      </c>
      <c r="F379" s="163">
        <v>44.99</v>
      </c>
      <c r="G379" s="164">
        <f t="shared" si="17"/>
      </c>
      <c r="H379" s="164">
        <f t="shared" si="81"/>
      </c>
      <c r="I379" s="164">
        <f t="shared" si="143"/>
      </c>
      <c r="J379" s="165">
        <f t="shared" si="224"/>
      </c>
      <c r="K379" s="166">
        <f t="shared" si="277"/>
      </c>
      <c r="L379" s="167">
        <f t="shared" si="348"/>
      </c>
      <c r="M379" s="164">
        <f t="shared" si="393"/>
      </c>
      <c r="N379" s="166">
        <f t="shared" si="445"/>
      </c>
      <c r="O379" s="166">
        <f t="shared" si="468"/>
      </c>
      <c r="P379" s="161">
        <v>30</v>
      </c>
      <c r="Q379" s="168">
        <v>8</v>
      </c>
      <c r="R379" s="169">
        <f t="shared" si="37"/>
      </c>
      <c r="S379" s="165">
        <f t="shared" si="534"/>
      </c>
      <c r="T379" s="169">
        <f t="shared" si="162"/>
      </c>
      <c r="U379" s="169">
        <v>0.01</v>
      </c>
      <c r="V379" s="169">
        <f t="shared" si="299"/>
      </c>
      <c r="W379" s="169">
        <f t="shared" si="370"/>
      </c>
      <c r="X379" s="170">
        <v>0.1695</v>
      </c>
      <c r="Y379" s="171">
        <v>5</v>
      </c>
      <c r="Z379" s="171">
        <f>F379*0.15</f>
      </c>
      <c r="AA379" s="171">
        <f t="shared" si="490"/>
      </c>
      <c r="AB379" s="166">
        <f t="shared" si="512"/>
      </c>
      <c r="AC379" s="166">
        <v>90</v>
      </c>
      <c r="AD379" s="172">
        <f t="shared" si="59"/>
      </c>
      <c r="AE379" s="168">
        <f t="shared" si="116"/>
      </c>
      <c r="AF379" s="169">
        <f t="shared" si="184"/>
      </c>
      <c r="AG379" s="169">
        <f t="shared" si="326"/>
      </c>
      <c r="AH379" s="168">
        <v>8</v>
      </c>
      <c r="AI379" s="169">
        <f t="shared" si="202"/>
      </c>
      <c r="AJ379" s="169"/>
      <c r="AK379" s="169"/>
      <c r="AL379" s="169"/>
      <c r="AM379" s="169"/>
      <c r="AN379" s="173"/>
      <c r="AO379" s="173"/>
      <c r="AP379" s="173"/>
      <c r="AQ379" s="173"/>
      <c r="AR379" s="173"/>
      <c r="AS379" s="173"/>
      <c r="AT379" s="173" t="s">
        <v>725</v>
      </c>
      <c r="AU379" s="173" t="s">
        <v>725</v>
      </c>
      <c r="AV379" s="173" t="s">
        <v>725</v>
      </c>
      <c r="AW379" s="173" t="s">
        <v>725</v>
      </c>
      <c r="AX379" s="173" t="s">
        <v>725</v>
      </c>
      <c r="AY379" s="173" t="s">
        <v>725</v>
      </c>
      <c r="AZ379" s="173" t="s">
        <v>725</v>
      </c>
      <c r="BA379" s="173" t="s">
        <v>725</v>
      </c>
      <c r="BB379" s="173" t="s">
        <v>725</v>
      </c>
      <c r="BC379" s="173" t="s">
        <v>725</v>
      </c>
      <c r="BD379" s="173" t="s">
        <v>725</v>
      </c>
      <c r="BE379" s="173" t="s">
        <v>725</v>
      </c>
      <c r="BF379" s="173" t="s">
        <v>725</v>
      </c>
      <c r="BG379" s="173" t="s">
        <v>725</v>
      </c>
      <c r="BH379" s="173" t="s">
        <v>725</v>
      </c>
      <c r="BI379" s="173" t="s">
        <v>725</v>
      </c>
      <c r="BJ379" s="173" t="s">
        <v>725</v>
      </c>
      <c r="BK379" s="173" t="s">
        <v>725</v>
      </c>
      <c r="BL379" s="173" t="s">
        <v>725</v>
      </c>
      <c r="BM379" s="173" t="s">
        <v>725</v>
      </c>
      <c r="BN379" s="173" t="s">
        <v>725</v>
      </c>
      <c r="BO379" s="173" t="s">
        <v>725</v>
      </c>
      <c r="BP379" s="173" t="s">
        <v>725</v>
      </c>
      <c r="BQ379" s="173" t="s">
        <v>725</v>
      </c>
      <c r="BR379" s="174"/>
      <c r="BS379" s="161" t="str">
        <v>#VALUE!</v>
      </c>
    </row>
    <row customHeight="true" ht="18.51851851851852" r="380">
      <c r="A380" s="161" t="s">
        <v>732</v>
      </c>
      <c r="B380" s="161" t="s">
        <v>730</v>
      </c>
      <c r="C380" s="183" t="s">
        <v>857</v>
      </c>
      <c r="D380" s="189" t="s">
        <v>858</v>
      </c>
      <c r="E380" s="186">
        <v>31</v>
      </c>
      <c r="F380" s="163">
        <v>44.99</v>
      </c>
      <c r="G380" s="164">
        <f t="shared" si="17"/>
      </c>
      <c r="H380" s="164">
        <f t="shared" si="81"/>
      </c>
      <c r="I380" s="164">
        <f t="shared" si="143"/>
      </c>
      <c r="J380" s="165">
        <f t="shared" si="224"/>
      </c>
      <c r="K380" s="166">
        <f t="shared" si="277"/>
      </c>
      <c r="L380" s="167">
        <f t="shared" si="348"/>
      </c>
      <c r="M380" s="164">
        <f t="shared" si="393"/>
      </c>
      <c r="N380" s="166">
        <f t="shared" si="445"/>
      </c>
      <c r="O380" s="166">
        <f t="shared" si="468"/>
      </c>
      <c r="P380" s="161">
        <v>30</v>
      </c>
      <c r="Q380" s="168">
        <v>8</v>
      </c>
      <c r="R380" s="169">
        <f t="shared" si="37"/>
      </c>
      <c r="S380" s="165">
        <f t="shared" si="534"/>
      </c>
      <c r="T380" s="169">
        <f t="shared" si="162"/>
      </c>
      <c r="U380" s="169">
        <v>0.01</v>
      </c>
      <c r="V380" s="169">
        <f t="shared" si="299"/>
      </c>
      <c r="W380" s="169">
        <f t="shared" si="370"/>
      </c>
      <c r="X380" s="170">
        <v>0.198</v>
      </c>
      <c r="Y380" s="171">
        <v>5</v>
      </c>
      <c r="Z380" s="171">
        <v>0</v>
      </c>
      <c r="AA380" s="171">
        <f t="shared" si="490"/>
      </c>
      <c r="AB380" s="166">
        <f t="shared" si="512"/>
      </c>
      <c r="AC380" s="166">
        <v>90</v>
      </c>
      <c r="AD380" s="172">
        <f t="shared" si="59"/>
      </c>
      <c r="AE380" s="168">
        <f t="shared" si="116"/>
      </c>
      <c r="AF380" s="169">
        <f t="shared" si="184"/>
      </c>
      <c r="AG380" s="169">
        <f t="shared" si="326"/>
      </c>
      <c r="AH380" s="168">
        <v>8</v>
      </c>
      <c r="AI380" s="169">
        <f t="shared" si="202"/>
      </c>
      <c r="AJ380" s="169"/>
      <c r="AK380" s="169"/>
      <c r="AL380" s="169"/>
      <c r="AM380" s="169"/>
      <c r="AN380" s="173"/>
      <c r="AO380" s="173"/>
      <c r="AP380" s="173"/>
      <c r="AQ380" s="173"/>
      <c r="AR380" s="173"/>
      <c r="AS380" s="173"/>
      <c r="AT380" s="173" t="s">
        <v>725</v>
      </c>
      <c r="AU380" s="173" t="s">
        <v>725</v>
      </c>
      <c r="AV380" s="173" t="s">
        <v>725</v>
      </c>
      <c r="AW380" s="173" t="s">
        <v>725</v>
      </c>
      <c r="AX380" s="173" t="s">
        <v>725</v>
      </c>
      <c r="AY380" s="173" t="s">
        <v>725</v>
      </c>
      <c r="AZ380" s="173" t="s">
        <v>725</v>
      </c>
      <c r="BA380" s="173" t="s">
        <v>725</v>
      </c>
      <c r="BB380" s="173" t="s">
        <v>725</v>
      </c>
      <c r="BC380" s="173" t="s">
        <v>725</v>
      </c>
      <c r="BD380" s="173" t="s">
        <v>725</v>
      </c>
      <c r="BE380" s="173" t="s">
        <v>725</v>
      </c>
      <c r="BF380" s="173" t="s">
        <v>725</v>
      </c>
      <c r="BG380" s="173" t="s">
        <v>725</v>
      </c>
      <c r="BH380" s="173" t="s">
        <v>725</v>
      </c>
      <c r="BI380" s="173" t="s">
        <v>725</v>
      </c>
      <c r="BJ380" s="173" t="s">
        <v>725</v>
      </c>
      <c r="BK380" s="173" t="s">
        <v>725</v>
      </c>
      <c r="BL380" s="173" t="s">
        <v>725</v>
      </c>
      <c r="BM380" s="173" t="s">
        <v>725</v>
      </c>
      <c r="BN380" s="173" t="s">
        <v>725</v>
      </c>
      <c r="BO380" s="173" t="s">
        <v>725</v>
      </c>
      <c r="BP380" s="173" t="s">
        <v>725</v>
      </c>
      <c r="BQ380" s="173" t="s">
        <v>725</v>
      </c>
      <c r="BR380" s="174"/>
      <c r="BS380" s="161" t="str">
        <v>#VALUE!</v>
      </c>
    </row>
    <row customHeight="true" ht="18.51851851851852" r="381">
      <c r="A381" s="161" t="s">
        <v>732</v>
      </c>
      <c r="B381" s="161" t="s">
        <v>730</v>
      </c>
      <c r="C381" s="183" t="s">
        <v>857</v>
      </c>
      <c r="D381" s="189" t="s">
        <v>859</v>
      </c>
      <c r="E381" s="186">
        <v>31</v>
      </c>
      <c r="F381" s="163">
        <v>44.99</v>
      </c>
      <c r="G381" s="164">
        <f t="shared" si="17"/>
      </c>
      <c r="H381" s="164">
        <f t="shared" si="81"/>
      </c>
      <c r="I381" s="175">
        <f t="shared" si="143"/>
      </c>
      <c r="J381" s="165">
        <f t="shared" si="224"/>
      </c>
      <c r="K381" s="166">
        <f t="shared" si="277"/>
      </c>
      <c r="L381" s="167">
        <f t="shared" si="348"/>
      </c>
      <c r="M381" s="164">
        <f t="shared" si="393"/>
      </c>
      <c r="N381" s="166">
        <f t="shared" si="445"/>
      </c>
      <c r="O381" s="166">
        <f t="shared" si="468"/>
      </c>
      <c r="P381" s="161">
        <v>30</v>
      </c>
      <c r="Q381" s="168">
        <v>8</v>
      </c>
      <c r="R381" s="169">
        <f t="shared" si="37"/>
      </c>
      <c r="S381" s="165">
        <f t="shared" si="534"/>
      </c>
      <c r="T381" s="169">
        <f t="shared" si="162"/>
      </c>
      <c r="U381" s="169">
        <v>0.01</v>
      </c>
      <c r="V381" s="169">
        <f t="shared" si="299"/>
      </c>
      <c r="W381" s="169">
        <f t="shared" si="370"/>
      </c>
      <c r="X381" s="170">
        <v>0.198</v>
      </c>
      <c r="Y381" s="171">
        <v>5</v>
      </c>
      <c r="Z381" s="171">
        <f>F381*0.1</f>
      </c>
      <c r="AA381" s="171">
        <f t="shared" si="490"/>
      </c>
      <c r="AB381" s="166">
        <f t="shared" si="512"/>
      </c>
      <c r="AC381" s="166">
        <v>90</v>
      </c>
      <c r="AD381" s="172">
        <f t="shared" si="59"/>
      </c>
      <c r="AE381" s="168">
        <f t="shared" si="116"/>
      </c>
      <c r="AF381" s="169">
        <f t="shared" si="184"/>
      </c>
      <c r="AG381" s="169">
        <f t="shared" si="326"/>
      </c>
      <c r="AH381" s="168">
        <v>8</v>
      </c>
      <c r="AI381" s="169">
        <f t="shared" si="202"/>
      </c>
      <c r="AJ381" s="169"/>
      <c r="AK381" s="169"/>
      <c r="AL381" s="169"/>
      <c r="AM381" s="169"/>
      <c r="AN381" s="173"/>
      <c r="AO381" s="173"/>
      <c r="AP381" s="173"/>
      <c r="AQ381" s="173"/>
      <c r="AR381" s="173"/>
      <c r="AS381" s="173"/>
      <c r="AT381" s="173" t="s">
        <v>725</v>
      </c>
      <c r="AU381" s="173" t="s">
        <v>725</v>
      </c>
      <c r="AV381" s="173" t="s">
        <v>725</v>
      </c>
      <c r="AW381" s="173" t="s">
        <v>725</v>
      </c>
      <c r="AX381" s="173" t="s">
        <v>725</v>
      </c>
      <c r="AY381" s="173" t="s">
        <v>725</v>
      </c>
      <c r="AZ381" s="173" t="s">
        <v>725</v>
      </c>
      <c r="BA381" s="173" t="s">
        <v>725</v>
      </c>
      <c r="BB381" s="173" t="s">
        <v>725</v>
      </c>
      <c r="BC381" s="173" t="s">
        <v>725</v>
      </c>
      <c r="BD381" s="173" t="s">
        <v>725</v>
      </c>
      <c r="BE381" s="173" t="s">
        <v>725</v>
      </c>
      <c r="BF381" s="173" t="s">
        <v>725</v>
      </c>
      <c r="BG381" s="173" t="s">
        <v>725</v>
      </c>
      <c r="BH381" s="173" t="s">
        <v>725</v>
      </c>
      <c r="BI381" s="173" t="s">
        <v>725</v>
      </c>
      <c r="BJ381" s="173" t="s">
        <v>725</v>
      </c>
      <c r="BK381" s="173" t="s">
        <v>725</v>
      </c>
      <c r="BL381" s="173" t="s">
        <v>725</v>
      </c>
      <c r="BM381" s="173" t="s">
        <v>725</v>
      </c>
      <c r="BN381" s="173" t="s">
        <v>725</v>
      </c>
      <c r="BO381" s="173" t="s">
        <v>725</v>
      </c>
      <c r="BP381" s="173" t="s">
        <v>725</v>
      </c>
      <c r="BQ381" s="173" t="s">
        <v>725</v>
      </c>
      <c r="BR381" s="174"/>
      <c r="BS381" s="161" t="str">
        <v>#VALUE!</v>
      </c>
    </row>
    <row customHeight="true" ht="18.51851851851852" r="382">
      <c r="A382" s="161" t="s">
        <v>732</v>
      </c>
      <c r="B382" s="161" t="s">
        <v>730</v>
      </c>
      <c r="C382" s="183" t="s">
        <v>857</v>
      </c>
      <c r="D382" s="189" t="s">
        <v>860</v>
      </c>
      <c r="E382" s="186">
        <v>31</v>
      </c>
      <c r="F382" s="163">
        <v>44.99</v>
      </c>
      <c r="G382" s="164">
        <f t="shared" si="17"/>
      </c>
      <c r="H382" s="164">
        <f t="shared" si="81"/>
      </c>
      <c r="I382" s="164">
        <f t="shared" si="143"/>
      </c>
      <c r="J382" s="165">
        <f t="shared" si="224"/>
      </c>
      <c r="K382" s="166">
        <f t="shared" si="277"/>
      </c>
      <c r="L382" s="167">
        <f t="shared" si="348"/>
      </c>
      <c r="M382" s="164">
        <f t="shared" si="393"/>
      </c>
      <c r="N382" s="166">
        <f t="shared" si="445"/>
      </c>
      <c r="O382" s="166">
        <f t="shared" si="468"/>
      </c>
      <c r="P382" s="161">
        <v>30</v>
      </c>
      <c r="Q382" s="168">
        <v>8</v>
      </c>
      <c r="R382" s="169">
        <f t="shared" si="37"/>
      </c>
      <c r="S382" s="165">
        <f t="shared" si="534"/>
      </c>
      <c r="T382" s="169">
        <f t="shared" si="162"/>
      </c>
      <c r="U382" s="169">
        <v>0.01</v>
      </c>
      <c r="V382" s="169">
        <f t="shared" si="299"/>
      </c>
      <c r="W382" s="169">
        <f t="shared" si="370"/>
      </c>
      <c r="X382" s="170">
        <v>0.198</v>
      </c>
      <c r="Y382" s="171">
        <v>5</v>
      </c>
      <c r="Z382" s="171">
        <f>F382*0.15</f>
      </c>
      <c r="AA382" s="171">
        <f t="shared" si="490"/>
      </c>
      <c r="AB382" s="166">
        <f t="shared" si="512"/>
      </c>
      <c r="AC382" s="166">
        <v>90</v>
      </c>
      <c r="AD382" s="172">
        <f t="shared" si="59"/>
      </c>
      <c r="AE382" s="168">
        <f t="shared" si="116"/>
      </c>
      <c r="AF382" s="169">
        <f t="shared" si="184"/>
      </c>
      <c r="AG382" s="169">
        <f t="shared" si="326"/>
      </c>
      <c r="AH382" s="168">
        <v>8</v>
      </c>
      <c r="AI382" s="169">
        <f t="shared" si="202"/>
      </c>
      <c r="AJ382" s="169"/>
      <c r="AK382" s="169"/>
      <c r="AL382" s="169"/>
      <c r="AM382" s="169"/>
      <c r="AN382" s="173"/>
      <c r="AO382" s="173"/>
      <c r="AP382" s="173"/>
      <c r="AQ382" s="173"/>
      <c r="AR382" s="173"/>
      <c r="AS382" s="173"/>
      <c r="AT382" s="173" t="s">
        <v>725</v>
      </c>
      <c r="AU382" s="173" t="s">
        <v>725</v>
      </c>
      <c r="AV382" s="173" t="s">
        <v>725</v>
      </c>
      <c r="AW382" s="173" t="s">
        <v>725</v>
      </c>
      <c r="AX382" s="173" t="s">
        <v>725</v>
      </c>
      <c r="AY382" s="173" t="s">
        <v>725</v>
      </c>
      <c r="AZ382" s="173" t="s">
        <v>725</v>
      </c>
      <c r="BA382" s="173" t="s">
        <v>725</v>
      </c>
      <c r="BB382" s="173" t="s">
        <v>725</v>
      </c>
      <c r="BC382" s="173" t="s">
        <v>725</v>
      </c>
      <c r="BD382" s="173" t="s">
        <v>725</v>
      </c>
      <c r="BE382" s="173" t="s">
        <v>725</v>
      </c>
      <c r="BF382" s="173" t="s">
        <v>725</v>
      </c>
      <c r="BG382" s="173" t="s">
        <v>725</v>
      </c>
      <c r="BH382" s="173" t="s">
        <v>725</v>
      </c>
      <c r="BI382" s="173" t="s">
        <v>725</v>
      </c>
      <c r="BJ382" s="173" t="s">
        <v>725</v>
      </c>
      <c r="BK382" s="173" t="s">
        <v>725</v>
      </c>
      <c r="BL382" s="173" t="s">
        <v>725</v>
      </c>
      <c r="BM382" s="173" t="s">
        <v>725</v>
      </c>
      <c r="BN382" s="173" t="s">
        <v>725</v>
      </c>
      <c r="BO382" s="173" t="s">
        <v>725</v>
      </c>
      <c r="BP382" s="173" t="s">
        <v>725</v>
      </c>
      <c r="BQ382" s="173" t="s">
        <v>725</v>
      </c>
      <c r="BR382" s="174"/>
      <c r="BS382" s="161" t="str">
        <v>#VALUE!</v>
      </c>
    </row>
    <row customHeight="true" ht="18.51851851851852" r="383">
      <c r="A383" s="161" t="s">
        <v>733</v>
      </c>
      <c r="B383" s="161" t="s">
        <v>730</v>
      </c>
      <c r="C383" s="183" t="s">
        <v>857</v>
      </c>
      <c r="D383" s="189" t="s">
        <v>858</v>
      </c>
      <c r="E383" s="186">
        <v>31</v>
      </c>
      <c r="F383" s="163">
        <v>44.99</v>
      </c>
      <c r="G383" s="164">
        <f t="shared" si="17"/>
      </c>
      <c r="H383" s="164">
        <f t="shared" si="81"/>
      </c>
      <c r="I383" s="164">
        <f t="shared" si="143"/>
      </c>
      <c r="J383" s="165">
        <f t="shared" si="224"/>
      </c>
      <c r="K383" s="166">
        <f t="shared" si="277"/>
      </c>
      <c r="L383" s="167">
        <f t="shared" si="348"/>
      </c>
      <c r="M383" s="164">
        <f t="shared" si="393"/>
      </c>
      <c r="N383" s="166">
        <f t="shared" si="445"/>
      </c>
      <c r="O383" s="166">
        <f t="shared" si="468"/>
      </c>
      <c r="P383" s="161">
        <v>30</v>
      </c>
      <c r="Q383" s="168">
        <v>8</v>
      </c>
      <c r="R383" s="169">
        <f t="shared" si="37"/>
      </c>
      <c r="S383" s="165">
        <f t="shared" si="534"/>
      </c>
      <c r="T383" s="169">
        <f t="shared" si="162"/>
      </c>
      <c r="U383" s="169">
        <v>0.01</v>
      </c>
      <c r="V383" s="169">
        <f t="shared" si="299"/>
      </c>
      <c r="W383" s="169">
        <f t="shared" si="370"/>
      </c>
      <c r="X383" s="170">
        <v>0.1846</v>
      </c>
      <c r="Y383" s="171">
        <v>5</v>
      </c>
      <c r="Z383" s="171">
        <v>0</v>
      </c>
      <c r="AA383" s="171">
        <f t="shared" si="490"/>
      </c>
      <c r="AB383" s="166">
        <f t="shared" si="512"/>
      </c>
      <c r="AC383" s="166">
        <v>90</v>
      </c>
      <c r="AD383" s="172">
        <f t="shared" si="59"/>
      </c>
      <c r="AE383" s="168">
        <f t="shared" si="116"/>
      </c>
      <c r="AF383" s="169">
        <f t="shared" si="184"/>
      </c>
      <c r="AG383" s="169">
        <f t="shared" si="326"/>
      </c>
      <c r="AH383" s="168">
        <v>8</v>
      </c>
      <c r="AI383" s="165">
        <f t="shared" si="202"/>
      </c>
      <c r="AJ383" s="165"/>
      <c r="AK383" s="165"/>
      <c r="AL383" s="165"/>
      <c r="AM383" s="165"/>
      <c r="AN383" s="173"/>
      <c r="AO383" s="173"/>
      <c r="AP383" s="173"/>
      <c r="AQ383" s="173"/>
      <c r="AR383" s="173"/>
      <c r="AS383" s="173"/>
      <c r="AT383" s="173" t="s">
        <v>725</v>
      </c>
      <c r="AU383" s="173" t="s">
        <v>725</v>
      </c>
      <c r="AV383" s="173" t="s">
        <v>725</v>
      </c>
      <c r="AW383" s="173" t="s">
        <v>725</v>
      </c>
      <c r="AX383" s="173" t="s">
        <v>725</v>
      </c>
      <c r="AY383" s="173" t="s">
        <v>725</v>
      </c>
      <c r="AZ383" s="173" t="s">
        <v>725</v>
      </c>
      <c r="BA383" s="173" t="s">
        <v>725</v>
      </c>
      <c r="BB383" s="173" t="s">
        <v>725</v>
      </c>
      <c r="BC383" s="173" t="s">
        <v>725</v>
      </c>
      <c r="BD383" s="173" t="s">
        <v>725</v>
      </c>
      <c r="BE383" s="173" t="s">
        <v>725</v>
      </c>
      <c r="BF383" s="173" t="s">
        <v>725</v>
      </c>
      <c r="BG383" s="173" t="s">
        <v>725</v>
      </c>
      <c r="BH383" s="173" t="s">
        <v>725</v>
      </c>
      <c r="BI383" s="173" t="s">
        <v>725</v>
      </c>
      <c r="BJ383" s="173" t="s">
        <v>725</v>
      </c>
      <c r="BK383" s="173" t="s">
        <v>725</v>
      </c>
      <c r="BL383" s="173" t="s">
        <v>725</v>
      </c>
      <c r="BM383" s="173" t="s">
        <v>725</v>
      </c>
      <c r="BN383" s="173" t="s">
        <v>725</v>
      </c>
      <c r="BO383" s="173" t="s">
        <v>725</v>
      </c>
      <c r="BP383" s="173" t="s">
        <v>725</v>
      </c>
      <c r="BQ383" s="173" t="s">
        <v>725</v>
      </c>
      <c r="BR383" s="174"/>
      <c r="BS383" s="161" t="str">
        <v>#VALUE!</v>
      </c>
    </row>
    <row customHeight="true" ht="18.51851851851852" r="384">
      <c r="A384" s="161" t="s">
        <v>733</v>
      </c>
      <c r="B384" s="161" t="s">
        <v>730</v>
      </c>
      <c r="C384" s="183" t="s">
        <v>857</v>
      </c>
      <c r="D384" s="189" t="s">
        <v>859</v>
      </c>
      <c r="E384" s="186">
        <v>31</v>
      </c>
      <c r="F384" s="163">
        <v>44.99</v>
      </c>
      <c r="G384" s="164">
        <f t="shared" si="17"/>
      </c>
      <c r="H384" s="164">
        <f t="shared" si="81"/>
      </c>
      <c r="I384" s="175">
        <f t="shared" si="143"/>
      </c>
      <c r="J384" s="165">
        <f t="shared" si="224"/>
      </c>
      <c r="K384" s="166">
        <f t="shared" si="277"/>
      </c>
      <c r="L384" s="167">
        <f t="shared" si="348"/>
      </c>
      <c r="M384" s="164">
        <f t="shared" si="393"/>
      </c>
      <c r="N384" s="166">
        <f t="shared" si="445"/>
      </c>
      <c r="O384" s="166">
        <f t="shared" si="468"/>
      </c>
      <c r="P384" s="161">
        <v>30</v>
      </c>
      <c r="Q384" s="168">
        <v>8</v>
      </c>
      <c r="R384" s="169">
        <f t="shared" si="37"/>
      </c>
      <c r="S384" s="165">
        <f t="shared" si="534"/>
      </c>
      <c r="T384" s="169">
        <f t="shared" si="162"/>
      </c>
      <c r="U384" s="169">
        <v>0.01</v>
      </c>
      <c r="V384" s="169">
        <f t="shared" si="299"/>
      </c>
      <c r="W384" s="169">
        <f t="shared" si="370"/>
      </c>
      <c r="X384" s="170">
        <v>0.1846</v>
      </c>
      <c r="Y384" s="171">
        <v>5</v>
      </c>
      <c r="Z384" s="171">
        <f>F384*0.1</f>
      </c>
      <c r="AA384" s="171">
        <f t="shared" si="490"/>
      </c>
      <c r="AB384" s="166">
        <f t="shared" si="512"/>
      </c>
      <c r="AC384" s="166">
        <v>90</v>
      </c>
      <c r="AD384" s="172">
        <f t="shared" si="59"/>
      </c>
      <c r="AE384" s="168">
        <f t="shared" si="116"/>
      </c>
      <c r="AF384" s="169">
        <f t="shared" si="184"/>
      </c>
      <c r="AG384" s="169">
        <f t="shared" si="326"/>
      </c>
      <c r="AH384" s="168">
        <v>8</v>
      </c>
      <c r="AI384" s="165">
        <f t="shared" si="202"/>
      </c>
      <c r="AJ384" s="165"/>
      <c r="AK384" s="165"/>
      <c r="AL384" s="165"/>
      <c r="AM384" s="165"/>
      <c r="AN384" s="173"/>
      <c r="AO384" s="173"/>
      <c r="AP384" s="173"/>
      <c r="AQ384" s="173"/>
      <c r="AR384" s="173"/>
      <c r="AS384" s="173"/>
      <c r="AT384" s="173" t="s">
        <v>725</v>
      </c>
      <c r="AU384" s="173" t="s">
        <v>725</v>
      </c>
      <c r="AV384" s="173" t="s">
        <v>725</v>
      </c>
      <c r="AW384" s="173" t="s">
        <v>725</v>
      </c>
      <c r="AX384" s="173" t="s">
        <v>725</v>
      </c>
      <c r="AY384" s="173" t="s">
        <v>725</v>
      </c>
      <c r="AZ384" s="173" t="s">
        <v>725</v>
      </c>
      <c r="BA384" s="173" t="s">
        <v>725</v>
      </c>
      <c r="BB384" s="173" t="s">
        <v>725</v>
      </c>
      <c r="BC384" s="173" t="s">
        <v>725</v>
      </c>
      <c r="BD384" s="173" t="s">
        <v>725</v>
      </c>
      <c r="BE384" s="173" t="s">
        <v>725</v>
      </c>
      <c r="BF384" s="173" t="s">
        <v>725</v>
      </c>
      <c r="BG384" s="173" t="s">
        <v>725</v>
      </c>
      <c r="BH384" s="173" t="s">
        <v>725</v>
      </c>
      <c r="BI384" s="173" t="s">
        <v>725</v>
      </c>
      <c r="BJ384" s="173" t="s">
        <v>725</v>
      </c>
      <c r="BK384" s="173" t="s">
        <v>725</v>
      </c>
      <c r="BL384" s="173" t="s">
        <v>725</v>
      </c>
      <c r="BM384" s="173" t="s">
        <v>725</v>
      </c>
      <c r="BN384" s="173" t="s">
        <v>725</v>
      </c>
      <c r="BO384" s="173" t="s">
        <v>725</v>
      </c>
      <c r="BP384" s="173" t="s">
        <v>725</v>
      </c>
      <c r="BQ384" s="173" t="s">
        <v>725</v>
      </c>
      <c r="BR384" s="174"/>
      <c r="BS384" s="161" t="str">
        <v>#VALUE!</v>
      </c>
    </row>
    <row customHeight="true" ht="18.51851851851852" r="385">
      <c r="A385" s="161" t="s">
        <v>733</v>
      </c>
      <c r="B385" s="161" t="s">
        <v>730</v>
      </c>
      <c r="C385" s="183" t="s">
        <v>857</v>
      </c>
      <c r="D385" s="189" t="s">
        <v>860</v>
      </c>
      <c r="E385" s="186">
        <v>31</v>
      </c>
      <c r="F385" s="163">
        <v>44.99</v>
      </c>
      <c r="G385" s="164">
        <f t="shared" si="17"/>
      </c>
      <c r="H385" s="164">
        <f t="shared" si="81"/>
      </c>
      <c r="I385" s="164">
        <f t="shared" si="143"/>
      </c>
      <c r="J385" s="165">
        <f t="shared" si="224"/>
      </c>
      <c r="K385" s="166">
        <f t="shared" si="277"/>
      </c>
      <c r="L385" s="167">
        <f t="shared" si="348"/>
      </c>
      <c r="M385" s="164">
        <f t="shared" si="393"/>
      </c>
      <c r="N385" s="166">
        <f t="shared" si="445"/>
      </c>
      <c r="O385" s="166">
        <f t="shared" si="468"/>
      </c>
      <c r="P385" s="161">
        <v>30</v>
      </c>
      <c r="Q385" s="168">
        <v>8</v>
      </c>
      <c r="R385" s="169">
        <f t="shared" si="37"/>
      </c>
      <c r="S385" s="165">
        <f t="shared" si="534"/>
      </c>
      <c r="T385" s="169">
        <f t="shared" si="162"/>
      </c>
      <c r="U385" s="169">
        <v>0.01</v>
      </c>
      <c r="V385" s="169">
        <f t="shared" si="299"/>
      </c>
      <c r="W385" s="169">
        <f t="shared" si="370"/>
      </c>
      <c r="X385" s="170">
        <v>0.1846</v>
      </c>
      <c r="Y385" s="171">
        <v>5</v>
      </c>
      <c r="Z385" s="171">
        <f>F385*0.15</f>
      </c>
      <c r="AA385" s="171">
        <f t="shared" si="490"/>
      </c>
      <c r="AB385" s="166">
        <f t="shared" si="512"/>
      </c>
      <c r="AC385" s="166">
        <v>90</v>
      </c>
      <c r="AD385" s="172">
        <f t="shared" si="59"/>
      </c>
      <c r="AE385" s="168">
        <f t="shared" si="116"/>
      </c>
      <c r="AF385" s="169">
        <f t="shared" si="184"/>
      </c>
      <c r="AG385" s="169">
        <f t="shared" si="326"/>
      </c>
      <c r="AH385" s="168">
        <v>8</v>
      </c>
      <c r="AI385" s="165">
        <f t="shared" si="202"/>
      </c>
      <c r="AJ385" s="165"/>
      <c r="AK385" s="165"/>
      <c r="AL385" s="165"/>
      <c r="AM385" s="165"/>
      <c r="AN385" s="173"/>
      <c r="AO385" s="173"/>
      <c r="AP385" s="173"/>
      <c r="AQ385" s="173"/>
      <c r="AR385" s="173"/>
      <c r="AS385" s="173"/>
      <c r="AT385" s="173" t="s">
        <v>725</v>
      </c>
      <c r="AU385" s="173" t="s">
        <v>725</v>
      </c>
      <c r="AV385" s="173" t="s">
        <v>725</v>
      </c>
      <c r="AW385" s="173" t="s">
        <v>725</v>
      </c>
      <c r="AX385" s="173" t="s">
        <v>725</v>
      </c>
      <c r="AY385" s="173" t="s">
        <v>725</v>
      </c>
      <c r="AZ385" s="173" t="s">
        <v>725</v>
      </c>
      <c r="BA385" s="173" t="s">
        <v>725</v>
      </c>
      <c r="BB385" s="173" t="s">
        <v>725</v>
      </c>
      <c r="BC385" s="173" t="s">
        <v>725</v>
      </c>
      <c r="BD385" s="173" t="s">
        <v>725</v>
      </c>
      <c r="BE385" s="173" t="s">
        <v>725</v>
      </c>
      <c r="BF385" s="173" t="s">
        <v>725</v>
      </c>
      <c r="BG385" s="173" t="s">
        <v>725</v>
      </c>
      <c r="BH385" s="173" t="s">
        <v>725</v>
      </c>
      <c r="BI385" s="173" t="s">
        <v>725</v>
      </c>
      <c r="BJ385" s="173" t="s">
        <v>725</v>
      </c>
      <c r="BK385" s="173" t="s">
        <v>725</v>
      </c>
      <c r="BL385" s="173" t="s">
        <v>725</v>
      </c>
      <c r="BM385" s="173" t="s">
        <v>725</v>
      </c>
      <c r="BN385" s="173" t="s">
        <v>725</v>
      </c>
      <c r="BO385" s="173" t="s">
        <v>725</v>
      </c>
      <c r="BP385" s="173" t="s">
        <v>725</v>
      </c>
      <c r="BQ385" s="173" t="s">
        <v>725</v>
      </c>
      <c r="BR385" s="174"/>
      <c r="BS385" s="161" t="str">
        <v>#VALUE!</v>
      </c>
    </row>
    <row customHeight="true" ht="18.51851851851852" r="386">
      <c r="A386" s="161" t="s">
        <v>734</v>
      </c>
      <c r="B386" s="161" t="s">
        <v>730</v>
      </c>
      <c r="C386" s="183" t="s">
        <v>857</v>
      </c>
      <c r="D386" s="189" t="s">
        <v>858</v>
      </c>
      <c r="E386" s="186">
        <v>31</v>
      </c>
      <c r="F386" s="163">
        <v>44.99</v>
      </c>
      <c r="G386" s="164">
        <f t="shared" si="17"/>
      </c>
      <c r="H386" s="164">
        <f t="shared" si="81"/>
      </c>
      <c r="I386" s="164">
        <f t="shared" si="143"/>
      </c>
      <c r="J386" s="165">
        <f t="shared" si="224"/>
      </c>
      <c r="K386" s="166">
        <f t="shared" si="277"/>
      </c>
      <c r="L386" s="167">
        <f t="shared" si="348"/>
      </c>
      <c r="M386" s="164">
        <f t="shared" si="393"/>
      </c>
      <c r="N386" s="166">
        <f t="shared" si="445"/>
      </c>
      <c r="O386" s="166">
        <f t="shared" si="468"/>
      </c>
      <c r="P386" s="161">
        <v>30</v>
      </c>
      <c r="Q386" s="168">
        <v>8</v>
      </c>
      <c r="R386" s="169">
        <f t="shared" si="37"/>
      </c>
      <c r="S386" s="165">
        <f t="shared" si="534"/>
      </c>
      <c r="T386" s="169">
        <f t="shared" si="162"/>
      </c>
      <c r="U386" s="169">
        <v>0.01</v>
      </c>
      <c r="V386" s="169">
        <f t="shared" si="299"/>
      </c>
      <c r="W386" s="169">
        <f t="shared" si="370"/>
      </c>
      <c r="X386" s="170">
        <v>0.1646</v>
      </c>
      <c r="Y386" s="171">
        <v>5</v>
      </c>
      <c r="Z386" s="171">
        <v>0</v>
      </c>
      <c r="AA386" s="171">
        <f t="shared" si="490"/>
      </c>
      <c r="AB386" s="166">
        <f t="shared" si="512"/>
      </c>
      <c r="AC386" s="166">
        <v>90</v>
      </c>
      <c r="AD386" s="172">
        <f t="shared" si="59"/>
      </c>
      <c r="AE386" s="168">
        <f t="shared" si="116"/>
      </c>
      <c r="AF386" s="169">
        <f t="shared" si="184"/>
      </c>
      <c r="AG386" s="169">
        <f t="shared" si="326"/>
      </c>
      <c r="AH386" s="168">
        <v>8</v>
      </c>
      <c r="AI386" s="169">
        <f t="shared" si="202"/>
      </c>
      <c r="AJ386" s="169"/>
      <c r="AK386" s="169"/>
      <c r="AL386" s="169"/>
      <c r="AM386" s="169"/>
      <c r="AN386" s="173"/>
      <c r="AO386" s="173"/>
      <c r="AP386" s="173"/>
      <c r="AQ386" s="173"/>
      <c r="AR386" s="173"/>
      <c r="AS386" s="173"/>
      <c r="AT386" s="173" t="s">
        <v>725</v>
      </c>
      <c r="AU386" s="173" t="s">
        <v>725</v>
      </c>
      <c r="AV386" s="173" t="s">
        <v>725</v>
      </c>
      <c r="AW386" s="173" t="s">
        <v>725</v>
      </c>
      <c r="AX386" s="173" t="s">
        <v>725</v>
      </c>
      <c r="AY386" s="173" t="s">
        <v>725</v>
      </c>
      <c r="AZ386" s="173" t="s">
        <v>725</v>
      </c>
      <c r="BA386" s="173" t="s">
        <v>725</v>
      </c>
      <c r="BB386" s="173" t="s">
        <v>725</v>
      </c>
      <c r="BC386" s="173" t="s">
        <v>725</v>
      </c>
      <c r="BD386" s="173" t="s">
        <v>725</v>
      </c>
      <c r="BE386" s="173" t="s">
        <v>725</v>
      </c>
      <c r="BF386" s="173" t="s">
        <v>725</v>
      </c>
      <c r="BG386" s="173" t="s">
        <v>725</v>
      </c>
      <c r="BH386" s="173" t="s">
        <v>725</v>
      </c>
      <c r="BI386" s="173" t="s">
        <v>725</v>
      </c>
      <c r="BJ386" s="173" t="s">
        <v>725</v>
      </c>
      <c r="BK386" s="173" t="s">
        <v>725</v>
      </c>
      <c r="BL386" s="173" t="s">
        <v>725</v>
      </c>
      <c r="BM386" s="173" t="s">
        <v>725</v>
      </c>
      <c r="BN386" s="173" t="s">
        <v>725</v>
      </c>
      <c r="BO386" s="173" t="s">
        <v>725</v>
      </c>
      <c r="BP386" s="173" t="s">
        <v>725</v>
      </c>
      <c r="BQ386" s="173" t="s">
        <v>725</v>
      </c>
      <c r="BR386" s="174"/>
      <c r="BS386" s="161" t="str">
        <v>#VALUE!</v>
      </c>
    </row>
    <row customHeight="true" ht="18.51851851851852" r="387">
      <c r="A387" s="161" t="s">
        <v>734</v>
      </c>
      <c r="B387" s="161" t="s">
        <v>730</v>
      </c>
      <c r="C387" s="183" t="s">
        <v>857</v>
      </c>
      <c r="D387" s="189" t="s">
        <v>859</v>
      </c>
      <c r="E387" s="186">
        <v>31</v>
      </c>
      <c r="F387" s="163">
        <v>44.99</v>
      </c>
      <c r="G387" s="164">
        <f t="shared" si="17"/>
      </c>
      <c r="H387" s="164">
        <f t="shared" si="81"/>
      </c>
      <c r="I387" s="175">
        <f t="shared" si="143"/>
      </c>
      <c r="J387" s="165">
        <f t="shared" si="224"/>
      </c>
      <c r="K387" s="166">
        <f t="shared" si="277"/>
      </c>
      <c r="L387" s="167">
        <f t="shared" si="348"/>
      </c>
      <c r="M387" s="164">
        <f t="shared" si="393"/>
      </c>
      <c r="N387" s="166">
        <f t="shared" si="445"/>
      </c>
      <c r="O387" s="166">
        <f t="shared" si="468"/>
      </c>
      <c r="P387" s="161">
        <v>30</v>
      </c>
      <c r="Q387" s="168">
        <v>8</v>
      </c>
      <c r="R387" s="169">
        <f t="shared" si="37"/>
      </c>
      <c r="S387" s="165">
        <f t="shared" si="534"/>
      </c>
      <c r="T387" s="169">
        <f t="shared" si="162"/>
      </c>
      <c r="U387" s="169">
        <v>0.01</v>
      </c>
      <c r="V387" s="169">
        <f t="shared" si="299"/>
      </c>
      <c r="W387" s="169">
        <f t="shared" si="370"/>
      </c>
      <c r="X387" s="170">
        <v>0.1646</v>
      </c>
      <c r="Y387" s="171">
        <v>5</v>
      </c>
      <c r="Z387" s="171">
        <f>F387*0.1</f>
      </c>
      <c r="AA387" s="171">
        <f t="shared" si="490"/>
      </c>
      <c r="AB387" s="166">
        <f t="shared" si="512"/>
      </c>
      <c r="AC387" s="166">
        <v>90</v>
      </c>
      <c r="AD387" s="172">
        <f t="shared" si="59"/>
      </c>
      <c r="AE387" s="168">
        <f t="shared" si="116"/>
      </c>
      <c r="AF387" s="169">
        <f t="shared" si="184"/>
      </c>
      <c r="AG387" s="169">
        <f t="shared" si="326"/>
      </c>
      <c r="AH387" s="168">
        <v>8</v>
      </c>
      <c r="AI387" s="169">
        <f t="shared" si="202"/>
      </c>
      <c r="AJ387" s="169"/>
      <c r="AK387" s="169"/>
      <c r="AL387" s="169"/>
      <c r="AM387" s="169"/>
      <c r="AN387" s="173"/>
      <c r="AO387" s="173"/>
      <c r="AP387" s="173"/>
      <c r="AQ387" s="173"/>
      <c r="AR387" s="173"/>
      <c r="AS387" s="173"/>
      <c r="AT387" s="173" t="s">
        <v>725</v>
      </c>
      <c r="AU387" s="173" t="s">
        <v>725</v>
      </c>
      <c r="AV387" s="173" t="s">
        <v>725</v>
      </c>
      <c r="AW387" s="173" t="s">
        <v>725</v>
      </c>
      <c r="AX387" s="173" t="s">
        <v>725</v>
      </c>
      <c r="AY387" s="173" t="s">
        <v>725</v>
      </c>
      <c r="AZ387" s="173" t="s">
        <v>725</v>
      </c>
      <c r="BA387" s="173" t="s">
        <v>725</v>
      </c>
      <c r="BB387" s="173" t="s">
        <v>725</v>
      </c>
      <c r="BC387" s="173" t="s">
        <v>725</v>
      </c>
      <c r="BD387" s="173" t="s">
        <v>725</v>
      </c>
      <c r="BE387" s="173" t="s">
        <v>725</v>
      </c>
      <c r="BF387" s="173" t="s">
        <v>725</v>
      </c>
      <c r="BG387" s="173" t="s">
        <v>725</v>
      </c>
      <c r="BH387" s="173" t="s">
        <v>725</v>
      </c>
      <c r="BI387" s="173" t="s">
        <v>725</v>
      </c>
      <c r="BJ387" s="173" t="s">
        <v>725</v>
      </c>
      <c r="BK387" s="173" t="s">
        <v>725</v>
      </c>
      <c r="BL387" s="173" t="s">
        <v>725</v>
      </c>
      <c r="BM387" s="173" t="s">
        <v>725</v>
      </c>
      <c r="BN387" s="173" t="s">
        <v>725</v>
      </c>
      <c r="BO387" s="173" t="s">
        <v>725</v>
      </c>
      <c r="BP387" s="173" t="s">
        <v>725</v>
      </c>
      <c r="BQ387" s="173" t="s">
        <v>725</v>
      </c>
      <c r="BR387" s="174"/>
      <c r="BS387" s="161" t="str">
        <v>#VALUE!</v>
      </c>
    </row>
    <row customHeight="true" ht="18.51851851851852" r="388">
      <c r="A388" s="161" t="s">
        <v>734</v>
      </c>
      <c r="B388" s="161" t="s">
        <v>730</v>
      </c>
      <c r="C388" s="183" t="s">
        <v>857</v>
      </c>
      <c r="D388" s="189" t="s">
        <v>860</v>
      </c>
      <c r="E388" s="186">
        <v>31</v>
      </c>
      <c r="F388" s="163">
        <v>44.99</v>
      </c>
      <c r="G388" s="164">
        <f t="shared" si="17"/>
      </c>
      <c r="H388" s="164">
        <f t="shared" si="81"/>
      </c>
      <c r="I388" s="164">
        <f t="shared" si="143"/>
      </c>
      <c r="J388" s="165">
        <f t="shared" si="224"/>
      </c>
      <c r="K388" s="166">
        <f t="shared" si="277"/>
      </c>
      <c r="L388" s="167">
        <f t="shared" si="348"/>
      </c>
      <c r="M388" s="164">
        <f t="shared" si="393"/>
      </c>
      <c r="N388" s="166">
        <f t="shared" si="445"/>
      </c>
      <c r="O388" s="166">
        <f t="shared" si="468"/>
      </c>
      <c r="P388" s="161">
        <v>30</v>
      </c>
      <c r="Q388" s="168">
        <v>8</v>
      </c>
      <c r="R388" s="169">
        <f t="shared" si="37"/>
      </c>
      <c r="S388" s="165">
        <f t="shared" si="534"/>
      </c>
      <c r="T388" s="169">
        <f t="shared" si="162"/>
      </c>
      <c r="U388" s="169">
        <v>0.01</v>
      </c>
      <c r="V388" s="169">
        <f t="shared" si="299"/>
      </c>
      <c r="W388" s="169">
        <f t="shared" si="370"/>
      </c>
      <c r="X388" s="170">
        <v>0.1646</v>
      </c>
      <c r="Y388" s="171">
        <v>5</v>
      </c>
      <c r="Z388" s="171">
        <f>F388*0.15</f>
      </c>
      <c r="AA388" s="171">
        <f t="shared" si="490"/>
      </c>
      <c r="AB388" s="166">
        <f t="shared" si="512"/>
      </c>
      <c r="AC388" s="166">
        <v>90</v>
      </c>
      <c r="AD388" s="172">
        <f t="shared" si="59"/>
      </c>
      <c r="AE388" s="168">
        <f t="shared" si="116"/>
      </c>
      <c r="AF388" s="169">
        <f t="shared" si="184"/>
      </c>
      <c r="AG388" s="169">
        <f t="shared" si="326"/>
      </c>
      <c r="AH388" s="168">
        <v>8</v>
      </c>
      <c r="AI388" s="169">
        <f t="shared" si="202"/>
      </c>
      <c r="AJ388" s="169"/>
      <c r="AK388" s="169"/>
      <c r="AL388" s="169"/>
      <c r="AM388" s="169"/>
      <c r="AN388" s="173"/>
      <c r="AO388" s="173"/>
      <c r="AP388" s="173"/>
      <c r="AQ388" s="173"/>
      <c r="AR388" s="173"/>
      <c r="AS388" s="173"/>
      <c r="AT388" s="173" t="s">
        <v>725</v>
      </c>
      <c r="AU388" s="173" t="s">
        <v>725</v>
      </c>
      <c r="AV388" s="173" t="s">
        <v>725</v>
      </c>
      <c r="AW388" s="173" t="s">
        <v>725</v>
      </c>
      <c r="AX388" s="173" t="s">
        <v>725</v>
      </c>
      <c r="AY388" s="173" t="s">
        <v>725</v>
      </c>
      <c r="AZ388" s="173" t="s">
        <v>725</v>
      </c>
      <c r="BA388" s="173" t="s">
        <v>725</v>
      </c>
      <c r="BB388" s="173" t="s">
        <v>725</v>
      </c>
      <c r="BC388" s="173" t="s">
        <v>725</v>
      </c>
      <c r="BD388" s="173" t="s">
        <v>725</v>
      </c>
      <c r="BE388" s="173" t="s">
        <v>725</v>
      </c>
      <c r="BF388" s="173" t="s">
        <v>725</v>
      </c>
      <c r="BG388" s="173" t="s">
        <v>725</v>
      </c>
      <c r="BH388" s="173" t="s">
        <v>725</v>
      </c>
      <c r="BI388" s="173" t="s">
        <v>725</v>
      </c>
      <c r="BJ388" s="173" t="s">
        <v>725</v>
      </c>
      <c r="BK388" s="173" t="s">
        <v>725</v>
      </c>
      <c r="BL388" s="173" t="s">
        <v>725</v>
      </c>
      <c r="BM388" s="173" t="s">
        <v>725</v>
      </c>
      <c r="BN388" s="173" t="s">
        <v>725</v>
      </c>
      <c r="BO388" s="173" t="s">
        <v>725</v>
      </c>
      <c r="BP388" s="173" t="s">
        <v>725</v>
      </c>
      <c r="BQ388" s="173" t="s">
        <v>725</v>
      </c>
      <c r="BR388" s="174"/>
      <c r="BS388" s="161" t="str">
        <v>#VALUE!</v>
      </c>
    </row>
    <row customHeight="true" ht="18.51851851851852" r="389">
      <c r="A389" s="161" t="s">
        <v>735</v>
      </c>
      <c r="B389" s="161" t="s">
        <v>730</v>
      </c>
      <c r="C389" s="183" t="s">
        <v>857</v>
      </c>
      <c r="D389" s="178" t="s">
        <v>861</v>
      </c>
      <c r="E389" s="186">
        <v>34.5</v>
      </c>
      <c r="F389" s="163">
        <v>49.99</v>
      </c>
      <c r="G389" s="164">
        <f t="shared" si="17"/>
      </c>
      <c r="H389" s="164">
        <f t="shared" si="81"/>
      </c>
      <c r="I389" s="164">
        <f t="shared" si="143"/>
      </c>
      <c r="J389" s="165">
        <f t="shared" si="224"/>
      </c>
      <c r="K389" s="166">
        <f t="shared" si="277"/>
      </c>
      <c r="L389" s="167">
        <f t="shared" si="348"/>
      </c>
      <c r="M389" s="164">
        <f t="shared" si="393"/>
      </c>
      <c r="N389" s="166">
        <f t="shared" si="445"/>
      </c>
      <c r="O389" s="166">
        <f t="shared" si="468"/>
      </c>
      <c r="P389" s="161">
        <v>30</v>
      </c>
      <c r="Q389" s="168">
        <v>8</v>
      </c>
      <c r="R389" s="169">
        <f t="shared" si="37"/>
      </c>
      <c r="S389" s="165">
        <f t="shared" si="534"/>
      </c>
      <c r="T389" s="169">
        <f t="shared" si="162"/>
      </c>
      <c r="U389" s="169">
        <v>0.01</v>
      </c>
      <c r="V389" s="169">
        <f t="shared" si="299"/>
      </c>
      <c r="W389" s="169">
        <f t="shared" si="370"/>
      </c>
      <c r="X389" s="170">
        <v>0.158</v>
      </c>
      <c r="Y389" s="171">
        <v>0</v>
      </c>
      <c r="Z389" s="171">
        <f t="shared" ref="Z389:Z392" si="412">F389*0</f>
      </c>
      <c r="AA389" s="171">
        <f t="shared" si="490"/>
      </c>
      <c r="AB389" s="166">
        <f t="shared" si="512"/>
      </c>
      <c r="AC389" s="166">
        <v>90</v>
      </c>
      <c r="AD389" s="172">
        <f t="shared" si="59"/>
      </c>
      <c r="AE389" s="168">
        <f t="shared" si="116"/>
      </c>
      <c r="AF389" s="169">
        <f t="shared" si="184"/>
      </c>
      <c r="AG389" s="169">
        <f t="shared" si="326"/>
      </c>
      <c r="AH389" s="168">
        <v>8</v>
      </c>
      <c r="AI389" s="169">
        <f t="shared" si="202"/>
      </c>
      <c r="AJ389" s="173"/>
      <c r="AK389" s="173"/>
      <c r="AL389" s="173"/>
      <c r="AM389" s="173"/>
      <c r="AN389" s="173"/>
      <c r="AO389" s="173"/>
      <c r="AP389" s="173"/>
      <c r="AQ389" s="173"/>
      <c r="AR389" s="173"/>
      <c r="AS389" s="173"/>
      <c r="AT389" s="173" t="s">
        <v>725</v>
      </c>
      <c r="AU389" s="173" t="s">
        <v>725</v>
      </c>
      <c r="AV389" s="173" t="s">
        <v>725</v>
      </c>
      <c r="AW389" s="173" t="s">
        <v>725</v>
      </c>
      <c r="AX389" s="173" t="s">
        <v>725</v>
      </c>
      <c r="AY389" s="173" t="s">
        <v>725</v>
      </c>
      <c r="AZ389" s="173" t="s">
        <v>725</v>
      </c>
      <c r="BA389" s="173" t="s">
        <v>725</v>
      </c>
      <c r="BB389" s="173" t="s">
        <v>725</v>
      </c>
      <c r="BC389" s="173" t="s">
        <v>725</v>
      </c>
      <c r="BD389" s="173" t="s">
        <v>725</v>
      </c>
      <c r="BE389" s="173" t="s">
        <v>725</v>
      </c>
      <c r="BF389" s="173" t="s">
        <v>725</v>
      </c>
      <c r="BG389" s="173" t="s">
        <v>725</v>
      </c>
      <c r="BH389" s="173" t="s">
        <v>725</v>
      </c>
      <c r="BI389" s="173" t="s">
        <v>725</v>
      </c>
      <c r="BJ389" s="173" t="s">
        <v>725</v>
      </c>
      <c r="BK389" s="173" t="s">
        <v>725</v>
      </c>
      <c r="BL389" s="173" t="s">
        <v>725</v>
      </c>
      <c r="BM389" s="173" t="s">
        <v>725</v>
      </c>
      <c r="BN389" s="173" t="s">
        <v>725</v>
      </c>
      <c r="BO389" s="173" t="s">
        <v>725</v>
      </c>
      <c r="BP389" s="173" t="s">
        <v>725</v>
      </c>
      <c r="BQ389" s="173" t="s">
        <v>725</v>
      </c>
      <c r="BR389" s="180">
        <f t="shared" ref="BR389:BR392" si="253">IF(E389&lt;#REF!,1,0)</f>
      </c>
      <c r="BS389" s="161" t="str">
        <v>#VALUE!</v>
      </c>
    </row>
    <row customHeight="true" ht="18.51851851851852" r="390">
      <c r="A390" s="161" t="s">
        <v>737</v>
      </c>
      <c r="B390" s="161" t="s">
        <v>730</v>
      </c>
      <c r="C390" s="183" t="s">
        <v>857</v>
      </c>
      <c r="D390" s="178" t="s">
        <v>862</v>
      </c>
      <c r="E390" s="186">
        <v>34.5</v>
      </c>
      <c r="F390" s="163">
        <v>49.99</v>
      </c>
      <c r="G390" s="164">
        <f t="shared" si="17"/>
      </c>
      <c r="H390" s="164">
        <f t="shared" si="81"/>
      </c>
      <c r="I390" s="164">
        <f t="shared" si="143"/>
      </c>
      <c r="J390" s="165">
        <f t="shared" si="224"/>
      </c>
      <c r="K390" s="166">
        <f t="shared" si="277"/>
      </c>
      <c r="L390" s="167">
        <f t="shared" si="348"/>
      </c>
      <c r="M390" s="164">
        <f t="shared" si="393"/>
      </c>
      <c r="N390" s="166">
        <f t="shared" si="445"/>
      </c>
      <c r="O390" s="166">
        <f t="shared" si="468"/>
      </c>
      <c r="P390" s="161">
        <v>30</v>
      </c>
      <c r="Q390" s="168">
        <v>8</v>
      </c>
      <c r="R390" s="169">
        <f t="shared" si="37"/>
      </c>
      <c r="S390" s="165">
        <f t="shared" si="534"/>
      </c>
      <c r="T390" s="169">
        <f t="shared" si="162"/>
      </c>
      <c r="U390" s="169">
        <v>0.01</v>
      </c>
      <c r="V390" s="169">
        <f t="shared" si="299"/>
      </c>
      <c r="W390" s="169">
        <f t="shared" si="370"/>
      </c>
      <c r="X390" s="170">
        <v>0.223</v>
      </c>
      <c r="Y390" s="171">
        <v>0</v>
      </c>
      <c r="Z390" s="171">
        <f t="shared" si="412"/>
      </c>
      <c r="AA390" s="171">
        <f t="shared" si="490"/>
      </c>
      <c r="AB390" s="166">
        <f t="shared" si="512"/>
      </c>
      <c r="AC390" s="166">
        <v>90</v>
      </c>
      <c r="AD390" s="172">
        <f t="shared" si="59"/>
      </c>
      <c r="AE390" s="168">
        <f t="shared" si="116"/>
      </c>
      <c r="AF390" s="169">
        <f t="shared" si="184"/>
      </c>
      <c r="AG390" s="169">
        <f t="shared" si="326"/>
      </c>
      <c r="AH390" s="168">
        <v>8</v>
      </c>
      <c r="AI390" s="169">
        <f t="shared" si="202"/>
      </c>
      <c r="AJ390" s="173"/>
      <c r="AK390" s="173"/>
      <c r="AL390" s="173"/>
      <c r="AM390" s="173"/>
      <c r="AN390" s="173"/>
      <c r="AO390" s="173"/>
      <c r="AP390" s="173"/>
      <c r="AQ390" s="173"/>
      <c r="AR390" s="173"/>
      <c r="AS390" s="173"/>
      <c r="AT390" s="173" t="s">
        <v>725</v>
      </c>
      <c r="AU390" s="173" t="s">
        <v>725</v>
      </c>
      <c r="AV390" s="173" t="s">
        <v>725</v>
      </c>
      <c r="AW390" s="173" t="s">
        <v>725</v>
      </c>
      <c r="AX390" s="173" t="s">
        <v>725</v>
      </c>
      <c r="AY390" s="173" t="s">
        <v>725</v>
      </c>
      <c r="AZ390" s="173" t="s">
        <v>725</v>
      </c>
      <c r="BA390" s="173" t="s">
        <v>725</v>
      </c>
      <c r="BB390" s="173" t="s">
        <v>725</v>
      </c>
      <c r="BC390" s="173" t="s">
        <v>725</v>
      </c>
      <c r="BD390" s="173" t="s">
        <v>725</v>
      </c>
      <c r="BE390" s="173" t="s">
        <v>725</v>
      </c>
      <c r="BF390" s="173" t="s">
        <v>725</v>
      </c>
      <c r="BG390" s="173" t="s">
        <v>725</v>
      </c>
      <c r="BH390" s="173" t="s">
        <v>725</v>
      </c>
      <c r="BI390" s="173" t="s">
        <v>725</v>
      </c>
      <c r="BJ390" s="173" t="s">
        <v>725</v>
      </c>
      <c r="BK390" s="173" t="s">
        <v>725</v>
      </c>
      <c r="BL390" s="173" t="s">
        <v>725</v>
      </c>
      <c r="BM390" s="173" t="s">
        <v>725</v>
      </c>
      <c r="BN390" s="173" t="s">
        <v>725</v>
      </c>
      <c r="BO390" s="173" t="s">
        <v>725</v>
      </c>
      <c r="BP390" s="173" t="s">
        <v>725</v>
      </c>
      <c r="BQ390" s="173" t="s">
        <v>725</v>
      </c>
      <c r="BR390" s="180">
        <f t="shared" si="253"/>
      </c>
      <c r="BS390" s="161" t="str">
        <v>#VALUE!</v>
      </c>
    </row>
    <row customHeight="true" ht="18.51851851851852" r="391">
      <c r="A391" s="161" t="s">
        <v>739</v>
      </c>
      <c r="B391" s="161" t="s">
        <v>730</v>
      </c>
      <c r="C391" s="183" t="s">
        <v>857</v>
      </c>
      <c r="D391" s="178" t="s">
        <v>863</v>
      </c>
      <c r="E391" s="186">
        <v>34.5</v>
      </c>
      <c r="F391" s="163">
        <v>49.99</v>
      </c>
      <c r="G391" s="164">
        <f t="shared" si="17"/>
      </c>
      <c r="H391" s="164">
        <f t="shared" si="81"/>
      </c>
      <c r="I391" s="164">
        <f t="shared" si="143"/>
      </c>
      <c r="J391" s="165">
        <f t="shared" si="224"/>
      </c>
      <c r="K391" s="166">
        <f t="shared" si="277"/>
      </c>
      <c r="L391" s="167">
        <f t="shared" si="348"/>
      </c>
      <c r="M391" s="164">
        <f t="shared" si="393"/>
      </c>
      <c r="N391" s="166">
        <f t="shared" si="445"/>
      </c>
      <c r="O391" s="166">
        <f t="shared" si="468"/>
      </c>
      <c r="P391" s="161">
        <v>30</v>
      </c>
      <c r="Q391" s="168">
        <v>8</v>
      </c>
      <c r="R391" s="169">
        <f t="shared" si="37"/>
      </c>
      <c r="S391" s="165">
        <f t="shared" si="534"/>
      </c>
      <c r="T391" s="169">
        <f t="shared" si="162"/>
      </c>
      <c r="U391" s="169">
        <v>0.01</v>
      </c>
      <c r="V391" s="169">
        <f t="shared" si="299"/>
      </c>
      <c r="W391" s="169">
        <f t="shared" si="370"/>
      </c>
      <c r="X391" s="170">
        <v>0.223</v>
      </c>
      <c r="Y391" s="171">
        <v>0</v>
      </c>
      <c r="Z391" s="171">
        <f t="shared" si="412"/>
      </c>
      <c r="AA391" s="171">
        <f t="shared" si="490"/>
      </c>
      <c r="AB391" s="166">
        <f t="shared" si="512"/>
      </c>
      <c r="AC391" s="166">
        <v>90</v>
      </c>
      <c r="AD391" s="172">
        <f t="shared" si="59"/>
      </c>
      <c r="AE391" s="168">
        <f t="shared" si="116"/>
      </c>
      <c r="AF391" s="169">
        <f t="shared" si="184"/>
      </c>
      <c r="AG391" s="169">
        <f t="shared" si="326"/>
      </c>
      <c r="AH391" s="168">
        <v>8</v>
      </c>
      <c r="AI391" s="169">
        <f t="shared" si="202"/>
      </c>
      <c r="AJ391" s="173"/>
      <c r="AK391" s="173"/>
      <c r="AL391" s="173"/>
      <c r="AM391" s="173"/>
      <c r="AN391" s="173"/>
      <c r="AO391" s="173"/>
      <c r="AP391" s="173"/>
      <c r="AQ391" s="173"/>
      <c r="AR391" s="173"/>
      <c r="AS391" s="173"/>
      <c r="AT391" s="173" t="s">
        <v>725</v>
      </c>
      <c r="AU391" s="173" t="s">
        <v>725</v>
      </c>
      <c r="AV391" s="173" t="s">
        <v>725</v>
      </c>
      <c r="AW391" s="173" t="s">
        <v>725</v>
      </c>
      <c r="AX391" s="173" t="s">
        <v>725</v>
      </c>
      <c r="AY391" s="173" t="s">
        <v>725</v>
      </c>
      <c r="AZ391" s="173" t="s">
        <v>725</v>
      </c>
      <c r="BA391" s="173" t="s">
        <v>725</v>
      </c>
      <c r="BB391" s="173" t="s">
        <v>725</v>
      </c>
      <c r="BC391" s="173" t="s">
        <v>725</v>
      </c>
      <c r="BD391" s="173" t="s">
        <v>725</v>
      </c>
      <c r="BE391" s="173" t="s">
        <v>725</v>
      </c>
      <c r="BF391" s="173" t="s">
        <v>725</v>
      </c>
      <c r="BG391" s="173" t="s">
        <v>725</v>
      </c>
      <c r="BH391" s="173" t="s">
        <v>725</v>
      </c>
      <c r="BI391" s="173" t="s">
        <v>725</v>
      </c>
      <c r="BJ391" s="173" t="s">
        <v>725</v>
      </c>
      <c r="BK391" s="173" t="s">
        <v>725</v>
      </c>
      <c r="BL391" s="173" t="s">
        <v>725</v>
      </c>
      <c r="BM391" s="173" t="s">
        <v>725</v>
      </c>
      <c r="BN391" s="173" t="s">
        <v>725</v>
      </c>
      <c r="BO391" s="173" t="s">
        <v>725</v>
      </c>
      <c r="BP391" s="173" t="s">
        <v>725</v>
      </c>
      <c r="BQ391" s="173" t="s">
        <v>725</v>
      </c>
      <c r="BR391" s="180">
        <f t="shared" si="253"/>
      </c>
      <c r="BS391" s="161" t="str">
        <v>#VALUE!</v>
      </c>
    </row>
    <row customHeight="true" ht="18.51851851851852" r="392">
      <c r="A392" s="161" t="s">
        <v>741</v>
      </c>
      <c r="B392" s="161" t="s">
        <v>730</v>
      </c>
      <c r="C392" s="183" t="s">
        <v>857</v>
      </c>
      <c r="D392" s="178" t="s">
        <v>864</v>
      </c>
      <c r="E392" s="186">
        <v>34.5</v>
      </c>
      <c r="F392" s="163">
        <v>49.99</v>
      </c>
      <c r="G392" s="164">
        <f t="shared" si="17"/>
      </c>
      <c r="H392" s="164">
        <f t="shared" si="81"/>
      </c>
      <c r="I392" s="164">
        <f t="shared" si="143"/>
      </c>
      <c r="J392" s="165">
        <f t="shared" si="224"/>
      </c>
      <c r="K392" s="166">
        <f t="shared" si="277"/>
      </c>
      <c r="L392" s="167">
        <f t="shared" si="348"/>
      </c>
      <c r="M392" s="164">
        <f t="shared" si="393"/>
      </c>
      <c r="N392" s="166">
        <f t="shared" si="445"/>
      </c>
      <c r="O392" s="166">
        <f t="shared" si="468"/>
      </c>
      <c r="P392" s="161">
        <v>30</v>
      </c>
      <c r="Q392" s="168">
        <v>8</v>
      </c>
      <c r="R392" s="169">
        <f t="shared" si="37"/>
      </c>
      <c r="S392" s="165">
        <f t="shared" si="534"/>
      </c>
      <c r="T392" s="169">
        <f t="shared" si="162"/>
      </c>
      <c r="U392" s="169">
        <v>0.01</v>
      </c>
      <c r="V392" s="169">
        <f t="shared" si="299"/>
      </c>
      <c r="W392" s="169">
        <f t="shared" si="370"/>
      </c>
      <c r="X392" s="170">
        <v>0.158</v>
      </c>
      <c r="Y392" s="171">
        <v>0</v>
      </c>
      <c r="Z392" s="171">
        <f t="shared" si="412"/>
      </c>
      <c r="AA392" s="171">
        <f t="shared" si="490"/>
      </c>
      <c r="AB392" s="166">
        <f t="shared" si="512"/>
      </c>
      <c r="AC392" s="166">
        <v>90</v>
      </c>
      <c r="AD392" s="172">
        <f t="shared" si="59"/>
      </c>
      <c r="AE392" s="168">
        <f t="shared" si="116"/>
      </c>
      <c r="AF392" s="169">
        <f t="shared" si="184"/>
      </c>
      <c r="AG392" s="169">
        <f t="shared" si="326"/>
      </c>
      <c r="AH392" s="168">
        <v>8</v>
      </c>
      <c r="AI392" s="169">
        <f t="shared" si="202"/>
      </c>
      <c r="AJ392" s="169"/>
      <c r="AK392" s="169"/>
      <c r="AL392" s="169"/>
      <c r="AM392" s="169"/>
      <c r="AN392" s="173"/>
      <c r="AO392" s="173"/>
      <c r="AP392" s="173"/>
      <c r="AQ392" s="173"/>
      <c r="AR392" s="173"/>
      <c r="AS392" s="173"/>
      <c r="AT392" s="173" t="s">
        <v>725</v>
      </c>
      <c r="AU392" s="173" t="s">
        <v>725</v>
      </c>
      <c r="AV392" s="173" t="s">
        <v>725</v>
      </c>
      <c r="AW392" s="173" t="s">
        <v>725</v>
      </c>
      <c r="AX392" s="173" t="s">
        <v>725</v>
      </c>
      <c r="AY392" s="173" t="s">
        <v>725</v>
      </c>
      <c r="AZ392" s="173" t="s">
        <v>725</v>
      </c>
      <c r="BA392" s="173" t="s">
        <v>725</v>
      </c>
      <c r="BB392" s="173" t="s">
        <v>725</v>
      </c>
      <c r="BC392" s="173" t="s">
        <v>725</v>
      </c>
      <c r="BD392" s="173" t="s">
        <v>725</v>
      </c>
      <c r="BE392" s="173" t="s">
        <v>725</v>
      </c>
      <c r="BF392" s="173" t="s">
        <v>725</v>
      </c>
      <c r="BG392" s="173" t="s">
        <v>725</v>
      </c>
      <c r="BH392" s="173" t="s">
        <v>725</v>
      </c>
      <c r="BI392" s="173" t="s">
        <v>725</v>
      </c>
      <c r="BJ392" s="173" t="s">
        <v>725</v>
      </c>
      <c r="BK392" s="173" t="s">
        <v>725</v>
      </c>
      <c r="BL392" s="173" t="s">
        <v>725</v>
      </c>
      <c r="BM392" s="173" t="s">
        <v>725</v>
      </c>
      <c r="BN392" s="173" t="s">
        <v>725</v>
      </c>
      <c r="BO392" s="173" t="s">
        <v>725</v>
      </c>
      <c r="BP392" s="173" t="s">
        <v>725</v>
      </c>
      <c r="BQ392" s="173" t="s">
        <v>725</v>
      </c>
      <c r="BR392" s="180">
        <f t="shared" si="253"/>
      </c>
      <c r="BS392" s="161" t="str">
        <v>#VALUE!</v>
      </c>
    </row>
    <row customHeight="true" ht="18.51851851851852" r="393"/>
    <row customHeight="true" ht="18.51851851851852" r="394">
      <c r="A394" s="161" t="s">
        <v>721</v>
      </c>
      <c r="B394" s="161" t="s">
        <v>730</v>
      </c>
      <c r="C394" s="183" t="s">
        <v>865</v>
      </c>
      <c r="D394" s="189" t="s">
        <v>866</v>
      </c>
      <c r="E394" s="186">
        <v>15.2</v>
      </c>
      <c r="F394" s="163">
        <v>21.99</v>
      </c>
      <c r="G394" s="164">
        <f t="shared" ref="G394:G412" si="18">(F394-Z394)</f>
      </c>
      <c r="H394" s="164">
        <f t="shared" ref="H394:H412" si="82">(F394-Z394)/1.2</f>
      </c>
      <c r="I394" s="164">
        <f t="shared" ref="I394:I412" si="144">E394-N394/Q394-AB394-Y394-O394-Z394-AA394</f>
      </c>
      <c r="J394" s="165">
        <f t="shared" ref="J394:J412" si="225">I394/E394</f>
      </c>
      <c r="K394" s="166">
        <f t="shared" ref="K394:K412" si="278">F394/1.2</f>
      </c>
      <c r="L394" s="167">
        <f t="shared" ref="L394:L412" si="349">(K394-E394)/K394</f>
      </c>
      <c r="M394" s="164">
        <f t="shared" ref="M394:M412" si="394">F394/1.2-E394</f>
      </c>
      <c r="N394" s="166">
        <f>AD394+AH395</f>
      </c>
      <c r="O394" s="166">
        <f t="shared" ref="O394:O412" si="469">IFERROR(IF(A394="UK",8.95/P394,IF(A394="DE",7.75/P394,IF(A394="FR",14.25/P394,IF(A394="IT",15.25/P394,IF(A394="ES",19.25/P394,IF(A394="NL",16.75/P394,IF(A394="PL",14.05/P394,IF(A394="SE",18.25/P394,IF(A394="BE",14.25/P394))))))))),0)</f>
      </c>
      <c r="P394" s="161">
        <v>20</v>
      </c>
      <c r="Q394" s="168">
        <v>9</v>
      </c>
      <c r="R394" s="169">
        <f t="shared" ref="R394:R412" si="38">Y394/E394</f>
      </c>
      <c r="S394" s="165">
        <f t="shared" ref="S394:S412" si="535">Y394/F394</f>
      </c>
      <c r="T394" s="169">
        <f t="shared" ref="T394:T412" si="163">Z394/E394</f>
      </c>
      <c r="U394" s="169">
        <v>0.01</v>
      </c>
      <c r="V394" s="169">
        <f t="shared" ref="V394:V412" si="300">N394/(E394*Q394)</f>
      </c>
      <c r="W394" s="169">
        <f t="shared" ref="W394:W412" si="371">O394/E394</f>
      </c>
      <c r="X394" s="170">
        <v>0.158</v>
      </c>
      <c r="Y394" s="171">
        <v>3.5</v>
      </c>
      <c r="Z394" s="171">
        <v>0</v>
      </c>
      <c r="AA394" s="171">
        <f t="shared" ref="AA394:AA412" si="491">E394*U394</f>
      </c>
      <c r="AB394" s="166">
        <f t="shared" ref="AB394:AB412" si="513">E394*X394</f>
      </c>
      <c r="AC394" s="166">
        <v>40</v>
      </c>
      <c r="AD394" s="172">
        <f t="shared" ref="AD394:AD412" si="60">AC394/1.13</f>
      </c>
      <c r="AE394" s="168">
        <f>AH395/Q394</f>
      </c>
      <c r="AF394" s="169">
        <f t="shared" ref="AF394:AF412" si="185">AD394/(E394*Q394)</f>
      </c>
      <c r="AG394" s="169">
        <f t="shared" ref="AG394:AG412" si="327">AE394/Q394/E394</f>
      </c>
      <c r="AH394" s="168">
        <v>6</v>
      </c>
      <c r="AI394" s="169">
        <f t="shared" ref="AI394:AI412" si="203">(H394-E394+AB394)/H394</f>
      </c>
      <c r="AJ394" s="169"/>
      <c r="AK394" s="169"/>
      <c r="AL394" s="169"/>
      <c r="AM394" s="169"/>
      <c r="AN394" s="173"/>
      <c r="AO394" s="173"/>
      <c r="AP394" s="173"/>
      <c r="AQ394" s="173"/>
      <c r="AR394" s="173"/>
      <c r="AS394" s="173"/>
      <c r="AT394" s="173" t="s">
        <v>725</v>
      </c>
      <c r="AU394" s="173" t="s">
        <v>725</v>
      </c>
      <c r="AV394" s="173" t="s">
        <v>725</v>
      </c>
      <c r="AW394" s="173" t="s">
        <v>725</v>
      </c>
      <c r="AX394" s="173" t="s">
        <v>725</v>
      </c>
      <c r="AY394" s="173" t="s">
        <v>725</v>
      </c>
      <c r="AZ394" s="173" t="s">
        <v>725</v>
      </c>
      <c r="BA394" s="173" t="s">
        <v>725</v>
      </c>
      <c r="BB394" s="173" t="s">
        <v>725</v>
      </c>
      <c r="BC394" s="173" t="s">
        <v>725</v>
      </c>
      <c r="BD394" s="173" t="s">
        <v>725</v>
      </c>
      <c r="BE394" s="173" t="s">
        <v>725</v>
      </c>
      <c r="BF394" s="173" t="s">
        <v>725</v>
      </c>
      <c r="BG394" s="173" t="s">
        <v>725</v>
      </c>
      <c r="BH394" s="173" t="s">
        <v>725</v>
      </c>
      <c r="BI394" s="173" t="s">
        <v>725</v>
      </c>
      <c r="BJ394" s="173" t="s">
        <v>725</v>
      </c>
      <c r="BK394" s="173" t="s">
        <v>725</v>
      </c>
      <c r="BL394" s="173" t="s">
        <v>725</v>
      </c>
      <c r="BM394" s="173" t="s">
        <v>725</v>
      </c>
      <c r="BN394" s="173" t="s">
        <v>725</v>
      </c>
      <c r="BO394" s="173" t="s">
        <v>725</v>
      </c>
      <c r="BP394" s="173" t="s">
        <v>725</v>
      </c>
      <c r="BQ394" s="173" t="s">
        <v>725</v>
      </c>
      <c r="BR394" s="174"/>
      <c r="BS394" s="161" t="str">
        <v>#VALUE!</v>
      </c>
    </row>
    <row customHeight="true" ht="18.51851851851852" r="395">
      <c r="A395" s="161" t="s">
        <v>721</v>
      </c>
      <c r="B395" s="161" t="s">
        <v>730</v>
      </c>
      <c r="C395" s="183" t="s">
        <v>865</v>
      </c>
      <c r="D395" s="189" t="s">
        <v>867</v>
      </c>
      <c r="E395" s="186">
        <v>15.2</v>
      </c>
      <c r="F395" s="163">
        <v>21.99</v>
      </c>
      <c r="G395" s="164">
        <f t="shared" si="18"/>
      </c>
      <c r="H395" s="164">
        <f t="shared" si="82"/>
      </c>
      <c r="I395" s="175">
        <f t="shared" si="144"/>
      </c>
      <c r="J395" s="165">
        <f t="shared" si="225"/>
      </c>
      <c r="K395" s="166">
        <f t="shared" si="278"/>
      </c>
      <c r="L395" s="167">
        <f t="shared" si="349"/>
      </c>
      <c r="M395" s="164">
        <f t="shared" si="394"/>
      </c>
      <c r="N395" s="166">
        <f t="shared" ref="N395:N396" si="446">AD395+AH395</f>
      </c>
      <c r="O395" s="166">
        <f t="shared" si="469"/>
      </c>
      <c r="P395" s="161">
        <v>20</v>
      </c>
      <c r="Q395" s="168">
        <v>9</v>
      </c>
      <c r="R395" s="169">
        <f t="shared" si="38"/>
      </c>
      <c r="S395" s="165">
        <f t="shared" si="535"/>
      </c>
      <c r="T395" s="169">
        <f t="shared" si="163"/>
      </c>
      <c r="U395" s="169">
        <v>0.01</v>
      </c>
      <c r="V395" s="169">
        <f t="shared" si="300"/>
      </c>
      <c r="W395" s="169">
        <f t="shared" si="371"/>
      </c>
      <c r="X395" s="170">
        <v>0.158</v>
      </c>
      <c r="Y395" s="171">
        <v>3.5</v>
      </c>
      <c r="Z395" s="171">
        <f>F395*0.1</f>
      </c>
      <c r="AA395" s="171">
        <f t="shared" si="491"/>
      </c>
      <c r="AB395" s="166">
        <f t="shared" si="513"/>
      </c>
      <c r="AC395" s="166">
        <v>40</v>
      </c>
      <c r="AD395" s="172">
        <f t="shared" si="60"/>
      </c>
      <c r="AE395" s="168">
        <f t="shared" ref="AE395:AE396" si="117">AH395/Q395</f>
      </c>
      <c r="AF395" s="169">
        <f t="shared" si="185"/>
      </c>
      <c r="AG395" s="169">
        <f t="shared" si="327"/>
      </c>
      <c r="AH395" s="168">
        <v>6</v>
      </c>
      <c r="AI395" s="169">
        <f t="shared" si="203"/>
      </c>
      <c r="AJ395" s="169"/>
      <c r="AK395" s="169"/>
      <c r="AL395" s="169"/>
      <c r="AM395" s="169"/>
      <c r="AN395" s="173"/>
      <c r="AO395" s="173"/>
      <c r="AP395" s="173"/>
      <c r="AQ395" s="173"/>
      <c r="AR395" s="173"/>
      <c r="AS395" s="173"/>
      <c r="AT395" s="173" t="s">
        <v>725</v>
      </c>
      <c r="AU395" s="173" t="s">
        <v>725</v>
      </c>
      <c r="AV395" s="173" t="s">
        <v>725</v>
      </c>
      <c r="AW395" s="173" t="s">
        <v>725</v>
      </c>
      <c r="AX395" s="173" t="s">
        <v>725</v>
      </c>
      <c r="AY395" s="173" t="s">
        <v>725</v>
      </c>
      <c r="AZ395" s="173" t="s">
        <v>725</v>
      </c>
      <c r="BA395" s="173" t="s">
        <v>725</v>
      </c>
      <c r="BB395" s="173" t="s">
        <v>725</v>
      </c>
      <c r="BC395" s="173" t="s">
        <v>725</v>
      </c>
      <c r="BD395" s="173" t="s">
        <v>725</v>
      </c>
      <c r="BE395" s="173" t="s">
        <v>725</v>
      </c>
      <c r="BF395" s="173" t="s">
        <v>725</v>
      </c>
      <c r="BG395" s="173" t="s">
        <v>725</v>
      </c>
      <c r="BH395" s="173" t="s">
        <v>725</v>
      </c>
      <c r="BI395" s="173" t="s">
        <v>725</v>
      </c>
      <c r="BJ395" s="173" t="s">
        <v>725</v>
      </c>
      <c r="BK395" s="173" t="s">
        <v>725</v>
      </c>
      <c r="BL395" s="173" t="s">
        <v>725</v>
      </c>
      <c r="BM395" s="173" t="s">
        <v>725</v>
      </c>
      <c r="BN395" s="173" t="s">
        <v>725</v>
      </c>
      <c r="BO395" s="173" t="s">
        <v>725</v>
      </c>
      <c r="BP395" s="173" t="s">
        <v>725</v>
      </c>
      <c r="BQ395" s="173" t="s">
        <v>725</v>
      </c>
      <c r="BR395" s="174"/>
      <c r="BS395" s="161" t="str">
        <v>#VALUE!</v>
      </c>
    </row>
    <row customHeight="true" ht="18.51851851851852" r="396">
      <c r="A396" s="161" t="s">
        <v>721</v>
      </c>
      <c r="B396" s="161" t="s">
        <v>730</v>
      </c>
      <c r="C396" s="183" t="s">
        <v>865</v>
      </c>
      <c r="D396" s="189" t="s">
        <v>868</v>
      </c>
      <c r="E396" s="186">
        <v>15.2</v>
      </c>
      <c r="F396" s="163">
        <v>21.99</v>
      </c>
      <c r="G396" s="164">
        <f t="shared" si="18"/>
      </c>
      <c r="H396" s="164">
        <f t="shared" si="82"/>
      </c>
      <c r="I396" s="164">
        <f t="shared" si="144"/>
      </c>
      <c r="J396" s="165">
        <f t="shared" si="225"/>
      </c>
      <c r="K396" s="166">
        <f t="shared" si="278"/>
      </c>
      <c r="L396" s="167">
        <f t="shared" si="349"/>
      </c>
      <c r="M396" s="164">
        <f t="shared" si="394"/>
      </c>
      <c r="N396" s="166">
        <f t="shared" si="446"/>
      </c>
      <c r="O396" s="166">
        <f t="shared" si="469"/>
      </c>
      <c r="P396" s="161">
        <v>20</v>
      </c>
      <c r="Q396" s="168">
        <v>9</v>
      </c>
      <c r="R396" s="169">
        <f t="shared" si="38"/>
      </c>
      <c r="S396" s="165">
        <f t="shared" si="535"/>
      </c>
      <c r="T396" s="169">
        <f t="shared" si="163"/>
      </c>
      <c r="U396" s="169">
        <v>0.01</v>
      </c>
      <c r="V396" s="169">
        <f t="shared" si="300"/>
      </c>
      <c r="W396" s="169">
        <f t="shared" si="371"/>
      </c>
      <c r="X396" s="170">
        <v>0.158</v>
      </c>
      <c r="Y396" s="171">
        <v>3.5</v>
      </c>
      <c r="Z396" s="171">
        <f>F396*0.15</f>
      </c>
      <c r="AA396" s="171">
        <f t="shared" si="491"/>
      </c>
      <c r="AB396" s="166">
        <f t="shared" si="513"/>
      </c>
      <c r="AC396" s="166">
        <v>40</v>
      </c>
      <c r="AD396" s="172">
        <f t="shared" si="60"/>
      </c>
      <c r="AE396" s="168">
        <f t="shared" si="117"/>
      </c>
      <c r="AF396" s="169">
        <f t="shared" si="185"/>
      </c>
      <c r="AG396" s="169">
        <f t="shared" si="327"/>
      </c>
      <c r="AH396" s="168">
        <v>6</v>
      </c>
      <c r="AI396" s="169">
        <f t="shared" si="203"/>
      </c>
      <c r="AJ396" s="169"/>
      <c r="AK396" s="169"/>
      <c r="AL396" s="169"/>
      <c r="AM396" s="169"/>
      <c r="AN396" s="173"/>
      <c r="AO396" s="173"/>
      <c r="AP396" s="173"/>
      <c r="AQ396" s="173"/>
      <c r="AR396" s="173"/>
      <c r="AS396" s="173"/>
      <c r="AT396" s="173" t="s">
        <v>725</v>
      </c>
      <c r="AU396" s="173" t="s">
        <v>725</v>
      </c>
      <c r="AV396" s="173" t="s">
        <v>725</v>
      </c>
      <c r="AW396" s="173" t="s">
        <v>725</v>
      </c>
      <c r="AX396" s="173" t="s">
        <v>725</v>
      </c>
      <c r="AY396" s="173" t="s">
        <v>725</v>
      </c>
      <c r="AZ396" s="173" t="s">
        <v>725</v>
      </c>
      <c r="BA396" s="173" t="s">
        <v>725</v>
      </c>
      <c r="BB396" s="173" t="s">
        <v>725</v>
      </c>
      <c r="BC396" s="173" t="s">
        <v>725</v>
      </c>
      <c r="BD396" s="173" t="s">
        <v>725</v>
      </c>
      <c r="BE396" s="173" t="s">
        <v>725</v>
      </c>
      <c r="BF396" s="173" t="s">
        <v>725</v>
      </c>
      <c r="BG396" s="173" t="s">
        <v>725</v>
      </c>
      <c r="BH396" s="173" t="s">
        <v>725</v>
      </c>
      <c r="BI396" s="173" t="s">
        <v>725</v>
      </c>
      <c r="BJ396" s="173" t="s">
        <v>725</v>
      </c>
      <c r="BK396" s="173" t="s">
        <v>725</v>
      </c>
      <c r="BL396" s="173" t="s">
        <v>725</v>
      </c>
      <c r="BM396" s="173" t="s">
        <v>725</v>
      </c>
      <c r="BN396" s="173" t="s">
        <v>725</v>
      </c>
      <c r="BO396" s="173" t="s">
        <v>725</v>
      </c>
      <c r="BP396" s="173" t="s">
        <v>725</v>
      </c>
      <c r="BQ396" s="173" t="s">
        <v>725</v>
      </c>
      <c r="BR396" s="174"/>
      <c r="BS396" s="161" t="str">
        <v>#VALUE!</v>
      </c>
    </row>
    <row customHeight="true" ht="18.51851851851852" r="397">
      <c r="A397" s="161" t="s">
        <v>729</v>
      </c>
      <c r="B397" s="161" t="s">
        <v>730</v>
      </c>
      <c r="C397" s="183" t="s">
        <v>865</v>
      </c>
      <c r="D397" s="189" t="s">
        <v>866</v>
      </c>
      <c r="E397" s="186">
        <v>17.2</v>
      </c>
      <c r="F397" s="163">
        <v>24.99</v>
      </c>
      <c r="G397" s="164">
        <f t="shared" si="18"/>
      </c>
      <c r="H397" s="164">
        <f t="shared" si="82"/>
      </c>
      <c r="I397" s="164">
        <f t="shared" si="144"/>
      </c>
      <c r="J397" s="165">
        <f t="shared" si="225"/>
      </c>
      <c r="K397" s="166">
        <f t="shared" si="278"/>
      </c>
      <c r="L397" s="167">
        <f t="shared" si="349"/>
      </c>
      <c r="M397" s="164">
        <f t="shared" si="394"/>
      </c>
      <c r="N397" s="166">
        <f>AD397+AH398</f>
      </c>
      <c r="O397" s="166">
        <f t="shared" si="469"/>
      </c>
      <c r="P397" s="161">
        <v>20</v>
      </c>
      <c r="Q397" s="168">
        <v>8</v>
      </c>
      <c r="R397" s="169">
        <f t="shared" si="38"/>
      </c>
      <c r="S397" s="165">
        <f t="shared" si="535"/>
      </c>
      <c r="T397" s="169">
        <f t="shared" si="163"/>
      </c>
      <c r="U397" s="169">
        <v>0.01</v>
      </c>
      <c r="V397" s="169">
        <f t="shared" si="300"/>
      </c>
      <c r="W397" s="169">
        <f t="shared" si="371"/>
      </c>
      <c r="X397" s="170">
        <v>0.1695</v>
      </c>
      <c r="Y397" s="171">
        <v>3.5</v>
      </c>
      <c r="Z397" s="171">
        <v>0</v>
      </c>
      <c r="AA397" s="171">
        <f t="shared" si="491"/>
      </c>
      <c r="AB397" s="166">
        <f t="shared" si="513"/>
      </c>
      <c r="AC397" s="166">
        <v>40</v>
      </c>
      <c r="AD397" s="172">
        <f t="shared" si="60"/>
      </c>
      <c r="AE397" s="168">
        <f>AH398/Q397</f>
      </c>
      <c r="AF397" s="169">
        <f t="shared" si="185"/>
      </c>
      <c r="AG397" s="169">
        <f t="shared" si="327"/>
      </c>
      <c r="AH397" s="168">
        <v>6</v>
      </c>
      <c r="AI397" s="169">
        <f t="shared" si="203"/>
      </c>
      <c r="AJ397" s="169"/>
      <c r="AK397" s="169"/>
      <c r="AL397" s="169"/>
      <c r="AM397" s="169"/>
      <c r="AN397" s="173"/>
      <c r="AO397" s="173"/>
      <c r="AP397" s="173"/>
      <c r="AQ397" s="173"/>
      <c r="AR397" s="173"/>
      <c r="AS397" s="173"/>
      <c r="AT397" s="173" t="s">
        <v>725</v>
      </c>
      <c r="AU397" s="173" t="s">
        <v>725</v>
      </c>
      <c r="AV397" s="173" t="s">
        <v>725</v>
      </c>
      <c r="AW397" s="173" t="s">
        <v>725</v>
      </c>
      <c r="AX397" s="173" t="s">
        <v>725</v>
      </c>
      <c r="AY397" s="173" t="s">
        <v>725</v>
      </c>
      <c r="AZ397" s="173" t="s">
        <v>725</v>
      </c>
      <c r="BA397" s="173" t="s">
        <v>725</v>
      </c>
      <c r="BB397" s="173" t="s">
        <v>725</v>
      </c>
      <c r="BC397" s="173" t="s">
        <v>725</v>
      </c>
      <c r="BD397" s="173" t="s">
        <v>725</v>
      </c>
      <c r="BE397" s="173" t="s">
        <v>725</v>
      </c>
      <c r="BF397" s="173" t="s">
        <v>725</v>
      </c>
      <c r="BG397" s="173" t="s">
        <v>725</v>
      </c>
      <c r="BH397" s="173" t="s">
        <v>725</v>
      </c>
      <c r="BI397" s="173" t="s">
        <v>725</v>
      </c>
      <c r="BJ397" s="173" t="s">
        <v>725</v>
      </c>
      <c r="BK397" s="173" t="s">
        <v>725</v>
      </c>
      <c r="BL397" s="173" t="s">
        <v>725</v>
      </c>
      <c r="BM397" s="173" t="s">
        <v>725</v>
      </c>
      <c r="BN397" s="173" t="s">
        <v>725</v>
      </c>
      <c r="BO397" s="173" t="s">
        <v>725</v>
      </c>
      <c r="BP397" s="173" t="s">
        <v>725</v>
      </c>
      <c r="BQ397" s="173" t="s">
        <v>725</v>
      </c>
      <c r="BR397" s="174"/>
      <c r="BS397" s="161" t="str">
        <v>#VALUE!</v>
      </c>
    </row>
    <row customHeight="true" ht="18.51851851851852" r="398">
      <c r="A398" s="161" t="s">
        <v>729</v>
      </c>
      <c r="B398" s="161" t="s">
        <v>730</v>
      </c>
      <c r="C398" s="183" t="s">
        <v>865</v>
      </c>
      <c r="D398" s="189" t="s">
        <v>867</v>
      </c>
      <c r="E398" s="186">
        <v>17.2</v>
      </c>
      <c r="F398" s="163">
        <v>24.99</v>
      </c>
      <c r="G398" s="164">
        <f t="shared" si="18"/>
      </c>
      <c r="H398" s="164">
        <f t="shared" si="82"/>
      </c>
      <c r="I398" s="175">
        <f t="shared" si="144"/>
      </c>
      <c r="J398" s="165">
        <f t="shared" si="225"/>
      </c>
      <c r="K398" s="166">
        <f t="shared" si="278"/>
      </c>
      <c r="L398" s="167">
        <f t="shared" si="349"/>
      </c>
      <c r="M398" s="164">
        <f t="shared" si="394"/>
      </c>
      <c r="N398" s="166">
        <f t="shared" ref="N398:N412" si="447">AD398+AH398</f>
      </c>
      <c r="O398" s="166">
        <f t="shared" si="469"/>
      </c>
      <c r="P398" s="161">
        <v>20</v>
      </c>
      <c r="Q398" s="168">
        <v>8</v>
      </c>
      <c r="R398" s="169">
        <f t="shared" si="38"/>
      </c>
      <c r="S398" s="165">
        <f t="shared" si="535"/>
      </c>
      <c r="T398" s="169">
        <f t="shared" si="163"/>
      </c>
      <c r="U398" s="169">
        <v>0.01</v>
      </c>
      <c r="V398" s="169">
        <f t="shared" si="300"/>
      </c>
      <c r="W398" s="169">
        <f t="shared" si="371"/>
      </c>
      <c r="X398" s="170">
        <v>0.1695</v>
      </c>
      <c r="Y398" s="171">
        <v>3.5</v>
      </c>
      <c r="Z398" s="171">
        <f>F398*0.1</f>
      </c>
      <c r="AA398" s="171">
        <f t="shared" si="491"/>
      </c>
      <c r="AB398" s="166">
        <f t="shared" si="513"/>
      </c>
      <c r="AC398" s="166">
        <v>40</v>
      </c>
      <c r="AD398" s="172">
        <f t="shared" si="60"/>
      </c>
      <c r="AE398" s="168">
        <f t="shared" ref="AE398:AE412" si="118">AH398/Q398</f>
      </c>
      <c r="AF398" s="169">
        <f t="shared" si="185"/>
      </c>
      <c r="AG398" s="169">
        <f t="shared" si="327"/>
      </c>
      <c r="AH398" s="168">
        <v>6</v>
      </c>
      <c r="AI398" s="169">
        <f t="shared" si="203"/>
      </c>
      <c r="AJ398" s="169"/>
      <c r="AK398" s="169"/>
      <c r="AL398" s="169"/>
      <c r="AM398" s="169"/>
      <c r="AN398" s="173"/>
      <c r="AO398" s="173"/>
      <c r="AP398" s="173"/>
      <c r="AQ398" s="173"/>
      <c r="AR398" s="173"/>
      <c r="AS398" s="173"/>
      <c r="AT398" s="173" t="s">
        <v>725</v>
      </c>
      <c r="AU398" s="173" t="s">
        <v>725</v>
      </c>
      <c r="AV398" s="173" t="s">
        <v>725</v>
      </c>
      <c r="AW398" s="173" t="s">
        <v>725</v>
      </c>
      <c r="AX398" s="173" t="s">
        <v>725</v>
      </c>
      <c r="AY398" s="173" t="s">
        <v>725</v>
      </c>
      <c r="AZ398" s="173" t="s">
        <v>725</v>
      </c>
      <c r="BA398" s="173" t="s">
        <v>725</v>
      </c>
      <c r="BB398" s="173" t="s">
        <v>725</v>
      </c>
      <c r="BC398" s="173" t="s">
        <v>725</v>
      </c>
      <c r="BD398" s="173" t="s">
        <v>725</v>
      </c>
      <c r="BE398" s="173" t="s">
        <v>725</v>
      </c>
      <c r="BF398" s="173" t="s">
        <v>725</v>
      </c>
      <c r="BG398" s="173" t="s">
        <v>725</v>
      </c>
      <c r="BH398" s="173" t="s">
        <v>725</v>
      </c>
      <c r="BI398" s="173" t="s">
        <v>725</v>
      </c>
      <c r="BJ398" s="173" t="s">
        <v>725</v>
      </c>
      <c r="BK398" s="173" t="s">
        <v>725</v>
      </c>
      <c r="BL398" s="173" t="s">
        <v>725</v>
      </c>
      <c r="BM398" s="173" t="s">
        <v>725</v>
      </c>
      <c r="BN398" s="173" t="s">
        <v>725</v>
      </c>
      <c r="BO398" s="173" t="s">
        <v>725</v>
      </c>
      <c r="BP398" s="173" t="s">
        <v>725</v>
      </c>
      <c r="BQ398" s="173" t="s">
        <v>725</v>
      </c>
      <c r="BR398" s="174"/>
      <c r="BS398" s="161" t="str">
        <v>#VALUE!</v>
      </c>
    </row>
    <row customHeight="true" ht="18.51851851851852" r="399">
      <c r="A399" s="161" t="s">
        <v>729</v>
      </c>
      <c r="B399" s="161" t="s">
        <v>730</v>
      </c>
      <c r="C399" s="183" t="s">
        <v>865</v>
      </c>
      <c r="D399" s="189" t="s">
        <v>868</v>
      </c>
      <c r="E399" s="186">
        <v>17.2</v>
      </c>
      <c r="F399" s="163">
        <v>24.99</v>
      </c>
      <c r="G399" s="164">
        <f t="shared" si="18"/>
      </c>
      <c r="H399" s="164">
        <f t="shared" si="82"/>
      </c>
      <c r="I399" s="164">
        <f t="shared" si="144"/>
      </c>
      <c r="J399" s="165">
        <f t="shared" si="225"/>
      </c>
      <c r="K399" s="166">
        <f t="shared" si="278"/>
      </c>
      <c r="L399" s="167">
        <f t="shared" si="349"/>
      </c>
      <c r="M399" s="164">
        <f t="shared" si="394"/>
      </c>
      <c r="N399" s="166">
        <f t="shared" si="447"/>
      </c>
      <c r="O399" s="166">
        <f t="shared" si="469"/>
      </c>
      <c r="P399" s="161">
        <v>20</v>
      </c>
      <c r="Q399" s="168">
        <v>8</v>
      </c>
      <c r="R399" s="169">
        <f t="shared" si="38"/>
      </c>
      <c r="S399" s="165">
        <f t="shared" si="535"/>
      </c>
      <c r="T399" s="169">
        <f t="shared" si="163"/>
      </c>
      <c r="U399" s="169">
        <v>0.01</v>
      </c>
      <c r="V399" s="169">
        <f t="shared" si="300"/>
      </c>
      <c r="W399" s="169">
        <f t="shared" si="371"/>
      </c>
      <c r="X399" s="170">
        <v>0.1695</v>
      </c>
      <c r="Y399" s="171">
        <v>3.5</v>
      </c>
      <c r="Z399" s="171">
        <f>F399*0.15</f>
      </c>
      <c r="AA399" s="171">
        <f t="shared" si="491"/>
      </c>
      <c r="AB399" s="166">
        <f t="shared" si="513"/>
      </c>
      <c r="AC399" s="166">
        <v>40</v>
      </c>
      <c r="AD399" s="172">
        <f t="shared" si="60"/>
      </c>
      <c r="AE399" s="168">
        <f t="shared" si="118"/>
      </c>
      <c r="AF399" s="169">
        <f t="shared" si="185"/>
      </c>
      <c r="AG399" s="169">
        <f t="shared" si="327"/>
      </c>
      <c r="AH399" s="168">
        <v>6</v>
      </c>
      <c r="AI399" s="169">
        <f t="shared" si="203"/>
      </c>
      <c r="AJ399" s="169"/>
      <c r="AK399" s="169"/>
      <c r="AL399" s="169"/>
      <c r="AM399" s="169"/>
      <c r="AN399" s="173"/>
      <c r="AO399" s="173"/>
      <c r="AP399" s="173"/>
      <c r="AQ399" s="173"/>
      <c r="AR399" s="173"/>
      <c r="AS399" s="173"/>
      <c r="AT399" s="173" t="s">
        <v>725</v>
      </c>
      <c r="AU399" s="173" t="s">
        <v>725</v>
      </c>
      <c r="AV399" s="173" t="s">
        <v>725</v>
      </c>
      <c r="AW399" s="173" t="s">
        <v>725</v>
      </c>
      <c r="AX399" s="173" t="s">
        <v>725</v>
      </c>
      <c r="AY399" s="173" t="s">
        <v>725</v>
      </c>
      <c r="AZ399" s="173" t="s">
        <v>725</v>
      </c>
      <c r="BA399" s="173" t="s">
        <v>725</v>
      </c>
      <c r="BB399" s="173" t="s">
        <v>725</v>
      </c>
      <c r="BC399" s="173" t="s">
        <v>725</v>
      </c>
      <c r="BD399" s="173" t="s">
        <v>725</v>
      </c>
      <c r="BE399" s="173" t="s">
        <v>725</v>
      </c>
      <c r="BF399" s="173" t="s">
        <v>725</v>
      </c>
      <c r="BG399" s="173" t="s">
        <v>725</v>
      </c>
      <c r="BH399" s="173" t="s">
        <v>725</v>
      </c>
      <c r="BI399" s="173" t="s">
        <v>725</v>
      </c>
      <c r="BJ399" s="173" t="s">
        <v>725</v>
      </c>
      <c r="BK399" s="173" t="s">
        <v>725</v>
      </c>
      <c r="BL399" s="173" t="s">
        <v>725</v>
      </c>
      <c r="BM399" s="173" t="s">
        <v>725</v>
      </c>
      <c r="BN399" s="173" t="s">
        <v>725</v>
      </c>
      <c r="BO399" s="173" t="s">
        <v>725</v>
      </c>
      <c r="BP399" s="173" t="s">
        <v>725</v>
      </c>
      <c r="BQ399" s="173" t="s">
        <v>725</v>
      </c>
      <c r="BR399" s="174"/>
      <c r="BS399" s="161" t="str">
        <v>#VALUE!</v>
      </c>
    </row>
    <row customHeight="true" ht="18.51851851851852" r="400">
      <c r="A400" s="161" t="s">
        <v>732</v>
      </c>
      <c r="B400" s="161" t="s">
        <v>730</v>
      </c>
      <c r="C400" s="183" t="s">
        <v>865</v>
      </c>
      <c r="D400" s="189" t="s">
        <v>866</v>
      </c>
      <c r="E400" s="186">
        <v>17.2</v>
      </c>
      <c r="F400" s="163">
        <v>24.99</v>
      </c>
      <c r="G400" s="164">
        <f t="shared" si="18"/>
      </c>
      <c r="H400" s="164">
        <f t="shared" si="82"/>
      </c>
      <c r="I400" s="164">
        <f t="shared" si="144"/>
      </c>
      <c r="J400" s="165">
        <f t="shared" si="225"/>
      </c>
      <c r="K400" s="166">
        <f t="shared" si="278"/>
      </c>
      <c r="L400" s="167">
        <f t="shared" si="349"/>
      </c>
      <c r="M400" s="164">
        <f t="shared" si="394"/>
      </c>
      <c r="N400" s="166">
        <f t="shared" si="447"/>
      </c>
      <c r="O400" s="166">
        <f t="shared" si="469"/>
      </c>
      <c r="P400" s="161">
        <v>20</v>
      </c>
      <c r="Q400" s="168">
        <v>8</v>
      </c>
      <c r="R400" s="169">
        <f t="shared" si="38"/>
      </c>
      <c r="S400" s="165">
        <f t="shared" si="535"/>
      </c>
      <c r="T400" s="169">
        <f t="shared" si="163"/>
      </c>
      <c r="U400" s="169">
        <v>0.01</v>
      </c>
      <c r="V400" s="169">
        <f t="shared" si="300"/>
      </c>
      <c r="W400" s="169">
        <f t="shared" si="371"/>
      </c>
      <c r="X400" s="170">
        <v>0.198</v>
      </c>
      <c r="Y400" s="171">
        <v>3.5</v>
      </c>
      <c r="Z400" s="171">
        <v>0</v>
      </c>
      <c r="AA400" s="171">
        <f t="shared" si="491"/>
      </c>
      <c r="AB400" s="166">
        <f t="shared" si="513"/>
      </c>
      <c r="AC400" s="166">
        <v>40</v>
      </c>
      <c r="AD400" s="172">
        <f t="shared" si="60"/>
      </c>
      <c r="AE400" s="168">
        <f t="shared" si="118"/>
      </c>
      <c r="AF400" s="169">
        <f t="shared" si="185"/>
      </c>
      <c r="AG400" s="169">
        <f t="shared" si="327"/>
      </c>
      <c r="AH400" s="168">
        <v>6</v>
      </c>
      <c r="AI400" s="169">
        <f t="shared" si="203"/>
      </c>
      <c r="AJ400" s="169"/>
      <c r="AK400" s="169"/>
      <c r="AL400" s="169"/>
      <c r="AM400" s="169"/>
      <c r="AN400" s="173"/>
      <c r="AO400" s="173"/>
      <c r="AP400" s="173"/>
      <c r="AQ400" s="173"/>
      <c r="AR400" s="173"/>
      <c r="AS400" s="173"/>
      <c r="AT400" s="173" t="s">
        <v>725</v>
      </c>
      <c r="AU400" s="173" t="s">
        <v>725</v>
      </c>
      <c r="AV400" s="173" t="s">
        <v>725</v>
      </c>
      <c r="AW400" s="173" t="s">
        <v>725</v>
      </c>
      <c r="AX400" s="173" t="s">
        <v>725</v>
      </c>
      <c r="AY400" s="173" t="s">
        <v>725</v>
      </c>
      <c r="AZ400" s="173" t="s">
        <v>725</v>
      </c>
      <c r="BA400" s="173" t="s">
        <v>725</v>
      </c>
      <c r="BB400" s="173" t="s">
        <v>725</v>
      </c>
      <c r="BC400" s="173" t="s">
        <v>725</v>
      </c>
      <c r="BD400" s="173" t="s">
        <v>725</v>
      </c>
      <c r="BE400" s="173" t="s">
        <v>725</v>
      </c>
      <c r="BF400" s="173" t="s">
        <v>725</v>
      </c>
      <c r="BG400" s="173" t="s">
        <v>725</v>
      </c>
      <c r="BH400" s="173" t="s">
        <v>725</v>
      </c>
      <c r="BI400" s="173" t="s">
        <v>725</v>
      </c>
      <c r="BJ400" s="173" t="s">
        <v>725</v>
      </c>
      <c r="BK400" s="173" t="s">
        <v>725</v>
      </c>
      <c r="BL400" s="173" t="s">
        <v>725</v>
      </c>
      <c r="BM400" s="173" t="s">
        <v>725</v>
      </c>
      <c r="BN400" s="173" t="s">
        <v>725</v>
      </c>
      <c r="BO400" s="173" t="s">
        <v>725</v>
      </c>
      <c r="BP400" s="173" t="s">
        <v>725</v>
      </c>
      <c r="BQ400" s="173" t="s">
        <v>725</v>
      </c>
      <c r="BR400" s="174"/>
      <c r="BS400" s="161" t="str">
        <v>#VALUE!</v>
      </c>
    </row>
    <row customHeight="true" ht="18.51851851851852" r="401">
      <c r="A401" s="161" t="s">
        <v>732</v>
      </c>
      <c r="B401" s="161" t="s">
        <v>730</v>
      </c>
      <c r="C401" s="183" t="s">
        <v>865</v>
      </c>
      <c r="D401" s="189" t="s">
        <v>867</v>
      </c>
      <c r="E401" s="186">
        <v>17.2</v>
      </c>
      <c r="F401" s="163">
        <v>24.99</v>
      </c>
      <c r="G401" s="164">
        <f t="shared" si="18"/>
      </c>
      <c r="H401" s="164">
        <f t="shared" si="82"/>
      </c>
      <c r="I401" s="175">
        <f t="shared" si="144"/>
      </c>
      <c r="J401" s="165">
        <f t="shared" si="225"/>
      </c>
      <c r="K401" s="166">
        <f t="shared" si="278"/>
      </c>
      <c r="L401" s="167">
        <f t="shared" si="349"/>
      </c>
      <c r="M401" s="164">
        <f t="shared" si="394"/>
      </c>
      <c r="N401" s="166">
        <f t="shared" si="447"/>
      </c>
      <c r="O401" s="166">
        <f t="shared" si="469"/>
      </c>
      <c r="P401" s="161">
        <v>20</v>
      </c>
      <c r="Q401" s="168">
        <v>8</v>
      </c>
      <c r="R401" s="169">
        <f t="shared" si="38"/>
      </c>
      <c r="S401" s="165">
        <f t="shared" si="535"/>
      </c>
      <c r="T401" s="169">
        <f t="shared" si="163"/>
      </c>
      <c r="U401" s="169">
        <v>0.01</v>
      </c>
      <c r="V401" s="169">
        <f t="shared" si="300"/>
      </c>
      <c r="W401" s="169">
        <f t="shared" si="371"/>
      </c>
      <c r="X401" s="170">
        <v>0.198</v>
      </c>
      <c r="Y401" s="171">
        <v>3.5</v>
      </c>
      <c r="Z401" s="171">
        <f>F401*0.1</f>
      </c>
      <c r="AA401" s="171">
        <f t="shared" si="491"/>
      </c>
      <c r="AB401" s="166">
        <f t="shared" si="513"/>
      </c>
      <c r="AC401" s="166">
        <v>40</v>
      </c>
      <c r="AD401" s="172">
        <f t="shared" si="60"/>
      </c>
      <c r="AE401" s="168">
        <f t="shared" si="118"/>
      </c>
      <c r="AF401" s="169">
        <f t="shared" si="185"/>
      </c>
      <c r="AG401" s="169">
        <f t="shared" si="327"/>
      </c>
      <c r="AH401" s="168">
        <v>6</v>
      </c>
      <c r="AI401" s="169">
        <f t="shared" si="203"/>
      </c>
      <c r="AJ401" s="169"/>
      <c r="AK401" s="169"/>
      <c r="AL401" s="169"/>
      <c r="AM401" s="169"/>
      <c r="AN401" s="173"/>
      <c r="AO401" s="173"/>
      <c r="AP401" s="173"/>
      <c r="AQ401" s="173"/>
      <c r="AR401" s="173"/>
      <c r="AS401" s="173"/>
      <c r="AT401" s="173" t="s">
        <v>725</v>
      </c>
      <c r="AU401" s="173" t="s">
        <v>725</v>
      </c>
      <c r="AV401" s="173" t="s">
        <v>725</v>
      </c>
      <c r="AW401" s="173" t="s">
        <v>725</v>
      </c>
      <c r="AX401" s="173" t="s">
        <v>725</v>
      </c>
      <c r="AY401" s="173" t="s">
        <v>725</v>
      </c>
      <c r="AZ401" s="173" t="s">
        <v>725</v>
      </c>
      <c r="BA401" s="173" t="s">
        <v>725</v>
      </c>
      <c r="BB401" s="173" t="s">
        <v>725</v>
      </c>
      <c r="BC401" s="173" t="s">
        <v>725</v>
      </c>
      <c r="BD401" s="173" t="s">
        <v>725</v>
      </c>
      <c r="BE401" s="173" t="s">
        <v>725</v>
      </c>
      <c r="BF401" s="173" t="s">
        <v>725</v>
      </c>
      <c r="BG401" s="173" t="s">
        <v>725</v>
      </c>
      <c r="BH401" s="173" t="s">
        <v>725</v>
      </c>
      <c r="BI401" s="173" t="s">
        <v>725</v>
      </c>
      <c r="BJ401" s="173" t="s">
        <v>725</v>
      </c>
      <c r="BK401" s="173" t="s">
        <v>725</v>
      </c>
      <c r="BL401" s="173" t="s">
        <v>725</v>
      </c>
      <c r="BM401" s="173" t="s">
        <v>725</v>
      </c>
      <c r="BN401" s="173" t="s">
        <v>725</v>
      </c>
      <c r="BO401" s="173" t="s">
        <v>725</v>
      </c>
      <c r="BP401" s="173" t="s">
        <v>725</v>
      </c>
      <c r="BQ401" s="173" t="s">
        <v>725</v>
      </c>
      <c r="BR401" s="174"/>
      <c r="BS401" s="161" t="str">
        <v>#VALUE!</v>
      </c>
    </row>
    <row customHeight="true" ht="18.51851851851852" r="402">
      <c r="A402" s="161" t="s">
        <v>732</v>
      </c>
      <c r="B402" s="161" t="s">
        <v>730</v>
      </c>
      <c r="C402" s="183" t="s">
        <v>865</v>
      </c>
      <c r="D402" s="189" t="s">
        <v>868</v>
      </c>
      <c r="E402" s="186">
        <v>17.2</v>
      </c>
      <c r="F402" s="163">
        <v>24.99</v>
      </c>
      <c r="G402" s="164">
        <f t="shared" si="18"/>
      </c>
      <c r="H402" s="164">
        <f t="shared" si="82"/>
      </c>
      <c r="I402" s="164">
        <f t="shared" si="144"/>
      </c>
      <c r="J402" s="165">
        <f t="shared" si="225"/>
      </c>
      <c r="K402" s="166">
        <f t="shared" si="278"/>
      </c>
      <c r="L402" s="167">
        <f t="shared" si="349"/>
      </c>
      <c r="M402" s="164">
        <f t="shared" si="394"/>
      </c>
      <c r="N402" s="166">
        <f t="shared" si="447"/>
      </c>
      <c r="O402" s="166">
        <f t="shared" si="469"/>
      </c>
      <c r="P402" s="161">
        <v>20</v>
      </c>
      <c r="Q402" s="168">
        <v>8</v>
      </c>
      <c r="R402" s="169">
        <f t="shared" si="38"/>
      </c>
      <c r="S402" s="165">
        <f t="shared" si="535"/>
      </c>
      <c r="T402" s="169">
        <f t="shared" si="163"/>
      </c>
      <c r="U402" s="169">
        <v>0.01</v>
      </c>
      <c r="V402" s="169">
        <f t="shared" si="300"/>
      </c>
      <c r="W402" s="169">
        <f t="shared" si="371"/>
      </c>
      <c r="X402" s="170">
        <v>0.198</v>
      </c>
      <c r="Y402" s="171">
        <v>3.5</v>
      </c>
      <c r="Z402" s="171">
        <f>F402*0.15</f>
      </c>
      <c r="AA402" s="171">
        <f t="shared" si="491"/>
      </c>
      <c r="AB402" s="166">
        <f t="shared" si="513"/>
      </c>
      <c r="AC402" s="166">
        <v>40</v>
      </c>
      <c r="AD402" s="172">
        <f t="shared" si="60"/>
      </c>
      <c r="AE402" s="168">
        <f t="shared" si="118"/>
      </c>
      <c r="AF402" s="169">
        <f t="shared" si="185"/>
      </c>
      <c r="AG402" s="169">
        <f t="shared" si="327"/>
      </c>
      <c r="AH402" s="168">
        <v>6</v>
      </c>
      <c r="AI402" s="169">
        <f t="shared" si="203"/>
      </c>
      <c r="AJ402" s="169"/>
      <c r="AK402" s="169"/>
      <c r="AL402" s="169"/>
      <c r="AM402" s="169"/>
      <c r="AN402" s="173"/>
      <c r="AO402" s="173"/>
      <c r="AP402" s="173"/>
      <c r="AQ402" s="173"/>
      <c r="AR402" s="173"/>
      <c r="AS402" s="173"/>
      <c r="AT402" s="173" t="s">
        <v>725</v>
      </c>
      <c r="AU402" s="173" t="s">
        <v>725</v>
      </c>
      <c r="AV402" s="173" t="s">
        <v>725</v>
      </c>
      <c r="AW402" s="173" t="s">
        <v>725</v>
      </c>
      <c r="AX402" s="173" t="s">
        <v>725</v>
      </c>
      <c r="AY402" s="173" t="s">
        <v>725</v>
      </c>
      <c r="AZ402" s="173" t="s">
        <v>725</v>
      </c>
      <c r="BA402" s="173" t="s">
        <v>725</v>
      </c>
      <c r="BB402" s="173" t="s">
        <v>725</v>
      </c>
      <c r="BC402" s="173" t="s">
        <v>725</v>
      </c>
      <c r="BD402" s="173" t="s">
        <v>725</v>
      </c>
      <c r="BE402" s="173" t="s">
        <v>725</v>
      </c>
      <c r="BF402" s="173" t="s">
        <v>725</v>
      </c>
      <c r="BG402" s="173" t="s">
        <v>725</v>
      </c>
      <c r="BH402" s="173" t="s">
        <v>725</v>
      </c>
      <c r="BI402" s="173" t="s">
        <v>725</v>
      </c>
      <c r="BJ402" s="173" t="s">
        <v>725</v>
      </c>
      <c r="BK402" s="173" t="s">
        <v>725</v>
      </c>
      <c r="BL402" s="173" t="s">
        <v>725</v>
      </c>
      <c r="BM402" s="173" t="s">
        <v>725</v>
      </c>
      <c r="BN402" s="173" t="s">
        <v>725</v>
      </c>
      <c r="BO402" s="173" t="s">
        <v>725</v>
      </c>
      <c r="BP402" s="173" t="s">
        <v>725</v>
      </c>
      <c r="BQ402" s="173" t="s">
        <v>725</v>
      </c>
      <c r="BR402" s="174"/>
      <c r="BS402" s="161" t="str">
        <v>#VALUE!</v>
      </c>
    </row>
    <row customHeight="true" ht="18.51851851851852" r="403">
      <c r="A403" s="161" t="s">
        <v>733</v>
      </c>
      <c r="B403" s="161" t="s">
        <v>730</v>
      </c>
      <c r="C403" s="183" t="s">
        <v>865</v>
      </c>
      <c r="D403" s="189" t="s">
        <v>866</v>
      </c>
      <c r="E403" s="186">
        <v>17.2</v>
      </c>
      <c r="F403" s="163">
        <v>24.99</v>
      </c>
      <c r="G403" s="164">
        <f t="shared" si="18"/>
      </c>
      <c r="H403" s="164">
        <f t="shared" si="82"/>
      </c>
      <c r="I403" s="164">
        <f t="shared" si="144"/>
      </c>
      <c r="J403" s="165">
        <f t="shared" si="225"/>
      </c>
      <c r="K403" s="166">
        <f t="shared" si="278"/>
      </c>
      <c r="L403" s="167">
        <f t="shared" si="349"/>
      </c>
      <c r="M403" s="164">
        <f t="shared" si="394"/>
      </c>
      <c r="N403" s="166">
        <f t="shared" si="447"/>
      </c>
      <c r="O403" s="166">
        <f t="shared" si="469"/>
      </c>
      <c r="P403" s="161">
        <v>20</v>
      </c>
      <c r="Q403" s="168">
        <v>8</v>
      </c>
      <c r="R403" s="169">
        <f t="shared" si="38"/>
      </c>
      <c r="S403" s="165">
        <f t="shared" si="535"/>
      </c>
      <c r="T403" s="169">
        <f t="shared" si="163"/>
      </c>
      <c r="U403" s="169">
        <v>0.01</v>
      </c>
      <c r="V403" s="169">
        <f t="shared" si="300"/>
      </c>
      <c r="W403" s="169">
        <f t="shared" si="371"/>
      </c>
      <c r="X403" s="170">
        <v>0.1846</v>
      </c>
      <c r="Y403" s="171">
        <v>3.5</v>
      </c>
      <c r="Z403" s="171">
        <v>0</v>
      </c>
      <c r="AA403" s="171">
        <f t="shared" si="491"/>
      </c>
      <c r="AB403" s="166">
        <f t="shared" si="513"/>
      </c>
      <c r="AC403" s="166">
        <v>40</v>
      </c>
      <c r="AD403" s="172">
        <f t="shared" si="60"/>
      </c>
      <c r="AE403" s="168">
        <f t="shared" si="118"/>
      </c>
      <c r="AF403" s="169">
        <f t="shared" si="185"/>
      </c>
      <c r="AG403" s="169">
        <f t="shared" si="327"/>
      </c>
      <c r="AH403" s="168">
        <v>6</v>
      </c>
      <c r="AI403" s="165">
        <f t="shared" si="203"/>
      </c>
      <c r="AJ403" s="165"/>
      <c r="AK403" s="165"/>
      <c r="AL403" s="165"/>
      <c r="AM403" s="165"/>
      <c r="AN403" s="173"/>
      <c r="AO403" s="173"/>
      <c r="AP403" s="173"/>
      <c r="AQ403" s="173"/>
      <c r="AR403" s="173"/>
      <c r="AS403" s="173"/>
      <c r="AT403" s="173" t="s">
        <v>725</v>
      </c>
      <c r="AU403" s="173" t="s">
        <v>725</v>
      </c>
      <c r="AV403" s="173" t="s">
        <v>725</v>
      </c>
      <c r="AW403" s="173" t="s">
        <v>725</v>
      </c>
      <c r="AX403" s="173" t="s">
        <v>725</v>
      </c>
      <c r="AY403" s="173" t="s">
        <v>725</v>
      </c>
      <c r="AZ403" s="173" t="s">
        <v>725</v>
      </c>
      <c r="BA403" s="173" t="s">
        <v>725</v>
      </c>
      <c r="BB403" s="173" t="s">
        <v>725</v>
      </c>
      <c r="BC403" s="173" t="s">
        <v>725</v>
      </c>
      <c r="BD403" s="173" t="s">
        <v>725</v>
      </c>
      <c r="BE403" s="173" t="s">
        <v>725</v>
      </c>
      <c r="BF403" s="173" t="s">
        <v>725</v>
      </c>
      <c r="BG403" s="173" t="s">
        <v>725</v>
      </c>
      <c r="BH403" s="173" t="s">
        <v>725</v>
      </c>
      <c r="BI403" s="173" t="s">
        <v>725</v>
      </c>
      <c r="BJ403" s="173" t="s">
        <v>725</v>
      </c>
      <c r="BK403" s="173" t="s">
        <v>725</v>
      </c>
      <c r="BL403" s="173" t="s">
        <v>725</v>
      </c>
      <c r="BM403" s="173" t="s">
        <v>725</v>
      </c>
      <c r="BN403" s="173" t="s">
        <v>725</v>
      </c>
      <c r="BO403" s="173" t="s">
        <v>725</v>
      </c>
      <c r="BP403" s="173" t="s">
        <v>725</v>
      </c>
      <c r="BQ403" s="173" t="s">
        <v>725</v>
      </c>
      <c r="BR403" s="174"/>
      <c r="BS403" s="161" t="str">
        <v>#VALUE!</v>
      </c>
    </row>
    <row customHeight="true" ht="18.51851851851852" r="404">
      <c r="A404" s="161" t="s">
        <v>733</v>
      </c>
      <c r="B404" s="161" t="s">
        <v>730</v>
      </c>
      <c r="C404" s="183" t="s">
        <v>865</v>
      </c>
      <c r="D404" s="189" t="s">
        <v>867</v>
      </c>
      <c r="E404" s="186">
        <v>17.2</v>
      </c>
      <c r="F404" s="163">
        <v>24.99</v>
      </c>
      <c r="G404" s="164">
        <f t="shared" si="18"/>
      </c>
      <c r="H404" s="164">
        <f t="shared" si="82"/>
      </c>
      <c r="I404" s="175">
        <f t="shared" si="144"/>
      </c>
      <c r="J404" s="165">
        <f t="shared" si="225"/>
      </c>
      <c r="K404" s="166">
        <f t="shared" si="278"/>
      </c>
      <c r="L404" s="167">
        <f t="shared" si="349"/>
      </c>
      <c r="M404" s="164">
        <f t="shared" si="394"/>
      </c>
      <c r="N404" s="166">
        <f t="shared" si="447"/>
      </c>
      <c r="O404" s="166">
        <f t="shared" si="469"/>
      </c>
      <c r="P404" s="161">
        <v>20</v>
      </c>
      <c r="Q404" s="168">
        <v>8</v>
      </c>
      <c r="R404" s="169">
        <f t="shared" si="38"/>
      </c>
      <c r="S404" s="165">
        <f t="shared" si="535"/>
      </c>
      <c r="T404" s="169">
        <f t="shared" si="163"/>
      </c>
      <c r="U404" s="169">
        <v>0.01</v>
      </c>
      <c r="V404" s="169">
        <f t="shared" si="300"/>
      </c>
      <c r="W404" s="169">
        <f t="shared" si="371"/>
      </c>
      <c r="X404" s="170">
        <v>0.1846</v>
      </c>
      <c r="Y404" s="171">
        <v>3.5</v>
      </c>
      <c r="Z404" s="171">
        <f>F404*0.1</f>
      </c>
      <c r="AA404" s="171">
        <f t="shared" si="491"/>
      </c>
      <c r="AB404" s="166">
        <f t="shared" si="513"/>
      </c>
      <c r="AC404" s="166">
        <v>40</v>
      </c>
      <c r="AD404" s="172">
        <f t="shared" si="60"/>
      </c>
      <c r="AE404" s="168">
        <f t="shared" si="118"/>
      </c>
      <c r="AF404" s="169">
        <f t="shared" si="185"/>
      </c>
      <c r="AG404" s="169">
        <f t="shared" si="327"/>
      </c>
      <c r="AH404" s="168">
        <v>6</v>
      </c>
      <c r="AI404" s="165">
        <f t="shared" si="203"/>
      </c>
      <c r="AJ404" s="165"/>
      <c r="AK404" s="165"/>
      <c r="AL404" s="165"/>
      <c r="AM404" s="165"/>
      <c r="AN404" s="173"/>
      <c r="AO404" s="173"/>
      <c r="AP404" s="173"/>
      <c r="AQ404" s="173"/>
      <c r="AR404" s="173"/>
      <c r="AS404" s="173"/>
      <c r="AT404" s="173" t="s">
        <v>725</v>
      </c>
      <c r="AU404" s="173" t="s">
        <v>725</v>
      </c>
      <c r="AV404" s="173" t="s">
        <v>725</v>
      </c>
      <c r="AW404" s="173" t="s">
        <v>725</v>
      </c>
      <c r="AX404" s="173" t="s">
        <v>725</v>
      </c>
      <c r="AY404" s="173" t="s">
        <v>725</v>
      </c>
      <c r="AZ404" s="173" t="s">
        <v>725</v>
      </c>
      <c r="BA404" s="173" t="s">
        <v>725</v>
      </c>
      <c r="BB404" s="173" t="s">
        <v>725</v>
      </c>
      <c r="BC404" s="173" t="s">
        <v>725</v>
      </c>
      <c r="BD404" s="173" t="s">
        <v>725</v>
      </c>
      <c r="BE404" s="173" t="s">
        <v>725</v>
      </c>
      <c r="BF404" s="173" t="s">
        <v>725</v>
      </c>
      <c r="BG404" s="173" t="s">
        <v>725</v>
      </c>
      <c r="BH404" s="173" t="s">
        <v>725</v>
      </c>
      <c r="BI404" s="173" t="s">
        <v>725</v>
      </c>
      <c r="BJ404" s="173" t="s">
        <v>725</v>
      </c>
      <c r="BK404" s="173" t="s">
        <v>725</v>
      </c>
      <c r="BL404" s="173" t="s">
        <v>725</v>
      </c>
      <c r="BM404" s="173" t="s">
        <v>725</v>
      </c>
      <c r="BN404" s="173" t="s">
        <v>725</v>
      </c>
      <c r="BO404" s="173" t="s">
        <v>725</v>
      </c>
      <c r="BP404" s="173" t="s">
        <v>725</v>
      </c>
      <c r="BQ404" s="173" t="s">
        <v>725</v>
      </c>
      <c r="BR404" s="174"/>
      <c r="BS404" s="161" t="str">
        <v>#VALUE!</v>
      </c>
    </row>
    <row customHeight="true" ht="18.51851851851852" r="405">
      <c r="A405" s="161" t="s">
        <v>733</v>
      </c>
      <c r="B405" s="161" t="s">
        <v>730</v>
      </c>
      <c r="C405" s="183" t="s">
        <v>865</v>
      </c>
      <c r="D405" s="189" t="s">
        <v>868</v>
      </c>
      <c r="E405" s="186">
        <v>17.2</v>
      </c>
      <c r="F405" s="163">
        <v>24.99</v>
      </c>
      <c r="G405" s="164">
        <f t="shared" si="18"/>
      </c>
      <c r="H405" s="164">
        <f t="shared" si="82"/>
      </c>
      <c r="I405" s="164">
        <f t="shared" si="144"/>
      </c>
      <c r="J405" s="165">
        <f t="shared" si="225"/>
      </c>
      <c r="K405" s="166">
        <f t="shared" si="278"/>
      </c>
      <c r="L405" s="167">
        <f t="shared" si="349"/>
      </c>
      <c r="M405" s="164">
        <f t="shared" si="394"/>
      </c>
      <c r="N405" s="166">
        <f t="shared" si="447"/>
      </c>
      <c r="O405" s="166">
        <f t="shared" si="469"/>
      </c>
      <c r="P405" s="161">
        <v>20</v>
      </c>
      <c r="Q405" s="168">
        <v>8</v>
      </c>
      <c r="R405" s="169">
        <f t="shared" si="38"/>
      </c>
      <c r="S405" s="165">
        <f t="shared" si="535"/>
      </c>
      <c r="T405" s="169">
        <f t="shared" si="163"/>
      </c>
      <c r="U405" s="169">
        <v>0.01</v>
      </c>
      <c r="V405" s="169">
        <f t="shared" si="300"/>
      </c>
      <c r="W405" s="169">
        <f t="shared" si="371"/>
      </c>
      <c r="X405" s="170">
        <v>0.1846</v>
      </c>
      <c r="Y405" s="171">
        <v>3.5</v>
      </c>
      <c r="Z405" s="171">
        <f>F405*0.15</f>
      </c>
      <c r="AA405" s="171">
        <f t="shared" si="491"/>
      </c>
      <c r="AB405" s="166">
        <f t="shared" si="513"/>
      </c>
      <c r="AC405" s="166">
        <v>40</v>
      </c>
      <c r="AD405" s="172">
        <f t="shared" si="60"/>
      </c>
      <c r="AE405" s="168">
        <f t="shared" si="118"/>
      </c>
      <c r="AF405" s="169">
        <f t="shared" si="185"/>
      </c>
      <c r="AG405" s="169">
        <f t="shared" si="327"/>
      </c>
      <c r="AH405" s="168">
        <v>6</v>
      </c>
      <c r="AI405" s="165">
        <f t="shared" si="203"/>
      </c>
      <c r="AJ405" s="165"/>
      <c r="AK405" s="165"/>
      <c r="AL405" s="165"/>
      <c r="AM405" s="165"/>
      <c r="AN405" s="173"/>
      <c r="AO405" s="173"/>
      <c r="AP405" s="173"/>
      <c r="AQ405" s="173"/>
      <c r="AR405" s="173"/>
      <c r="AS405" s="173"/>
      <c r="AT405" s="173" t="s">
        <v>725</v>
      </c>
      <c r="AU405" s="173" t="s">
        <v>725</v>
      </c>
      <c r="AV405" s="173" t="s">
        <v>725</v>
      </c>
      <c r="AW405" s="173" t="s">
        <v>725</v>
      </c>
      <c r="AX405" s="173" t="s">
        <v>725</v>
      </c>
      <c r="AY405" s="173" t="s">
        <v>725</v>
      </c>
      <c r="AZ405" s="173" t="s">
        <v>725</v>
      </c>
      <c r="BA405" s="173" t="s">
        <v>725</v>
      </c>
      <c r="BB405" s="173" t="s">
        <v>725</v>
      </c>
      <c r="BC405" s="173" t="s">
        <v>725</v>
      </c>
      <c r="BD405" s="173" t="s">
        <v>725</v>
      </c>
      <c r="BE405" s="173" t="s">
        <v>725</v>
      </c>
      <c r="BF405" s="173" t="s">
        <v>725</v>
      </c>
      <c r="BG405" s="173" t="s">
        <v>725</v>
      </c>
      <c r="BH405" s="173" t="s">
        <v>725</v>
      </c>
      <c r="BI405" s="173" t="s">
        <v>725</v>
      </c>
      <c r="BJ405" s="173" t="s">
        <v>725</v>
      </c>
      <c r="BK405" s="173" t="s">
        <v>725</v>
      </c>
      <c r="BL405" s="173" t="s">
        <v>725</v>
      </c>
      <c r="BM405" s="173" t="s">
        <v>725</v>
      </c>
      <c r="BN405" s="173" t="s">
        <v>725</v>
      </c>
      <c r="BO405" s="173" t="s">
        <v>725</v>
      </c>
      <c r="BP405" s="173" t="s">
        <v>725</v>
      </c>
      <c r="BQ405" s="173" t="s">
        <v>725</v>
      </c>
      <c r="BR405" s="174"/>
      <c r="BS405" s="161" t="str">
        <v>#VALUE!</v>
      </c>
    </row>
    <row customHeight="true" ht="18.51851851851852" r="406">
      <c r="A406" s="161" t="s">
        <v>734</v>
      </c>
      <c r="B406" s="161" t="s">
        <v>730</v>
      </c>
      <c r="C406" s="183" t="s">
        <v>865</v>
      </c>
      <c r="D406" s="189" t="s">
        <v>866</v>
      </c>
      <c r="E406" s="186">
        <v>17.2</v>
      </c>
      <c r="F406" s="163">
        <v>24.99</v>
      </c>
      <c r="G406" s="164">
        <f t="shared" si="18"/>
      </c>
      <c r="H406" s="164">
        <f t="shared" si="82"/>
      </c>
      <c r="I406" s="164">
        <f t="shared" si="144"/>
      </c>
      <c r="J406" s="165">
        <f t="shared" si="225"/>
      </c>
      <c r="K406" s="166">
        <f t="shared" si="278"/>
      </c>
      <c r="L406" s="167">
        <f t="shared" si="349"/>
      </c>
      <c r="M406" s="164">
        <f t="shared" si="394"/>
      </c>
      <c r="N406" s="166">
        <f t="shared" si="447"/>
      </c>
      <c r="O406" s="166">
        <f t="shared" si="469"/>
      </c>
      <c r="P406" s="161">
        <v>20</v>
      </c>
      <c r="Q406" s="168">
        <v>8</v>
      </c>
      <c r="R406" s="169">
        <f t="shared" si="38"/>
      </c>
      <c r="S406" s="165">
        <f t="shared" si="535"/>
      </c>
      <c r="T406" s="169">
        <f t="shared" si="163"/>
      </c>
      <c r="U406" s="169">
        <v>0.01</v>
      </c>
      <c r="V406" s="169">
        <f t="shared" si="300"/>
      </c>
      <c r="W406" s="169">
        <f t="shared" si="371"/>
      </c>
      <c r="X406" s="170">
        <v>0.1646</v>
      </c>
      <c r="Y406" s="171">
        <v>3.5</v>
      </c>
      <c r="Z406" s="171">
        <v>0</v>
      </c>
      <c r="AA406" s="171">
        <f t="shared" si="491"/>
      </c>
      <c r="AB406" s="166">
        <f t="shared" si="513"/>
      </c>
      <c r="AC406" s="166">
        <v>40</v>
      </c>
      <c r="AD406" s="172">
        <f t="shared" si="60"/>
      </c>
      <c r="AE406" s="168">
        <f t="shared" si="118"/>
      </c>
      <c r="AF406" s="169">
        <f t="shared" si="185"/>
      </c>
      <c r="AG406" s="169">
        <f t="shared" si="327"/>
      </c>
      <c r="AH406" s="168">
        <v>6</v>
      </c>
      <c r="AI406" s="169">
        <f t="shared" si="203"/>
      </c>
      <c r="AJ406" s="169"/>
      <c r="AK406" s="169"/>
      <c r="AL406" s="169"/>
      <c r="AM406" s="169"/>
      <c r="AN406" s="173"/>
      <c r="AO406" s="173"/>
      <c r="AP406" s="173"/>
      <c r="AQ406" s="173"/>
      <c r="AR406" s="173"/>
      <c r="AS406" s="173"/>
      <c r="AT406" s="173" t="s">
        <v>725</v>
      </c>
      <c r="AU406" s="173" t="s">
        <v>725</v>
      </c>
      <c r="AV406" s="173" t="s">
        <v>725</v>
      </c>
      <c r="AW406" s="173" t="s">
        <v>725</v>
      </c>
      <c r="AX406" s="173" t="s">
        <v>725</v>
      </c>
      <c r="AY406" s="173" t="s">
        <v>725</v>
      </c>
      <c r="AZ406" s="173" t="s">
        <v>725</v>
      </c>
      <c r="BA406" s="173" t="s">
        <v>725</v>
      </c>
      <c r="BB406" s="173" t="s">
        <v>725</v>
      </c>
      <c r="BC406" s="173" t="s">
        <v>725</v>
      </c>
      <c r="BD406" s="173" t="s">
        <v>725</v>
      </c>
      <c r="BE406" s="173" t="s">
        <v>725</v>
      </c>
      <c r="BF406" s="173" t="s">
        <v>725</v>
      </c>
      <c r="BG406" s="173" t="s">
        <v>725</v>
      </c>
      <c r="BH406" s="173" t="s">
        <v>725</v>
      </c>
      <c r="BI406" s="173" t="s">
        <v>725</v>
      </c>
      <c r="BJ406" s="173" t="s">
        <v>725</v>
      </c>
      <c r="BK406" s="173" t="s">
        <v>725</v>
      </c>
      <c r="BL406" s="173" t="s">
        <v>725</v>
      </c>
      <c r="BM406" s="173" t="s">
        <v>725</v>
      </c>
      <c r="BN406" s="173" t="s">
        <v>725</v>
      </c>
      <c r="BO406" s="173" t="s">
        <v>725</v>
      </c>
      <c r="BP406" s="173" t="s">
        <v>725</v>
      </c>
      <c r="BQ406" s="173" t="s">
        <v>725</v>
      </c>
      <c r="BR406" s="174"/>
      <c r="BS406" s="161" t="str">
        <v>#VALUE!</v>
      </c>
    </row>
    <row customHeight="true" ht="18.51851851851852" r="407">
      <c r="A407" s="161" t="s">
        <v>734</v>
      </c>
      <c r="B407" s="161" t="s">
        <v>730</v>
      </c>
      <c r="C407" s="183" t="s">
        <v>865</v>
      </c>
      <c r="D407" s="189" t="s">
        <v>867</v>
      </c>
      <c r="E407" s="186">
        <v>17.2</v>
      </c>
      <c r="F407" s="163">
        <v>24.99</v>
      </c>
      <c r="G407" s="164">
        <f t="shared" si="18"/>
      </c>
      <c r="H407" s="164">
        <f t="shared" si="82"/>
      </c>
      <c r="I407" s="175">
        <f t="shared" si="144"/>
      </c>
      <c r="J407" s="165">
        <f t="shared" si="225"/>
      </c>
      <c r="K407" s="166">
        <f t="shared" si="278"/>
      </c>
      <c r="L407" s="167">
        <f t="shared" si="349"/>
      </c>
      <c r="M407" s="164">
        <f t="shared" si="394"/>
      </c>
      <c r="N407" s="166">
        <f t="shared" si="447"/>
      </c>
      <c r="O407" s="166">
        <f t="shared" si="469"/>
      </c>
      <c r="P407" s="161">
        <v>20</v>
      </c>
      <c r="Q407" s="168">
        <v>8</v>
      </c>
      <c r="R407" s="169">
        <f t="shared" si="38"/>
      </c>
      <c r="S407" s="165">
        <f t="shared" si="535"/>
      </c>
      <c r="T407" s="169">
        <f t="shared" si="163"/>
      </c>
      <c r="U407" s="169">
        <v>0.01</v>
      </c>
      <c r="V407" s="169">
        <f t="shared" si="300"/>
      </c>
      <c r="W407" s="169">
        <f t="shared" si="371"/>
      </c>
      <c r="X407" s="170">
        <v>0.1646</v>
      </c>
      <c r="Y407" s="171">
        <v>3.5</v>
      </c>
      <c r="Z407" s="171">
        <f>F407*0.1</f>
      </c>
      <c r="AA407" s="171">
        <f t="shared" si="491"/>
      </c>
      <c r="AB407" s="166">
        <f t="shared" si="513"/>
      </c>
      <c r="AC407" s="166">
        <v>40</v>
      </c>
      <c r="AD407" s="172">
        <f t="shared" si="60"/>
      </c>
      <c r="AE407" s="168">
        <f t="shared" si="118"/>
      </c>
      <c r="AF407" s="169">
        <f t="shared" si="185"/>
      </c>
      <c r="AG407" s="169">
        <f t="shared" si="327"/>
      </c>
      <c r="AH407" s="168">
        <v>6</v>
      </c>
      <c r="AI407" s="169">
        <f t="shared" si="203"/>
      </c>
      <c r="AJ407" s="169"/>
      <c r="AK407" s="169"/>
      <c r="AL407" s="169"/>
      <c r="AM407" s="169"/>
      <c r="AN407" s="173"/>
      <c r="AO407" s="173"/>
      <c r="AP407" s="173"/>
      <c r="AQ407" s="173"/>
      <c r="AR407" s="173"/>
      <c r="AS407" s="173"/>
      <c r="AT407" s="173" t="s">
        <v>725</v>
      </c>
      <c r="AU407" s="173" t="s">
        <v>725</v>
      </c>
      <c r="AV407" s="173" t="s">
        <v>725</v>
      </c>
      <c r="AW407" s="173" t="s">
        <v>725</v>
      </c>
      <c r="AX407" s="173" t="s">
        <v>725</v>
      </c>
      <c r="AY407" s="173" t="s">
        <v>725</v>
      </c>
      <c r="AZ407" s="173" t="s">
        <v>725</v>
      </c>
      <c r="BA407" s="173" t="s">
        <v>725</v>
      </c>
      <c r="BB407" s="173" t="s">
        <v>725</v>
      </c>
      <c r="BC407" s="173" t="s">
        <v>725</v>
      </c>
      <c r="BD407" s="173" t="s">
        <v>725</v>
      </c>
      <c r="BE407" s="173" t="s">
        <v>725</v>
      </c>
      <c r="BF407" s="173" t="s">
        <v>725</v>
      </c>
      <c r="BG407" s="173" t="s">
        <v>725</v>
      </c>
      <c r="BH407" s="173" t="s">
        <v>725</v>
      </c>
      <c r="BI407" s="173" t="s">
        <v>725</v>
      </c>
      <c r="BJ407" s="173" t="s">
        <v>725</v>
      </c>
      <c r="BK407" s="173" t="s">
        <v>725</v>
      </c>
      <c r="BL407" s="173" t="s">
        <v>725</v>
      </c>
      <c r="BM407" s="173" t="s">
        <v>725</v>
      </c>
      <c r="BN407" s="173" t="s">
        <v>725</v>
      </c>
      <c r="BO407" s="173" t="s">
        <v>725</v>
      </c>
      <c r="BP407" s="173" t="s">
        <v>725</v>
      </c>
      <c r="BQ407" s="173" t="s">
        <v>725</v>
      </c>
      <c r="BR407" s="174"/>
      <c r="BS407" s="161" t="str">
        <v>#VALUE!</v>
      </c>
    </row>
    <row customHeight="true" ht="18.51851851851852" r="408">
      <c r="A408" s="161" t="s">
        <v>734</v>
      </c>
      <c r="B408" s="161" t="s">
        <v>730</v>
      </c>
      <c r="C408" s="183" t="s">
        <v>865</v>
      </c>
      <c r="D408" s="189" t="s">
        <v>868</v>
      </c>
      <c r="E408" s="186">
        <v>17.2</v>
      </c>
      <c r="F408" s="163">
        <v>24.99</v>
      </c>
      <c r="G408" s="164">
        <f t="shared" si="18"/>
      </c>
      <c r="H408" s="164">
        <f t="shared" si="82"/>
      </c>
      <c r="I408" s="164">
        <f t="shared" si="144"/>
      </c>
      <c r="J408" s="165">
        <f t="shared" si="225"/>
      </c>
      <c r="K408" s="166">
        <f t="shared" si="278"/>
      </c>
      <c r="L408" s="167">
        <f t="shared" si="349"/>
      </c>
      <c r="M408" s="164">
        <f t="shared" si="394"/>
      </c>
      <c r="N408" s="166">
        <f t="shared" si="447"/>
      </c>
      <c r="O408" s="166">
        <f t="shared" si="469"/>
      </c>
      <c r="P408" s="161">
        <v>20</v>
      </c>
      <c r="Q408" s="168">
        <v>8</v>
      </c>
      <c r="R408" s="169">
        <f t="shared" si="38"/>
      </c>
      <c r="S408" s="165">
        <f t="shared" si="535"/>
      </c>
      <c r="T408" s="169">
        <f t="shared" si="163"/>
      </c>
      <c r="U408" s="169">
        <v>0.01</v>
      </c>
      <c r="V408" s="169">
        <f t="shared" si="300"/>
      </c>
      <c r="W408" s="169">
        <f t="shared" si="371"/>
      </c>
      <c r="X408" s="170">
        <v>0.1646</v>
      </c>
      <c r="Y408" s="171">
        <v>3.5</v>
      </c>
      <c r="Z408" s="171">
        <f>F408*0.15</f>
      </c>
      <c r="AA408" s="171">
        <f t="shared" si="491"/>
      </c>
      <c r="AB408" s="166">
        <f t="shared" si="513"/>
      </c>
      <c r="AC408" s="166">
        <v>40</v>
      </c>
      <c r="AD408" s="172">
        <f t="shared" si="60"/>
      </c>
      <c r="AE408" s="168">
        <f t="shared" si="118"/>
      </c>
      <c r="AF408" s="169">
        <f t="shared" si="185"/>
      </c>
      <c r="AG408" s="169">
        <f t="shared" si="327"/>
      </c>
      <c r="AH408" s="168">
        <v>6</v>
      </c>
      <c r="AI408" s="169">
        <f t="shared" si="203"/>
      </c>
      <c r="AJ408" s="169"/>
      <c r="AK408" s="169"/>
      <c r="AL408" s="169"/>
      <c r="AM408" s="169"/>
      <c r="AN408" s="173"/>
      <c r="AO408" s="173"/>
      <c r="AP408" s="173"/>
      <c r="AQ408" s="173"/>
      <c r="AR408" s="173"/>
      <c r="AS408" s="173"/>
      <c r="AT408" s="173" t="s">
        <v>725</v>
      </c>
      <c r="AU408" s="173" t="s">
        <v>725</v>
      </c>
      <c r="AV408" s="173" t="s">
        <v>725</v>
      </c>
      <c r="AW408" s="173" t="s">
        <v>725</v>
      </c>
      <c r="AX408" s="173" t="s">
        <v>725</v>
      </c>
      <c r="AY408" s="173" t="s">
        <v>725</v>
      </c>
      <c r="AZ408" s="173" t="s">
        <v>725</v>
      </c>
      <c r="BA408" s="173" t="s">
        <v>725</v>
      </c>
      <c r="BB408" s="173" t="s">
        <v>725</v>
      </c>
      <c r="BC408" s="173" t="s">
        <v>725</v>
      </c>
      <c r="BD408" s="173" t="s">
        <v>725</v>
      </c>
      <c r="BE408" s="173" t="s">
        <v>725</v>
      </c>
      <c r="BF408" s="173" t="s">
        <v>725</v>
      </c>
      <c r="BG408" s="173" t="s">
        <v>725</v>
      </c>
      <c r="BH408" s="173" t="s">
        <v>725</v>
      </c>
      <c r="BI408" s="173" t="s">
        <v>725</v>
      </c>
      <c r="BJ408" s="173" t="s">
        <v>725</v>
      </c>
      <c r="BK408" s="173" t="s">
        <v>725</v>
      </c>
      <c r="BL408" s="173" t="s">
        <v>725</v>
      </c>
      <c r="BM408" s="173" t="s">
        <v>725</v>
      </c>
      <c r="BN408" s="173" t="s">
        <v>725</v>
      </c>
      <c r="BO408" s="173" t="s">
        <v>725</v>
      </c>
      <c r="BP408" s="173" t="s">
        <v>725</v>
      </c>
      <c r="BQ408" s="173" t="s">
        <v>725</v>
      </c>
      <c r="BR408" s="174"/>
      <c r="BS408" s="161" t="str">
        <v>#VALUE!</v>
      </c>
    </row>
    <row customHeight="true" ht="18.51851851851852" r="409">
      <c r="A409" s="161" t="s">
        <v>735</v>
      </c>
      <c r="B409" s="161" t="s">
        <v>730</v>
      </c>
      <c r="C409" s="183" t="s">
        <v>865</v>
      </c>
      <c r="D409" s="178" t="s">
        <v>869</v>
      </c>
      <c r="E409" s="186">
        <v>17.2</v>
      </c>
      <c r="F409" s="163">
        <v>24.99</v>
      </c>
      <c r="G409" s="164">
        <f t="shared" si="18"/>
      </c>
      <c r="H409" s="164">
        <f t="shared" si="82"/>
      </c>
      <c r="I409" s="164">
        <f t="shared" si="144"/>
      </c>
      <c r="J409" s="165">
        <f t="shared" si="225"/>
      </c>
      <c r="K409" s="166">
        <f t="shared" si="278"/>
      </c>
      <c r="L409" s="167">
        <f t="shared" si="349"/>
      </c>
      <c r="M409" s="164">
        <f t="shared" si="394"/>
      </c>
      <c r="N409" s="166">
        <f t="shared" si="447"/>
      </c>
      <c r="O409" s="166">
        <f t="shared" si="469"/>
      </c>
      <c r="P409" s="161">
        <v>20</v>
      </c>
      <c r="Q409" s="168">
        <v>8</v>
      </c>
      <c r="R409" s="169">
        <f t="shared" si="38"/>
      </c>
      <c r="S409" s="165">
        <f t="shared" si="535"/>
      </c>
      <c r="T409" s="169">
        <f t="shared" si="163"/>
      </c>
      <c r="U409" s="169">
        <v>0.01</v>
      </c>
      <c r="V409" s="169">
        <f t="shared" si="300"/>
      </c>
      <c r="W409" s="169">
        <f t="shared" si="371"/>
      </c>
      <c r="X409" s="170">
        <v>0.158</v>
      </c>
      <c r="Y409" s="171">
        <v>3.5</v>
      </c>
      <c r="Z409" s="171">
        <f t="shared" ref="Z409:Z412" si="413">F409*0</f>
      </c>
      <c r="AA409" s="171">
        <f t="shared" si="491"/>
      </c>
      <c r="AB409" s="166">
        <f t="shared" si="513"/>
      </c>
      <c r="AC409" s="166">
        <v>40</v>
      </c>
      <c r="AD409" s="172">
        <f t="shared" si="60"/>
      </c>
      <c r="AE409" s="168">
        <f t="shared" si="118"/>
      </c>
      <c r="AF409" s="169">
        <f t="shared" si="185"/>
      </c>
      <c r="AG409" s="169">
        <f t="shared" si="327"/>
      </c>
      <c r="AH409" s="168">
        <v>6</v>
      </c>
      <c r="AI409" s="169">
        <f t="shared" si="203"/>
      </c>
      <c r="AJ409" s="173"/>
      <c r="AK409" s="173"/>
      <c r="AL409" s="173"/>
      <c r="AM409" s="173"/>
      <c r="AN409" s="173"/>
      <c r="AO409" s="173"/>
      <c r="AP409" s="173"/>
      <c r="AQ409" s="173"/>
      <c r="AR409" s="173"/>
      <c r="AS409" s="173"/>
      <c r="AT409" s="173" t="s">
        <v>725</v>
      </c>
      <c r="AU409" s="173" t="s">
        <v>725</v>
      </c>
      <c r="AV409" s="173" t="s">
        <v>725</v>
      </c>
      <c r="AW409" s="173" t="s">
        <v>725</v>
      </c>
      <c r="AX409" s="173" t="s">
        <v>725</v>
      </c>
      <c r="AY409" s="173" t="s">
        <v>725</v>
      </c>
      <c r="AZ409" s="173" t="s">
        <v>725</v>
      </c>
      <c r="BA409" s="173" t="s">
        <v>725</v>
      </c>
      <c r="BB409" s="173" t="s">
        <v>725</v>
      </c>
      <c r="BC409" s="173" t="s">
        <v>725</v>
      </c>
      <c r="BD409" s="173" t="s">
        <v>725</v>
      </c>
      <c r="BE409" s="173" t="s">
        <v>725</v>
      </c>
      <c r="BF409" s="173" t="s">
        <v>725</v>
      </c>
      <c r="BG409" s="173" t="s">
        <v>725</v>
      </c>
      <c r="BH409" s="173" t="s">
        <v>725</v>
      </c>
      <c r="BI409" s="173" t="s">
        <v>725</v>
      </c>
      <c r="BJ409" s="173" t="s">
        <v>725</v>
      </c>
      <c r="BK409" s="173" t="s">
        <v>725</v>
      </c>
      <c r="BL409" s="173" t="s">
        <v>725</v>
      </c>
      <c r="BM409" s="173" t="s">
        <v>725</v>
      </c>
      <c r="BN409" s="173" t="s">
        <v>725</v>
      </c>
      <c r="BO409" s="173" t="s">
        <v>725</v>
      </c>
      <c r="BP409" s="173" t="s">
        <v>725</v>
      </c>
      <c r="BQ409" s="173" t="s">
        <v>725</v>
      </c>
      <c r="BR409" s="180">
        <f t="shared" ref="BR409:BR412" si="254">IF(E409&lt;#REF!,1,0)</f>
      </c>
      <c r="BS409" s="161" t="str">
        <v>#VALUE!</v>
      </c>
    </row>
    <row customHeight="true" ht="18.51851851851852" r="410">
      <c r="A410" s="161" t="s">
        <v>737</v>
      </c>
      <c r="B410" s="161" t="s">
        <v>730</v>
      </c>
      <c r="C410" s="183" t="s">
        <v>865</v>
      </c>
      <c r="D410" s="178" t="s">
        <v>870</v>
      </c>
      <c r="E410" s="186">
        <v>17.2</v>
      </c>
      <c r="F410" s="163">
        <v>24.99</v>
      </c>
      <c r="G410" s="164">
        <f t="shared" si="18"/>
      </c>
      <c r="H410" s="164">
        <f t="shared" si="82"/>
      </c>
      <c r="I410" s="164">
        <f t="shared" si="144"/>
      </c>
      <c r="J410" s="165">
        <f t="shared" si="225"/>
      </c>
      <c r="K410" s="166">
        <f t="shared" si="278"/>
      </c>
      <c r="L410" s="167">
        <f t="shared" si="349"/>
      </c>
      <c r="M410" s="164">
        <f t="shared" si="394"/>
      </c>
      <c r="N410" s="166">
        <f t="shared" si="447"/>
      </c>
      <c r="O410" s="166">
        <f t="shared" si="469"/>
      </c>
      <c r="P410" s="161">
        <v>20</v>
      </c>
      <c r="Q410" s="168">
        <v>8</v>
      </c>
      <c r="R410" s="169">
        <f t="shared" si="38"/>
      </c>
      <c r="S410" s="165">
        <f t="shared" si="535"/>
      </c>
      <c r="T410" s="169">
        <f t="shared" si="163"/>
      </c>
      <c r="U410" s="169">
        <v>0.01</v>
      </c>
      <c r="V410" s="169">
        <f t="shared" si="300"/>
      </c>
      <c r="W410" s="169">
        <f t="shared" si="371"/>
      </c>
      <c r="X410" s="170">
        <v>0.223</v>
      </c>
      <c r="Y410" s="171">
        <v>3.5</v>
      </c>
      <c r="Z410" s="171">
        <f t="shared" si="413"/>
      </c>
      <c r="AA410" s="171">
        <f t="shared" si="491"/>
      </c>
      <c r="AB410" s="166">
        <f t="shared" si="513"/>
      </c>
      <c r="AC410" s="166">
        <v>40</v>
      </c>
      <c r="AD410" s="172">
        <f t="shared" si="60"/>
      </c>
      <c r="AE410" s="168">
        <f t="shared" si="118"/>
      </c>
      <c r="AF410" s="169">
        <f t="shared" si="185"/>
      </c>
      <c r="AG410" s="169">
        <f t="shared" si="327"/>
      </c>
      <c r="AH410" s="168">
        <v>6</v>
      </c>
      <c r="AI410" s="169">
        <f t="shared" si="203"/>
      </c>
      <c r="AJ410" s="173"/>
      <c r="AK410" s="173"/>
      <c r="AL410" s="173"/>
      <c r="AM410" s="173"/>
      <c r="AN410" s="173"/>
      <c r="AO410" s="173"/>
      <c r="AP410" s="173"/>
      <c r="AQ410" s="173"/>
      <c r="AR410" s="173"/>
      <c r="AS410" s="173"/>
      <c r="AT410" s="173" t="s">
        <v>725</v>
      </c>
      <c r="AU410" s="173" t="s">
        <v>725</v>
      </c>
      <c r="AV410" s="173" t="s">
        <v>725</v>
      </c>
      <c r="AW410" s="173" t="s">
        <v>725</v>
      </c>
      <c r="AX410" s="173" t="s">
        <v>725</v>
      </c>
      <c r="AY410" s="173" t="s">
        <v>725</v>
      </c>
      <c r="AZ410" s="173" t="s">
        <v>725</v>
      </c>
      <c r="BA410" s="173" t="s">
        <v>725</v>
      </c>
      <c r="BB410" s="173" t="s">
        <v>725</v>
      </c>
      <c r="BC410" s="173" t="s">
        <v>725</v>
      </c>
      <c r="BD410" s="173" t="s">
        <v>725</v>
      </c>
      <c r="BE410" s="173" t="s">
        <v>725</v>
      </c>
      <c r="BF410" s="173" t="s">
        <v>725</v>
      </c>
      <c r="BG410" s="173" t="s">
        <v>725</v>
      </c>
      <c r="BH410" s="173" t="s">
        <v>725</v>
      </c>
      <c r="BI410" s="173" t="s">
        <v>725</v>
      </c>
      <c r="BJ410" s="173" t="s">
        <v>725</v>
      </c>
      <c r="BK410" s="173" t="s">
        <v>725</v>
      </c>
      <c r="BL410" s="173" t="s">
        <v>725</v>
      </c>
      <c r="BM410" s="173" t="s">
        <v>725</v>
      </c>
      <c r="BN410" s="173" t="s">
        <v>725</v>
      </c>
      <c r="BO410" s="173" t="s">
        <v>725</v>
      </c>
      <c r="BP410" s="173" t="s">
        <v>725</v>
      </c>
      <c r="BQ410" s="173" t="s">
        <v>725</v>
      </c>
      <c r="BR410" s="180">
        <f t="shared" si="254"/>
      </c>
      <c r="BS410" s="161" t="str">
        <v>#VALUE!</v>
      </c>
    </row>
    <row customHeight="true" ht="18.51851851851852" r="411">
      <c r="A411" s="161" t="s">
        <v>739</v>
      </c>
      <c r="B411" s="161" t="s">
        <v>730</v>
      </c>
      <c r="C411" s="183" t="s">
        <v>865</v>
      </c>
      <c r="D411" s="178" t="s">
        <v>871</v>
      </c>
      <c r="E411" s="186">
        <v>17.2</v>
      </c>
      <c r="F411" s="163">
        <v>24.99</v>
      </c>
      <c r="G411" s="164">
        <f t="shared" si="18"/>
      </c>
      <c r="H411" s="164">
        <f t="shared" si="82"/>
      </c>
      <c r="I411" s="164">
        <f t="shared" si="144"/>
      </c>
      <c r="J411" s="165">
        <f t="shared" si="225"/>
      </c>
      <c r="K411" s="166">
        <f t="shared" si="278"/>
      </c>
      <c r="L411" s="167">
        <f t="shared" si="349"/>
      </c>
      <c r="M411" s="164">
        <f t="shared" si="394"/>
      </c>
      <c r="N411" s="166">
        <f t="shared" si="447"/>
      </c>
      <c r="O411" s="166">
        <f t="shared" si="469"/>
      </c>
      <c r="P411" s="161">
        <v>20</v>
      </c>
      <c r="Q411" s="168">
        <v>8</v>
      </c>
      <c r="R411" s="169">
        <f t="shared" si="38"/>
      </c>
      <c r="S411" s="165">
        <f t="shared" si="535"/>
      </c>
      <c r="T411" s="169">
        <f t="shared" si="163"/>
      </c>
      <c r="U411" s="169">
        <v>0.01</v>
      </c>
      <c r="V411" s="169">
        <f t="shared" si="300"/>
      </c>
      <c r="W411" s="169">
        <f t="shared" si="371"/>
      </c>
      <c r="X411" s="170">
        <v>0.223</v>
      </c>
      <c r="Y411" s="171">
        <v>3.5</v>
      </c>
      <c r="Z411" s="171">
        <f t="shared" si="413"/>
      </c>
      <c r="AA411" s="171">
        <f t="shared" si="491"/>
      </c>
      <c r="AB411" s="166">
        <f t="shared" si="513"/>
      </c>
      <c r="AC411" s="166">
        <v>40</v>
      </c>
      <c r="AD411" s="172">
        <f t="shared" si="60"/>
      </c>
      <c r="AE411" s="168">
        <f t="shared" si="118"/>
      </c>
      <c r="AF411" s="169">
        <f t="shared" si="185"/>
      </c>
      <c r="AG411" s="169">
        <f t="shared" si="327"/>
      </c>
      <c r="AH411" s="168">
        <v>6</v>
      </c>
      <c r="AI411" s="169">
        <f t="shared" si="203"/>
      </c>
      <c r="AJ411" s="173"/>
      <c r="AK411" s="173"/>
      <c r="AL411" s="173"/>
      <c r="AM411" s="173"/>
      <c r="AN411" s="173"/>
      <c r="AO411" s="173"/>
      <c r="AP411" s="173"/>
      <c r="AQ411" s="173"/>
      <c r="AR411" s="173"/>
      <c r="AS411" s="173"/>
      <c r="AT411" s="173" t="s">
        <v>725</v>
      </c>
      <c r="AU411" s="173" t="s">
        <v>725</v>
      </c>
      <c r="AV411" s="173" t="s">
        <v>725</v>
      </c>
      <c r="AW411" s="173" t="s">
        <v>725</v>
      </c>
      <c r="AX411" s="173" t="s">
        <v>725</v>
      </c>
      <c r="AY411" s="173" t="s">
        <v>725</v>
      </c>
      <c r="AZ411" s="173" t="s">
        <v>725</v>
      </c>
      <c r="BA411" s="173" t="s">
        <v>725</v>
      </c>
      <c r="BB411" s="173" t="s">
        <v>725</v>
      </c>
      <c r="BC411" s="173" t="s">
        <v>725</v>
      </c>
      <c r="BD411" s="173" t="s">
        <v>725</v>
      </c>
      <c r="BE411" s="173" t="s">
        <v>725</v>
      </c>
      <c r="BF411" s="173" t="s">
        <v>725</v>
      </c>
      <c r="BG411" s="173" t="s">
        <v>725</v>
      </c>
      <c r="BH411" s="173" t="s">
        <v>725</v>
      </c>
      <c r="BI411" s="173" t="s">
        <v>725</v>
      </c>
      <c r="BJ411" s="173" t="s">
        <v>725</v>
      </c>
      <c r="BK411" s="173" t="s">
        <v>725</v>
      </c>
      <c r="BL411" s="173" t="s">
        <v>725</v>
      </c>
      <c r="BM411" s="173" t="s">
        <v>725</v>
      </c>
      <c r="BN411" s="173" t="s">
        <v>725</v>
      </c>
      <c r="BO411" s="173" t="s">
        <v>725</v>
      </c>
      <c r="BP411" s="173" t="s">
        <v>725</v>
      </c>
      <c r="BQ411" s="173" t="s">
        <v>725</v>
      </c>
      <c r="BR411" s="180">
        <f t="shared" si="254"/>
      </c>
      <c r="BS411" s="161" t="str">
        <v>#VALUE!</v>
      </c>
    </row>
    <row customHeight="true" ht="18.51851851851852" r="412">
      <c r="A412" s="161" t="s">
        <v>741</v>
      </c>
      <c r="B412" s="161" t="s">
        <v>730</v>
      </c>
      <c r="C412" s="183" t="s">
        <v>865</v>
      </c>
      <c r="D412" s="178" t="s">
        <v>872</v>
      </c>
      <c r="E412" s="186">
        <v>17.2</v>
      </c>
      <c r="F412" s="163">
        <v>24.99</v>
      </c>
      <c r="G412" s="164">
        <f t="shared" si="18"/>
      </c>
      <c r="H412" s="164">
        <f t="shared" si="82"/>
      </c>
      <c r="I412" s="164">
        <f t="shared" si="144"/>
      </c>
      <c r="J412" s="165">
        <f t="shared" si="225"/>
      </c>
      <c r="K412" s="166">
        <f t="shared" si="278"/>
      </c>
      <c r="L412" s="167">
        <f t="shared" si="349"/>
      </c>
      <c r="M412" s="164">
        <f t="shared" si="394"/>
      </c>
      <c r="N412" s="166">
        <f t="shared" si="447"/>
      </c>
      <c r="O412" s="166">
        <f t="shared" si="469"/>
      </c>
      <c r="P412" s="161">
        <v>20</v>
      </c>
      <c r="Q412" s="168">
        <v>8</v>
      </c>
      <c r="R412" s="169">
        <f t="shared" si="38"/>
      </c>
      <c r="S412" s="165">
        <f t="shared" si="535"/>
      </c>
      <c r="T412" s="169">
        <f t="shared" si="163"/>
      </c>
      <c r="U412" s="169">
        <v>0.01</v>
      </c>
      <c r="V412" s="169">
        <f t="shared" si="300"/>
      </c>
      <c r="W412" s="169">
        <f t="shared" si="371"/>
      </c>
      <c r="X412" s="170">
        <v>0.158</v>
      </c>
      <c r="Y412" s="171">
        <v>3.5</v>
      </c>
      <c r="Z412" s="171">
        <f t="shared" si="413"/>
      </c>
      <c r="AA412" s="171">
        <f t="shared" si="491"/>
      </c>
      <c r="AB412" s="166">
        <f t="shared" si="513"/>
      </c>
      <c r="AC412" s="166">
        <v>40</v>
      </c>
      <c r="AD412" s="172">
        <f t="shared" si="60"/>
      </c>
      <c r="AE412" s="168">
        <f t="shared" si="118"/>
      </c>
      <c r="AF412" s="169">
        <f t="shared" si="185"/>
      </c>
      <c r="AG412" s="169">
        <f t="shared" si="327"/>
      </c>
      <c r="AH412" s="168">
        <v>6</v>
      </c>
      <c r="AI412" s="169">
        <f t="shared" si="203"/>
      </c>
      <c r="AJ412" s="169"/>
      <c r="AK412" s="169"/>
      <c r="AL412" s="169"/>
      <c r="AM412" s="169"/>
      <c r="AN412" s="173"/>
      <c r="AO412" s="173"/>
      <c r="AP412" s="173"/>
      <c r="AQ412" s="173"/>
      <c r="AR412" s="173"/>
      <c r="AS412" s="173"/>
      <c r="AT412" s="173" t="s">
        <v>725</v>
      </c>
      <c r="AU412" s="173" t="s">
        <v>725</v>
      </c>
      <c r="AV412" s="173" t="s">
        <v>725</v>
      </c>
      <c r="AW412" s="173" t="s">
        <v>725</v>
      </c>
      <c r="AX412" s="173" t="s">
        <v>725</v>
      </c>
      <c r="AY412" s="173" t="s">
        <v>725</v>
      </c>
      <c r="AZ412" s="173" t="s">
        <v>725</v>
      </c>
      <c r="BA412" s="173" t="s">
        <v>725</v>
      </c>
      <c r="BB412" s="173" t="s">
        <v>725</v>
      </c>
      <c r="BC412" s="173" t="s">
        <v>725</v>
      </c>
      <c r="BD412" s="173" t="s">
        <v>725</v>
      </c>
      <c r="BE412" s="173" t="s">
        <v>725</v>
      </c>
      <c r="BF412" s="173" t="s">
        <v>725</v>
      </c>
      <c r="BG412" s="173" t="s">
        <v>725</v>
      </c>
      <c r="BH412" s="173" t="s">
        <v>725</v>
      </c>
      <c r="BI412" s="173" t="s">
        <v>725</v>
      </c>
      <c r="BJ412" s="173" t="s">
        <v>725</v>
      </c>
      <c r="BK412" s="173" t="s">
        <v>725</v>
      </c>
      <c r="BL412" s="173" t="s">
        <v>725</v>
      </c>
      <c r="BM412" s="173" t="s">
        <v>725</v>
      </c>
      <c r="BN412" s="173" t="s">
        <v>725</v>
      </c>
      <c r="BO412" s="173" t="s">
        <v>725</v>
      </c>
      <c r="BP412" s="173" t="s">
        <v>725</v>
      </c>
      <c r="BQ412" s="173" t="s">
        <v>725</v>
      </c>
      <c r="BR412" s="180">
        <f t="shared" si="254"/>
      </c>
      <c r="BS412" s="161" t="str">
        <v>#VALUE!</v>
      </c>
    </row>
    <row customHeight="true" ht="18.51851851851852" r="413"/>
    <row customHeight="true" ht="18.51851851851852" r="414">
      <c r="A414" s="161" t="s">
        <v>721</v>
      </c>
      <c r="B414" s="161"/>
      <c r="C414" s="183" t="s">
        <v>873</v>
      </c>
      <c r="D414" s="162" t="s">
        <v>874</v>
      </c>
      <c r="E414" s="166">
        <v>69</v>
      </c>
      <c r="F414" s="179">
        <v>99.99</v>
      </c>
      <c r="G414" s="164">
        <f t="shared" ref="G414:G432" si="19">(F414-Z414)</f>
      </c>
      <c r="H414" s="164">
        <f t="shared" ref="H414:H432" si="83">(F414-Z414)/1.2</f>
      </c>
      <c r="I414" s="164">
        <f t="shared" ref="I414:I432" si="145">E414-N414/Q414-AB414-Y414-O414-Z414-AA414</f>
      </c>
      <c r="J414" s="165">
        <f t="shared" ref="J414:J432" si="226">I414/E414</f>
      </c>
      <c r="K414" s="166">
        <f t="shared" ref="K414:K432" si="279">F414/1.2</f>
      </c>
      <c r="L414" s="167">
        <f t="shared" ref="L414:L432" si="350">(K414-E414)/K414</f>
      </c>
      <c r="M414" s="164">
        <f t="shared" ref="M414:M432" si="395">F414/1.2-E414</f>
      </c>
      <c r="N414" s="166">
        <f t="shared" ref="N414:N432" si="448">AD414+AH414</f>
      </c>
      <c r="O414" s="166">
        <f t="shared" ref="O414:O432" si="470">IFERROR(IF(A414="UK",8.95/P414,IF(A414="DE",7.75/P414,IF(A414="FR",14.25/P414,IF(A414="IT",15.25/P414,IF(A414="ES",19.25/P414,IF(A414="NL",16.75/P414,IF(A414="PL",14.05/P414,IF(A414="SE",18.25/P414,IF(A414="BE",14.25/P414))))))))),0)</f>
      </c>
      <c r="P414" s="161">
        <v>3</v>
      </c>
      <c r="Q414" s="168">
        <v>9</v>
      </c>
      <c r="R414" s="169">
        <f t="shared" ref="R414:R432" si="39">Y414/E414</f>
      </c>
      <c r="S414" s="165">
        <f t="shared" ref="S414:S432" si="536">Y414/F414</f>
      </c>
      <c r="T414" s="169">
        <f t="shared" ref="T414:T432" si="164">Z414/E414</f>
      </c>
      <c r="U414" s="169">
        <v>0.01</v>
      </c>
      <c r="V414" s="169">
        <f t="shared" ref="V414:V432" si="301">N414/(E414*Q414)</f>
      </c>
      <c r="W414" s="169">
        <f t="shared" ref="W414:W432" si="372">O414/E414</f>
      </c>
      <c r="X414" s="170">
        <v>0.158</v>
      </c>
      <c r="Y414" s="171">
        <v>10</v>
      </c>
      <c r="Z414" s="171">
        <v>0</v>
      </c>
      <c r="AA414" s="171">
        <f t="shared" ref="AA414:AA432" si="492">E414*U414</f>
      </c>
      <c r="AB414" s="166">
        <f t="shared" ref="AB414:AB432" si="514">E414*X414</f>
      </c>
      <c r="AC414" s="166">
        <v>240</v>
      </c>
      <c r="AD414" s="172">
        <f t="shared" ref="AD414:AD432" si="61">AC414/1.13</f>
      </c>
      <c r="AE414" s="168">
        <f t="shared" ref="AE414:AE416" si="415">11.1/8.5</f>
      </c>
      <c r="AF414" s="169">
        <f t="shared" ref="AF414:AF432" si="186">AD414/(E414*Q414)</f>
      </c>
      <c r="AG414" s="169">
        <f t="shared" ref="AG414:AG432" si="328">AE414/Q414/E414</f>
      </c>
      <c r="AH414" s="168">
        <v>25</v>
      </c>
      <c r="AI414" s="165">
        <f t="shared" ref="AI414:AI432" si="311">(K414-E414+AB414)/(K414-Z414)</f>
      </c>
      <c r="AJ414" s="169"/>
      <c r="AK414" s="169"/>
      <c r="AL414" s="169"/>
      <c r="AM414" s="169"/>
      <c r="AN414" s="173"/>
      <c r="AO414" s="173"/>
      <c r="AP414" s="173"/>
      <c r="AQ414" s="173"/>
      <c r="AR414" s="173"/>
      <c r="AS414" s="173"/>
      <c r="AT414" s="173" t="s">
        <v>725</v>
      </c>
      <c r="AU414" s="173" t="s">
        <v>725</v>
      </c>
      <c r="AV414" s="173" t="s">
        <v>725</v>
      </c>
      <c r="AW414" s="173" t="s">
        <v>725</v>
      </c>
      <c r="AX414" s="173" t="s">
        <v>725</v>
      </c>
      <c r="AY414" s="173" t="s">
        <v>725</v>
      </c>
      <c r="AZ414" s="173" t="s">
        <v>725</v>
      </c>
      <c r="BA414" s="173" t="s">
        <v>725</v>
      </c>
      <c r="BB414" s="173" t="s">
        <v>725</v>
      </c>
      <c r="BC414" s="173" t="s">
        <v>725</v>
      </c>
      <c r="BD414" s="173" t="s">
        <v>725</v>
      </c>
      <c r="BE414" s="173" t="s">
        <v>725</v>
      </c>
      <c r="BF414" s="173" t="s">
        <v>725</v>
      </c>
      <c r="BG414" s="173" t="s">
        <v>725</v>
      </c>
      <c r="BH414" s="173" t="s">
        <v>725</v>
      </c>
      <c r="BI414" s="173" t="s">
        <v>725</v>
      </c>
      <c r="BJ414" s="173" t="s">
        <v>725</v>
      </c>
      <c r="BK414" s="173" t="s">
        <v>725</v>
      </c>
      <c r="BL414" s="173" t="s">
        <v>725</v>
      </c>
      <c r="BM414" s="173" t="s">
        <v>725</v>
      </c>
      <c r="BN414" s="173" t="s">
        <v>725</v>
      </c>
      <c r="BO414" s="173" t="s">
        <v>725</v>
      </c>
      <c r="BP414" s="173" t="s">
        <v>725</v>
      </c>
      <c r="BQ414" s="173" t="s">
        <v>725</v>
      </c>
      <c r="BR414" s="180">
        <f t="shared" ref="BR414:BR432" si="255">IF(E414&lt;#REF!,1,0)</f>
      </c>
      <c r="BS414" s="161" t="str">
        <v>#VALUE!</v>
      </c>
    </row>
    <row customHeight="true" ht="18.51851851851852" r="415">
      <c r="A415" s="161" t="s">
        <v>721</v>
      </c>
      <c r="B415" s="161"/>
      <c r="C415" s="183" t="s">
        <v>873</v>
      </c>
      <c r="D415" s="162" t="s">
        <v>875</v>
      </c>
      <c r="E415" s="166">
        <v>69</v>
      </c>
      <c r="F415" s="179">
        <v>99.99</v>
      </c>
      <c r="G415" s="164">
        <f t="shared" si="19"/>
      </c>
      <c r="H415" s="164">
        <f t="shared" si="83"/>
      </c>
      <c r="I415" s="164">
        <f t="shared" si="145"/>
      </c>
      <c r="J415" s="165">
        <f t="shared" si="226"/>
      </c>
      <c r="K415" s="166">
        <f t="shared" si="279"/>
      </c>
      <c r="L415" s="167">
        <f t="shared" si="350"/>
      </c>
      <c r="M415" s="164">
        <f t="shared" si="395"/>
      </c>
      <c r="N415" s="166">
        <f t="shared" si="448"/>
      </c>
      <c r="O415" s="166">
        <f t="shared" si="470"/>
      </c>
      <c r="P415" s="161">
        <v>3</v>
      </c>
      <c r="Q415" s="168">
        <v>9</v>
      </c>
      <c r="R415" s="169">
        <f t="shared" si="39"/>
      </c>
      <c r="S415" s="165">
        <f t="shared" si="536"/>
      </c>
      <c r="T415" s="169">
        <f t="shared" si="164"/>
      </c>
      <c r="U415" s="169">
        <v>0.01</v>
      </c>
      <c r="V415" s="169">
        <f t="shared" si="301"/>
      </c>
      <c r="W415" s="169">
        <f t="shared" si="372"/>
      </c>
      <c r="X415" s="170">
        <v>0.158</v>
      </c>
      <c r="Y415" s="171">
        <v>10</v>
      </c>
      <c r="Z415" s="171">
        <f>F415*0.1</f>
      </c>
      <c r="AA415" s="171">
        <f t="shared" si="492"/>
      </c>
      <c r="AB415" s="166">
        <f t="shared" si="514"/>
      </c>
      <c r="AC415" s="166">
        <v>240</v>
      </c>
      <c r="AD415" s="172">
        <f t="shared" si="61"/>
      </c>
      <c r="AE415" s="168">
        <f t="shared" si="415"/>
      </c>
      <c r="AF415" s="169">
        <f t="shared" si="186"/>
      </c>
      <c r="AG415" s="169">
        <f t="shared" si="328"/>
      </c>
      <c r="AH415" s="168">
        <v>25</v>
      </c>
      <c r="AI415" s="165">
        <f t="shared" si="311"/>
      </c>
      <c r="AJ415" s="169"/>
      <c r="AK415" s="169"/>
      <c r="AL415" s="169"/>
      <c r="AM415" s="169"/>
      <c r="AN415" s="173"/>
      <c r="AO415" s="173"/>
      <c r="AP415" s="173"/>
      <c r="AQ415" s="173"/>
      <c r="AR415" s="173"/>
      <c r="AS415" s="173"/>
      <c r="AT415" s="173" t="s">
        <v>725</v>
      </c>
      <c r="AU415" s="173" t="s">
        <v>725</v>
      </c>
      <c r="AV415" s="173" t="s">
        <v>725</v>
      </c>
      <c r="AW415" s="173" t="s">
        <v>725</v>
      </c>
      <c r="AX415" s="173" t="s">
        <v>725</v>
      </c>
      <c r="AY415" s="173" t="s">
        <v>725</v>
      </c>
      <c r="AZ415" s="173" t="s">
        <v>725</v>
      </c>
      <c r="BA415" s="173" t="s">
        <v>725</v>
      </c>
      <c r="BB415" s="173" t="s">
        <v>725</v>
      </c>
      <c r="BC415" s="173" t="s">
        <v>725</v>
      </c>
      <c r="BD415" s="173" t="s">
        <v>725</v>
      </c>
      <c r="BE415" s="173" t="s">
        <v>725</v>
      </c>
      <c r="BF415" s="173" t="s">
        <v>725</v>
      </c>
      <c r="BG415" s="173" t="s">
        <v>725</v>
      </c>
      <c r="BH415" s="173" t="s">
        <v>725</v>
      </c>
      <c r="BI415" s="173" t="s">
        <v>725</v>
      </c>
      <c r="BJ415" s="173" t="s">
        <v>725</v>
      </c>
      <c r="BK415" s="173" t="s">
        <v>725</v>
      </c>
      <c r="BL415" s="173" t="s">
        <v>725</v>
      </c>
      <c r="BM415" s="173" t="s">
        <v>725</v>
      </c>
      <c r="BN415" s="173" t="s">
        <v>725</v>
      </c>
      <c r="BO415" s="173" t="s">
        <v>725</v>
      </c>
      <c r="BP415" s="173" t="s">
        <v>725</v>
      </c>
      <c r="BQ415" s="173" t="s">
        <v>725</v>
      </c>
      <c r="BR415" s="180">
        <f t="shared" si="255"/>
      </c>
      <c r="BS415" s="161" t="str">
        <v>#VALUE!</v>
      </c>
    </row>
    <row customHeight="true" ht="18.51851851851852" r="416">
      <c r="A416" s="161" t="s">
        <v>721</v>
      </c>
      <c r="B416" s="161"/>
      <c r="C416" s="183" t="s">
        <v>873</v>
      </c>
      <c r="D416" s="162" t="s">
        <v>876</v>
      </c>
      <c r="E416" s="166">
        <v>69</v>
      </c>
      <c r="F416" s="179">
        <v>99.99</v>
      </c>
      <c r="G416" s="164">
        <f t="shared" si="19"/>
      </c>
      <c r="H416" s="164">
        <f t="shared" si="83"/>
      </c>
      <c r="I416" s="164">
        <f t="shared" si="145"/>
      </c>
      <c r="J416" s="165">
        <f t="shared" si="226"/>
      </c>
      <c r="K416" s="166">
        <f t="shared" si="279"/>
      </c>
      <c r="L416" s="167">
        <f t="shared" si="350"/>
      </c>
      <c r="M416" s="164">
        <f t="shared" si="395"/>
      </c>
      <c r="N416" s="166">
        <f t="shared" si="448"/>
      </c>
      <c r="O416" s="166">
        <f t="shared" si="470"/>
      </c>
      <c r="P416" s="161">
        <v>3</v>
      </c>
      <c r="Q416" s="168">
        <v>9</v>
      </c>
      <c r="R416" s="169">
        <f t="shared" si="39"/>
      </c>
      <c r="S416" s="165">
        <f t="shared" si="536"/>
      </c>
      <c r="T416" s="169">
        <f t="shared" si="164"/>
      </c>
      <c r="U416" s="169">
        <v>0.01</v>
      </c>
      <c r="V416" s="169">
        <f t="shared" si="301"/>
      </c>
      <c r="W416" s="169">
        <f t="shared" si="372"/>
      </c>
      <c r="X416" s="170">
        <v>0.158</v>
      </c>
      <c r="Y416" s="171">
        <v>10</v>
      </c>
      <c r="Z416" s="171">
        <f>F416*0.15</f>
      </c>
      <c r="AA416" s="171">
        <f t="shared" si="492"/>
      </c>
      <c r="AB416" s="166">
        <f t="shared" si="514"/>
      </c>
      <c r="AC416" s="166">
        <v>240</v>
      </c>
      <c r="AD416" s="172">
        <f t="shared" si="61"/>
      </c>
      <c r="AE416" s="168">
        <f t="shared" si="415"/>
      </c>
      <c r="AF416" s="169">
        <f t="shared" si="186"/>
      </c>
      <c r="AG416" s="169">
        <f t="shared" si="328"/>
      </c>
      <c r="AH416" s="168">
        <v>25</v>
      </c>
      <c r="AI416" s="165">
        <f t="shared" si="311"/>
      </c>
      <c r="AJ416" s="169"/>
      <c r="AK416" s="169"/>
      <c r="AL416" s="169"/>
      <c r="AM416" s="169"/>
      <c r="AN416" s="173"/>
      <c r="AO416" s="173"/>
      <c r="AP416" s="173"/>
      <c r="AQ416" s="173"/>
      <c r="AR416" s="173"/>
      <c r="AS416" s="173"/>
      <c r="AT416" s="173" t="s">
        <v>725</v>
      </c>
      <c r="AU416" s="173" t="s">
        <v>725</v>
      </c>
      <c r="AV416" s="173" t="s">
        <v>725</v>
      </c>
      <c r="AW416" s="173" t="s">
        <v>725</v>
      </c>
      <c r="AX416" s="173" t="s">
        <v>725</v>
      </c>
      <c r="AY416" s="173" t="s">
        <v>725</v>
      </c>
      <c r="AZ416" s="173" t="s">
        <v>725</v>
      </c>
      <c r="BA416" s="173" t="s">
        <v>725</v>
      </c>
      <c r="BB416" s="173" t="s">
        <v>725</v>
      </c>
      <c r="BC416" s="173" t="s">
        <v>725</v>
      </c>
      <c r="BD416" s="173" t="s">
        <v>725</v>
      </c>
      <c r="BE416" s="173" t="s">
        <v>725</v>
      </c>
      <c r="BF416" s="173" t="s">
        <v>725</v>
      </c>
      <c r="BG416" s="173" t="s">
        <v>725</v>
      </c>
      <c r="BH416" s="173" t="s">
        <v>725</v>
      </c>
      <c r="BI416" s="173" t="s">
        <v>725</v>
      </c>
      <c r="BJ416" s="173" t="s">
        <v>725</v>
      </c>
      <c r="BK416" s="173" t="s">
        <v>725</v>
      </c>
      <c r="BL416" s="173" t="s">
        <v>725</v>
      </c>
      <c r="BM416" s="173" t="s">
        <v>725</v>
      </c>
      <c r="BN416" s="173" t="s">
        <v>725</v>
      </c>
      <c r="BO416" s="173" t="s">
        <v>725</v>
      </c>
      <c r="BP416" s="173" t="s">
        <v>725</v>
      </c>
      <c r="BQ416" s="173" t="s">
        <v>725</v>
      </c>
      <c r="BR416" s="180">
        <f t="shared" si="255"/>
      </c>
      <c r="BS416" s="161" t="str">
        <v>#VALUE!</v>
      </c>
    </row>
    <row customHeight="true" ht="18.51851851851852" r="417">
      <c r="A417" s="161" t="s">
        <v>729</v>
      </c>
      <c r="B417" s="161"/>
      <c r="C417" s="183" t="s">
        <v>873</v>
      </c>
      <c r="D417" s="162" t="s">
        <v>874</v>
      </c>
      <c r="E417" s="166">
        <v>76</v>
      </c>
      <c r="F417" s="179">
        <v>109.99</v>
      </c>
      <c r="G417" s="164">
        <f t="shared" si="19"/>
      </c>
      <c r="H417" s="164">
        <f t="shared" si="83"/>
      </c>
      <c r="I417" s="164">
        <f t="shared" si="145"/>
      </c>
      <c r="J417" s="165">
        <f t="shared" si="226"/>
      </c>
      <c r="K417" s="166">
        <f t="shared" si="279"/>
      </c>
      <c r="L417" s="167">
        <f t="shared" si="350"/>
      </c>
      <c r="M417" s="164">
        <f t="shared" si="395"/>
      </c>
      <c r="N417" s="166">
        <f t="shared" si="448"/>
      </c>
      <c r="O417" s="166">
        <f t="shared" si="470"/>
      </c>
      <c r="P417" s="161">
        <v>3</v>
      </c>
      <c r="Q417" s="168">
        <v>8</v>
      </c>
      <c r="R417" s="169">
        <f t="shared" si="39"/>
      </c>
      <c r="S417" s="165">
        <f t="shared" si="536"/>
      </c>
      <c r="T417" s="169">
        <f t="shared" si="164"/>
      </c>
      <c r="U417" s="169">
        <v>0.01</v>
      </c>
      <c r="V417" s="169">
        <f t="shared" si="301"/>
      </c>
      <c r="W417" s="169">
        <f t="shared" si="372"/>
      </c>
      <c r="X417" s="170">
        <v>0.1695</v>
      </c>
      <c r="Y417" s="171">
        <v>10</v>
      </c>
      <c r="Z417" s="171">
        <v>0</v>
      </c>
      <c r="AA417" s="171">
        <f t="shared" si="492"/>
      </c>
      <c r="AB417" s="166">
        <f t="shared" si="514"/>
      </c>
      <c r="AC417" s="166">
        <v>240</v>
      </c>
      <c r="AD417" s="172">
        <f t="shared" si="61"/>
      </c>
      <c r="AE417" s="168">
        <f t="shared" ref="AE417:AE432" si="538">11.1/7.4</f>
      </c>
      <c r="AF417" s="169">
        <f t="shared" si="186"/>
      </c>
      <c r="AG417" s="169">
        <f t="shared" si="328"/>
      </c>
      <c r="AH417" s="168">
        <v>25</v>
      </c>
      <c r="AI417" s="165">
        <f t="shared" si="311"/>
      </c>
      <c r="AJ417" s="169"/>
      <c r="AK417" s="169"/>
      <c r="AL417" s="169"/>
      <c r="AM417" s="169"/>
      <c r="AN417" s="173"/>
      <c r="AO417" s="173"/>
      <c r="AP417" s="173"/>
      <c r="AQ417" s="173"/>
      <c r="AR417" s="173"/>
      <c r="AS417" s="173"/>
      <c r="AT417" s="173" t="s">
        <v>725</v>
      </c>
      <c r="AU417" s="173" t="s">
        <v>725</v>
      </c>
      <c r="AV417" s="173" t="s">
        <v>725</v>
      </c>
      <c r="AW417" s="173" t="s">
        <v>725</v>
      </c>
      <c r="AX417" s="173" t="s">
        <v>725</v>
      </c>
      <c r="AY417" s="173" t="s">
        <v>725</v>
      </c>
      <c r="AZ417" s="173" t="s">
        <v>725</v>
      </c>
      <c r="BA417" s="173" t="s">
        <v>725</v>
      </c>
      <c r="BB417" s="173" t="s">
        <v>725</v>
      </c>
      <c r="BC417" s="173" t="s">
        <v>725</v>
      </c>
      <c r="BD417" s="173" t="s">
        <v>725</v>
      </c>
      <c r="BE417" s="173" t="s">
        <v>725</v>
      </c>
      <c r="BF417" s="173" t="s">
        <v>725</v>
      </c>
      <c r="BG417" s="173" t="s">
        <v>725</v>
      </c>
      <c r="BH417" s="173" t="s">
        <v>725</v>
      </c>
      <c r="BI417" s="173" t="s">
        <v>725</v>
      </c>
      <c r="BJ417" s="173" t="s">
        <v>725</v>
      </c>
      <c r="BK417" s="173" t="s">
        <v>725</v>
      </c>
      <c r="BL417" s="173" t="s">
        <v>725</v>
      </c>
      <c r="BM417" s="173" t="s">
        <v>725</v>
      </c>
      <c r="BN417" s="173" t="s">
        <v>725</v>
      </c>
      <c r="BO417" s="173" t="s">
        <v>725</v>
      </c>
      <c r="BP417" s="173" t="s">
        <v>725</v>
      </c>
      <c r="BQ417" s="173" t="s">
        <v>725</v>
      </c>
      <c r="BR417" s="180">
        <f t="shared" si="255"/>
      </c>
      <c r="BS417" s="161" t="str">
        <v>#VALUE!</v>
      </c>
    </row>
    <row customHeight="true" ht="18.51851851851852" r="418">
      <c r="A418" s="161" t="s">
        <v>729</v>
      </c>
      <c r="B418" s="161"/>
      <c r="C418" s="183" t="s">
        <v>873</v>
      </c>
      <c r="D418" s="162" t="s">
        <v>875</v>
      </c>
      <c r="E418" s="166">
        <v>76</v>
      </c>
      <c r="F418" s="179">
        <v>109.99</v>
      </c>
      <c r="G418" s="164">
        <f t="shared" si="19"/>
      </c>
      <c r="H418" s="164">
        <f t="shared" si="83"/>
      </c>
      <c r="I418" s="164">
        <f t="shared" si="145"/>
      </c>
      <c r="J418" s="165">
        <f t="shared" si="226"/>
      </c>
      <c r="K418" s="166">
        <f t="shared" si="279"/>
      </c>
      <c r="L418" s="167">
        <f t="shared" si="350"/>
      </c>
      <c r="M418" s="164">
        <f t="shared" si="395"/>
      </c>
      <c r="N418" s="166">
        <f t="shared" si="448"/>
      </c>
      <c r="O418" s="166">
        <f t="shared" si="470"/>
      </c>
      <c r="P418" s="161">
        <v>3</v>
      </c>
      <c r="Q418" s="168">
        <v>8</v>
      </c>
      <c r="R418" s="169">
        <f t="shared" si="39"/>
      </c>
      <c r="S418" s="165">
        <f t="shared" si="536"/>
      </c>
      <c r="T418" s="169">
        <f t="shared" si="164"/>
      </c>
      <c r="U418" s="169">
        <v>0.01</v>
      </c>
      <c r="V418" s="169">
        <f t="shared" si="301"/>
      </c>
      <c r="W418" s="169">
        <f t="shared" si="372"/>
      </c>
      <c r="X418" s="170">
        <v>0.1695</v>
      </c>
      <c r="Y418" s="171">
        <v>10</v>
      </c>
      <c r="Z418" s="171">
        <f>F418*0.1</f>
      </c>
      <c r="AA418" s="171">
        <f t="shared" si="492"/>
      </c>
      <c r="AB418" s="166">
        <f t="shared" si="514"/>
      </c>
      <c r="AC418" s="166">
        <v>240</v>
      </c>
      <c r="AD418" s="172">
        <f t="shared" si="61"/>
      </c>
      <c r="AE418" s="168">
        <f t="shared" si="538"/>
      </c>
      <c r="AF418" s="169">
        <f t="shared" si="186"/>
      </c>
      <c r="AG418" s="169">
        <f t="shared" si="328"/>
      </c>
      <c r="AH418" s="168">
        <v>25</v>
      </c>
      <c r="AI418" s="165">
        <f t="shared" si="311"/>
      </c>
      <c r="AJ418" s="169"/>
      <c r="AK418" s="169"/>
      <c r="AL418" s="169"/>
      <c r="AM418" s="169"/>
      <c r="AN418" s="173"/>
      <c r="AO418" s="173"/>
      <c r="AP418" s="173"/>
      <c r="AQ418" s="173"/>
      <c r="AR418" s="173"/>
      <c r="AS418" s="173"/>
      <c r="AT418" s="173" t="s">
        <v>725</v>
      </c>
      <c r="AU418" s="173" t="s">
        <v>725</v>
      </c>
      <c r="AV418" s="173" t="s">
        <v>725</v>
      </c>
      <c r="AW418" s="173" t="s">
        <v>725</v>
      </c>
      <c r="AX418" s="173" t="s">
        <v>725</v>
      </c>
      <c r="AY418" s="173" t="s">
        <v>725</v>
      </c>
      <c r="AZ418" s="173" t="s">
        <v>725</v>
      </c>
      <c r="BA418" s="173" t="s">
        <v>725</v>
      </c>
      <c r="BB418" s="173" t="s">
        <v>725</v>
      </c>
      <c r="BC418" s="173" t="s">
        <v>725</v>
      </c>
      <c r="BD418" s="173" t="s">
        <v>725</v>
      </c>
      <c r="BE418" s="173" t="s">
        <v>725</v>
      </c>
      <c r="BF418" s="173" t="s">
        <v>725</v>
      </c>
      <c r="BG418" s="173" t="s">
        <v>725</v>
      </c>
      <c r="BH418" s="173" t="s">
        <v>725</v>
      </c>
      <c r="BI418" s="173" t="s">
        <v>725</v>
      </c>
      <c r="BJ418" s="173" t="s">
        <v>725</v>
      </c>
      <c r="BK418" s="173" t="s">
        <v>725</v>
      </c>
      <c r="BL418" s="173" t="s">
        <v>725</v>
      </c>
      <c r="BM418" s="173" t="s">
        <v>725</v>
      </c>
      <c r="BN418" s="173" t="s">
        <v>725</v>
      </c>
      <c r="BO418" s="173" t="s">
        <v>725</v>
      </c>
      <c r="BP418" s="173" t="s">
        <v>725</v>
      </c>
      <c r="BQ418" s="173" t="s">
        <v>725</v>
      </c>
      <c r="BR418" s="180">
        <f t="shared" si="255"/>
      </c>
      <c r="BS418" s="161" t="str">
        <v>#VALUE!</v>
      </c>
    </row>
    <row customHeight="true" ht="18.51851851851852" r="419">
      <c r="A419" s="161" t="s">
        <v>729</v>
      </c>
      <c r="B419" s="161"/>
      <c r="C419" s="183" t="s">
        <v>873</v>
      </c>
      <c r="D419" s="162" t="s">
        <v>876</v>
      </c>
      <c r="E419" s="166">
        <v>76</v>
      </c>
      <c r="F419" s="179">
        <v>109.99</v>
      </c>
      <c r="G419" s="164">
        <f t="shared" si="19"/>
      </c>
      <c r="H419" s="164">
        <f t="shared" si="83"/>
      </c>
      <c r="I419" s="164">
        <f t="shared" si="145"/>
      </c>
      <c r="J419" s="165">
        <f t="shared" si="226"/>
      </c>
      <c r="K419" s="166">
        <f t="shared" si="279"/>
      </c>
      <c r="L419" s="167">
        <f t="shared" si="350"/>
      </c>
      <c r="M419" s="164">
        <f t="shared" si="395"/>
      </c>
      <c r="N419" s="166">
        <f t="shared" si="448"/>
      </c>
      <c r="O419" s="166">
        <f t="shared" si="470"/>
      </c>
      <c r="P419" s="161">
        <v>3</v>
      </c>
      <c r="Q419" s="168">
        <v>8</v>
      </c>
      <c r="R419" s="169">
        <f t="shared" si="39"/>
      </c>
      <c r="S419" s="165">
        <f t="shared" si="536"/>
      </c>
      <c r="T419" s="169">
        <f t="shared" si="164"/>
      </c>
      <c r="U419" s="169">
        <v>0.01</v>
      </c>
      <c r="V419" s="169">
        <f t="shared" si="301"/>
      </c>
      <c r="W419" s="169">
        <f t="shared" si="372"/>
      </c>
      <c r="X419" s="170">
        <v>0.1695</v>
      </c>
      <c r="Y419" s="171">
        <v>10</v>
      </c>
      <c r="Z419" s="171">
        <f>F419*0.15</f>
      </c>
      <c r="AA419" s="171">
        <f t="shared" si="492"/>
      </c>
      <c r="AB419" s="166">
        <f t="shared" si="514"/>
      </c>
      <c r="AC419" s="166">
        <v>240</v>
      </c>
      <c r="AD419" s="172">
        <f t="shared" si="61"/>
      </c>
      <c r="AE419" s="168">
        <f t="shared" si="538"/>
      </c>
      <c r="AF419" s="169">
        <f t="shared" si="186"/>
      </c>
      <c r="AG419" s="169">
        <f t="shared" si="328"/>
      </c>
      <c r="AH419" s="168">
        <v>25</v>
      </c>
      <c r="AI419" s="165">
        <f t="shared" si="311"/>
      </c>
      <c r="AJ419" s="169"/>
      <c r="AK419" s="169"/>
      <c r="AL419" s="169"/>
      <c r="AM419" s="169"/>
      <c r="AN419" s="173"/>
      <c r="AO419" s="173"/>
      <c r="AP419" s="173"/>
      <c r="AQ419" s="173"/>
      <c r="AR419" s="173"/>
      <c r="AS419" s="173"/>
      <c r="AT419" s="173" t="s">
        <v>725</v>
      </c>
      <c r="AU419" s="173" t="s">
        <v>725</v>
      </c>
      <c r="AV419" s="173" t="s">
        <v>725</v>
      </c>
      <c r="AW419" s="173" t="s">
        <v>725</v>
      </c>
      <c r="AX419" s="173" t="s">
        <v>725</v>
      </c>
      <c r="AY419" s="173" t="s">
        <v>725</v>
      </c>
      <c r="AZ419" s="173" t="s">
        <v>725</v>
      </c>
      <c r="BA419" s="173" t="s">
        <v>725</v>
      </c>
      <c r="BB419" s="173" t="s">
        <v>725</v>
      </c>
      <c r="BC419" s="173" t="s">
        <v>725</v>
      </c>
      <c r="BD419" s="173" t="s">
        <v>725</v>
      </c>
      <c r="BE419" s="173" t="s">
        <v>725</v>
      </c>
      <c r="BF419" s="173" t="s">
        <v>725</v>
      </c>
      <c r="BG419" s="173" t="s">
        <v>725</v>
      </c>
      <c r="BH419" s="173" t="s">
        <v>725</v>
      </c>
      <c r="BI419" s="173" t="s">
        <v>725</v>
      </c>
      <c r="BJ419" s="173" t="s">
        <v>725</v>
      </c>
      <c r="BK419" s="173" t="s">
        <v>725</v>
      </c>
      <c r="BL419" s="173" t="s">
        <v>725</v>
      </c>
      <c r="BM419" s="173" t="s">
        <v>725</v>
      </c>
      <c r="BN419" s="173" t="s">
        <v>725</v>
      </c>
      <c r="BO419" s="173" t="s">
        <v>725</v>
      </c>
      <c r="BP419" s="173" t="s">
        <v>725</v>
      </c>
      <c r="BQ419" s="173" t="s">
        <v>725</v>
      </c>
      <c r="BR419" s="180">
        <f t="shared" si="255"/>
      </c>
      <c r="BS419" s="161" t="str">
        <v>#VALUE!</v>
      </c>
    </row>
    <row customHeight="true" ht="18.51851851851852" r="420">
      <c r="A420" s="161" t="s">
        <v>732</v>
      </c>
      <c r="B420" s="161"/>
      <c r="C420" s="183" t="s">
        <v>873</v>
      </c>
      <c r="D420" s="162" t="s">
        <v>874</v>
      </c>
      <c r="E420" s="166">
        <v>76</v>
      </c>
      <c r="F420" s="179">
        <v>109.99</v>
      </c>
      <c r="G420" s="164">
        <f t="shared" si="19"/>
      </c>
      <c r="H420" s="164">
        <f t="shared" si="83"/>
      </c>
      <c r="I420" s="164">
        <f t="shared" si="145"/>
      </c>
      <c r="J420" s="165">
        <f t="shared" si="226"/>
      </c>
      <c r="K420" s="166">
        <f t="shared" si="279"/>
      </c>
      <c r="L420" s="167">
        <f t="shared" si="350"/>
      </c>
      <c r="M420" s="164">
        <f t="shared" si="395"/>
      </c>
      <c r="N420" s="166">
        <f t="shared" si="448"/>
      </c>
      <c r="O420" s="166">
        <f t="shared" si="470"/>
      </c>
      <c r="P420" s="161">
        <v>3</v>
      </c>
      <c r="Q420" s="168">
        <v>8</v>
      </c>
      <c r="R420" s="169">
        <f t="shared" si="39"/>
      </c>
      <c r="S420" s="165">
        <f t="shared" si="536"/>
      </c>
      <c r="T420" s="169">
        <f t="shared" si="164"/>
      </c>
      <c r="U420" s="169">
        <v>0.01</v>
      </c>
      <c r="V420" s="169">
        <f t="shared" si="301"/>
      </c>
      <c r="W420" s="169">
        <f t="shared" si="372"/>
      </c>
      <c r="X420" s="170">
        <v>0.198</v>
      </c>
      <c r="Y420" s="171">
        <v>10</v>
      </c>
      <c r="Z420" s="171">
        <v>0</v>
      </c>
      <c r="AA420" s="171">
        <f t="shared" si="492"/>
      </c>
      <c r="AB420" s="166">
        <f t="shared" si="514"/>
      </c>
      <c r="AC420" s="166">
        <v>240</v>
      </c>
      <c r="AD420" s="172">
        <f t="shared" si="61"/>
      </c>
      <c r="AE420" s="168">
        <f t="shared" si="538"/>
      </c>
      <c r="AF420" s="169">
        <f t="shared" si="186"/>
      </c>
      <c r="AG420" s="169">
        <f t="shared" si="328"/>
      </c>
      <c r="AH420" s="168">
        <v>25</v>
      </c>
      <c r="AI420" s="165">
        <f t="shared" si="311"/>
      </c>
      <c r="AJ420" s="169"/>
      <c r="AK420" s="169"/>
      <c r="AL420" s="169"/>
      <c r="AM420" s="169"/>
      <c r="AN420" s="173"/>
      <c r="AO420" s="173"/>
      <c r="AP420" s="173"/>
      <c r="AQ420" s="173"/>
      <c r="AR420" s="173"/>
      <c r="AS420" s="173"/>
      <c r="AT420" s="173" t="s">
        <v>725</v>
      </c>
      <c r="AU420" s="173" t="s">
        <v>725</v>
      </c>
      <c r="AV420" s="173" t="s">
        <v>725</v>
      </c>
      <c r="AW420" s="173" t="s">
        <v>725</v>
      </c>
      <c r="AX420" s="173" t="s">
        <v>725</v>
      </c>
      <c r="AY420" s="173" t="s">
        <v>725</v>
      </c>
      <c r="AZ420" s="173" t="s">
        <v>725</v>
      </c>
      <c r="BA420" s="173" t="s">
        <v>725</v>
      </c>
      <c r="BB420" s="173" t="s">
        <v>725</v>
      </c>
      <c r="BC420" s="173" t="s">
        <v>725</v>
      </c>
      <c r="BD420" s="173" t="s">
        <v>725</v>
      </c>
      <c r="BE420" s="173" t="s">
        <v>725</v>
      </c>
      <c r="BF420" s="173" t="s">
        <v>725</v>
      </c>
      <c r="BG420" s="173" t="s">
        <v>725</v>
      </c>
      <c r="BH420" s="173" t="s">
        <v>725</v>
      </c>
      <c r="BI420" s="173" t="s">
        <v>725</v>
      </c>
      <c r="BJ420" s="173" t="s">
        <v>725</v>
      </c>
      <c r="BK420" s="173" t="s">
        <v>725</v>
      </c>
      <c r="BL420" s="173" t="s">
        <v>725</v>
      </c>
      <c r="BM420" s="173" t="s">
        <v>725</v>
      </c>
      <c r="BN420" s="173" t="s">
        <v>725</v>
      </c>
      <c r="BO420" s="173" t="s">
        <v>725</v>
      </c>
      <c r="BP420" s="173" t="s">
        <v>725</v>
      </c>
      <c r="BQ420" s="173" t="s">
        <v>725</v>
      </c>
      <c r="BR420" s="180">
        <f t="shared" si="255"/>
      </c>
      <c r="BS420" s="161" t="str">
        <v>#VALUE!</v>
      </c>
    </row>
    <row customHeight="true" ht="18.51851851851852" r="421">
      <c r="A421" s="161" t="s">
        <v>732</v>
      </c>
      <c r="B421" s="161"/>
      <c r="C421" s="183" t="s">
        <v>873</v>
      </c>
      <c r="D421" s="162" t="s">
        <v>875</v>
      </c>
      <c r="E421" s="166">
        <v>76</v>
      </c>
      <c r="F421" s="179">
        <v>109.99</v>
      </c>
      <c r="G421" s="164">
        <f t="shared" si="19"/>
      </c>
      <c r="H421" s="164">
        <f t="shared" si="83"/>
      </c>
      <c r="I421" s="164">
        <f t="shared" si="145"/>
      </c>
      <c r="J421" s="165">
        <f t="shared" si="226"/>
      </c>
      <c r="K421" s="166">
        <f t="shared" si="279"/>
      </c>
      <c r="L421" s="167">
        <f t="shared" si="350"/>
      </c>
      <c r="M421" s="164">
        <f t="shared" si="395"/>
      </c>
      <c r="N421" s="166">
        <f t="shared" si="448"/>
      </c>
      <c r="O421" s="166">
        <f t="shared" si="470"/>
      </c>
      <c r="P421" s="161">
        <v>3</v>
      </c>
      <c r="Q421" s="168">
        <v>8</v>
      </c>
      <c r="R421" s="169">
        <f t="shared" si="39"/>
      </c>
      <c r="S421" s="165">
        <f t="shared" si="536"/>
      </c>
      <c r="T421" s="169">
        <f t="shared" si="164"/>
      </c>
      <c r="U421" s="169">
        <v>0.01</v>
      </c>
      <c r="V421" s="169">
        <f t="shared" si="301"/>
      </c>
      <c r="W421" s="169">
        <f t="shared" si="372"/>
      </c>
      <c r="X421" s="170">
        <v>0.198</v>
      </c>
      <c r="Y421" s="171">
        <v>10</v>
      </c>
      <c r="Z421" s="171">
        <f>F421*0.1</f>
      </c>
      <c r="AA421" s="171">
        <f t="shared" si="492"/>
      </c>
      <c r="AB421" s="166">
        <f t="shared" si="514"/>
      </c>
      <c r="AC421" s="166">
        <v>240</v>
      </c>
      <c r="AD421" s="172">
        <f t="shared" si="61"/>
      </c>
      <c r="AE421" s="168">
        <f t="shared" si="538"/>
      </c>
      <c r="AF421" s="169">
        <f t="shared" si="186"/>
      </c>
      <c r="AG421" s="169">
        <f t="shared" si="328"/>
      </c>
      <c r="AH421" s="168">
        <v>25</v>
      </c>
      <c r="AI421" s="165">
        <f t="shared" si="311"/>
      </c>
      <c r="AJ421" s="169"/>
      <c r="AK421" s="169"/>
      <c r="AL421" s="169"/>
      <c r="AM421" s="169"/>
      <c r="AN421" s="173"/>
      <c r="AO421" s="173"/>
      <c r="AP421" s="173"/>
      <c r="AQ421" s="173"/>
      <c r="AR421" s="173"/>
      <c r="AS421" s="173"/>
      <c r="AT421" s="173" t="s">
        <v>725</v>
      </c>
      <c r="AU421" s="173" t="s">
        <v>725</v>
      </c>
      <c r="AV421" s="173" t="s">
        <v>725</v>
      </c>
      <c r="AW421" s="173" t="s">
        <v>725</v>
      </c>
      <c r="AX421" s="173" t="s">
        <v>725</v>
      </c>
      <c r="AY421" s="173" t="s">
        <v>725</v>
      </c>
      <c r="AZ421" s="173" t="s">
        <v>725</v>
      </c>
      <c r="BA421" s="173" t="s">
        <v>725</v>
      </c>
      <c r="BB421" s="173" t="s">
        <v>725</v>
      </c>
      <c r="BC421" s="173" t="s">
        <v>725</v>
      </c>
      <c r="BD421" s="173" t="s">
        <v>725</v>
      </c>
      <c r="BE421" s="173" t="s">
        <v>725</v>
      </c>
      <c r="BF421" s="173" t="s">
        <v>725</v>
      </c>
      <c r="BG421" s="173" t="s">
        <v>725</v>
      </c>
      <c r="BH421" s="173" t="s">
        <v>725</v>
      </c>
      <c r="BI421" s="173" t="s">
        <v>725</v>
      </c>
      <c r="BJ421" s="173" t="s">
        <v>725</v>
      </c>
      <c r="BK421" s="173" t="s">
        <v>725</v>
      </c>
      <c r="BL421" s="173" t="s">
        <v>725</v>
      </c>
      <c r="BM421" s="173" t="s">
        <v>725</v>
      </c>
      <c r="BN421" s="173" t="s">
        <v>725</v>
      </c>
      <c r="BO421" s="173" t="s">
        <v>725</v>
      </c>
      <c r="BP421" s="173" t="s">
        <v>725</v>
      </c>
      <c r="BQ421" s="173" t="s">
        <v>725</v>
      </c>
      <c r="BR421" s="180">
        <f t="shared" si="255"/>
      </c>
      <c r="BS421" s="161" t="str">
        <v>#VALUE!</v>
      </c>
    </row>
    <row customHeight="true" ht="18.51851851851852" r="422">
      <c r="A422" s="161" t="s">
        <v>732</v>
      </c>
      <c r="B422" s="161"/>
      <c r="C422" s="183" t="s">
        <v>873</v>
      </c>
      <c r="D422" s="162" t="s">
        <v>876</v>
      </c>
      <c r="E422" s="166">
        <v>76</v>
      </c>
      <c r="F422" s="179">
        <v>109.99</v>
      </c>
      <c r="G422" s="164">
        <f t="shared" si="19"/>
      </c>
      <c r="H422" s="164">
        <f t="shared" si="83"/>
      </c>
      <c r="I422" s="164">
        <f t="shared" si="145"/>
      </c>
      <c r="J422" s="165">
        <f t="shared" si="226"/>
      </c>
      <c r="K422" s="166">
        <f t="shared" si="279"/>
      </c>
      <c r="L422" s="167">
        <f t="shared" si="350"/>
      </c>
      <c r="M422" s="164">
        <f t="shared" si="395"/>
      </c>
      <c r="N422" s="166">
        <f t="shared" si="448"/>
      </c>
      <c r="O422" s="166">
        <f t="shared" si="470"/>
      </c>
      <c r="P422" s="161">
        <v>3</v>
      </c>
      <c r="Q422" s="168">
        <v>8</v>
      </c>
      <c r="R422" s="169">
        <f t="shared" si="39"/>
      </c>
      <c r="S422" s="165">
        <f t="shared" si="536"/>
      </c>
      <c r="T422" s="169">
        <f t="shared" si="164"/>
      </c>
      <c r="U422" s="169">
        <v>0.01</v>
      </c>
      <c r="V422" s="169">
        <f t="shared" si="301"/>
      </c>
      <c r="W422" s="169">
        <f t="shared" si="372"/>
      </c>
      <c r="X422" s="170">
        <v>0.198</v>
      </c>
      <c r="Y422" s="171">
        <v>10</v>
      </c>
      <c r="Z422" s="171">
        <f>F422*0.15</f>
      </c>
      <c r="AA422" s="171">
        <f t="shared" si="492"/>
      </c>
      <c r="AB422" s="166">
        <f t="shared" si="514"/>
      </c>
      <c r="AC422" s="166">
        <v>240</v>
      </c>
      <c r="AD422" s="172">
        <f t="shared" si="61"/>
      </c>
      <c r="AE422" s="168">
        <f t="shared" si="538"/>
      </c>
      <c r="AF422" s="169">
        <f t="shared" si="186"/>
      </c>
      <c r="AG422" s="169">
        <f t="shared" si="328"/>
      </c>
      <c r="AH422" s="168">
        <v>25</v>
      </c>
      <c r="AI422" s="165">
        <f t="shared" si="311"/>
      </c>
      <c r="AJ422" s="169"/>
      <c r="AK422" s="169"/>
      <c r="AL422" s="169"/>
      <c r="AM422" s="169"/>
      <c r="AN422" s="173"/>
      <c r="AO422" s="173"/>
      <c r="AP422" s="173"/>
      <c r="AQ422" s="173"/>
      <c r="AR422" s="173"/>
      <c r="AS422" s="173"/>
      <c r="AT422" s="173" t="s">
        <v>725</v>
      </c>
      <c r="AU422" s="173" t="s">
        <v>725</v>
      </c>
      <c r="AV422" s="173" t="s">
        <v>725</v>
      </c>
      <c r="AW422" s="173" t="s">
        <v>725</v>
      </c>
      <c r="AX422" s="173" t="s">
        <v>725</v>
      </c>
      <c r="AY422" s="173" t="s">
        <v>725</v>
      </c>
      <c r="AZ422" s="173" t="s">
        <v>725</v>
      </c>
      <c r="BA422" s="173" t="s">
        <v>725</v>
      </c>
      <c r="BB422" s="173" t="s">
        <v>725</v>
      </c>
      <c r="BC422" s="173" t="s">
        <v>725</v>
      </c>
      <c r="BD422" s="173" t="s">
        <v>725</v>
      </c>
      <c r="BE422" s="173" t="s">
        <v>725</v>
      </c>
      <c r="BF422" s="173" t="s">
        <v>725</v>
      </c>
      <c r="BG422" s="173" t="s">
        <v>725</v>
      </c>
      <c r="BH422" s="173" t="s">
        <v>725</v>
      </c>
      <c r="BI422" s="173" t="s">
        <v>725</v>
      </c>
      <c r="BJ422" s="173" t="s">
        <v>725</v>
      </c>
      <c r="BK422" s="173" t="s">
        <v>725</v>
      </c>
      <c r="BL422" s="173" t="s">
        <v>725</v>
      </c>
      <c r="BM422" s="173" t="s">
        <v>725</v>
      </c>
      <c r="BN422" s="173" t="s">
        <v>725</v>
      </c>
      <c r="BO422" s="173" t="s">
        <v>725</v>
      </c>
      <c r="BP422" s="173" t="s">
        <v>725</v>
      </c>
      <c r="BQ422" s="173" t="s">
        <v>725</v>
      </c>
      <c r="BR422" s="180">
        <f t="shared" si="255"/>
      </c>
      <c r="BS422" s="161" t="str">
        <v>#VALUE!</v>
      </c>
    </row>
    <row customHeight="true" ht="18.51851851851852" r="423">
      <c r="A423" s="161" t="s">
        <v>733</v>
      </c>
      <c r="B423" s="161"/>
      <c r="C423" s="183" t="s">
        <v>873</v>
      </c>
      <c r="D423" s="162" t="s">
        <v>874</v>
      </c>
      <c r="E423" s="166">
        <v>76</v>
      </c>
      <c r="F423" s="179">
        <v>109.99</v>
      </c>
      <c r="G423" s="164">
        <f t="shared" si="19"/>
      </c>
      <c r="H423" s="164">
        <f t="shared" si="83"/>
      </c>
      <c r="I423" s="164">
        <f t="shared" si="145"/>
      </c>
      <c r="J423" s="165">
        <f t="shared" si="226"/>
      </c>
      <c r="K423" s="166">
        <f t="shared" si="279"/>
      </c>
      <c r="L423" s="167">
        <f t="shared" si="350"/>
      </c>
      <c r="M423" s="164">
        <f t="shared" si="395"/>
      </c>
      <c r="N423" s="166">
        <f t="shared" si="448"/>
      </c>
      <c r="O423" s="166">
        <f t="shared" si="470"/>
      </c>
      <c r="P423" s="161">
        <v>3</v>
      </c>
      <c r="Q423" s="168">
        <v>8</v>
      </c>
      <c r="R423" s="169">
        <f t="shared" si="39"/>
      </c>
      <c r="S423" s="165">
        <f t="shared" si="536"/>
      </c>
      <c r="T423" s="169">
        <f t="shared" si="164"/>
      </c>
      <c r="U423" s="169">
        <v>0.01</v>
      </c>
      <c r="V423" s="169">
        <f t="shared" si="301"/>
      </c>
      <c r="W423" s="169">
        <f t="shared" si="372"/>
      </c>
      <c r="X423" s="170">
        <v>0.1846</v>
      </c>
      <c r="Y423" s="171">
        <v>10</v>
      </c>
      <c r="Z423" s="171">
        <v>0</v>
      </c>
      <c r="AA423" s="171">
        <f t="shared" si="492"/>
      </c>
      <c r="AB423" s="166">
        <f t="shared" si="514"/>
      </c>
      <c r="AC423" s="166">
        <v>240</v>
      </c>
      <c r="AD423" s="172">
        <f t="shared" si="61"/>
      </c>
      <c r="AE423" s="168">
        <f t="shared" si="538"/>
      </c>
      <c r="AF423" s="169">
        <f t="shared" si="186"/>
      </c>
      <c r="AG423" s="169">
        <f t="shared" si="328"/>
      </c>
      <c r="AH423" s="168">
        <v>25</v>
      </c>
      <c r="AI423" s="165">
        <f t="shared" si="311"/>
      </c>
      <c r="AJ423" s="169"/>
      <c r="AK423" s="169"/>
      <c r="AL423" s="169"/>
      <c r="AM423" s="169"/>
      <c r="AN423" s="173"/>
      <c r="AO423" s="173"/>
      <c r="AP423" s="173"/>
      <c r="AQ423" s="173"/>
      <c r="AR423" s="173"/>
      <c r="AS423" s="173"/>
      <c r="AT423" s="173" t="s">
        <v>725</v>
      </c>
      <c r="AU423" s="173" t="s">
        <v>725</v>
      </c>
      <c r="AV423" s="173" t="s">
        <v>725</v>
      </c>
      <c r="AW423" s="173" t="s">
        <v>725</v>
      </c>
      <c r="AX423" s="173" t="s">
        <v>725</v>
      </c>
      <c r="AY423" s="173" t="s">
        <v>725</v>
      </c>
      <c r="AZ423" s="173" t="s">
        <v>725</v>
      </c>
      <c r="BA423" s="173" t="s">
        <v>725</v>
      </c>
      <c r="BB423" s="173" t="s">
        <v>725</v>
      </c>
      <c r="BC423" s="173" t="s">
        <v>725</v>
      </c>
      <c r="BD423" s="173" t="s">
        <v>725</v>
      </c>
      <c r="BE423" s="173" t="s">
        <v>725</v>
      </c>
      <c r="BF423" s="173" t="s">
        <v>725</v>
      </c>
      <c r="BG423" s="173" t="s">
        <v>725</v>
      </c>
      <c r="BH423" s="173" t="s">
        <v>725</v>
      </c>
      <c r="BI423" s="173" t="s">
        <v>725</v>
      </c>
      <c r="BJ423" s="173" t="s">
        <v>725</v>
      </c>
      <c r="BK423" s="173" t="s">
        <v>725</v>
      </c>
      <c r="BL423" s="173" t="s">
        <v>725</v>
      </c>
      <c r="BM423" s="173" t="s">
        <v>725</v>
      </c>
      <c r="BN423" s="173" t="s">
        <v>725</v>
      </c>
      <c r="BO423" s="173" t="s">
        <v>725</v>
      </c>
      <c r="BP423" s="173" t="s">
        <v>725</v>
      </c>
      <c r="BQ423" s="173" t="s">
        <v>725</v>
      </c>
      <c r="BR423" s="180">
        <f t="shared" si="255"/>
      </c>
      <c r="BS423" s="161" t="str">
        <v>#VALUE!</v>
      </c>
    </row>
    <row customHeight="true" ht="18.51851851851852" r="424">
      <c r="A424" s="161" t="s">
        <v>733</v>
      </c>
      <c r="B424" s="161"/>
      <c r="C424" s="183" t="s">
        <v>873</v>
      </c>
      <c r="D424" s="162" t="s">
        <v>875</v>
      </c>
      <c r="E424" s="166">
        <v>76</v>
      </c>
      <c r="F424" s="179">
        <v>109.99</v>
      </c>
      <c r="G424" s="164">
        <f t="shared" si="19"/>
      </c>
      <c r="H424" s="164">
        <f t="shared" si="83"/>
      </c>
      <c r="I424" s="164">
        <f t="shared" si="145"/>
      </c>
      <c r="J424" s="165">
        <f t="shared" si="226"/>
      </c>
      <c r="K424" s="166">
        <f t="shared" si="279"/>
      </c>
      <c r="L424" s="167">
        <f t="shared" si="350"/>
      </c>
      <c r="M424" s="164">
        <f t="shared" si="395"/>
      </c>
      <c r="N424" s="166">
        <f t="shared" si="448"/>
      </c>
      <c r="O424" s="166">
        <f t="shared" si="470"/>
      </c>
      <c r="P424" s="161">
        <v>3</v>
      </c>
      <c r="Q424" s="168">
        <v>8</v>
      </c>
      <c r="R424" s="169">
        <f t="shared" si="39"/>
      </c>
      <c r="S424" s="165">
        <f t="shared" si="536"/>
      </c>
      <c r="T424" s="169">
        <f t="shared" si="164"/>
      </c>
      <c r="U424" s="169">
        <v>0.01</v>
      </c>
      <c r="V424" s="169">
        <f t="shared" si="301"/>
      </c>
      <c r="W424" s="169">
        <f t="shared" si="372"/>
      </c>
      <c r="X424" s="170">
        <v>0.1846</v>
      </c>
      <c r="Y424" s="171">
        <v>10</v>
      </c>
      <c r="Z424" s="171">
        <f>F424*0.1</f>
      </c>
      <c r="AA424" s="171">
        <f t="shared" si="492"/>
      </c>
      <c r="AB424" s="166">
        <f t="shared" si="514"/>
      </c>
      <c r="AC424" s="166">
        <v>240</v>
      </c>
      <c r="AD424" s="172">
        <f t="shared" si="61"/>
      </c>
      <c r="AE424" s="168">
        <f t="shared" si="538"/>
      </c>
      <c r="AF424" s="169">
        <f t="shared" si="186"/>
      </c>
      <c r="AG424" s="169">
        <f t="shared" si="328"/>
      </c>
      <c r="AH424" s="168">
        <v>25</v>
      </c>
      <c r="AI424" s="165">
        <f t="shared" si="311"/>
      </c>
      <c r="AJ424" s="169"/>
      <c r="AK424" s="169"/>
      <c r="AL424" s="169"/>
      <c r="AM424" s="169"/>
      <c r="AN424" s="173"/>
      <c r="AO424" s="173"/>
      <c r="AP424" s="173"/>
      <c r="AQ424" s="173"/>
      <c r="AR424" s="173"/>
      <c r="AS424" s="173"/>
      <c r="AT424" s="173" t="s">
        <v>725</v>
      </c>
      <c r="AU424" s="173" t="s">
        <v>725</v>
      </c>
      <c r="AV424" s="173" t="s">
        <v>725</v>
      </c>
      <c r="AW424" s="173" t="s">
        <v>725</v>
      </c>
      <c r="AX424" s="173" t="s">
        <v>725</v>
      </c>
      <c r="AY424" s="173" t="s">
        <v>725</v>
      </c>
      <c r="AZ424" s="173" t="s">
        <v>725</v>
      </c>
      <c r="BA424" s="173" t="s">
        <v>725</v>
      </c>
      <c r="BB424" s="173" t="s">
        <v>725</v>
      </c>
      <c r="BC424" s="173" t="s">
        <v>725</v>
      </c>
      <c r="BD424" s="173" t="s">
        <v>725</v>
      </c>
      <c r="BE424" s="173" t="s">
        <v>725</v>
      </c>
      <c r="BF424" s="173" t="s">
        <v>725</v>
      </c>
      <c r="BG424" s="173" t="s">
        <v>725</v>
      </c>
      <c r="BH424" s="173" t="s">
        <v>725</v>
      </c>
      <c r="BI424" s="173" t="s">
        <v>725</v>
      </c>
      <c r="BJ424" s="173" t="s">
        <v>725</v>
      </c>
      <c r="BK424" s="173" t="s">
        <v>725</v>
      </c>
      <c r="BL424" s="173" t="s">
        <v>725</v>
      </c>
      <c r="BM424" s="173" t="s">
        <v>725</v>
      </c>
      <c r="BN424" s="173" t="s">
        <v>725</v>
      </c>
      <c r="BO424" s="173" t="s">
        <v>725</v>
      </c>
      <c r="BP424" s="173" t="s">
        <v>725</v>
      </c>
      <c r="BQ424" s="173" t="s">
        <v>725</v>
      </c>
      <c r="BR424" s="180">
        <f t="shared" si="255"/>
      </c>
      <c r="BS424" s="161" t="str">
        <v>#VALUE!</v>
      </c>
    </row>
    <row customHeight="true" ht="18.51851851851852" r="425">
      <c r="A425" s="161" t="s">
        <v>733</v>
      </c>
      <c r="B425" s="161"/>
      <c r="C425" s="183" t="s">
        <v>873</v>
      </c>
      <c r="D425" s="162" t="s">
        <v>876</v>
      </c>
      <c r="E425" s="166">
        <v>76</v>
      </c>
      <c r="F425" s="179">
        <v>109.99</v>
      </c>
      <c r="G425" s="164">
        <f t="shared" si="19"/>
      </c>
      <c r="H425" s="164">
        <f t="shared" si="83"/>
      </c>
      <c r="I425" s="164">
        <f t="shared" si="145"/>
      </c>
      <c r="J425" s="165">
        <f t="shared" si="226"/>
      </c>
      <c r="K425" s="166">
        <f t="shared" si="279"/>
      </c>
      <c r="L425" s="167">
        <f t="shared" si="350"/>
      </c>
      <c r="M425" s="164">
        <f t="shared" si="395"/>
      </c>
      <c r="N425" s="166">
        <f t="shared" si="448"/>
      </c>
      <c r="O425" s="166">
        <f t="shared" si="470"/>
      </c>
      <c r="P425" s="161">
        <v>3</v>
      </c>
      <c r="Q425" s="168">
        <v>8</v>
      </c>
      <c r="R425" s="169">
        <f t="shared" si="39"/>
      </c>
      <c r="S425" s="165">
        <f t="shared" si="536"/>
      </c>
      <c r="T425" s="169">
        <f t="shared" si="164"/>
      </c>
      <c r="U425" s="169">
        <v>0.01</v>
      </c>
      <c r="V425" s="169">
        <f t="shared" si="301"/>
      </c>
      <c r="W425" s="169">
        <f t="shared" si="372"/>
      </c>
      <c r="X425" s="170">
        <v>0.1846</v>
      </c>
      <c r="Y425" s="171">
        <v>10</v>
      </c>
      <c r="Z425" s="171">
        <f>F425*0.15</f>
      </c>
      <c r="AA425" s="171">
        <f t="shared" si="492"/>
      </c>
      <c r="AB425" s="166">
        <f t="shared" si="514"/>
      </c>
      <c r="AC425" s="166">
        <v>240</v>
      </c>
      <c r="AD425" s="172">
        <f t="shared" si="61"/>
      </c>
      <c r="AE425" s="168">
        <f t="shared" si="538"/>
      </c>
      <c r="AF425" s="169">
        <f t="shared" si="186"/>
      </c>
      <c r="AG425" s="169">
        <f t="shared" si="328"/>
      </c>
      <c r="AH425" s="168">
        <v>25</v>
      </c>
      <c r="AI425" s="165">
        <f t="shared" si="311"/>
      </c>
      <c r="AJ425" s="169"/>
      <c r="AK425" s="169"/>
      <c r="AL425" s="169"/>
      <c r="AM425" s="169"/>
      <c r="AN425" s="173"/>
      <c r="AO425" s="173"/>
      <c r="AP425" s="173"/>
      <c r="AQ425" s="173"/>
      <c r="AR425" s="173"/>
      <c r="AS425" s="173"/>
      <c r="AT425" s="173" t="s">
        <v>725</v>
      </c>
      <c r="AU425" s="173" t="s">
        <v>725</v>
      </c>
      <c r="AV425" s="173" t="s">
        <v>725</v>
      </c>
      <c r="AW425" s="173" t="s">
        <v>725</v>
      </c>
      <c r="AX425" s="173" t="s">
        <v>725</v>
      </c>
      <c r="AY425" s="173" t="s">
        <v>725</v>
      </c>
      <c r="AZ425" s="173" t="s">
        <v>725</v>
      </c>
      <c r="BA425" s="173" t="s">
        <v>725</v>
      </c>
      <c r="BB425" s="173" t="s">
        <v>725</v>
      </c>
      <c r="BC425" s="173" t="s">
        <v>725</v>
      </c>
      <c r="BD425" s="173" t="s">
        <v>725</v>
      </c>
      <c r="BE425" s="173" t="s">
        <v>725</v>
      </c>
      <c r="BF425" s="173" t="s">
        <v>725</v>
      </c>
      <c r="BG425" s="173" t="s">
        <v>725</v>
      </c>
      <c r="BH425" s="173" t="s">
        <v>725</v>
      </c>
      <c r="BI425" s="173" t="s">
        <v>725</v>
      </c>
      <c r="BJ425" s="173" t="s">
        <v>725</v>
      </c>
      <c r="BK425" s="173" t="s">
        <v>725</v>
      </c>
      <c r="BL425" s="173" t="s">
        <v>725</v>
      </c>
      <c r="BM425" s="173" t="s">
        <v>725</v>
      </c>
      <c r="BN425" s="173" t="s">
        <v>725</v>
      </c>
      <c r="BO425" s="173" t="s">
        <v>725</v>
      </c>
      <c r="BP425" s="173" t="s">
        <v>725</v>
      </c>
      <c r="BQ425" s="173" t="s">
        <v>725</v>
      </c>
      <c r="BR425" s="180">
        <f t="shared" si="255"/>
      </c>
      <c r="BS425" s="161" t="str">
        <v>#VALUE!</v>
      </c>
    </row>
    <row customHeight="true" ht="18.51851851851852" r="426">
      <c r="A426" s="161" t="s">
        <v>734</v>
      </c>
      <c r="B426" s="161"/>
      <c r="C426" s="183" t="s">
        <v>873</v>
      </c>
      <c r="D426" s="162" t="s">
        <v>874</v>
      </c>
      <c r="E426" s="166">
        <v>76</v>
      </c>
      <c r="F426" s="179">
        <v>109.99</v>
      </c>
      <c r="G426" s="164">
        <f t="shared" si="19"/>
      </c>
      <c r="H426" s="164">
        <f t="shared" si="83"/>
      </c>
      <c r="I426" s="164">
        <f t="shared" si="145"/>
      </c>
      <c r="J426" s="165">
        <f t="shared" si="226"/>
      </c>
      <c r="K426" s="166">
        <f t="shared" si="279"/>
      </c>
      <c r="L426" s="167">
        <f t="shared" si="350"/>
      </c>
      <c r="M426" s="164">
        <f t="shared" si="395"/>
      </c>
      <c r="N426" s="166">
        <f t="shared" si="448"/>
      </c>
      <c r="O426" s="166">
        <f t="shared" si="470"/>
      </c>
      <c r="P426" s="161">
        <v>3</v>
      </c>
      <c r="Q426" s="168">
        <v>8</v>
      </c>
      <c r="R426" s="169">
        <f t="shared" si="39"/>
      </c>
      <c r="S426" s="165">
        <f t="shared" si="536"/>
      </c>
      <c r="T426" s="169">
        <f t="shared" si="164"/>
      </c>
      <c r="U426" s="169">
        <v>0.01</v>
      </c>
      <c r="V426" s="169">
        <f t="shared" si="301"/>
      </c>
      <c r="W426" s="169">
        <f t="shared" si="372"/>
      </c>
      <c r="X426" s="170">
        <v>0.1646</v>
      </c>
      <c r="Y426" s="171">
        <v>10</v>
      </c>
      <c r="Z426" s="171">
        <v>0</v>
      </c>
      <c r="AA426" s="171">
        <f t="shared" si="492"/>
      </c>
      <c r="AB426" s="166">
        <f t="shared" si="514"/>
      </c>
      <c r="AC426" s="166">
        <v>240</v>
      </c>
      <c r="AD426" s="172">
        <f t="shared" si="61"/>
      </c>
      <c r="AE426" s="168">
        <f t="shared" si="538"/>
      </c>
      <c r="AF426" s="169">
        <f t="shared" si="186"/>
      </c>
      <c r="AG426" s="169">
        <f t="shared" si="328"/>
      </c>
      <c r="AH426" s="168">
        <v>25</v>
      </c>
      <c r="AI426" s="165">
        <f t="shared" si="311"/>
      </c>
      <c r="AJ426" s="169"/>
      <c r="AK426" s="169"/>
      <c r="AL426" s="169"/>
      <c r="AM426" s="169"/>
      <c r="AN426" s="173"/>
      <c r="AO426" s="173"/>
      <c r="AP426" s="173"/>
      <c r="AQ426" s="173"/>
      <c r="AR426" s="173"/>
      <c r="AS426" s="173"/>
      <c r="AT426" s="173" t="s">
        <v>725</v>
      </c>
      <c r="AU426" s="173" t="s">
        <v>725</v>
      </c>
      <c r="AV426" s="173" t="s">
        <v>725</v>
      </c>
      <c r="AW426" s="173" t="s">
        <v>725</v>
      </c>
      <c r="AX426" s="173" t="s">
        <v>725</v>
      </c>
      <c r="AY426" s="173" t="s">
        <v>725</v>
      </c>
      <c r="AZ426" s="173" t="s">
        <v>725</v>
      </c>
      <c r="BA426" s="173" t="s">
        <v>725</v>
      </c>
      <c r="BB426" s="173" t="s">
        <v>725</v>
      </c>
      <c r="BC426" s="173" t="s">
        <v>725</v>
      </c>
      <c r="BD426" s="173" t="s">
        <v>725</v>
      </c>
      <c r="BE426" s="173" t="s">
        <v>725</v>
      </c>
      <c r="BF426" s="173" t="s">
        <v>725</v>
      </c>
      <c r="BG426" s="173" t="s">
        <v>725</v>
      </c>
      <c r="BH426" s="173" t="s">
        <v>725</v>
      </c>
      <c r="BI426" s="173" t="s">
        <v>725</v>
      </c>
      <c r="BJ426" s="173" t="s">
        <v>725</v>
      </c>
      <c r="BK426" s="173" t="s">
        <v>725</v>
      </c>
      <c r="BL426" s="173" t="s">
        <v>725</v>
      </c>
      <c r="BM426" s="173" t="s">
        <v>725</v>
      </c>
      <c r="BN426" s="173" t="s">
        <v>725</v>
      </c>
      <c r="BO426" s="173" t="s">
        <v>725</v>
      </c>
      <c r="BP426" s="173" t="s">
        <v>725</v>
      </c>
      <c r="BQ426" s="173" t="s">
        <v>725</v>
      </c>
      <c r="BR426" s="180">
        <f t="shared" si="255"/>
      </c>
      <c r="BS426" s="161" t="str">
        <v>#VALUE!</v>
      </c>
    </row>
    <row customHeight="true" ht="18.51851851851852" r="427">
      <c r="A427" s="161" t="s">
        <v>734</v>
      </c>
      <c r="B427" s="161"/>
      <c r="C427" s="183" t="s">
        <v>873</v>
      </c>
      <c r="D427" s="162" t="s">
        <v>875</v>
      </c>
      <c r="E427" s="166">
        <v>76</v>
      </c>
      <c r="F427" s="179">
        <v>109.99</v>
      </c>
      <c r="G427" s="164">
        <f t="shared" si="19"/>
      </c>
      <c r="H427" s="164">
        <f t="shared" si="83"/>
      </c>
      <c r="I427" s="164">
        <f t="shared" si="145"/>
      </c>
      <c r="J427" s="165">
        <f t="shared" si="226"/>
      </c>
      <c r="K427" s="166">
        <f t="shared" si="279"/>
      </c>
      <c r="L427" s="167">
        <f t="shared" si="350"/>
      </c>
      <c r="M427" s="164">
        <f t="shared" si="395"/>
      </c>
      <c r="N427" s="166">
        <f t="shared" si="448"/>
      </c>
      <c r="O427" s="166">
        <f t="shared" si="470"/>
      </c>
      <c r="P427" s="161">
        <v>3</v>
      </c>
      <c r="Q427" s="168">
        <v>8</v>
      </c>
      <c r="R427" s="169">
        <f t="shared" si="39"/>
      </c>
      <c r="S427" s="165">
        <f t="shared" si="536"/>
      </c>
      <c r="T427" s="169">
        <f t="shared" si="164"/>
      </c>
      <c r="U427" s="169">
        <v>0.01</v>
      </c>
      <c r="V427" s="169">
        <f t="shared" si="301"/>
      </c>
      <c r="W427" s="169">
        <f t="shared" si="372"/>
      </c>
      <c r="X427" s="170">
        <v>0.1646</v>
      </c>
      <c r="Y427" s="171">
        <v>10</v>
      </c>
      <c r="Z427" s="171">
        <f>F427*0.1</f>
      </c>
      <c r="AA427" s="171">
        <f t="shared" si="492"/>
      </c>
      <c r="AB427" s="166">
        <f t="shared" si="514"/>
      </c>
      <c r="AC427" s="166">
        <v>240</v>
      </c>
      <c r="AD427" s="172">
        <f t="shared" si="61"/>
      </c>
      <c r="AE427" s="168">
        <f t="shared" si="538"/>
      </c>
      <c r="AF427" s="169">
        <f t="shared" si="186"/>
      </c>
      <c r="AG427" s="169">
        <f t="shared" si="328"/>
      </c>
      <c r="AH427" s="168">
        <v>25</v>
      </c>
      <c r="AI427" s="165">
        <f t="shared" si="311"/>
      </c>
      <c r="AJ427" s="169"/>
      <c r="AK427" s="169"/>
      <c r="AL427" s="169"/>
      <c r="AM427" s="169"/>
      <c r="AN427" s="173"/>
      <c r="AO427" s="173"/>
      <c r="AP427" s="173"/>
      <c r="AQ427" s="173"/>
      <c r="AR427" s="173"/>
      <c r="AS427" s="173"/>
      <c r="AT427" s="173" t="s">
        <v>725</v>
      </c>
      <c r="AU427" s="173" t="s">
        <v>725</v>
      </c>
      <c r="AV427" s="173" t="s">
        <v>725</v>
      </c>
      <c r="AW427" s="173" t="s">
        <v>725</v>
      </c>
      <c r="AX427" s="173" t="s">
        <v>725</v>
      </c>
      <c r="AY427" s="173" t="s">
        <v>725</v>
      </c>
      <c r="AZ427" s="173" t="s">
        <v>725</v>
      </c>
      <c r="BA427" s="173" t="s">
        <v>725</v>
      </c>
      <c r="BB427" s="173" t="s">
        <v>725</v>
      </c>
      <c r="BC427" s="173" t="s">
        <v>725</v>
      </c>
      <c r="BD427" s="173" t="s">
        <v>725</v>
      </c>
      <c r="BE427" s="173" t="s">
        <v>725</v>
      </c>
      <c r="BF427" s="173" t="s">
        <v>725</v>
      </c>
      <c r="BG427" s="173" t="s">
        <v>725</v>
      </c>
      <c r="BH427" s="173" t="s">
        <v>725</v>
      </c>
      <c r="BI427" s="173" t="s">
        <v>725</v>
      </c>
      <c r="BJ427" s="173" t="s">
        <v>725</v>
      </c>
      <c r="BK427" s="173" t="s">
        <v>725</v>
      </c>
      <c r="BL427" s="173" t="s">
        <v>725</v>
      </c>
      <c r="BM427" s="173" t="s">
        <v>725</v>
      </c>
      <c r="BN427" s="173" t="s">
        <v>725</v>
      </c>
      <c r="BO427" s="173" t="s">
        <v>725</v>
      </c>
      <c r="BP427" s="173" t="s">
        <v>725</v>
      </c>
      <c r="BQ427" s="173" t="s">
        <v>725</v>
      </c>
      <c r="BR427" s="180">
        <f t="shared" si="255"/>
      </c>
      <c r="BS427" s="161" t="str">
        <v>#VALUE!</v>
      </c>
    </row>
    <row customHeight="true" ht="18.51851851851852" r="428">
      <c r="A428" s="161" t="s">
        <v>734</v>
      </c>
      <c r="B428" s="161"/>
      <c r="C428" s="183" t="s">
        <v>873</v>
      </c>
      <c r="D428" s="162" t="s">
        <v>876</v>
      </c>
      <c r="E428" s="166">
        <v>76</v>
      </c>
      <c r="F428" s="179">
        <v>109.99</v>
      </c>
      <c r="G428" s="164">
        <f t="shared" si="19"/>
      </c>
      <c r="H428" s="164">
        <f t="shared" si="83"/>
      </c>
      <c r="I428" s="164">
        <f t="shared" si="145"/>
      </c>
      <c r="J428" s="165">
        <f t="shared" si="226"/>
      </c>
      <c r="K428" s="166">
        <f t="shared" si="279"/>
      </c>
      <c r="L428" s="167">
        <f t="shared" si="350"/>
      </c>
      <c r="M428" s="164">
        <f t="shared" si="395"/>
      </c>
      <c r="N428" s="166">
        <f t="shared" si="448"/>
      </c>
      <c r="O428" s="166">
        <f t="shared" si="470"/>
      </c>
      <c r="P428" s="161">
        <v>3</v>
      </c>
      <c r="Q428" s="168">
        <v>8</v>
      </c>
      <c r="R428" s="169">
        <f t="shared" si="39"/>
      </c>
      <c r="S428" s="165">
        <f t="shared" si="536"/>
      </c>
      <c r="T428" s="169">
        <f t="shared" si="164"/>
      </c>
      <c r="U428" s="169">
        <v>0.01</v>
      </c>
      <c r="V428" s="169">
        <f t="shared" si="301"/>
      </c>
      <c r="W428" s="169">
        <f t="shared" si="372"/>
      </c>
      <c r="X428" s="170">
        <v>0.1646</v>
      </c>
      <c r="Y428" s="171">
        <v>10</v>
      </c>
      <c r="Z428" s="171">
        <f>F428*0.15</f>
      </c>
      <c r="AA428" s="171">
        <f t="shared" si="492"/>
      </c>
      <c r="AB428" s="166">
        <f t="shared" si="514"/>
      </c>
      <c r="AC428" s="166">
        <v>240</v>
      </c>
      <c r="AD428" s="172">
        <f t="shared" si="61"/>
      </c>
      <c r="AE428" s="168">
        <f t="shared" si="538"/>
      </c>
      <c r="AF428" s="169">
        <f t="shared" si="186"/>
      </c>
      <c r="AG428" s="169">
        <f t="shared" si="328"/>
      </c>
      <c r="AH428" s="168">
        <v>25</v>
      </c>
      <c r="AI428" s="165">
        <f t="shared" si="311"/>
      </c>
      <c r="AJ428" s="169"/>
      <c r="AK428" s="169"/>
      <c r="AL428" s="169"/>
      <c r="AM428" s="169"/>
      <c r="AN428" s="173"/>
      <c r="AO428" s="173"/>
      <c r="AP428" s="173"/>
      <c r="AQ428" s="173"/>
      <c r="AR428" s="173"/>
      <c r="AS428" s="173"/>
      <c r="AT428" s="173" t="s">
        <v>725</v>
      </c>
      <c r="AU428" s="173" t="s">
        <v>725</v>
      </c>
      <c r="AV428" s="173" t="s">
        <v>725</v>
      </c>
      <c r="AW428" s="173" t="s">
        <v>725</v>
      </c>
      <c r="AX428" s="173" t="s">
        <v>725</v>
      </c>
      <c r="AY428" s="173" t="s">
        <v>725</v>
      </c>
      <c r="AZ428" s="173" t="s">
        <v>725</v>
      </c>
      <c r="BA428" s="173" t="s">
        <v>725</v>
      </c>
      <c r="BB428" s="173" t="s">
        <v>725</v>
      </c>
      <c r="BC428" s="173" t="s">
        <v>725</v>
      </c>
      <c r="BD428" s="173" t="s">
        <v>725</v>
      </c>
      <c r="BE428" s="173" t="s">
        <v>725</v>
      </c>
      <c r="BF428" s="173" t="s">
        <v>725</v>
      </c>
      <c r="BG428" s="173" t="s">
        <v>725</v>
      </c>
      <c r="BH428" s="173" t="s">
        <v>725</v>
      </c>
      <c r="BI428" s="173" t="s">
        <v>725</v>
      </c>
      <c r="BJ428" s="173" t="s">
        <v>725</v>
      </c>
      <c r="BK428" s="173" t="s">
        <v>725</v>
      </c>
      <c r="BL428" s="173" t="s">
        <v>725</v>
      </c>
      <c r="BM428" s="173" t="s">
        <v>725</v>
      </c>
      <c r="BN428" s="173" t="s">
        <v>725</v>
      </c>
      <c r="BO428" s="173" t="s">
        <v>725</v>
      </c>
      <c r="BP428" s="173" t="s">
        <v>725</v>
      </c>
      <c r="BQ428" s="173" t="s">
        <v>725</v>
      </c>
      <c r="BR428" s="180">
        <f t="shared" si="255"/>
      </c>
      <c r="BS428" s="161" t="str">
        <v>#VALUE!</v>
      </c>
    </row>
    <row customHeight="true" ht="18.51851851851852" r="429">
      <c r="A429" s="161" t="s">
        <v>735</v>
      </c>
      <c r="B429" s="161"/>
      <c r="C429" s="183" t="s">
        <v>873</v>
      </c>
      <c r="D429" s="162" t="s">
        <v>877</v>
      </c>
      <c r="E429" s="166">
        <v>82</v>
      </c>
      <c r="F429" s="179">
        <v>119.99</v>
      </c>
      <c r="G429" s="164">
        <f t="shared" si="19"/>
      </c>
      <c r="H429" s="164">
        <f t="shared" si="83"/>
      </c>
      <c r="I429" s="164">
        <f t="shared" si="145"/>
      </c>
      <c r="J429" s="165">
        <f t="shared" si="226"/>
      </c>
      <c r="K429" s="166">
        <f t="shared" si="279"/>
      </c>
      <c r="L429" s="167">
        <f t="shared" si="350"/>
      </c>
      <c r="M429" s="164">
        <f t="shared" si="395"/>
      </c>
      <c r="N429" s="166">
        <f t="shared" si="448"/>
      </c>
      <c r="O429" s="166">
        <f t="shared" si="470"/>
      </c>
      <c r="P429" s="161">
        <v>3</v>
      </c>
      <c r="Q429" s="168">
        <v>8</v>
      </c>
      <c r="R429" s="169">
        <f t="shared" si="39"/>
      </c>
      <c r="S429" s="165">
        <f t="shared" si="536"/>
      </c>
      <c r="T429" s="169">
        <f t="shared" si="164"/>
      </c>
      <c r="U429" s="169">
        <v>0.01</v>
      </c>
      <c r="V429" s="169">
        <f t="shared" si="301"/>
      </c>
      <c r="W429" s="169">
        <f t="shared" si="372"/>
      </c>
      <c r="X429" s="170">
        <v>0.158</v>
      </c>
      <c r="Y429" s="171">
        <v>10</v>
      </c>
      <c r="Z429" s="171">
        <v>0</v>
      </c>
      <c r="AA429" s="171">
        <f t="shared" si="492"/>
      </c>
      <c r="AB429" s="166">
        <f t="shared" si="514"/>
      </c>
      <c r="AC429" s="166">
        <v>240</v>
      </c>
      <c r="AD429" s="172">
        <f t="shared" si="61"/>
      </c>
      <c r="AE429" s="168">
        <f t="shared" si="538"/>
      </c>
      <c r="AF429" s="169">
        <f t="shared" si="186"/>
      </c>
      <c r="AG429" s="169">
        <f t="shared" si="328"/>
      </c>
      <c r="AH429" s="168">
        <v>25</v>
      </c>
      <c r="AI429" s="165">
        <f t="shared" si="311"/>
      </c>
      <c r="AJ429" s="169"/>
      <c r="AK429" s="169"/>
      <c r="AL429" s="169"/>
      <c r="AM429" s="169"/>
      <c r="AN429" s="173"/>
      <c r="AO429" s="173"/>
      <c r="AP429" s="173"/>
      <c r="AQ429" s="173"/>
      <c r="AR429" s="173"/>
      <c r="AS429" s="173"/>
      <c r="AT429" s="173" t="s">
        <v>725</v>
      </c>
      <c r="AU429" s="173" t="s">
        <v>725</v>
      </c>
      <c r="AV429" s="173" t="s">
        <v>725</v>
      </c>
      <c r="AW429" s="173" t="s">
        <v>725</v>
      </c>
      <c r="AX429" s="173" t="s">
        <v>725</v>
      </c>
      <c r="AY429" s="173" t="s">
        <v>725</v>
      </c>
      <c r="AZ429" s="173" t="s">
        <v>725</v>
      </c>
      <c r="BA429" s="173" t="s">
        <v>725</v>
      </c>
      <c r="BB429" s="173" t="s">
        <v>725</v>
      </c>
      <c r="BC429" s="173" t="s">
        <v>725</v>
      </c>
      <c r="BD429" s="173" t="s">
        <v>725</v>
      </c>
      <c r="BE429" s="173" t="s">
        <v>725</v>
      </c>
      <c r="BF429" s="173" t="s">
        <v>725</v>
      </c>
      <c r="BG429" s="173" t="s">
        <v>725</v>
      </c>
      <c r="BH429" s="173" t="s">
        <v>725</v>
      </c>
      <c r="BI429" s="173" t="s">
        <v>725</v>
      </c>
      <c r="BJ429" s="173" t="s">
        <v>725</v>
      </c>
      <c r="BK429" s="173" t="s">
        <v>725</v>
      </c>
      <c r="BL429" s="173" t="s">
        <v>725</v>
      </c>
      <c r="BM429" s="173" t="s">
        <v>725</v>
      </c>
      <c r="BN429" s="173" t="s">
        <v>725</v>
      </c>
      <c r="BO429" s="173" t="s">
        <v>725</v>
      </c>
      <c r="BP429" s="173" t="s">
        <v>725</v>
      </c>
      <c r="BQ429" s="173" t="s">
        <v>725</v>
      </c>
      <c r="BR429" s="180">
        <f t="shared" si="255"/>
      </c>
      <c r="BS429" s="161" t="str">
        <v>#VALUE!</v>
      </c>
    </row>
    <row customHeight="true" ht="18.51851851851852" r="430">
      <c r="A430" s="161" t="s">
        <v>737</v>
      </c>
      <c r="B430" s="161"/>
      <c r="C430" s="183" t="s">
        <v>873</v>
      </c>
      <c r="D430" s="162" t="s">
        <v>877</v>
      </c>
      <c r="E430" s="166">
        <v>82</v>
      </c>
      <c r="F430" s="179">
        <v>119.99</v>
      </c>
      <c r="G430" s="164">
        <f t="shared" si="19"/>
      </c>
      <c r="H430" s="164">
        <f t="shared" si="83"/>
      </c>
      <c r="I430" s="164">
        <f t="shared" si="145"/>
      </c>
      <c r="J430" s="165">
        <f t="shared" si="226"/>
      </c>
      <c r="K430" s="166">
        <f t="shared" si="279"/>
      </c>
      <c r="L430" s="167">
        <f t="shared" si="350"/>
      </c>
      <c r="M430" s="164">
        <f t="shared" si="395"/>
      </c>
      <c r="N430" s="166">
        <f t="shared" si="448"/>
      </c>
      <c r="O430" s="166">
        <f t="shared" si="470"/>
      </c>
      <c r="P430" s="161">
        <v>3</v>
      </c>
      <c r="Q430" s="168">
        <v>8</v>
      </c>
      <c r="R430" s="169">
        <f t="shared" si="39"/>
      </c>
      <c r="S430" s="165">
        <f t="shared" si="536"/>
      </c>
      <c r="T430" s="169">
        <f t="shared" si="164"/>
      </c>
      <c r="U430" s="169">
        <v>0.01</v>
      </c>
      <c r="V430" s="169">
        <f t="shared" si="301"/>
      </c>
      <c r="W430" s="169">
        <f t="shared" si="372"/>
      </c>
      <c r="X430" s="170">
        <v>0.223</v>
      </c>
      <c r="Y430" s="171">
        <v>10</v>
      </c>
      <c r="Z430" s="171">
        <v>0</v>
      </c>
      <c r="AA430" s="171">
        <f t="shared" si="492"/>
      </c>
      <c r="AB430" s="166">
        <f t="shared" si="514"/>
      </c>
      <c r="AC430" s="166">
        <v>240</v>
      </c>
      <c r="AD430" s="172">
        <f t="shared" si="61"/>
      </c>
      <c r="AE430" s="168">
        <f t="shared" si="538"/>
      </c>
      <c r="AF430" s="169">
        <f t="shared" si="186"/>
      </c>
      <c r="AG430" s="169">
        <f t="shared" si="328"/>
      </c>
      <c r="AH430" s="168">
        <v>25</v>
      </c>
      <c r="AI430" s="165">
        <f t="shared" si="311"/>
      </c>
      <c r="AJ430" s="169"/>
      <c r="AK430" s="169"/>
      <c r="AL430" s="169"/>
      <c r="AM430" s="169"/>
      <c r="AN430" s="173"/>
      <c r="AO430" s="173"/>
      <c r="AP430" s="173"/>
      <c r="AQ430" s="173"/>
      <c r="AR430" s="173"/>
      <c r="AS430" s="173"/>
      <c r="AT430" s="173" t="s">
        <v>725</v>
      </c>
      <c r="AU430" s="173" t="s">
        <v>725</v>
      </c>
      <c r="AV430" s="173" t="s">
        <v>725</v>
      </c>
      <c r="AW430" s="173" t="s">
        <v>725</v>
      </c>
      <c r="AX430" s="173" t="s">
        <v>725</v>
      </c>
      <c r="AY430" s="173" t="s">
        <v>725</v>
      </c>
      <c r="AZ430" s="173" t="s">
        <v>725</v>
      </c>
      <c r="BA430" s="173" t="s">
        <v>725</v>
      </c>
      <c r="BB430" s="173" t="s">
        <v>725</v>
      </c>
      <c r="BC430" s="173" t="s">
        <v>725</v>
      </c>
      <c r="BD430" s="173" t="s">
        <v>725</v>
      </c>
      <c r="BE430" s="173" t="s">
        <v>725</v>
      </c>
      <c r="BF430" s="173" t="s">
        <v>725</v>
      </c>
      <c r="BG430" s="173" t="s">
        <v>725</v>
      </c>
      <c r="BH430" s="173" t="s">
        <v>725</v>
      </c>
      <c r="BI430" s="173" t="s">
        <v>725</v>
      </c>
      <c r="BJ430" s="173" t="s">
        <v>725</v>
      </c>
      <c r="BK430" s="173" t="s">
        <v>725</v>
      </c>
      <c r="BL430" s="173" t="s">
        <v>725</v>
      </c>
      <c r="BM430" s="173" t="s">
        <v>725</v>
      </c>
      <c r="BN430" s="173" t="s">
        <v>725</v>
      </c>
      <c r="BO430" s="173" t="s">
        <v>725</v>
      </c>
      <c r="BP430" s="173" t="s">
        <v>725</v>
      </c>
      <c r="BQ430" s="173" t="s">
        <v>725</v>
      </c>
      <c r="BR430" s="180">
        <f t="shared" si="255"/>
      </c>
      <c r="BS430" s="161" t="str">
        <v>#VALUE!</v>
      </c>
    </row>
    <row customHeight="true" ht="18.51851851851852" r="431">
      <c r="A431" s="161" t="s">
        <v>739</v>
      </c>
      <c r="B431" s="161"/>
      <c r="C431" s="183" t="s">
        <v>873</v>
      </c>
      <c r="D431" s="162" t="s">
        <v>877</v>
      </c>
      <c r="E431" s="166">
        <v>82</v>
      </c>
      <c r="F431" s="179">
        <v>119.99</v>
      </c>
      <c r="G431" s="164">
        <f t="shared" si="19"/>
      </c>
      <c r="H431" s="164">
        <f t="shared" si="83"/>
      </c>
      <c r="I431" s="164">
        <f t="shared" si="145"/>
      </c>
      <c r="J431" s="165">
        <f t="shared" si="226"/>
      </c>
      <c r="K431" s="166">
        <f t="shared" si="279"/>
      </c>
      <c r="L431" s="167">
        <f t="shared" si="350"/>
      </c>
      <c r="M431" s="164">
        <f t="shared" si="395"/>
      </c>
      <c r="N431" s="166">
        <f t="shared" si="448"/>
      </c>
      <c r="O431" s="166">
        <f t="shared" si="470"/>
      </c>
      <c r="P431" s="161">
        <v>3</v>
      </c>
      <c r="Q431" s="168">
        <v>8</v>
      </c>
      <c r="R431" s="169">
        <f t="shared" si="39"/>
      </c>
      <c r="S431" s="165">
        <f t="shared" si="536"/>
      </c>
      <c r="T431" s="169">
        <f t="shared" si="164"/>
      </c>
      <c r="U431" s="169">
        <v>0.01</v>
      </c>
      <c r="V431" s="169">
        <f t="shared" si="301"/>
      </c>
      <c r="W431" s="169">
        <f t="shared" si="372"/>
      </c>
      <c r="X431" s="170">
        <v>0.223</v>
      </c>
      <c r="Y431" s="171">
        <v>10</v>
      </c>
      <c r="Z431" s="171">
        <v>0</v>
      </c>
      <c r="AA431" s="171">
        <f t="shared" si="492"/>
      </c>
      <c r="AB431" s="166">
        <f t="shared" si="514"/>
      </c>
      <c r="AC431" s="166">
        <v>240</v>
      </c>
      <c r="AD431" s="172">
        <f t="shared" si="61"/>
      </c>
      <c r="AE431" s="168">
        <f t="shared" si="538"/>
      </c>
      <c r="AF431" s="169">
        <f t="shared" si="186"/>
      </c>
      <c r="AG431" s="169">
        <f t="shared" si="328"/>
      </c>
      <c r="AH431" s="168">
        <v>25</v>
      </c>
      <c r="AI431" s="165">
        <f t="shared" si="311"/>
      </c>
      <c r="AJ431" s="169"/>
      <c r="AK431" s="169"/>
      <c r="AL431" s="169"/>
      <c r="AM431" s="169"/>
      <c r="AN431" s="173"/>
      <c r="AO431" s="173"/>
      <c r="AP431" s="173"/>
      <c r="AQ431" s="173"/>
      <c r="AR431" s="173"/>
      <c r="AS431" s="173"/>
      <c r="AT431" s="173" t="s">
        <v>725</v>
      </c>
      <c r="AU431" s="173" t="s">
        <v>725</v>
      </c>
      <c r="AV431" s="173" t="s">
        <v>725</v>
      </c>
      <c r="AW431" s="173" t="s">
        <v>725</v>
      </c>
      <c r="AX431" s="173" t="s">
        <v>725</v>
      </c>
      <c r="AY431" s="173" t="s">
        <v>725</v>
      </c>
      <c r="AZ431" s="173" t="s">
        <v>725</v>
      </c>
      <c r="BA431" s="173" t="s">
        <v>725</v>
      </c>
      <c r="BB431" s="173" t="s">
        <v>725</v>
      </c>
      <c r="BC431" s="173" t="s">
        <v>725</v>
      </c>
      <c r="BD431" s="173" t="s">
        <v>725</v>
      </c>
      <c r="BE431" s="173" t="s">
        <v>725</v>
      </c>
      <c r="BF431" s="173" t="s">
        <v>725</v>
      </c>
      <c r="BG431" s="173" t="s">
        <v>725</v>
      </c>
      <c r="BH431" s="173" t="s">
        <v>725</v>
      </c>
      <c r="BI431" s="173" t="s">
        <v>725</v>
      </c>
      <c r="BJ431" s="173" t="s">
        <v>725</v>
      </c>
      <c r="BK431" s="173" t="s">
        <v>725</v>
      </c>
      <c r="BL431" s="173" t="s">
        <v>725</v>
      </c>
      <c r="BM431" s="173" t="s">
        <v>725</v>
      </c>
      <c r="BN431" s="173" t="s">
        <v>725</v>
      </c>
      <c r="BO431" s="173" t="s">
        <v>725</v>
      </c>
      <c r="BP431" s="173" t="s">
        <v>725</v>
      </c>
      <c r="BQ431" s="173" t="s">
        <v>725</v>
      </c>
      <c r="BR431" s="180">
        <f t="shared" si="255"/>
      </c>
      <c r="BS431" s="161" t="str">
        <v>#VALUE!</v>
      </c>
    </row>
    <row customHeight="true" ht="18.51851851851852" r="432">
      <c r="A432" s="161" t="s">
        <v>741</v>
      </c>
      <c r="B432" s="161"/>
      <c r="C432" s="183" t="s">
        <v>873</v>
      </c>
      <c r="D432" s="162" t="s">
        <v>877</v>
      </c>
      <c r="E432" s="166">
        <v>82</v>
      </c>
      <c r="F432" s="179">
        <v>119.99</v>
      </c>
      <c r="G432" s="164">
        <f t="shared" si="19"/>
      </c>
      <c r="H432" s="164">
        <f t="shared" si="83"/>
      </c>
      <c r="I432" s="164">
        <f t="shared" si="145"/>
      </c>
      <c r="J432" s="165">
        <f t="shared" si="226"/>
      </c>
      <c r="K432" s="166">
        <f t="shared" si="279"/>
      </c>
      <c r="L432" s="167">
        <f t="shared" si="350"/>
      </c>
      <c r="M432" s="164">
        <f t="shared" si="395"/>
      </c>
      <c r="N432" s="166">
        <f t="shared" si="448"/>
      </c>
      <c r="O432" s="166">
        <f t="shared" si="470"/>
      </c>
      <c r="P432" s="161">
        <v>3</v>
      </c>
      <c r="Q432" s="168">
        <v>8</v>
      </c>
      <c r="R432" s="169">
        <f t="shared" si="39"/>
      </c>
      <c r="S432" s="165">
        <f t="shared" si="536"/>
      </c>
      <c r="T432" s="169">
        <f t="shared" si="164"/>
      </c>
      <c r="U432" s="169">
        <v>0.01</v>
      </c>
      <c r="V432" s="169">
        <f t="shared" si="301"/>
      </c>
      <c r="W432" s="169">
        <f t="shared" si="372"/>
      </c>
      <c r="X432" s="170">
        <v>0.158</v>
      </c>
      <c r="Y432" s="171">
        <v>10</v>
      </c>
      <c r="Z432" s="171">
        <v>0</v>
      </c>
      <c r="AA432" s="171">
        <f t="shared" si="492"/>
      </c>
      <c r="AB432" s="166">
        <f t="shared" si="514"/>
      </c>
      <c r="AC432" s="166">
        <v>240</v>
      </c>
      <c r="AD432" s="172">
        <f t="shared" si="61"/>
      </c>
      <c r="AE432" s="168">
        <f t="shared" si="538"/>
      </c>
      <c r="AF432" s="169">
        <f t="shared" si="186"/>
      </c>
      <c r="AG432" s="169">
        <f t="shared" si="328"/>
      </c>
      <c r="AH432" s="168">
        <v>25</v>
      </c>
      <c r="AI432" s="165">
        <f t="shared" si="311"/>
      </c>
      <c r="AJ432" s="169"/>
      <c r="AK432" s="169"/>
      <c r="AL432" s="169"/>
      <c r="AM432" s="169"/>
      <c r="AN432" s="173"/>
      <c r="AO432" s="173"/>
      <c r="AP432" s="173"/>
      <c r="AQ432" s="173"/>
      <c r="AR432" s="173"/>
      <c r="AS432" s="173"/>
      <c r="AT432" s="173" t="s">
        <v>725</v>
      </c>
      <c r="AU432" s="173" t="s">
        <v>725</v>
      </c>
      <c r="AV432" s="173" t="s">
        <v>725</v>
      </c>
      <c r="AW432" s="173" t="s">
        <v>725</v>
      </c>
      <c r="AX432" s="173" t="s">
        <v>725</v>
      </c>
      <c r="AY432" s="173" t="s">
        <v>725</v>
      </c>
      <c r="AZ432" s="173" t="s">
        <v>725</v>
      </c>
      <c r="BA432" s="173" t="s">
        <v>725</v>
      </c>
      <c r="BB432" s="173" t="s">
        <v>725</v>
      </c>
      <c r="BC432" s="173" t="s">
        <v>725</v>
      </c>
      <c r="BD432" s="173" t="s">
        <v>725</v>
      </c>
      <c r="BE432" s="173" t="s">
        <v>725</v>
      </c>
      <c r="BF432" s="173" t="s">
        <v>725</v>
      </c>
      <c r="BG432" s="173" t="s">
        <v>725</v>
      </c>
      <c r="BH432" s="173" t="s">
        <v>725</v>
      </c>
      <c r="BI432" s="173" t="s">
        <v>725</v>
      </c>
      <c r="BJ432" s="173" t="s">
        <v>725</v>
      </c>
      <c r="BK432" s="173" t="s">
        <v>725</v>
      </c>
      <c r="BL432" s="173" t="s">
        <v>725</v>
      </c>
      <c r="BM432" s="173" t="s">
        <v>725</v>
      </c>
      <c r="BN432" s="173" t="s">
        <v>725</v>
      </c>
      <c r="BO432" s="173" t="s">
        <v>725</v>
      </c>
      <c r="BP432" s="173" t="s">
        <v>725</v>
      </c>
      <c r="BQ432" s="173" t="s">
        <v>725</v>
      </c>
      <c r="BR432" s="180">
        <f t="shared" si="255"/>
      </c>
      <c r="BS432" s="161" t="str">
        <v>#VALUE!</v>
      </c>
    </row>
  </sheetData>
  <conditionalFormatting sqref="J24:J26 J49:J51 J66:J68 J86:J88 J103:J105 J123:J130 J132:J157 J181:J182 J206:J207 J231:J232 J251:J252 J271:J272 J291:J292 J311:J312 J331:J332 J351:J352 J371:J372 J391:J392 J411:J412 J414:J432 Y26:Z26 Y51:Z51 Y68:Z68 Y88:Z88 Y105:Z105 Y125:Z130 Y132:Y157 Y414:Y432 Z132:Z137 Z157:Z157 AA24:AA26 AA49:AA51 AA66:AA68 AA86:AA88 AA103:AA105 AA123:AA130 AA132:AA157 AA181:AA182 AA206:AA207 AA231:AA232 AA251:AA252 AA271:AA272 AA291:AA292 AA311:AA312 AA331:AA332 AA351:AA352 AA371:AA372 AA391:AA392 AA411:AA412 AA414:AA432">
    <cfRule dxfId="3" operator="lessThanOrEqual" priority="1" stopIfTrue="true" type="cellIs">
      <formula>0</formula>
    </cfRule>
  </conditionalFormatting>
  <conditionalFormatting sqref="J22:J26 J47:J51 J64:J68 J84:J88 J101:J105 J121:J130 J132:J157 J179:J182 J204:J207 J229:J232 J249:J252 J269:J272 J289:J292 J309:J312 J329:J332 J349:J352 J369:J372 J389:J392 J409:J412 J414:J432 Y26:Z26 Y51:Z51 Y68:Z68 Y88:Z88 Y105:Z105 Y125:Z130 Y132:Y157 Y414:Y432 Z132:Z137 Z157:Z157 AA22:AA26 AA47:AA51 AA64:AA68 AA84:AA88 AA101:AA105 AA121:AA130 AA132:AA157 AA179:AA182 AA204:AA207 AA229:AA232 AA249:AA252 AA269:AA272 AA289:AA292 AA309:AA312 AA329:AA332 AA349:AA352 AA369:AA372 AA389:AA392 AA409:AA412 AA414:AA432">
    <cfRule dxfId="4" operator="lessThanOrEqual" priority="2" stopIfTrue="true" type="cellIs">
      <formula>0</formula>
    </cfRule>
  </conditionalFormatting>
  <conditionalFormatting sqref="J22:J26 J47:J51 J64:J68 J84:J88 J101:J105 J121:J130 J132:J157 J179:J182 J204:J207 J229:J232 J249:J252 J269:J272 J289:J292 J309:J312 J329:J332 J349:J352 J369:J372 J389:J392 J409:J412 J414:J432">
    <cfRule dxfId="5" operator="lessThanOrEqual" priority="3" stopIfTrue="true" type="cellIs">
      <formula>0</formula>
    </cfRule>
  </conditionalFormatting>
  <conditionalFormatting sqref="J24:J26 J49:J51 J66:J68 J86:J88 J103:J105 J123:J130 J132:J157 J181:J182 J206:J207 J231:J232 J251:J252 J271:J272 J291:J292 J311:J312 J331:J332 J351:J352 J371:J372 J391:J392 J411:J412 J414:J432">
    <cfRule dxfId="6" operator="lessThanOrEqual" priority="4" stopIfTrue="true" type="cellIs">
      <formula>0</formula>
    </cfRule>
  </conditionalFormatting>
  <conditionalFormatting sqref="J2:J5 J27:J30 J106:J108 J159:J162 J184:J187 J209:J212 Y2:Z25 Y27:Z50 Y52:Z67 Y69:Z87 Y89:Z104 Y106:Z124 Y159:Z182 Y184:Z207 Y209:Z232 Y234:Z292 Y294:Z312 Y314:Z332 Y334:Z352 Y354:Z372 Y374:Z392 Y394:Z412 Z138:Z156 Z414:Z432 AA2:AA5 AA27:AA30 AA106:AA108 AA159:AA162 AA184:AA187 AA209:AA212">
    <cfRule dxfId="7" operator="lessThanOrEqual" priority="5" stopIfTrue="true" type="cellIs">
      <formula>0</formula>
    </cfRule>
  </conditionalFormatting>
  <conditionalFormatting sqref="G1:J1 N1:O1 Y1:Y1">
    <cfRule dxfId="8" operator="lessThanOrEqual" priority="6" stopIfTrue="true" type="cellIs">
      <formula>0</formula>
    </cfRule>
  </conditionalFormatting>
  <conditionalFormatting sqref="J2:J5 J27:J30 J106:J108 J159:J162 J184:J187 J209:J212">
    <cfRule dxfId="9" operator="lessThanOrEqual" priority="7" stopIfTrue="true" type="cellIs">
      <formula>0</formula>
    </cfRule>
  </conditionalFormatting>
  <conditionalFormatting sqref="G2:G157 G159:I182 G184:I207 G209:I232 G234:I292 G294:I312 G314:I332 G334:I352 G354:I372 G374:I392 G394:I412 G414:J432 H2:I130 H132:J157 J22:J26 J47:J51 J64:J68 J84:J88 J101:J105 J121:J130 J179:J182 J204:J207 J229:J232 J249:J252 J269:J272 J289:J292 J309:J312 J329:J332 J349:J352 J369:J372 J389:J392 J409:J412 Y26:Z26 Y51:Z51 Y68:Z68 Y88:Z88 Y105:Z105 Y125:Z130 Y132:Y157 Y414:Y432 Z132:Z137 Z157:Z157 AA22:AA26 AA47:AA51 AA64:AA68 AA84:AA88 AA101:AA105 AA121:AA130 AA132:AA157 AA179:AA182 AA204:AA207 AA229:AA232 AA249:AA252 AA269:AA272 AA289:AA292 AA309:AA312 AA329:AA332 AA349:AA352 AA369:AA372 AA389:AA392 AA409:AA412 AA414:AA432">
    <cfRule dxfId="10" operator="lessThanOrEqual" priority="8" stopIfTrue="true" type="cellIs">
      <formula>0</formula>
    </cfRule>
  </conditionalFormatting>
  <conditionalFormatting sqref="J6:J21 J25:J26 J31:J46 J50:J63 J67:J83 J87:J100 J104:J105 J109:J120 J124:J130 J132:J157 J163:J178 J182:J182 J188:J203 J207:J207 J213:J228 J232:J232 J234:J248 J252:J268 J272:J288 J292:J292 J294:J308 J312:J312 J314:J328 J332:J332 J334:J348 J352:J352 J354:J368 J372:J372 J374:J388 J392:J392 J394:J408 J412:J412 J414:J432 Y26:Z26 Y51:Z51 Y68:Z68 Y88:Z88 Y105:Z105 Y125:Z130 Y132:Y157 Y414:Y432 Z132:Z137 Z157:Z157 AA6:AA21 AA25:AA26 AA31:AA46 AA50:AA63 AA67:AA83 AA87:AA100 AA104:AA105 AA109:AA120 AA124:AA130 AA132:AA157 AA163:AA178 AA182:AA182 AA188:AA203 AA207:AA207 AA213:AA228 AA232:AA232 AA234:AA248 AA252:AA268 AA272:AA288 AA292:AA292 AA294:AA308 AA312:AA312 AA314:AA328 AA332:AA332 AA334:AA348 AA352:AA352 AA354:AA368 AA372:AA372 AA374:AA388 AA392:AA392 AA394:AA408 AA412:AA412 AA414:AA432">
    <cfRule dxfId="11" operator="lessThanOrEqual" priority="9" stopIfTrue="true" type="cellIs">
      <formula>0</formula>
    </cfRule>
  </conditionalFormatting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E2" xSplit="4" ySplit="1"/>
    </sheetView>
  </sheetViews>
  <sheetFormatPr defaultRowHeight="16"/>
  <cols>
    <col collapsed="false" customWidth="true" hidden="false" max="27" min="27" style="0" width="8.066666666666666"/>
    <col collapsed="false" customWidth="true" hidden="true" max="27" min="27" style="0" width="8.066666666666666"/>
    <col collapsed="false" customWidth="true" hidden="false" max="43" min="43" style="0" width="9.533333333333333"/>
    <col collapsed="false" customWidth="true" hidden="false" max="59" min="59" style="0" width="8.066666666666666"/>
    <col collapsed="false" customWidth="true" hidden="false" max="76" min="76" style="0" width="8.066666666666666"/>
    <col collapsed="false" customWidth="true" hidden="false" max="92" min="92" style="0" width="8.066666666666666"/>
    <col collapsed="false" customWidth="true" hidden="false" max="108" min="108" style="0" width="8.066666666666666"/>
    <col collapsed="false" customWidth="true" hidden="false" max="11" min="11" style="0" width="9.4"/>
    <col collapsed="false" customWidth="true" hidden="true" max="11" min="11" style="0" width="9.4"/>
    <col collapsed="false" customWidth="true" hidden="false" max="28" min="28" style="0" width="9.533333333333333"/>
    <col collapsed="false" customWidth="true" hidden="true" max="28" min="28" style="0" width="9.533333333333333"/>
    <col collapsed="false" customWidth="true" hidden="false" max="44" min="44" style="0" width="9.533333333333333"/>
    <col collapsed="false" customWidth="true" hidden="false" max="60" min="60" style="0" width="8.066666666666666"/>
    <col collapsed="false" customWidth="true" hidden="false" max="77" min="77" style="0" width="8.066666666666666"/>
    <col collapsed="false" customWidth="true" hidden="false" max="93" min="93" style="0" width="8.066666666666666"/>
    <col collapsed="false" customWidth="true" hidden="false" max="12" min="12" style="0" width="9.4"/>
    <col collapsed="false" customWidth="true" hidden="true" max="12" min="12" style="0" width="9.4"/>
    <col collapsed="false" customWidth="true" hidden="false" max="29" min="29" style="0" width="9.4"/>
    <col collapsed="false" customWidth="true" hidden="true" max="29" min="29" style="0" width="9.4"/>
    <col collapsed="false" customWidth="true" hidden="false" max="45" min="45" style="0" width="9.533333333333333"/>
    <col collapsed="false" customWidth="true" hidden="false" max="61" min="61" style="0" width="8.066666666666666"/>
    <col collapsed="false" customWidth="true" hidden="false" max="78" min="78" style="0" width="8.066666666666666"/>
    <col collapsed="false" customWidth="true" hidden="false" max="94" min="94" style="0" width="8.066666666666666"/>
    <col collapsed="false" customWidth="true" hidden="false" max="13" min="13" style="0" width="9.4"/>
    <col collapsed="false" customWidth="true" hidden="true" max="13" min="13" style="0" width="9.4"/>
    <col collapsed="false" customWidth="true" hidden="false" max="30" min="30" style="0" width="9.533333333333333"/>
    <col collapsed="false" customWidth="true" hidden="true" max="30" min="30" style="0" width="9.533333333333333"/>
    <col collapsed="false" customWidth="true" hidden="false" max="46" min="46" style="0" width="9.533333333333333"/>
    <col collapsed="false" customWidth="true" hidden="false" max="62" min="62" style="0" width="8.066666666666666"/>
    <col collapsed="false" customWidth="true" hidden="false" max="79" min="79" style="0" width="8.066666666666666"/>
    <col collapsed="false" customWidth="true" hidden="false" max="95" min="95" style="0" width="8.066666666666666"/>
    <col collapsed="false" customWidth="true" hidden="false" max="14" min="14" style="0" width="9.4"/>
    <col collapsed="false" customWidth="true" hidden="true" max="14" min="14" style="0" width="9.4"/>
    <col collapsed="false" customWidth="true" hidden="false" max="31" min="31" style="0" width="9.533333333333333"/>
    <col collapsed="false" customWidth="true" hidden="true" max="31" min="31" style="0" width="9.533333333333333"/>
    <col collapsed="false" customWidth="true" hidden="false" max="47" min="47" style="0" width="9.533333333333333"/>
    <col collapsed="false" customWidth="true" hidden="false" max="63" min="63" style="0" width="8.066666666666666"/>
    <col collapsed="false" customWidth="true" hidden="false" max="80" min="80" style="0" width="8.066666666666666"/>
    <col collapsed="false" customWidth="true" hidden="false" max="96" min="96" style="0" width="8.066666666666666"/>
    <col collapsed="false" customWidth="true" hidden="false" max="15" min="15" style="0" width="9.4"/>
    <col collapsed="false" customWidth="true" hidden="true" max="15" min="15" style="0" width="9.4"/>
    <col collapsed="false" customWidth="true" hidden="false" max="32" min="32" style="0" width="9.533333333333333"/>
    <col collapsed="false" customWidth="true" hidden="true" max="32" min="32" style="0" width="9.533333333333333"/>
    <col collapsed="false" customWidth="true" hidden="false" max="48" min="48" style="0" width="9.533333333333333"/>
    <col collapsed="false" customWidth="true" hidden="false" max="64" min="64" style="0" width="8.066666666666666"/>
    <col collapsed="false" customWidth="true" hidden="false" max="65" min="65" style="0" width="8.066666666666666"/>
    <col collapsed="false" customWidth="true" hidden="false" max="81" min="81" style="0" width="6.866666666666666"/>
    <col collapsed="false" customWidth="true" hidden="false" max="97" min="97" style="0" width="8.066666666666666"/>
    <col collapsed="false" customWidth="true" hidden="false" max="16" min="16" style="0" width="9.4"/>
    <col collapsed="false" customWidth="true" hidden="true" max="16" min="16" style="0" width="9.4"/>
    <col collapsed="false" customWidth="true" hidden="false" max="17" min="17" style="0" width="9.4"/>
    <col collapsed="false" customWidth="true" hidden="true" max="17" min="17" style="0" width="9.4"/>
    <col collapsed="false" customWidth="true" hidden="false" max="33" min="33" style="0" width="9.533333333333333"/>
    <col collapsed="false" customWidth="true" hidden="true" max="33" min="33" style="0" width="9.533333333333333"/>
    <col collapsed="false" customWidth="true" hidden="false" max="49" min="49" style="0" width="9.533333333333333"/>
    <col collapsed="false" customWidth="true" hidden="false" max="66" min="66" style="0" width="8.066666666666666"/>
    <col collapsed="false" customWidth="true" hidden="false" max="82" min="82" style="0" width="6.866666666666666"/>
    <col collapsed="false" customWidth="true" hidden="false" max="98" min="98" style="0" width="8.066666666666666"/>
    <col collapsed="false" customWidth="true" hidden="false" max="1" min="1" style="0" width="17.266666666666666"/>
    <col collapsed="false" customWidth="true" hidden="false" max="18" min="18" style="0" width="9.4"/>
    <col collapsed="false" customWidth="true" hidden="true" max="18" min="18" style="0" width="9.4"/>
    <col collapsed="false" customWidth="true" hidden="false" max="34" min="34" style="0" width="9.533333333333333"/>
    <col collapsed="false" customWidth="true" hidden="true" max="34" min="34" style="0" width="9.533333333333333"/>
    <col collapsed="false" customWidth="true" hidden="false" max="50" min="50" style="0" width="6.866666666666666"/>
    <col collapsed="false" customWidth="true" hidden="false" max="67" min="67" style="0" width="8.066666666666666"/>
    <col collapsed="false" customWidth="true" hidden="false" max="83" min="83" style="0" width="6.866666666666666"/>
    <col collapsed="false" customWidth="true" hidden="false" max="99" min="99" style="0" width="8.066666666666666"/>
    <col collapsed="false" customWidth="true" hidden="false" max="2" min="2" style="0" width="8.733333333333333"/>
    <col collapsed="false" customWidth="true" hidden="false" max="19" min="19" style="0" width="8.066666666666666"/>
    <col collapsed="false" customWidth="true" hidden="true" max="19" min="19" style="0" width="8.066666666666666"/>
    <col collapsed="false" customWidth="true" hidden="false" max="35" min="35" style="0" width="9.533333333333333"/>
    <col collapsed="false" customWidth="true" hidden="true" max="35" min="35" style="0" width="9.533333333333333"/>
    <col collapsed="false" customWidth="true" hidden="false" max="51" min="51" style="0" width="6.866666666666666"/>
    <col collapsed="false" customWidth="true" hidden="false" max="68" min="68" style="0" width="8.066666666666666"/>
    <col collapsed="false" customWidth="true" hidden="false" max="84" min="84" style="0" width="6.866666666666666"/>
    <col collapsed="false" customWidth="true" hidden="false" max="100" min="100" style="0" width="8.066666666666666"/>
    <col collapsed="false" customWidth="true" hidden="false" max="3" min="3" style="0" width="9.4"/>
    <col collapsed="false" customWidth="true" hidden="false" max="20" min="20" style="0" width="11.4"/>
    <col collapsed="false" customWidth="true" hidden="true" max="20" min="20" style="0" width="11.4"/>
    <col collapsed="false" customWidth="true" hidden="false" max="36" min="36" style="0" width="9.533333333333333"/>
    <col collapsed="false" customWidth="true" hidden="true" max="36" min="36" style="0" width="9.533333333333333"/>
    <col collapsed="false" customWidth="true" hidden="false" max="52" min="52" style="0" width="6.866666666666666"/>
    <col collapsed="false" customWidth="true" hidden="false" max="69" min="69" style="0" width="8.066666666666666"/>
    <col collapsed="false" customWidth="true" hidden="false" max="85" min="85" style="0" width="6.866666666666666"/>
    <col collapsed="false" customWidth="true" hidden="false" max="101" min="101" style="0" width="8.066666666666666"/>
    <col collapsed="false" customWidth="true" hidden="false" max="4" min="4" style="0" width="33.8"/>
    <col collapsed="false" customWidth="true" hidden="false" max="21" min="21" style="0" width="8.066666666666666"/>
    <col collapsed="false" customWidth="true" hidden="true" max="21" min="21" style="0" width="8.066666666666666"/>
    <col collapsed="false" customWidth="true" hidden="false" max="37" min="37" style="0" width="9.533333333333333"/>
    <col collapsed="false" customWidth="true" hidden="true" max="37" min="37" style="0" width="9.533333333333333"/>
    <col collapsed="false" customWidth="true" hidden="false" max="53" min="53" style="0" width="6.866666666666666"/>
    <col collapsed="false" customWidth="true" hidden="false" max="70" min="70" style="0" width="8.066666666666666"/>
    <col collapsed="false" customWidth="true" hidden="false" max="86" min="86" style="0" width="6.866666666666666"/>
    <col collapsed="false" customWidth="true" hidden="false" max="102" min="102" style="0" width="8.066666666666666"/>
    <col collapsed="false" customWidth="true" hidden="false" max="5" min="5" style="0" width="11"/>
    <col collapsed="false" customWidth="true" hidden="true" max="5" min="5" style="0" width="11"/>
    <col collapsed="false" customWidth="true" hidden="false" max="22" min="22" style="0" width="8.066666666666666"/>
    <col collapsed="false" customWidth="true" hidden="true" max="22" min="22" style="0" width="8.066666666666666"/>
    <col collapsed="false" customWidth="true" hidden="false" max="38" min="38" style="0" width="9.533333333333333"/>
    <col collapsed="false" customWidth="true" hidden="true" max="38" min="38" style="0" width="9.533333333333333"/>
    <col collapsed="false" customWidth="true" hidden="false" max="54" min="54" style="0" width="6.866666666666666"/>
    <col collapsed="false" customWidth="true" hidden="false" max="71" min="71" style="0" width="8.066666666666666"/>
    <col collapsed="false" customWidth="true" hidden="false" max="87" min="87" style="0" width="6.866666666666666"/>
    <col collapsed="false" customWidth="true" hidden="false" max="103" min="103" style="0" width="8.066666666666666"/>
    <col collapsed="false" customWidth="true" hidden="false" max="6" min="6" style="0" width="11"/>
    <col collapsed="false" customWidth="true" hidden="true" max="6" min="6" style="0" width="11"/>
    <col collapsed="false" customWidth="true" hidden="false" max="23" min="23" style="0" width="8.066666666666666"/>
    <col collapsed="false" customWidth="true" hidden="true" max="23" min="23" style="0" width="8.066666666666666"/>
    <col collapsed="false" customWidth="true" hidden="false" max="39" min="39" style="0" width="9.533333333333333"/>
    <col collapsed="false" customWidth="true" hidden="true" max="39" min="39" style="0" width="9.533333333333333"/>
    <col collapsed="false" customWidth="true" hidden="false" max="55" min="55" style="0" width="6.866666666666666"/>
    <col collapsed="false" customWidth="true" hidden="false" max="72" min="72" style="0" width="8.066666666666666"/>
    <col collapsed="false" customWidth="true" hidden="false" max="88" min="88" style="0" width="6.866666666666666"/>
    <col collapsed="false" customWidth="true" hidden="false" max="104" min="104" style="0" width="8.066666666666666"/>
    <col collapsed="false" customWidth="true" hidden="false" max="7" min="7" style="0" width="11"/>
    <col collapsed="false" customWidth="true" hidden="true" max="7" min="7" style="0" width="11"/>
    <col collapsed="false" customWidth="true" hidden="false" max="24" min="24" style="0" width="8.066666666666666"/>
    <col collapsed="false" customWidth="true" hidden="true" max="24" min="24" style="0" width="8.066666666666666"/>
    <col collapsed="false" customWidth="true" hidden="false" max="40" min="40" style="0" width="9.533333333333333"/>
    <col collapsed="false" customWidth="true" hidden="true" max="40" min="40" style="0" width="9.533333333333333"/>
    <col collapsed="false" customWidth="true" hidden="false" max="56" min="56" style="0" width="6.866666666666666"/>
    <col collapsed="false" customWidth="true" hidden="false" max="73" min="73" style="0" width="8.066666666666666"/>
    <col collapsed="false" customWidth="true" hidden="false" max="89" min="89" style="0" width="6.866666666666666"/>
    <col collapsed="false" customWidth="true" hidden="false" max="105" min="105" style="0" width="8.066666666666666"/>
    <col collapsed="false" customWidth="true" hidden="false" max="8" min="8" style="0" width="9.4"/>
    <col collapsed="false" customWidth="true" hidden="true" max="8" min="8" style="0" width="9.4"/>
    <col collapsed="false" customWidth="true" hidden="false" max="25" min="25" style="0" width="8.066666666666666"/>
    <col collapsed="false" customWidth="true" hidden="true" max="25" min="25" style="0" width="8.066666666666666"/>
    <col collapsed="false" customWidth="true" hidden="false" max="41" min="41" style="0" width="9.533333333333333"/>
    <col collapsed="false" customWidth="true" hidden="false" max="57" min="57" style="0" width="6.866666666666666"/>
    <col collapsed="false" customWidth="true" hidden="false" max="74" min="74" style="0" width="8.066666666666666"/>
    <col collapsed="false" customWidth="true" hidden="false" max="90" min="90" style="0" width="8.066666666666666"/>
    <col collapsed="false" customWidth="true" hidden="false" max="106" min="106" style="0" width="8.066666666666666"/>
    <col collapsed="false" customWidth="true" hidden="false" max="9" min="9" style="0" width="9.4"/>
    <col collapsed="false" customWidth="true" hidden="true" max="9" min="9" style="0" width="9.4"/>
    <col collapsed="false" customWidth="true" hidden="false" max="26" min="26" style="0" width="8.066666666666666"/>
    <col collapsed="false" customWidth="true" hidden="true" max="26" min="26" style="0" width="8.066666666666666"/>
    <col collapsed="false" customWidth="true" hidden="false" max="42" min="42" style="0" width="9.533333333333333"/>
    <col collapsed="false" customWidth="true" hidden="false" max="58" min="58" style="0" width="6.866666666666666"/>
    <col collapsed="false" customWidth="true" hidden="false" max="75" min="75" style="0" width="8.066666666666666"/>
    <col collapsed="false" customWidth="true" hidden="false" max="91" min="91" style="0" width="8.066666666666666"/>
    <col collapsed="false" customWidth="true" hidden="false" max="107" min="107" style="0" width="8.066666666666666"/>
    <col collapsed="false" customWidth="true" hidden="false" max="10" min="10" style="0" width="9.4"/>
    <col collapsed="false" customWidth="true" hidden="true" max="10" min="10" style="0" width="9.4"/>
  </cols>
  <sheetData>
    <row customHeight="true" ht="18.51851851851852" r="1">
      <c r="A1" s="190" t="s">
        <v>878</v>
      </c>
      <c r="B1" s="190" t="s">
        <v>879</v>
      </c>
      <c r="C1" s="190" t="s">
        <v>880</v>
      </c>
      <c r="D1" s="190" t="s">
        <v>881</v>
      </c>
      <c r="E1" s="191">
        <v>45978</v>
      </c>
      <c r="F1" s="191">
        <v>45979</v>
      </c>
      <c r="G1" s="191">
        <v>45980</v>
      </c>
      <c r="H1" s="191">
        <v>45981</v>
      </c>
      <c r="I1" s="191">
        <v>45982</v>
      </c>
      <c r="J1" s="191">
        <v>45983</v>
      </c>
      <c r="K1" s="191">
        <v>45984</v>
      </c>
      <c r="L1" s="191">
        <v>45985</v>
      </c>
      <c r="M1" s="191">
        <v>45986</v>
      </c>
      <c r="N1" s="191">
        <v>45987</v>
      </c>
      <c r="O1" s="191">
        <v>45988</v>
      </c>
      <c r="P1" s="191">
        <v>45989</v>
      </c>
      <c r="Q1" s="191">
        <v>45990</v>
      </c>
      <c r="R1" s="191">
        <v>45991</v>
      </c>
      <c r="S1" s="191">
        <v>45992</v>
      </c>
      <c r="T1" s="191">
        <v>45993</v>
      </c>
      <c r="U1" s="191">
        <v>45994</v>
      </c>
      <c r="V1" s="191">
        <v>45995</v>
      </c>
      <c r="W1" s="191">
        <v>45996</v>
      </c>
      <c r="X1" s="191">
        <v>45997</v>
      </c>
      <c r="Y1" s="191">
        <v>45998</v>
      </c>
      <c r="Z1" s="191">
        <v>45999</v>
      </c>
      <c r="AA1" s="191">
        <v>46000</v>
      </c>
      <c r="AB1" s="191">
        <v>46001</v>
      </c>
      <c r="AC1" s="191">
        <v>46002</v>
      </c>
      <c r="AD1" s="191">
        <v>46003</v>
      </c>
      <c r="AE1" s="191">
        <v>46004</v>
      </c>
      <c r="AF1" s="191">
        <v>46005</v>
      </c>
      <c r="AG1" s="191">
        <v>46006</v>
      </c>
      <c r="AH1" s="191">
        <v>46007</v>
      </c>
      <c r="AI1" s="191">
        <v>46008</v>
      </c>
      <c r="AJ1" s="191">
        <v>46009</v>
      </c>
      <c r="AK1" s="191">
        <v>46010</v>
      </c>
      <c r="AL1" s="191">
        <v>46011</v>
      </c>
      <c r="AM1" s="191">
        <v>46012</v>
      </c>
      <c r="AN1" s="191">
        <v>46013</v>
      </c>
      <c r="AO1" s="191">
        <v>46014</v>
      </c>
      <c r="AP1" s="191">
        <v>46015</v>
      </c>
      <c r="AQ1" s="191">
        <v>46016</v>
      </c>
      <c r="AR1" s="191">
        <v>46017</v>
      </c>
      <c r="AS1" s="191">
        <v>46018</v>
      </c>
      <c r="AT1" s="191">
        <v>46019</v>
      </c>
      <c r="AU1" s="191">
        <v>46020</v>
      </c>
      <c r="AV1" s="191">
        <v>46021</v>
      </c>
      <c r="AW1" s="191">
        <v>46022</v>
      </c>
      <c r="AX1" s="191">
        <v>46023</v>
      </c>
      <c r="AY1" s="191">
        <v>46024</v>
      </c>
      <c r="AZ1" s="191">
        <v>46025</v>
      </c>
      <c r="BA1" s="191">
        <v>46026</v>
      </c>
      <c r="BB1" s="191">
        <v>46027</v>
      </c>
      <c r="BC1" s="191">
        <v>46028</v>
      </c>
      <c r="BD1" s="191">
        <v>46029</v>
      </c>
      <c r="BE1" s="191">
        <v>46030</v>
      </c>
      <c r="BF1" s="191">
        <v>46031</v>
      </c>
      <c r="BG1" s="191">
        <v>46032</v>
      </c>
      <c r="BH1" s="191">
        <v>46033</v>
      </c>
      <c r="BI1" s="191">
        <v>46034</v>
      </c>
      <c r="BJ1" s="191">
        <v>46035</v>
      </c>
      <c r="BK1" s="191">
        <v>46036</v>
      </c>
      <c r="BL1" s="191">
        <v>46037</v>
      </c>
      <c r="BM1" s="191">
        <v>46038</v>
      </c>
      <c r="BN1" s="191">
        <v>46039</v>
      </c>
      <c r="BO1" s="191">
        <v>46040</v>
      </c>
      <c r="BP1" s="191">
        <v>46041</v>
      </c>
      <c r="BQ1" s="191">
        <v>46042</v>
      </c>
      <c r="BR1" s="191">
        <v>46043</v>
      </c>
      <c r="BS1" s="191">
        <v>46044</v>
      </c>
      <c r="BT1" s="191">
        <v>46045</v>
      </c>
      <c r="BU1" s="191">
        <v>46046</v>
      </c>
      <c r="BV1" s="191">
        <v>46047</v>
      </c>
      <c r="BW1" s="191">
        <v>46048</v>
      </c>
      <c r="BX1" s="191">
        <v>46049</v>
      </c>
      <c r="BY1" s="191">
        <v>46050</v>
      </c>
      <c r="BZ1" s="191">
        <v>46051</v>
      </c>
      <c r="CA1" s="191">
        <v>46052</v>
      </c>
      <c r="CB1" s="191">
        <v>46053</v>
      </c>
      <c r="CC1" s="191">
        <v>46054</v>
      </c>
      <c r="CD1" s="191">
        <v>46055</v>
      </c>
      <c r="CE1" s="191">
        <v>46056</v>
      </c>
      <c r="CF1" s="191">
        <v>46057</v>
      </c>
      <c r="CG1" s="191">
        <v>46058</v>
      </c>
      <c r="CH1" s="191">
        <v>46059</v>
      </c>
      <c r="CI1" s="191">
        <v>46060</v>
      </c>
      <c r="CJ1" s="191">
        <v>46061</v>
      </c>
      <c r="CK1" s="191">
        <v>46062</v>
      </c>
      <c r="CL1" s="191">
        <v>46063</v>
      </c>
      <c r="CM1" s="191">
        <v>46064</v>
      </c>
      <c r="CN1" s="191">
        <v>46065</v>
      </c>
      <c r="CO1" s="191">
        <v>46066</v>
      </c>
      <c r="CP1" s="191">
        <v>46067</v>
      </c>
      <c r="CQ1" s="191">
        <v>46068</v>
      </c>
      <c r="CR1" s="191">
        <v>46069</v>
      </c>
      <c r="CS1" s="191">
        <v>46070</v>
      </c>
      <c r="CT1" s="191">
        <v>46071</v>
      </c>
      <c r="CU1" s="191">
        <v>46072</v>
      </c>
      <c r="CV1" s="191">
        <v>46073</v>
      </c>
      <c r="CW1" s="191">
        <v>46074</v>
      </c>
      <c r="CX1" s="191">
        <v>46075</v>
      </c>
      <c r="CY1" s="191">
        <v>46076</v>
      </c>
      <c r="CZ1" s="191">
        <v>46077</v>
      </c>
      <c r="DA1" s="191">
        <v>46078</v>
      </c>
      <c r="DB1" s="191">
        <v>46079</v>
      </c>
      <c r="DC1" s="191">
        <v>46080</v>
      </c>
      <c r="DD1" s="191">
        <v>46081</v>
      </c>
    </row>
    <row customHeight="true" ht="18.51851851851852" r="2">
      <c r="A2" s="192" t="s">
        <v>882</v>
      </c>
      <c r="B2" s="193" t="s">
        <v>883</v>
      </c>
      <c r="C2" s="194" t="s">
        <v>884</v>
      </c>
      <c r="D2" s="195">
        <v>0.15</v>
      </c>
      <c r="E2" s="196" t="s">
        <v>885</v>
      </c>
      <c r="F2" s="196" t="s">
        <v>885</v>
      </c>
      <c r="G2" s="196" t="s">
        <v>885</v>
      </c>
      <c r="H2" s="196" t="s">
        <v>885</v>
      </c>
      <c r="I2" s="196" t="s">
        <v>885</v>
      </c>
      <c r="J2" s="196" t="s">
        <v>885</v>
      </c>
      <c r="K2" s="196" t="s">
        <v>885</v>
      </c>
      <c r="L2" s="196" t="s">
        <v>885</v>
      </c>
      <c r="M2" s="196" t="s">
        <v>885</v>
      </c>
      <c r="N2" s="196" t="s">
        <v>885</v>
      </c>
      <c r="O2" s="196" t="s">
        <v>885</v>
      </c>
      <c r="P2" s="196" t="s">
        <v>885</v>
      </c>
      <c r="Q2" s="196" t="s">
        <v>885</v>
      </c>
      <c r="R2" s="196" t="s">
        <v>885</v>
      </c>
      <c r="S2" s="196" t="s">
        <v>885</v>
      </c>
      <c r="T2" s="196" t="s">
        <v>885</v>
      </c>
      <c r="U2" s="196" t="s">
        <v>885</v>
      </c>
      <c r="V2" s="196" t="s">
        <v>885</v>
      </c>
      <c r="W2" s="196" t="s">
        <v>885</v>
      </c>
      <c r="X2" s="196" t="s">
        <v>885</v>
      </c>
      <c r="Y2" s="196" t="s">
        <v>885</v>
      </c>
      <c r="Z2" s="196" t="s">
        <v>885</v>
      </c>
      <c r="AA2" s="196" t="s">
        <v>885</v>
      </c>
      <c r="AB2" s="196" t="s">
        <v>885</v>
      </c>
      <c r="AC2" s="196" t="s">
        <v>885</v>
      </c>
      <c r="AD2" s="196" t="s">
        <v>885</v>
      </c>
      <c r="AE2" s="196" t="s">
        <v>885</v>
      </c>
      <c r="AF2" s="196" t="s">
        <v>885</v>
      </c>
      <c r="AG2" s="196" t="s">
        <v>885</v>
      </c>
      <c r="AH2" s="196" t="s">
        <v>885</v>
      </c>
      <c r="AI2" s="196" t="s">
        <v>885</v>
      </c>
      <c r="AJ2" s="196" t="s">
        <v>885</v>
      </c>
      <c r="AK2" s="196" t="s">
        <v>885</v>
      </c>
      <c r="AL2" s="196" t="s">
        <v>885</v>
      </c>
      <c r="AM2" s="196" t="s">
        <v>885</v>
      </c>
      <c r="AN2" s="196" t="s">
        <v>885</v>
      </c>
      <c r="AO2" s="196" t="s">
        <v>885</v>
      </c>
      <c r="AP2" s="196" t="s">
        <v>885</v>
      </c>
      <c r="AQ2" s="196" t="s">
        <v>885</v>
      </c>
      <c r="AR2" s="196" t="s">
        <v>885</v>
      </c>
      <c r="AS2" s="196" t="s">
        <v>885</v>
      </c>
      <c r="AT2" s="196" t="s">
        <v>885</v>
      </c>
      <c r="AU2" s="196" t="s">
        <v>885</v>
      </c>
      <c r="AV2" s="196" t="s">
        <v>885</v>
      </c>
      <c r="AW2" s="196" t="s">
        <v>885</v>
      </c>
      <c r="AX2" s="196"/>
      <c r="AY2" s="196"/>
      <c r="AZ2" s="196"/>
      <c r="BA2" s="196"/>
      <c r="BB2" s="196"/>
      <c r="BC2" s="196"/>
      <c r="BD2" s="196"/>
      <c r="BE2" s="196"/>
      <c r="BF2" s="196"/>
      <c r="BG2" s="196"/>
      <c r="BH2" s="196"/>
      <c r="BI2" s="196"/>
      <c r="BJ2" s="196"/>
      <c r="BK2" s="196"/>
      <c r="BL2" s="196"/>
      <c r="BM2" s="196"/>
      <c r="BN2" s="196"/>
      <c r="BO2" s="196"/>
      <c r="BP2" s="196"/>
      <c r="BQ2" s="196"/>
      <c r="BR2" s="196"/>
      <c r="BS2" s="196"/>
      <c r="BT2" s="196"/>
      <c r="BU2" s="196"/>
      <c r="BV2" s="196"/>
      <c r="BW2" s="196"/>
      <c r="BX2" s="196"/>
      <c r="BY2" s="196"/>
      <c r="BZ2" s="196"/>
      <c r="CA2" s="196"/>
      <c r="CB2" s="196"/>
      <c r="CC2" s="196"/>
      <c r="CD2" s="196"/>
      <c r="CE2" s="196"/>
      <c r="CF2" s="196"/>
      <c r="CG2" s="196"/>
      <c r="CH2" s="196"/>
      <c r="CI2" s="196"/>
      <c r="CJ2" s="196"/>
      <c r="CK2" s="196"/>
      <c r="CL2" s="196"/>
      <c r="CM2" s="196"/>
      <c r="CN2" s="196"/>
      <c r="CO2" s="196"/>
      <c r="CP2" s="196"/>
      <c r="CQ2" s="196"/>
      <c r="CR2" s="196"/>
      <c r="CS2" s="196"/>
      <c r="CT2" s="196"/>
      <c r="CU2" s="196"/>
      <c r="CV2" s="196"/>
      <c r="CW2" s="196"/>
      <c r="CX2" s="196"/>
      <c r="CY2" s="196"/>
      <c r="CZ2" s="196"/>
      <c r="DA2" s="196"/>
      <c r="DB2" s="196"/>
      <c r="DC2" s="196"/>
      <c r="DD2" s="196"/>
    </row>
    <row customHeight="true" ht="18.51851851851852" r="3">
      <c r="A3" s="194"/>
      <c r="B3" s="193"/>
      <c r="C3" s="194" t="s">
        <v>881</v>
      </c>
      <c r="D3" s="197" t="s">
        <v>886</v>
      </c>
      <c r="E3" s="198" t="s">
        <v>887</v>
      </c>
      <c r="F3" s="198"/>
      <c r="G3" s="196" t="s">
        <v>885</v>
      </c>
      <c r="H3" s="199" t="s">
        <v>888</v>
      </c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200" t="s">
        <v>889</v>
      </c>
      <c r="T3" s="200"/>
      <c r="U3" s="200"/>
      <c r="V3" s="200"/>
      <c r="W3" s="200"/>
      <c r="X3" s="200"/>
      <c r="Y3" s="196" t="s">
        <v>885</v>
      </c>
      <c r="Z3" s="196" t="s">
        <v>885</v>
      </c>
      <c r="AA3" s="196" t="s">
        <v>885</v>
      </c>
      <c r="AB3" s="196" t="s">
        <v>885</v>
      </c>
      <c r="AC3" s="196" t="s">
        <v>885</v>
      </c>
      <c r="AD3" s="196" t="s">
        <v>885</v>
      </c>
      <c r="AE3" s="196" t="s">
        <v>885</v>
      </c>
      <c r="AF3" s="196" t="s">
        <v>885</v>
      </c>
      <c r="AG3" s="196" t="s">
        <v>885</v>
      </c>
      <c r="AH3" s="196" t="s">
        <v>885</v>
      </c>
      <c r="AI3" s="196" t="s">
        <v>885</v>
      </c>
      <c r="AJ3" s="196" t="s">
        <v>885</v>
      </c>
      <c r="AK3" s="196" t="s">
        <v>885</v>
      </c>
      <c r="AL3" s="196" t="s">
        <v>885</v>
      </c>
      <c r="AM3" s="196" t="s">
        <v>885</v>
      </c>
      <c r="AN3" s="196" t="s">
        <v>885</v>
      </c>
      <c r="AO3" s="196" t="s">
        <v>885</v>
      </c>
      <c r="AP3" s="196" t="s">
        <v>885</v>
      </c>
      <c r="AQ3" s="196" t="s">
        <v>885</v>
      </c>
      <c r="AR3" s="196" t="s">
        <v>885</v>
      </c>
      <c r="AS3" s="196" t="s">
        <v>885</v>
      </c>
      <c r="AT3" s="196" t="s">
        <v>885</v>
      </c>
      <c r="AU3" s="196" t="s">
        <v>885</v>
      </c>
      <c r="AV3" s="196" t="s">
        <v>885</v>
      </c>
      <c r="AW3" s="196" t="s">
        <v>885</v>
      </c>
      <c r="AX3" s="196"/>
      <c r="AY3" s="196"/>
      <c r="AZ3" s="196"/>
      <c r="BA3" s="196"/>
      <c r="BB3" s="196"/>
      <c r="BC3" s="196"/>
      <c r="BD3" s="196"/>
      <c r="BE3" s="196"/>
      <c r="BF3" s="196"/>
      <c r="BG3" s="196"/>
      <c r="BH3" s="196"/>
      <c r="BI3" s="196"/>
      <c r="BJ3" s="196"/>
      <c r="BK3" s="196"/>
      <c r="BL3" s="196"/>
      <c r="BM3" s="196"/>
      <c r="BN3" s="196"/>
      <c r="BO3" s="196"/>
      <c r="BP3" s="196"/>
      <c r="BQ3" s="196"/>
      <c r="BR3" s="196"/>
      <c r="BS3" s="196"/>
      <c r="BT3" s="196"/>
      <c r="BU3" s="196"/>
      <c r="BV3" s="196"/>
      <c r="BW3" s="196"/>
      <c r="BX3" s="196"/>
      <c r="BY3" s="196"/>
      <c r="BZ3" s="196"/>
      <c r="CA3" s="196"/>
      <c r="CB3" s="196"/>
      <c r="CC3" s="196"/>
      <c r="CD3" s="196"/>
      <c r="CE3" s="196"/>
      <c r="CF3" s="196"/>
      <c r="CG3" s="196"/>
      <c r="CH3" s="196"/>
      <c r="CI3" s="196"/>
      <c r="CJ3" s="196"/>
      <c r="CK3" s="196"/>
      <c r="CL3" s="196"/>
      <c r="CM3" s="196"/>
      <c r="CN3" s="196"/>
      <c r="CO3" s="196"/>
      <c r="CP3" s="196"/>
      <c r="CQ3" s="196"/>
      <c r="CR3" s="196"/>
      <c r="CS3" s="196"/>
      <c r="CT3" s="196"/>
      <c r="CU3" s="196"/>
      <c r="CV3" s="196"/>
      <c r="CW3" s="196"/>
      <c r="CX3" s="196"/>
      <c r="CY3" s="196"/>
      <c r="CZ3" s="196"/>
      <c r="DA3" s="196"/>
      <c r="DB3" s="196"/>
      <c r="DC3" s="196"/>
      <c r="DD3" s="196"/>
    </row>
    <row customHeight="true" ht="18.51851851851852" r="4">
      <c r="A4" s="194"/>
      <c r="B4" s="193" t="s">
        <v>890</v>
      </c>
      <c r="C4" s="194" t="s">
        <v>884</v>
      </c>
      <c r="D4" s="195">
        <v>0.15</v>
      </c>
      <c r="E4" s="196" t="s">
        <v>885</v>
      </c>
      <c r="F4" s="196" t="s">
        <v>885</v>
      </c>
      <c r="G4" s="196" t="s">
        <v>885</v>
      </c>
      <c r="H4" s="196" t="s">
        <v>885</v>
      </c>
      <c r="I4" s="196" t="s">
        <v>885</v>
      </c>
      <c r="J4" s="196" t="s">
        <v>885</v>
      </c>
      <c r="K4" s="196" t="s">
        <v>885</v>
      </c>
      <c r="L4" s="196" t="s">
        <v>885</v>
      </c>
      <c r="M4" s="196" t="s">
        <v>885</v>
      </c>
      <c r="N4" s="196" t="s">
        <v>885</v>
      </c>
      <c r="O4" s="196" t="s">
        <v>885</v>
      </c>
      <c r="P4" s="196" t="s">
        <v>885</v>
      </c>
      <c r="Q4" s="196" t="s">
        <v>885</v>
      </c>
      <c r="R4" s="196" t="s">
        <v>885</v>
      </c>
      <c r="S4" s="196" t="s">
        <v>885</v>
      </c>
      <c r="T4" s="196" t="s">
        <v>885</v>
      </c>
      <c r="U4" s="196" t="s">
        <v>885</v>
      </c>
      <c r="V4" s="196" t="s">
        <v>885</v>
      </c>
      <c r="W4" s="196" t="s">
        <v>885</v>
      </c>
      <c r="X4" s="196" t="s">
        <v>885</v>
      </c>
      <c r="Y4" s="196" t="s">
        <v>885</v>
      </c>
      <c r="Z4" s="196" t="s">
        <v>885</v>
      </c>
      <c r="AA4" s="196" t="s">
        <v>885</v>
      </c>
      <c r="AB4" s="196" t="s">
        <v>885</v>
      </c>
      <c r="AC4" s="196" t="s">
        <v>885</v>
      </c>
      <c r="AD4" s="196" t="s">
        <v>885</v>
      </c>
      <c r="AE4" s="196" t="s">
        <v>885</v>
      </c>
      <c r="AF4" s="196" t="s">
        <v>885</v>
      </c>
      <c r="AG4" s="196" t="s">
        <v>885</v>
      </c>
      <c r="AH4" s="196" t="s">
        <v>885</v>
      </c>
      <c r="AI4" s="196" t="s">
        <v>885</v>
      </c>
      <c r="AJ4" s="196" t="s">
        <v>885</v>
      </c>
      <c r="AK4" s="196" t="s">
        <v>885</v>
      </c>
      <c r="AL4" s="196" t="s">
        <v>885</v>
      </c>
      <c r="AM4" s="196" t="s">
        <v>885</v>
      </c>
      <c r="AN4" s="196" t="s">
        <v>885</v>
      </c>
      <c r="AO4" s="196" t="s">
        <v>885</v>
      </c>
      <c r="AP4" s="196" t="s">
        <v>885</v>
      </c>
      <c r="AQ4" s="196" t="s">
        <v>885</v>
      </c>
      <c r="AR4" s="196" t="s">
        <v>885</v>
      </c>
      <c r="AS4" s="196" t="s">
        <v>885</v>
      </c>
      <c r="AT4" s="196" t="s">
        <v>885</v>
      </c>
      <c r="AU4" s="196" t="s">
        <v>885</v>
      </c>
      <c r="AV4" s="196" t="s">
        <v>885</v>
      </c>
      <c r="AW4" s="196" t="s">
        <v>885</v>
      </c>
      <c r="AX4" s="196"/>
      <c r="AY4" s="196"/>
      <c r="AZ4" s="196"/>
      <c r="BA4" s="196"/>
      <c r="BB4" s="196"/>
      <c r="BC4" s="196"/>
      <c r="BD4" s="196"/>
      <c r="BE4" s="196"/>
      <c r="BF4" s="196"/>
      <c r="BG4" s="196"/>
      <c r="BH4" s="196"/>
      <c r="BI4" s="196"/>
      <c r="BJ4" s="196"/>
      <c r="BK4" s="196"/>
      <c r="BL4" s="196"/>
      <c r="BM4" s="196"/>
      <c r="BN4" s="196"/>
      <c r="BO4" s="196"/>
      <c r="BP4" s="196"/>
      <c r="BQ4" s="196"/>
      <c r="BR4" s="196"/>
      <c r="BS4" s="196"/>
      <c r="BT4" s="196"/>
      <c r="BU4" s="196"/>
      <c r="BV4" s="196"/>
      <c r="BW4" s="196"/>
      <c r="BX4" s="196"/>
      <c r="BY4" s="196"/>
      <c r="BZ4" s="196"/>
      <c r="CA4" s="196"/>
      <c r="CB4" s="196"/>
      <c r="CC4" s="196"/>
      <c r="CD4" s="196"/>
      <c r="CE4" s="196"/>
      <c r="CF4" s="196"/>
      <c r="CG4" s="196"/>
      <c r="CH4" s="196"/>
      <c r="CI4" s="196"/>
      <c r="CJ4" s="196"/>
      <c r="CK4" s="196"/>
      <c r="CL4" s="196"/>
      <c r="CM4" s="196"/>
      <c r="CN4" s="196"/>
      <c r="CO4" s="196"/>
      <c r="CP4" s="196"/>
      <c r="CQ4" s="196"/>
      <c r="CR4" s="196"/>
      <c r="CS4" s="196"/>
      <c r="CT4" s="196"/>
      <c r="CU4" s="196"/>
      <c r="CV4" s="196"/>
      <c r="CW4" s="196"/>
      <c r="CX4" s="196"/>
      <c r="CY4" s="196"/>
      <c r="CZ4" s="196"/>
      <c r="DA4" s="196"/>
      <c r="DB4" s="196"/>
      <c r="DC4" s="196"/>
      <c r="DD4" s="196"/>
    </row>
    <row customHeight="true" ht="18.51851851851852" r="5">
      <c r="A5" s="194"/>
      <c r="B5" s="193"/>
      <c r="C5" s="194" t="s">
        <v>881</v>
      </c>
      <c r="D5" s="197" t="s">
        <v>891</v>
      </c>
      <c r="E5" s="198" t="s">
        <v>892</v>
      </c>
      <c r="F5" s="198"/>
      <c r="G5" s="196" t="s">
        <v>885</v>
      </c>
      <c r="H5" s="199" t="s">
        <v>893</v>
      </c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200" t="s">
        <v>894</v>
      </c>
      <c r="U5" s="200"/>
      <c r="V5" s="200"/>
      <c r="W5" s="200"/>
      <c r="X5" s="200"/>
      <c r="Y5" s="196" t="s">
        <v>885</v>
      </c>
      <c r="Z5" s="196" t="s">
        <v>885</v>
      </c>
      <c r="AA5" s="196" t="s">
        <v>885</v>
      </c>
      <c r="AB5" s="196" t="s">
        <v>885</v>
      </c>
      <c r="AC5" s="196" t="s">
        <v>885</v>
      </c>
      <c r="AD5" s="196" t="s">
        <v>885</v>
      </c>
      <c r="AE5" s="196" t="s">
        <v>885</v>
      </c>
      <c r="AF5" s="196" t="s">
        <v>885</v>
      </c>
      <c r="AG5" s="196" t="s">
        <v>885</v>
      </c>
      <c r="AH5" s="196" t="s">
        <v>885</v>
      </c>
      <c r="AI5" s="196" t="s">
        <v>885</v>
      </c>
      <c r="AJ5" s="196" t="s">
        <v>885</v>
      </c>
      <c r="AK5" s="196" t="s">
        <v>885</v>
      </c>
      <c r="AL5" s="196" t="s">
        <v>885</v>
      </c>
      <c r="AM5" s="196" t="s">
        <v>885</v>
      </c>
      <c r="AN5" s="196" t="s">
        <v>885</v>
      </c>
      <c r="AO5" s="196" t="s">
        <v>885</v>
      </c>
      <c r="AP5" s="196" t="s">
        <v>885</v>
      </c>
      <c r="AQ5" s="196" t="s">
        <v>885</v>
      </c>
      <c r="AR5" s="196" t="s">
        <v>885</v>
      </c>
      <c r="AS5" s="196" t="s">
        <v>885</v>
      </c>
      <c r="AT5" s="196" t="s">
        <v>885</v>
      </c>
      <c r="AU5" s="196" t="s">
        <v>885</v>
      </c>
      <c r="AV5" s="196" t="s">
        <v>885</v>
      </c>
      <c r="AW5" s="196" t="s">
        <v>885</v>
      </c>
      <c r="AX5" s="196"/>
      <c r="AY5" s="196"/>
      <c r="AZ5" s="196"/>
      <c r="BA5" s="196"/>
      <c r="BB5" s="196"/>
      <c r="BC5" s="196"/>
      <c r="BD5" s="196"/>
      <c r="BE5" s="196"/>
      <c r="BF5" s="196"/>
      <c r="BG5" s="196"/>
      <c r="BH5" s="196"/>
      <c r="BI5" s="196"/>
      <c r="BJ5" s="196"/>
      <c r="BK5" s="196"/>
      <c r="BL5" s="196"/>
      <c r="BM5" s="196"/>
      <c r="BN5" s="196"/>
      <c r="BO5" s="196"/>
      <c r="BP5" s="196"/>
      <c r="BQ5" s="196"/>
      <c r="BR5" s="196"/>
      <c r="BS5" s="196"/>
      <c r="BT5" s="196"/>
      <c r="BU5" s="196"/>
      <c r="BV5" s="196"/>
      <c r="BW5" s="196"/>
      <c r="BX5" s="196"/>
      <c r="BY5" s="196"/>
      <c r="BZ5" s="196"/>
      <c r="CA5" s="196"/>
      <c r="CB5" s="196"/>
      <c r="CC5" s="196"/>
      <c r="CD5" s="196"/>
      <c r="CE5" s="196"/>
      <c r="CF5" s="196"/>
      <c r="CG5" s="196"/>
      <c r="CH5" s="196"/>
      <c r="CI5" s="196"/>
      <c r="CJ5" s="196"/>
      <c r="CK5" s="196"/>
      <c r="CL5" s="196"/>
      <c r="CM5" s="196"/>
      <c r="CN5" s="196"/>
      <c r="CO5" s="196"/>
      <c r="CP5" s="196"/>
      <c r="CQ5" s="196"/>
      <c r="CR5" s="196"/>
      <c r="CS5" s="196"/>
      <c r="CT5" s="196"/>
      <c r="CU5" s="196"/>
      <c r="CV5" s="196"/>
      <c r="CW5" s="196"/>
      <c r="CX5" s="196"/>
      <c r="CY5" s="196"/>
      <c r="CZ5" s="196"/>
      <c r="DA5" s="196"/>
      <c r="DB5" s="196"/>
      <c r="DC5" s="196"/>
      <c r="DD5" s="196"/>
    </row>
    <row customHeight="true" ht="18.51851851851852" r="6">
      <c r="A6" s="194"/>
      <c r="B6" s="193" t="s">
        <v>895</v>
      </c>
      <c r="C6" s="194" t="s">
        <v>884</v>
      </c>
      <c r="D6" s="195">
        <v>0.15</v>
      </c>
      <c r="E6" s="196" t="s">
        <v>885</v>
      </c>
      <c r="F6" s="196" t="s">
        <v>885</v>
      </c>
      <c r="G6" s="196" t="s">
        <v>885</v>
      </c>
      <c r="H6" s="196" t="s">
        <v>885</v>
      </c>
      <c r="I6" s="196" t="s">
        <v>885</v>
      </c>
      <c r="J6" s="196" t="s">
        <v>885</v>
      </c>
      <c r="K6" s="196" t="s">
        <v>885</v>
      </c>
      <c r="L6" s="196" t="s">
        <v>885</v>
      </c>
      <c r="M6" s="196" t="s">
        <v>885</v>
      </c>
      <c r="N6" s="196" t="s">
        <v>885</v>
      </c>
      <c r="O6" s="196" t="s">
        <v>885</v>
      </c>
      <c r="P6" s="196" t="s">
        <v>885</v>
      </c>
      <c r="Q6" s="196" t="s">
        <v>885</v>
      </c>
      <c r="R6" s="196" t="s">
        <v>885</v>
      </c>
      <c r="S6" s="196" t="s">
        <v>885</v>
      </c>
      <c r="T6" s="196" t="s">
        <v>885</v>
      </c>
      <c r="U6" s="196" t="s">
        <v>885</v>
      </c>
      <c r="V6" s="196" t="s">
        <v>885</v>
      </c>
      <c r="W6" s="196" t="s">
        <v>885</v>
      </c>
      <c r="X6" s="196" t="s">
        <v>885</v>
      </c>
      <c r="Y6" s="196" t="s">
        <v>885</v>
      </c>
      <c r="Z6" s="196" t="s">
        <v>885</v>
      </c>
      <c r="AA6" s="196" t="s">
        <v>885</v>
      </c>
      <c r="AB6" s="196" t="s">
        <v>885</v>
      </c>
      <c r="AC6" s="196" t="s">
        <v>885</v>
      </c>
      <c r="AD6" s="196" t="s">
        <v>885</v>
      </c>
      <c r="AE6" s="196" t="s">
        <v>885</v>
      </c>
      <c r="AF6" s="196" t="s">
        <v>885</v>
      </c>
      <c r="AG6" s="196" t="s">
        <v>885</v>
      </c>
      <c r="AH6" s="196" t="s">
        <v>885</v>
      </c>
      <c r="AI6" s="196" t="s">
        <v>885</v>
      </c>
      <c r="AJ6" s="196" t="s">
        <v>885</v>
      </c>
      <c r="AK6" s="196" t="s">
        <v>885</v>
      </c>
      <c r="AL6" s="196" t="s">
        <v>885</v>
      </c>
      <c r="AM6" s="196" t="s">
        <v>885</v>
      </c>
      <c r="AN6" s="196" t="s">
        <v>885</v>
      </c>
      <c r="AO6" s="196" t="s">
        <v>885</v>
      </c>
      <c r="AP6" s="196" t="s">
        <v>885</v>
      </c>
      <c r="AQ6" s="196" t="s">
        <v>885</v>
      </c>
      <c r="AR6" s="196" t="s">
        <v>885</v>
      </c>
      <c r="AS6" s="196" t="s">
        <v>885</v>
      </c>
      <c r="AT6" s="196" t="s">
        <v>885</v>
      </c>
      <c r="AU6" s="196" t="s">
        <v>885</v>
      </c>
      <c r="AV6" s="196" t="s">
        <v>885</v>
      </c>
      <c r="AW6" s="196" t="s">
        <v>885</v>
      </c>
      <c r="AX6" s="196"/>
      <c r="AY6" s="196"/>
      <c r="AZ6" s="196"/>
      <c r="BA6" s="196"/>
      <c r="BB6" s="196"/>
      <c r="BC6" s="196"/>
      <c r="BD6" s="196"/>
      <c r="BE6" s="196"/>
      <c r="BF6" s="196"/>
      <c r="BG6" s="196"/>
      <c r="BH6" s="196"/>
      <c r="BI6" s="196"/>
      <c r="BJ6" s="196"/>
      <c r="BK6" s="196"/>
      <c r="BL6" s="196"/>
      <c r="BM6" s="196"/>
      <c r="BN6" s="196"/>
      <c r="BO6" s="196"/>
      <c r="BP6" s="196"/>
      <c r="BQ6" s="196"/>
      <c r="BR6" s="196"/>
      <c r="BS6" s="196"/>
      <c r="BT6" s="196"/>
      <c r="BU6" s="196"/>
      <c r="BV6" s="196"/>
      <c r="BW6" s="196"/>
      <c r="BX6" s="196"/>
      <c r="BY6" s="196"/>
      <c r="BZ6" s="196"/>
      <c r="CA6" s="196"/>
      <c r="CB6" s="196"/>
      <c r="CC6" s="196"/>
      <c r="CD6" s="196"/>
      <c r="CE6" s="196"/>
      <c r="CF6" s="196"/>
      <c r="CG6" s="196"/>
      <c r="CH6" s="196"/>
      <c r="CI6" s="196"/>
      <c r="CJ6" s="196"/>
      <c r="CK6" s="196"/>
      <c r="CL6" s="196"/>
      <c r="CM6" s="196"/>
      <c r="CN6" s="196"/>
      <c r="CO6" s="196"/>
      <c r="CP6" s="196"/>
      <c r="CQ6" s="196"/>
      <c r="CR6" s="196"/>
      <c r="CS6" s="196"/>
      <c r="CT6" s="196"/>
      <c r="CU6" s="196"/>
      <c r="CV6" s="196"/>
      <c r="CW6" s="196"/>
      <c r="CX6" s="196"/>
      <c r="CY6" s="196"/>
      <c r="CZ6" s="196"/>
      <c r="DA6" s="196"/>
      <c r="DB6" s="196"/>
      <c r="DC6" s="196"/>
      <c r="DD6" s="196"/>
    </row>
    <row customHeight="true" ht="18.51851851851852" r="7">
      <c r="A7" s="194"/>
      <c r="B7" s="193"/>
      <c r="C7" s="194" t="s">
        <v>881</v>
      </c>
      <c r="D7" s="197" t="s">
        <v>896</v>
      </c>
      <c r="E7" s="198" t="s">
        <v>887</v>
      </c>
      <c r="F7" s="198"/>
      <c r="G7" s="196" t="s">
        <v>885</v>
      </c>
      <c r="H7" s="199" t="s">
        <v>897</v>
      </c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196" t="s">
        <v>885</v>
      </c>
      <c r="U7" s="196" t="s">
        <v>885</v>
      </c>
      <c r="V7" s="196" t="s">
        <v>885</v>
      </c>
      <c r="W7" s="196" t="s">
        <v>885</v>
      </c>
      <c r="X7" s="196" t="s">
        <v>885</v>
      </c>
      <c r="Y7" s="196" t="s">
        <v>885</v>
      </c>
      <c r="Z7" s="196" t="s">
        <v>885</v>
      </c>
      <c r="AA7" s="196" t="s">
        <v>885</v>
      </c>
      <c r="AB7" s="196" t="s">
        <v>885</v>
      </c>
      <c r="AC7" s="196" t="s">
        <v>885</v>
      </c>
      <c r="AD7" s="196" t="s">
        <v>885</v>
      </c>
      <c r="AE7" s="196" t="s">
        <v>885</v>
      </c>
      <c r="AF7" s="196" t="s">
        <v>885</v>
      </c>
      <c r="AG7" s="196" t="s">
        <v>885</v>
      </c>
      <c r="AH7" s="196" t="s">
        <v>885</v>
      </c>
      <c r="AI7" s="196" t="s">
        <v>885</v>
      </c>
      <c r="AJ7" s="196" t="s">
        <v>885</v>
      </c>
      <c r="AK7" s="196" t="s">
        <v>885</v>
      </c>
      <c r="AL7" s="196" t="s">
        <v>885</v>
      </c>
      <c r="AM7" s="196" t="s">
        <v>885</v>
      </c>
      <c r="AN7" s="196" t="s">
        <v>885</v>
      </c>
      <c r="AO7" s="196" t="s">
        <v>885</v>
      </c>
      <c r="AP7" s="196" t="s">
        <v>885</v>
      </c>
      <c r="AQ7" s="196" t="s">
        <v>885</v>
      </c>
      <c r="AR7" s="196" t="s">
        <v>885</v>
      </c>
      <c r="AS7" s="196" t="s">
        <v>885</v>
      </c>
      <c r="AT7" s="196" t="s">
        <v>885</v>
      </c>
      <c r="AU7" s="196" t="s">
        <v>885</v>
      </c>
      <c r="AV7" s="196" t="s">
        <v>885</v>
      </c>
      <c r="AW7" s="196" t="s">
        <v>885</v>
      </c>
      <c r="AX7" s="196"/>
      <c r="AY7" s="196"/>
      <c r="AZ7" s="196"/>
      <c r="BA7" s="196"/>
      <c r="BB7" s="196"/>
      <c r="BC7" s="196"/>
      <c r="BD7" s="196"/>
      <c r="BE7" s="196"/>
      <c r="BF7" s="196"/>
      <c r="BG7" s="196"/>
      <c r="BH7" s="196"/>
      <c r="BI7" s="196"/>
      <c r="BJ7" s="196"/>
      <c r="BK7" s="196"/>
      <c r="BL7" s="196"/>
      <c r="BM7" s="196"/>
      <c r="BN7" s="196"/>
      <c r="BO7" s="196"/>
      <c r="BP7" s="196"/>
      <c r="BQ7" s="196"/>
      <c r="BR7" s="196"/>
      <c r="BS7" s="196"/>
      <c r="BT7" s="196"/>
      <c r="BU7" s="196"/>
      <c r="BV7" s="196"/>
      <c r="BW7" s="196"/>
      <c r="BX7" s="196"/>
      <c r="BY7" s="196"/>
      <c r="BZ7" s="196"/>
      <c r="CA7" s="196"/>
      <c r="CB7" s="196"/>
      <c r="CC7" s="196"/>
      <c r="CD7" s="196"/>
      <c r="CE7" s="196"/>
      <c r="CF7" s="196"/>
      <c r="CG7" s="196"/>
      <c r="CH7" s="196"/>
      <c r="CI7" s="196"/>
      <c r="CJ7" s="196"/>
      <c r="CK7" s="196"/>
      <c r="CL7" s="196"/>
      <c r="CM7" s="196"/>
      <c r="CN7" s="196"/>
      <c r="CO7" s="196"/>
      <c r="CP7" s="196"/>
      <c r="CQ7" s="196"/>
      <c r="CR7" s="196"/>
      <c r="CS7" s="196"/>
      <c r="CT7" s="196"/>
      <c r="CU7" s="196"/>
      <c r="CV7" s="196"/>
      <c r="CW7" s="196"/>
      <c r="CX7" s="196"/>
      <c r="CY7" s="196"/>
      <c r="CZ7" s="196"/>
      <c r="DA7" s="196"/>
      <c r="DB7" s="196"/>
      <c r="DC7" s="196"/>
      <c r="DD7" s="196"/>
    </row>
    <row customHeight="true" ht="18.51851851851852" r="8">
      <c r="A8" s="194"/>
      <c r="B8" s="193" t="s">
        <v>898</v>
      </c>
      <c r="C8" s="194" t="s">
        <v>884</v>
      </c>
      <c r="D8" s="195">
        <v>0.15</v>
      </c>
      <c r="E8" s="196" t="s">
        <v>885</v>
      </c>
      <c r="F8" s="196" t="s">
        <v>885</v>
      </c>
      <c r="G8" s="196" t="s">
        <v>885</v>
      </c>
      <c r="H8" s="196" t="s">
        <v>885</v>
      </c>
      <c r="I8" s="196" t="s">
        <v>885</v>
      </c>
      <c r="J8" s="196" t="s">
        <v>885</v>
      </c>
      <c r="K8" s="196" t="s">
        <v>885</v>
      </c>
      <c r="L8" s="196" t="s">
        <v>885</v>
      </c>
      <c r="M8" s="196" t="s">
        <v>885</v>
      </c>
      <c r="N8" s="196" t="s">
        <v>885</v>
      </c>
      <c r="O8" s="196" t="s">
        <v>885</v>
      </c>
      <c r="P8" s="196" t="s">
        <v>885</v>
      </c>
      <c r="Q8" s="196" t="s">
        <v>885</v>
      </c>
      <c r="R8" s="196" t="s">
        <v>885</v>
      </c>
      <c r="S8" s="196" t="s">
        <v>885</v>
      </c>
      <c r="T8" s="196" t="s">
        <v>885</v>
      </c>
      <c r="U8" s="196" t="s">
        <v>885</v>
      </c>
      <c r="V8" s="196" t="s">
        <v>885</v>
      </c>
      <c r="W8" s="196" t="s">
        <v>885</v>
      </c>
      <c r="X8" s="196" t="s">
        <v>885</v>
      </c>
      <c r="Y8" s="196" t="s">
        <v>885</v>
      </c>
      <c r="Z8" s="196" t="s">
        <v>885</v>
      </c>
      <c r="AA8" s="196" t="s">
        <v>885</v>
      </c>
      <c r="AB8" s="196" t="s">
        <v>885</v>
      </c>
      <c r="AC8" s="196" t="s">
        <v>885</v>
      </c>
      <c r="AD8" s="196" t="s">
        <v>885</v>
      </c>
      <c r="AE8" s="196" t="s">
        <v>885</v>
      </c>
      <c r="AF8" s="196" t="s">
        <v>885</v>
      </c>
      <c r="AG8" s="196" t="s">
        <v>885</v>
      </c>
      <c r="AH8" s="196" t="s">
        <v>885</v>
      </c>
      <c r="AI8" s="196" t="s">
        <v>885</v>
      </c>
      <c r="AJ8" s="196" t="s">
        <v>885</v>
      </c>
      <c r="AK8" s="196" t="s">
        <v>885</v>
      </c>
      <c r="AL8" s="196" t="s">
        <v>885</v>
      </c>
      <c r="AM8" s="196" t="s">
        <v>885</v>
      </c>
      <c r="AN8" s="196" t="s">
        <v>885</v>
      </c>
      <c r="AO8" s="196" t="s">
        <v>885</v>
      </c>
      <c r="AP8" s="196" t="s">
        <v>885</v>
      </c>
      <c r="AQ8" s="196" t="s">
        <v>885</v>
      </c>
      <c r="AR8" s="196" t="s">
        <v>885</v>
      </c>
      <c r="AS8" s="196" t="s">
        <v>885</v>
      </c>
      <c r="AT8" s="196" t="s">
        <v>885</v>
      </c>
      <c r="AU8" s="196" t="s">
        <v>885</v>
      </c>
      <c r="AV8" s="196" t="s">
        <v>885</v>
      </c>
      <c r="AW8" s="196" t="s">
        <v>885</v>
      </c>
      <c r="AX8" s="196"/>
      <c r="AY8" s="196"/>
      <c r="AZ8" s="196"/>
      <c r="BA8" s="196"/>
      <c r="BB8" s="196"/>
      <c r="BC8" s="196"/>
      <c r="BD8" s="196"/>
      <c r="BE8" s="196"/>
      <c r="BF8" s="196"/>
      <c r="BG8" s="196"/>
      <c r="BH8" s="196"/>
      <c r="BI8" s="196"/>
      <c r="BJ8" s="196"/>
      <c r="BK8" s="196"/>
      <c r="BL8" s="196"/>
      <c r="BM8" s="196"/>
      <c r="BN8" s="196"/>
      <c r="BO8" s="196"/>
      <c r="BP8" s="196"/>
      <c r="BQ8" s="196"/>
      <c r="BR8" s="196"/>
      <c r="BS8" s="196"/>
      <c r="BT8" s="196"/>
      <c r="BU8" s="196"/>
      <c r="BV8" s="196"/>
      <c r="BW8" s="196"/>
      <c r="BX8" s="196"/>
      <c r="BY8" s="196"/>
      <c r="BZ8" s="196"/>
      <c r="CA8" s="196"/>
      <c r="CB8" s="196"/>
      <c r="CC8" s="196"/>
      <c r="CD8" s="196"/>
      <c r="CE8" s="196"/>
      <c r="CF8" s="196"/>
      <c r="CG8" s="196"/>
      <c r="CH8" s="196"/>
      <c r="CI8" s="196"/>
      <c r="CJ8" s="196"/>
      <c r="CK8" s="196"/>
      <c r="CL8" s="196"/>
      <c r="CM8" s="196"/>
      <c r="CN8" s="196"/>
      <c r="CO8" s="196"/>
      <c r="CP8" s="196"/>
      <c r="CQ8" s="196"/>
      <c r="CR8" s="196"/>
      <c r="CS8" s="196"/>
      <c r="CT8" s="196"/>
      <c r="CU8" s="196"/>
      <c r="CV8" s="196"/>
      <c r="CW8" s="196"/>
      <c r="CX8" s="196"/>
      <c r="CY8" s="196"/>
      <c r="CZ8" s="196"/>
      <c r="DA8" s="196"/>
      <c r="DB8" s="196"/>
      <c r="DC8" s="196"/>
      <c r="DD8" s="196"/>
    </row>
    <row customHeight="true" ht="18.51851851851852" r="9">
      <c r="A9" s="194"/>
      <c r="B9" s="193"/>
      <c r="C9" s="194" t="s">
        <v>881</v>
      </c>
      <c r="D9" s="197" t="s">
        <v>899</v>
      </c>
      <c r="E9" s="198" t="s">
        <v>887</v>
      </c>
      <c r="F9" s="198"/>
      <c r="G9" s="196" t="s">
        <v>885</v>
      </c>
      <c r="H9" s="199" t="s">
        <v>900</v>
      </c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196" t="s">
        <v>885</v>
      </c>
      <c r="T9" s="196" t="s">
        <v>885</v>
      </c>
      <c r="U9" s="198" t="s">
        <v>901</v>
      </c>
      <c r="V9" s="198"/>
      <c r="W9" s="198"/>
      <c r="X9" s="198"/>
      <c r="Y9" s="196" t="s">
        <v>885</v>
      </c>
      <c r="Z9" s="196" t="s">
        <v>885</v>
      </c>
      <c r="AA9" s="196" t="s">
        <v>885</v>
      </c>
      <c r="AB9" s="196" t="s">
        <v>885</v>
      </c>
      <c r="AC9" s="196" t="s">
        <v>885</v>
      </c>
      <c r="AD9" s="196" t="s">
        <v>885</v>
      </c>
      <c r="AE9" s="196" t="s">
        <v>885</v>
      </c>
      <c r="AF9" s="196" t="s">
        <v>885</v>
      </c>
      <c r="AG9" s="196" t="s">
        <v>885</v>
      </c>
      <c r="AH9" s="196" t="s">
        <v>885</v>
      </c>
      <c r="AI9" s="196" t="s">
        <v>885</v>
      </c>
      <c r="AJ9" s="196" t="s">
        <v>885</v>
      </c>
      <c r="AK9" s="196" t="s">
        <v>885</v>
      </c>
      <c r="AL9" s="196" t="s">
        <v>885</v>
      </c>
      <c r="AM9" s="196" t="s">
        <v>885</v>
      </c>
      <c r="AN9" s="196" t="s">
        <v>885</v>
      </c>
      <c r="AO9" s="196" t="s">
        <v>885</v>
      </c>
      <c r="AP9" s="196" t="s">
        <v>885</v>
      </c>
      <c r="AQ9" s="196" t="s">
        <v>885</v>
      </c>
      <c r="AR9" s="196" t="s">
        <v>885</v>
      </c>
      <c r="AS9" s="196" t="s">
        <v>885</v>
      </c>
      <c r="AT9" s="196" t="s">
        <v>885</v>
      </c>
      <c r="AU9" s="196" t="s">
        <v>885</v>
      </c>
      <c r="AV9" s="196" t="s">
        <v>885</v>
      </c>
      <c r="AW9" s="196" t="s">
        <v>885</v>
      </c>
      <c r="AX9" s="196"/>
      <c r="AY9" s="196"/>
      <c r="AZ9" s="196"/>
      <c r="BA9" s="196"/>
      <c r="BB9" s="196"/>
      <c r="BC9" s="196"/>
      <c r="BD9" s="196"/>
      <c r="BE9" s="196"/>
      <c r="BF9" s="196"/>
      <c r="BG9" s="196"/>
      <c r="BH9" s="196"/>
      <c r="BI9" s="196"/>
      <c r="BJ9" s="196"/>
      <c r="BK9" s="196"/>
      <c r="BL9" s="196"/>
      <c r="BM9" s="196"/>
      <c r="BN9" s="196"/>
      <c r="BO9" s="196"/>
      <c r="BP9" s="196"/>
      <c r="BQ9" s="196"/>
      <c r="BR9" s="196"/>
      <c r="BS9" s="196"/>
      <c r="BT9" s="196"/>
      <c r="BU9" s="196"/>
      <c r="BV9" s="196"/>
      <c r="BW9" s="196"/>
      <c r="BX9" s="196"/>
      <c r="BY9" s="196"/>
      <c r="BZ9" s="196"/>
      <c r="CA9" s="196"/>
      <c r="CB9" s="196"/>
      <c r="CC9" s="196"/>
      <c r="CD9" s="196"/>
      <c r="CE9" s="196"/>
      <c r="CF9" s="196"/>
      <c r="CG9" s="196"/>
      <c r="CH9" s="196"/>
      <c r="CI9" s="196"/>
      <c r="CJ9" s="196"/>
      <c r="CK9" s="196"/>
      <c r="CL9" s="196"/>
      <c r="CM9" s="196"/>
      <c r="CN9" s="196"/>
      <c r="CO9" s="196"/>
      <c r="CP9" s="196"/>
      <c r="CQ9" s="196"/>
      <c r="CR9" s="196"/>
      <c r="CS9" s="196"/>
      <c r="CT9" s="196"/>
      <c r="CU9" s="196"/>
      <c r="CV9" s="196"/>
      <c r="CW9" s="196"/>
      <c r="CX9" s="196"/>
      <c r="CY9" s="196"/>
      <c r="CZ9" s="196"/>
      <c r="DA9" s="196"/>
      <c r="DB9" s="196"/>
      <c r="DC9" s="196"/>
      <c r="DD9" s="196"/>
    </row>
    <row customHeight="true" ht="18.51851851851852" r="10">
      <c r="A10" s="194"/>
      <c r="B10" s="193" t="s">
        <v>902</v>
      </c>
      <c r="C10" s="194" t="s">
        <v>884</v>
      </c>
      <c r="D10" s="195">
        <v>0.15</v>
      </c>
      <c r="E10" s="196" t="s">
        <v>885</v>
      </c>
      <c r="F10" s="196" t="s">
        <v>885</v>
      </c>
      <c r="G10" s="196" t="s">
        <v>885</v>
      </c>
      <c r="H10" s="196" t="s">
        <v>885</v>
      </c>
      <c r="I10" s="196" t="s">
        <v>885</v>
      </c>
      <c r="J10" s="196" t="s">
        <v>885</v>
      </c>
      <c r="K10" s="196" t="s">
        <v>885</v>
      </c>
      <c r="L10" s="196" t="s">
        <v>885</v>
      </c>
      <c r="M10" s="196" t="s">
        <v>885</v>
      </c>
      <c r="N10" s="196" t="s">
        <v>885</v>
      </c>
      <c r="O10" s="196" t="s">
        <v>885</v>
      </c>
      <c r="P10" s="196" t="s">
        <v>885</v>
      </c>
      <c r="Q10" s="196" t="s">
        <v>885</v>
      </c>
      <c r="R10" s="196" t="s">
        <v>885</v>
      </c>
      <c r="S10" s="196" t="s">
        <v>885</v>
      </c>
      <c r="T10" s="196" t="s">
        <v>885</v>
      </c>
      <c r="U10" s="196" t="s">
        <v>885</v>
      </c>
      <c r="V10" s="196" t="s">
        <v>885</v>
      </c>
      <c r="W10" s="196" t="s">
        <v>885</v>
      </c>
      <c r="X10" s="196" t="s">
        <v>885</v>
      </c>
      <c r="Y10" s="196" t="s">
        <v>885</v>
      </c>
      <c r="Z10" s="196" t="s">
        <v>885</v>
      </c>
      <c r="AA10" s="196" t="s">
        <v>885</v>
      </c>
      <c r="AB10" s="196" t="s">
        <v>885</v>
      </c>
      <c r="AC10" s="198" t="s">
        <v>903</v>
      </c>
      <c r="AD10" s="198"/>
      <c r="AE10" s="198"/>
      <c r="AF10" s="196" t="s">
        <v>885</v>
      </c>
      <c r="AG10" s="196" t="s">
        <v>885</v>
      </c>
      <c r="AH10" s="196" t="s">
        <v>885</v>
      </c>
      <c r="AI10" s="196" t="s">
        <v>885</v>
      </c>
      <c r="AJ10" s="196" t="s">
        <v>885</v>
      </c>
      <c r="AK10" s="196" t="s">
        <v>885</v>
      </c>
      <c r="AL10" s="196" t="s">
        <v>885</v>
      </c>
      <c r="AM10" s="196" t="s">
        <v>885</v>
      </c>
      <c r="AN10" s="196" t="s">
        <v>885</v>
      </c>
      <c r="AO10" s="196" t="s">
        <v>885</v>
      </c>
      <c r="AP10" s="196" t="s">
        <v>885</v>
      </c>
      <c r="AQ10" s="196" t="s">
        <v>885</v>
      </c>
      <c r="AR10" s="196" t="s">
        <v>885</v>
      </c>
      <c r="AS10" s="196" t="s">
        <v>885</v>
      </c>
      <c r="AT10" s="196" t="s">
        <v>885</v>
      </c>
      <c r="AU10" s="196" t="s">
        <v>885</v>
      </c>
      <c r="AV10" s="196" t="s">
        <v>885</v>
      </c>
      <c r="AW10" s="196" t="s">
        <v>885</v>
      </c>
      <c r="AX10" s="196"/>
      <c r="AY10" s="196"/>
      <c r="AZ10" s="196"/>
      <c r="BA10" s="196"/>
      <c r="BB10" s="196"/>
      <c r="BC10" s="196"/>
      <c r="BD10" s="196"/>
      <c r="BE10" s="196"/>
      <c r="BF10" s="196"/>
      <c r="BG10" s="196"/>
      <c r="BH10" s="196"/>
      <c r="BI10" s="196"/>
      <c r="BJ10" s="196"/>
      <c r="BK10" s="196"/>
      <c r="BL10" s="196"/>
      <c r="BM10" s="196"/>
      <c r="BN10" s="196"/>
      <c r="BO10" s="196"/>
      <c r="BP10" s="196"/>
      <c r="BQ10" s="196"/>
      <c r="BR10" s="196"/>
      <c r="BS10" s="196"/>
      <c r="BT10" s="196"/>
      <c r="BU10" s="196"/>
      <c r="BV10" s="196"/>
      <c r="BW10" s="196"/>
      <c r="BX10" s="196"/>
      <c r="BY10" s="196"/>
      <c r="BZ10" s="196"/>
      <c r="CA10" s="196"/>
      <c r="CB10" s="196"/>
      <c r="CC10" s="196"/>
      <c r="CD10" s="196"/>
      <c r="CE10" s="196"/>
      <c r="CF10" s="196"/>
      <c r="CG10" s="196"/>
      <c r="CH10" s="196"/>
      <c r="CI10" s="196"/>
      <c r="CJ10" s="196"/>
      <c r="CK10" s="196"/>
      <c r="CL10" s="196"/>
      <c r="CM10" s="196"/>
      <c r="CN10" s="196"/>
      <c r="CO10" s="196"/>
      <c r="CP10" s="196"/>
      <c r="CQ10" s="196"/>
      <c r="CR10" s="196"/>
      <c r="CS10" s="196"/>
      <c r="CT10" s="196"/>
      <c r="CU10" s="196"/>
      <c r="CV10" s="196"/>
      <c r="CW10" s="196"/>
      <c r="CX10" s="196"/>
      <c r="CY10" s="196"/>
      <c r="CZ10" s="196"/>
      <c r="DA10" s="196"/>
      <c r="DB10" s="196"/>
      <c r="DC10" s="196"/>
      <c r="DD10" s="196"/>
    </row>
    <row customHeight="true" ht="18.51851851851852" r="11">
      <c r="A11" s="194"/>
      <c r="B11" s="193"/>
      <c r="C11" s="194" t="s">
        <v>881</v>
      </c>
      <c r="D11" s="197" t="s">
        <v>904</v>
      </c>
      <c r="E11" s="196" t="s">
        <v>885</v>
      </c>
      <c r="F11" s="196" t="s">
        <v>885</v>
      </c>
      <c r="G11" s="196" t="s">
        <v>885</v>
      </c>
      <c r="H11" s="199" t="s">
        <v>905</v>
      </c>
      <c r="I11" s="199"/>
      <c r="J11" s="199"/>
      <c r="K11" s="199"/>
      <c r="L11" s="199"/>
      <c r="M11" s="199"/>
      <c r="N11" s="199"/>
      <c r="O11" s="199"/>
      <c r="P11" s="199"/>
      <c r="Q11" s="199"/>
      <c r="R11" s="199"/>
      <c r="S11" s="199"/>
      <c r="T11" s="196" t="s">
        <v>885</v>
      </c>
      <c r="U11" s="196" t="s">
        <v>885</v>
      </c>
      <c r="V11" s="196" t="s">
        <v>885</v>
      </c>
      <c r="W11" s="196" t="s">
        <v>885</v>
      </c>
      <c r="X11" s="196" t="s">
        <v>885</v>
      </c>
      <c r="Y11" s="196" t="s">
        <v>885</v>
      </c>
      <c r="Z11" s="196" t="s">
        <v>885</v>
      </c>
      <c r="AA11" s="196" t="s">
        <v>885</v>
      </c>
      <c r="AB11" s="196" t="s">
        <v>885</v>
      </c>
      <c r="AC11" s="196" t="s">
        <v>885</v>
      </c>
      <c r="AD11" s="196" t="s">
        <v>885</v>
      </c>
      <c r="AE11" s="196" t="s">
        <v>885</v>
      </c>
      <c r="AF11" s="198" t="s">
        <v>906</v>
      </c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  <c r="AS11" s="198"/>
      <c r="AT11" s="198"/>
      <c r="AU11" s="198"/>
      <c r="AV11" s="198"/>
      <c r="AW11" s="198"/>
      <c r="AX11" s="196"/>
      <c r="AY11" s="196"/>
      <c r="AZ11" s="196"/>
      <c r="BA11" s="196"/>
      <c r="BB11" s="196"/>
      <c r="BC11" s="196"/>
      <c r="BD11" s="196"/>
      <c r="BE11" s="196"/>
      <c r="BF11" s="196"/>
      <c r="BG11" s="196"/>
      <c r="BH11" s="196"/>
      <c r="BI11" s="196"/>
      <c r="BJ11" s="196"/>
      <c r="BK11" s="196"/>
      <c r="BL11" s="196"/>
      <c r="BM11" s="196"/>
      <c r="BN11" s="196"/>
      <c r="BO11" s="196"/>
      <c r="BP11" s="196"/>
      <c r="BQ11" s="196"/>
      <c r="BR11" s="196"/>
      <c r="BS11" s="196"/>
      <c r="BT11" s="196"/>
      <c r="BU11" s="196"/>
      <c r="BV11" s="196"/>
      <c r="BW11" s="196"/>
      <c r="BX11" s="196"/>
      <c r="BY11" s="196"/>
      <c r="BZ11" s="196"/>
      <c r="CA11" s="196"/>
      <c r="CB11" s="196"/>
      <c r="CC11" s="196"/>
      <c r="CD11" s="196"/>
      <c r="CE11" s="196"/>
      <c r="CF11" s="196"/>
      <c r="CG11" s="196"/>
      <c r="CH11" s="196"/>
      <c r="CI11" s="196"/>
      <c r="CJ11" s="196"/>
      <c r="CK11" s="196"/>
      <c r="CL11" s="196"/>
      <c r="CM11" s="196"/>
      <c r="CN11" s="196"/>
      <c r="CO11" s="196"/>
      <c r="CP11" s="196"/>
      <c r="CQ11" s="196"/>
      <c r="CR11" s="196"/>
      <c r="CS11" s="196"/>
      <c r="CT11" s="196"/>
      <c r="CU11" s="196"/>
      <c r="CV11" s="196"/>
      <c r="CW11" s="196"/>
      <c r="CX11" s="196"/>
      <c r="CY11" s="196"/>
      <c r="CZ11" s="196"/>
      <c r="DA11" s="196"/>
      <c r="DB11" s="196"/>
      <c r="DC11" s="196"/>
      <c r="DD11" s="196"/>
    </row>
    <row customHeight="true" ht="18.51851851851852" r="12">
      <c r="A12" s="192" t="s">
        <v>907</v>
      </c>
      <c r="B12" s="193" t="s">
        <v>883</v>
      </c>
      <c r="C12" s="194" t="s">
        <v>884</v>
      </c>
      <c r="D12" s="195">
        <v>0.15</v>
      </c>
      <c r="E12" s="196" t="s">
        <v>885</v>
      </c>
      <c r="F12" s="196" t="s">
        <v>885</v>
      </c>
      <c r="G12" s="196" t="s">
        <v>885</v>
      </c>
      <c r="H12" s="196" t="s">
        <v>885</v>
      </c>
      <c r="I12" s="199" t="s">
        <v>908</v>
      </c>
      <c r="J12" s="199"/>
      <c r="K12" s="199"/>
      <c r="L12" s="199"/>
      <c r="M12" s="199"/>
      <c r="N12" s="199"/>
      <c r="O12" s="199"/>
      <c r="P12" s="199"/>
      <c r="Q12" s="199"/>
      <c r="R12" s="199"/>
      <c r="S12" s="199"/>
      <c r="T12" s="199"/>
      <c r="U12" s="196" t="s">
        <v>885</v>
      </c>
      <c r="V12" s="196" t="s">
        <v>885</v>
      </c>
      <c r="W12" s="196" t="s">
        <v>885</v>
      </c>
      <c r="X12" s="196" t="s">
        <v>885</v>
      </c>
      <c r="Y12" s="196" t="s">
        <v>885</v>
      </c>
      <c r="Z12" s="196" t="s">
        <v>885</v>
      </c>
      <c r="AA12" s="196" t="s">
        <v>885</v>
      </c>
      <c r="AB12" s="199" t="s">
        <v>903</v>
      </c>
      <c r="AC12" s="199"/>
      <c r="AD12" s="199"/>
      <c r="AE12" s="196" t="s">
        <v>885</v>
      </c>
      <c r="AF12" s="196" t="s">
        <v>885</v>
      </c>
      <c r="AG12" s="196" t="s">
        <v>885</v>
      </c>
      <c r="AH12" s="196" t="s">
        <v>885</v>
      </c>
      <c r="AI12" s="196" t="s">
        <v>885</v>
      </c>
      <c r="AJ12" s="196" t="s">
        <v>885</v>
      </c>
      <c r="AK12" s="196" t="s">
        <v>885</v>
      </c>
      <c r="AL12" s="196" t="s">
        <v>885</v>
      </c>
      <c r="AM12" s="196" t="s">
        <v>885</v>
      </c>
      <c r="AN12" s="196" t="s">
        <v>885</v>
      </c>
      <c r="AO12" s="196" t="s">
        <v>885</v>
      </c>
      <c r="AP12" s="196" t="s">
        <v>885</v>
      </c>
      <c r="AQ12" s="196" t="s">
        <v>885</v>
      </c>
      <c r="AR12" s="196" t="s">
        <v>885</v>
      </c>
      <c r="AS12" s="196"/>
      <c r="AT12" s="196"/>
      <c r="AU12" s="196"/>
      <c r="AV12" s="196"/>
      <c r="AW12" s="196"/>
      <c r="AX12" s="196"/>
      <c r="AY12" s="196"/>
      <c r="AZ12" s="196"/>
      <c r="BA12" s="196"/>
      <c r="BB12" s="196"/>
      <c r="BC12" s="196"/>
      <c r="BD12" s="196"/>
      <c r="BE12" s="196"/>
      <c r="BF12" s="196"/>
      <c r="BG12" s="196"/>
      <c r="BH12" s="196"/>
      <c r="BI12" s="196"/>
      <c r="BJ12" s="196"/>
      <c r="BK12" s="196"/>
      <c r="BL12" s="196"/>
      <c r="BM12" s="196"/>
      <c r="BN12" s="196"/>
      <c r="BO12" s="196"/>
      <c r="BP12" s="196"/>
      <c r="BQ12" s="196"/>
      <c r="BR12" s="196"/>
      <c r="BS12" s="196"/>
      <c r="BT12" s="196"/>
      <c r="BU12" s="196"/>
      <c r="BV12" s="196"/>
      <c r="BW12" s="196"/>
      <c r="BX12" s="196"/>
      <c r="BY12" s="196"/>
      <c r="BZ12" s="196"/>
      <c r="CA12" s="196"/>
      <c r="CB12" s="196"/>
      <c r="CC12" s="196"/>
      <c r="CD12" s="196"/>
      <c r="CE12" s="196"/>
      <c r="CF12" s="196"/>
      <c r="CG12" s="196"/>
      <c r="CH12" s="196"/>
      <c r="CI12" s="196"/>
      <c r="CJ12" s="196"/>
      <c r="CK12" s="196"/>
      <c r="CL12" s="196"/>
      <c r="CM12" s="196"/>
      <c r="CN12" s="196"/>
      <c r="CO12" s="196"/>
      <c r="CP12" s="196"/>
      <c r="CQ12" s="196"/>
      <c r="CR12" s="196"/>
      <c r="CS12" s="196"/>
      <c r="CT12" s="196"/>
      <c r="CU12" s="196"/>
      <c r="CV12" s="196"/>
      <c r="CW12" s="196"/>
      <c r="CX12" s="196"/>
      <c r="CY12" s="196"/>
      <c r="CZ12" s="196"/>
      <c r="DA12" s="196"/>
      <c r="DB12" s="196"/>
      <c r="DC12" s="196"/>
      <c r="DD12" s="196"/>
    </row>
    <row customHeight="true" ht="18.51851851851852" r="13">
      <c r="A13" s="194"/>
      <c r="B13" s="193"/>
      <c r="C13" s="194" t="s">
        <v>881</v>
      </c>
      <c r="D13" s="197" t="s">
        <v>909</v>
      </c>
      <c r="E13" s="196" t="s">
        <v>885</v>
      </c>
      <c r="F13" s="196" t="s">
        <v>885</v>
      </c>
      <c r="G13" s="196" t="s">
        <v>885</v>
      </c>
      <c r="H13" s="196" t="s">
        <v>885</v>
      </c>
      <c r="I13" s="196" t="s">
        <v>885</v>
      </c>
      <c r="J13" s="196" t="s">
        <v>885</v>
      </c>
      <c r="K13" s="196" t="s">
        <v>885</v>
      </c>
      <c r="L13" s="196" t="s">
        <v>885</v>
      </c>
      <c r="M13" s="196" t="s">
        <v>885</v>
      </c>
      <c r="N13" s="196" t="s">
        <v>885</v>
      </c>
      <c r="O13" s="196" t="s">
        <v>885</v>
      </c>
      <c r="P13" s="196" t="s">
        <v>885</v>
      </c>
      <c r="Q13" s="196" t="s">
        <v>885</v>
      </c>
      <c r="R13" s="196" t="s">
        <v>885</v>
      </c>
      <c r="S13" s="196" t="s">
        <v>885</v>
      </c>
      <c r="T13" s="196" t="s">
        <v>885</v>
      </c>
      <c r="U13" s="198" t="s">
        <v>910</v>
      </c>
      <c r="V13" s="198"/>
      <c r="W13" s="198"/>
      <c r="X13" s="198"/>
      <c r="Y13" s="198"/>
      <c r="Z13" s="196" t="s">
        <v>885</v>
      </c>
      <c r="AA13" s="196" t="s">
        <v>885</v>
      </c>
      <c r="AB13" s="196" t="s">
        <v>885</v>
      </c>
      <c r="AC13" s="196" t="s">
        <v>885</v>
      </c>
      <c r="AD13" s="196" t="s">
        <v>885</v>
      </c>
      <c r="AE13" s="199" t="s">
        <v>911</v>
      </c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6"/>
      <c r="AT13" s="196"/>
      <c r="AU13" s="196"/>
      <c r="AV13" s="196"/>
      <c r="AW13" s="196"/>
      <c r="AX13" s="196"/>
      <c r="AY13" s="196"/>
      <c r="AZ13" s="196"/>
      <c r="BA13" s="196"/>
      <c r="BB13" s="196"/>
      <c r="BC13" s="196"/>
      <c r="BD13" s="196"/>
      <c r="BE13" s="196"/>
      <c r="BF13" s="196"/>
      <c r="BG13" s="196"/>
      <c r="BH13" s="196"/>
      <c r="BI13" s="196"/>
      <c r="BJ13" s="196"/>
      <c r="BK13" s="196"/>
      <c r="BL13" s="196"/>
      <c r="BM13" s="196"/>
      <c r="BN13" s="196"/>
      <c r="BO13" s="196"/>
      <c r="BP13" s="196"/>
      <c r="BQ13" s="196"/>
      <c r="BR13" s="196"/>
      <c r="BS13" s="196"/>
      <c r="BT13" s="196"/>
      <c r="BU13" s="196"/>
      <c r="BV13" s="196"/>
      <c r="BW13" s="196"/>
      <c r="BX13" s="196"/>
      <c r="BY13" s="196"/>
      <c r="BZ13" s="196"/>
      <c r="CA13" s="196"/>
      <c r="CB13" s="196"/>
      <c r="CC13" s="196"/>
      <c r="CD13" s="196"/>
      <c r="CE13" s="196"/>
      <c r="CF13" s="196"/>
      <c r="CG13" s="196"/>
      <c r="CH13" s="196"/>
      <c r="CI13" s="196"/>
      <c r="CJ13" s="196"/>
      <c r="CK13" s="196"/>
      <c r="CL13" s="196"/>
      <c r="CM13" s="196"/>
      <c r="CN13" s="196"/>
      <c r="CO13" s="196"/>
      <c r="CP13" s="196"/>
      <c r="CQ13" s="196"/>
      <c r="CR13" s="196"/>
      <c r="CS13" s="196"/>
      <c r="CT13" s="196"/>
      <c r="CU13" s="196"/>
      <c r="CV13" s="196"/>
      <c r="CW13" s="196"/>
      <c r="CX13" s="196"/>
      <c r="CY13" s="196"/>
      <c r="CZ13" s="196"/>
      <c r="DA13" s="196"/>
      <c r="DB13" s="196"/>
      <c r="DC13" s="196"/>
      <c r="DD13" s="196"/>
    </row>
    <row customHeight="true" ht="18.51851851851852" r="14">
      <c r="A14" s="194"/>
      <c r="B14" s="193" t="s">
        <v>890</v>
      </c>
      <c r="C14" s="194" t="s">
        <v>884</v>
      </c>
      <c r="D14" s="195">
        <v>0.15</v>
      </c>
      <c r="E14" s="196" t="s">
        <v>885</v>
      </c>
      <c r="F14" s="196" t="s">
        <v>885</v>
      </c>
      <c r="G14" s="196" t="s">
        <v>885</v>
      </c>
      <c r="H14" s="196" t="s">
        <v>885</v>
      </c>
      <c r="I14" s="196" t="s">
        <v>885</v>
      </c>
      <c r="J14" s="196" t="s">
        <v>885</v>
      </c>
      <c r="K14" s="196" t="s">
        <v>885</v>
      </c>
      <c r="L14" s="196" t="s">
        <v>885</v>
      </c>
      <c r="M14" s="196" t="s">
        <v>885</v>
      </c>
      <c r="N14" s="196" t="s">
        <v>885</v>
      </c>
      <c r="O14" s="196" t="s">
        <v>885</v>
      </c>
      <c r="P14" s="196" t="s">
        <v>885</v>
      </c>
      <c r="Q14" s="196" t="s">
        <v>885</v>
      </c>
      <c r="R14" s="196" t="s">
        <v>885</v>
      </c>
      <c r="S14" s="196" t="s">
        <v>885</v>
      </c>
      <c r="T14" s="196" t="s">
        <v>885</v>
      </c>
      <c r="U14" s="196" t="s">
        <v>885</v>
      </c>
      <c r="V14" s="196" t="s">
        <v>885</v>
      </c>
      <c r="W14" s="196" t="s">
        <v>885</v>
      </c>
      <c r="X14" s="196" t="s">
        <v>885</v>
      </c>
      <c r="Y14" s="196" t="s">
        <v>885</v>
      </c>
      <c r="Z14" s="196" t="s">
        <v>885</v>
      </c>
      <c r="AA14" s="196" t="s">
        <v>885</v>
      </c>
      <c r="AB14" s="196" t="s">
        <v>885</v>
      </c>
      <c r="AC14" s="196" t="s">
        <v>885</v>
      </c>
      <c r="AD14" s="196" t="s">
        <v>885</v>
      </c>
      <c r="AE14" s="196" t="s">
        <v>885</v>
      </c>
      <c r="AF14" s="196" t="s">
        <v>885</v>
      </c>
      <c r="AG14" s="196" t="s">
        <v>885</v>
      </c>
      <c r="AH14" s="196" t="s">
        <v>885</v>
      </c>
      <c r="AI14" s="196" t="s">
        <v>885</v>
      </c>
      <c r="AJ14" s="196" t="s">
        <v>885</v>
      </c>
      <c r="AK14" s="196" t="s">
        <v>885</v>
      </c>
      <c r="AL14" s="196" t="s">
        <v>885</v>
      </c>
      <c r="AM14" s="196" t="s">
        <v>885</v>
      </c>
      <c r="AN14" s="196" t="s">
        <v>885</v>
      </c>
      <c r="AO14" s="196" t="s">
        <v>885</v>
      </c>
      <c r="AP14" s="196" t="s">
        <v>885</v>
      </c>
      <c r="AQ14" s="196" t="s">
        <v>885</v>
      </c>
      <c r="AR14" s="196" t="s">
        <v>885</v>
      </c>
      <c r="AS14" s="196"/>
      <c r="AT14" s="196"/>
      <c r="AU14" s="196"/>
      <c r="AV14" s="196"/>
      <c r="AW14" s="196"/>
      <c r="AX14" s="196"/>
      <c r="AY14" s="196"/>
      <c r="AZ14" s="196"/>
      <c r="BA14" s="196"/>
      <c r="BB14" s="196"/>
      <c r="BC14" s="196"/>
      <c r="BD14" s="196"/>
      <c r="BE14" s="196"/>
      <c r="BF14" s="196"/>
      <c r="BG14" s="196"/>
      <c r="BH14" s="196"/>
      <c r="BI14" s="196"/>
      <c r="BJ14" s="196"/>
      <c r="BK14" s="196"/>
      <c r="BL14" s="196"/>
      <c r="BM14" s="196"/>
      <c r="BN14" s="196"/>
      <c r="BO14" s="196"/>
      <c r="BP14" s="196"/>
      <c r="BQ14" s="196"/>
      <c r="BR14" s="196"/>
      <c r="BS14" s="196"/>
      <c r="BT14" s="196"/>
      <c r="BU14" s="196"/>
      <c r="BV14" s="196"/>
      <c r="BW14" s="196"/>
      <c r="BX14" s="196"/>
      <c r="BY14" s="196"/>
      <c r="BZ14" s="196"/>
      <c r="CA14" s="196"/>
      <c r="CB14" s="196"/>
      <c r="CC14" s="196"/>
      <c r="CD14" s="196"/>
      <c r="CE14" s="196"/>
      <c r="CF14" s="196"/>
      <c r="CG14" s="196"/>
      <c r="CH14" s="196"/>
      <c r="CI14" s="196"/>
      <c r="CJ14" s="196"/>
      <c r="CK14" s="196"/>
      <c r="CL14" s="196"/>
      <c r="CM14" s="196"/>
      <c r="CN14" s="196"/>
      <c r="CO14" s="196"/>
      <c r="CP14" s="196"/>
      <c r="CQ14" s="196"/>
      <c r="CR14" s="196"/>
      <c r="CS14" s="196"/>
      <c r="CT14" s="196"/>
      <c r="CU14" s="196"/>
      <c r="CV14" s="196"/>
      <c r="CW14" s="196"/>
      <c r="CX14" s="196"/>
      <c r="CY14" s="196"/>
      <c r="CZ14" s="196"/>
      <c r="DA14" s="196"/>
      <c r="DB14" s="196"/>
      <c r="DC14" s="196"/>
      <c r="DD14" s="196"/>
    </row>
    <row customHeight="true" ht="18.51851851851852" r="15">
      <c r="A15" s="194"/>
      <c r="B15" s="193"/>
      <c r="C15" s="194" t="s">
        <v>881</v>
      </c>
      <c r="D15" s="197" t="s">
        <v>912</v>
      </c>
      <c r="E15" s="198" t="s">
        <v>913</v>
      </c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6" t="s">
        <v>914</v>
      </c>
      <c r="U15" s="198" t="s">
        <v>915</v>
      </c>
      <c r="V15" s="198"/>
      <c r="W15" s="198"/>
      <c r="X15" s="198"/>
      <c r="Y15" s="198"/>
      <c r="Z15" s="196" t="s">
        <v>885</v>
      </c>
      <c r="AA15" s="196" t="s">
        <v>885</v>
      </c>
      <c r="AB15" s="196" t="s">
        <v>885</v>
      </c>
      <c r="AC15" s="196" t="s">
        <v>885</v>
      </c>
      <c r="AD15" s="196" t="s">
        <v>885</v>
      </c>
      <c r="AE15" s="199" t="s">
        <v>916</v>
      </c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6"/>
      <c r="AT15" s="196"/>
      <c r="AU15" s="196"/>
      <c r="AV15" s="196"/>
      <c r="AW15" s="196"/>
      <c r="AX15" s="196"/>
      <c r="AY15" s="196"/>
      <c r="AZ15" s="196"/>
      <c r="BA15" s="196"/>
      <c r="BB15" s="196"/>
      <c r="BC15" s="196"/>
      <c r="BD15" s="196"/>
      <c r="BE15" s="196"/>
      <c r="BF15" s="196"/>
      <c r="BG15" s="196"/>
      <c r="BH15" s="196"/>
      <c r="BI15" s="196"/>
      <c r="BJ15" s="196"/>
      <c r="BK15" s="196"/>
      <c r="BL15" s="196"/>
      <c r="BM15" s="196"/>
      <c r="BN15" s="196"/>
      <c r="BO15" s="196"/>
      <c r="BP15" s="196"/>
      <c r="BQ15" s="196"/>
      <c r="BR15" s="196"/>
      <c r="BS15" s="196"/>
      <c r="BT15" s="196"/>
      <c r="BU15" s="196"/>
      <c r="BV15" s="196"/>
      <c r="BW15" s="196"/>
      <c r="BX15" s="196"/>
      <c r="BY15" s="196"/>
      <c r="BZ15" s="196"/>
      <c r="CA15" s="196"/>
      <c r="CB15" s="196"/>
      <c r="CC15" s="196"/>
      <c r="CD15" s="196"/>
      <c r="CE15" s="196"/>
      <c r="CF15" s="196"/>
      <c r="CG15" s="196"/>
      <c r="CH15" s="196"/>
      <c r="CI15" s="196"/>
      <c r="CJ15" s="196"/>
      <c r="CK15" s="196"/>
      <c r="CL15" s="196"/>
      <c r="CM15" s="196"/>
      <c r="CN15" s="196"/>
      <c r="CO15" s="196"/>
      <c r="CP15" s="196"/>
      <c r="CQ15" s="196"/>
      <c r="CR15" s="196"/>
      <c r="CS15" s="196"/>
      <c r="CT15" s="196"/>
      <c r="CU15" s="196"/>
      <c r="CV15" s="196"/>
      <c r="CW15" s="196"/>
      <c r="CX15" s="196"/>
      <c r="CY15" s="196"/>
      <c r="CZ15" s="196"/>
      <c r="DA15" s="196"/>
      <c r="DB15" s="196"/>
      <c r="DC15" s="196"/>
      <c r="DD15" s="196"/>
    </row>
    <row customHeight="true" ht="18.51851851851852" r="16">
      <c r="A16" s="194"/>
      <c r="B16" s="193" t="s">
        <v>895</v>
      </c>
      <c r="C16" s="194" t="s">
        <v>884</v>
      </c>
      <c r="D16" s="195">
        <v>0.15</v>
      </c>
      <c r="E16" s="196" t="s">
        <v>885</v>
      </c>
      <c r="F16" s="196" t="s">
        <v>885</v>
      </c>
      <c r="G16" s="196" t="s">
        <v>885</v>
      </c>
      <c r="H16" s="196" t="s">
        <v>885</v>
      </c>
      <c r="I16" s="196" t="s">
        <v>885</v>
      </c>
      <c r="J16" s="196" t="s">
        <v>885</v>
      </c>
      <c r="K16" s="196" t="s">
        <v>885</v>
      </c>
      <c r="L16" s="196" t="s">
        <v>885</v>
      </c>
      <c r="M16" s="196" t="s">
        <v>885</v>
      </c>
      <c r="N16" s="196" t="s">
        <v>885</v>
      </c>
      <c r="O16" s="196" t="s">
        <v>885</v>
      </c>
      <c r="P16" s="196" t="s">
        <v>885</v>
      </c>
      <c r="Q16" s="196" t="s">
        <v>885</v>
      </c>
      <c r="R16" s="196" t="s">
        <v>885</v>
      </c>
      <c r="S16" s="196" t="s">
        <v>885</v>
      </c>
      <c r="T16" s="196" t="s">
        <v>885</v>
      </c>
      <c r="U16" s="196" t="s">
        <v>885</v>
      </c>
      <c r="V16" s="196" t="s">
        <v>885</v>
      </c>
      <c r="W16" s="196" t="s">
        <v>885</v>
      </c>
      <c r="X16" s="196" t="s">
        <v>885</v>
      </c>
      <c r="Y16" s="196" t="s">
        <v>885</v>
      </c>
      <c r="Z16" s="196" t="s">
        <v>885</v>
      </c>
      <c r="AA16" s="196" t="s">
        <v>885</v>
      </c>
      <c r="AB16" s="196" t="s">
        <v>885</v>
      </c>
      <c r="AC16" s="196" t="s">
        <v>885</v>
      </c>
      <c r="AD16" s="196" t="s">
        <v>885</v>
      </c>
      <c r="AE16" s="196" t="s">
        <v>885</v>
      </c>
      <c r="AF16" s="196" t="s">
        <v>885</v>
      </c>
      <c r="AG16" s="196" t="s">
        <v>885</v>
      </c>
      <c r="AH16" s="196" t="s">
        <v>885</v>
      </c>
      <c r="AI16" s="196" t="s">
        <v>885</v>
      </c>
      <c r="AJ16" s="196" t="s">
        <v>885</v>
      </c>
      <c r="AK16" s="196" t="s">
        <v>885</v>
      </c>
      <c r="AL16" s="196" t="s">
        <v>885</v>
      </c>
      <c r="AM16" s="196" t="s">
        <v>885</v>
      </c>
      <c r="AN16" s="198" t="s">
        <v>917</v>
      </c>
      <c r="AO16" s="198"/>
      <c r="AP16" s="198"/>
      <c r="AQ16" s="198"/>
      <c r="AR16" s="198"/>
      <c r="AS16" s="198"/>
      <c r="AT16" s="198"/>
      <c r="AU16" s="198"/>
      <c r="AV16" s="198"/>
      <c r="AW16" s="198"/>
      <c r="AX16" s="196"/>
      <c r="AY16" s="196"/>
      <c r="AZ16" s="196"/>
      <c r="BA16" s="196"/>
      <c r="BB16" s="196"/>
      <c r="BC16" s="196"/>
      <c r="BD16" s="196"/>
      <c r="BE16" s="196"/>
      <c r="BF16" s="196"/>
      <c r="BG16" s="196"/>
      <c r="BH16" s="196"/>
      <c r="BI16" s="196"/>
      <c r="BJ16" s="196"/>
      <c r="BK16" s="196"/>
      <c r="BL16" s="196"/>
      <c r="BM16" s="196"/>
      <c r="BN16" s="196"/>
      <c r="BO16" s="196"/>
      <c r="BP16" s="196"/>
      <c r="BQ16" s="196"/>
      <c r="BR16" s="196"/>
      <c r="BS16" s="196"/>
      <c r="BT16" s="196"/>
      <c r="BU16" s="196"/>
      <c r="BV16" s="196"/>
      <c r="BW16" s="196"/>
      <c r="BX16" s="196"/>
      <c r="BY16" s="196"/>
      <c r="BZ16" s="196"/>
      <c r="CA16" s="196"/>
      <c r="CB16" s="196"/>
      <c r="CC16" s="196"/>
      <c r="CD16" s="196"/>
      <c r="CE16" s="196"/>
      <c r="CF16" s="196"/>
      <c r="CG16" s="196"/>
      <c r="CH16" s="196"/>
      <c r="CI16" s="196"/>
      <c r="CJ16" s="196"/>
      <c r="CK16" s="196"/>
      <c r="CL16" s="196"/>
      <c r="CM16" s="196"/>
      <c r="CN16" s="196"/>
      <c r="CO16" s="196"/>
      <c r="CP16" s="196"/>
      <c r="CQ16" s="196"/>
      <c r="CR16" s="196"/>
      <c r="CS16" s="196"/>
      <c r="CT16" s="196"/>
      <c r="CU16" s="196"/>
      <c r="CV16" s="196"/>
      <c r="CW16" s="196"/>
      <c r="CX16" s="196"/>
      <c r="CY16" s="196"/>
      <c r="CZ16" s="196"/>
      <c r="DA16" s="196"/>
      <c r="DB16" s="196"/>
      <c r="DC16" s="196"/>
      <c r="DD16" s="196"/>
    </row>
    <row customHeight="true" ht="18.51851851851852" r="17">
      <c r="A17" s="194"/>
      <c r="B17" s="193"/>
      <c r="C17" s="194" t="s">
        <v>881</v>
      </c>
      <c r="D17" s="197" t="s">
        <v>918</v>
      </c>
      <c r="E17" s="198" t="s">
        <v>919</v>
      </c>
      <c r="F17" s="198"/>
      <c r="G17" s="198"/>
      <c r="H17" s="198"/>
      <c r="I17" s="198"/>
      <c r="J17" s="198"/>
      <c r="K17" s="198"/>
      <c r="L17" s="198"/>
      <c r="M17" s="198"/>
      <c r="N17" s="198"/>
      <c r="O17" s="198"/>
      <c r="P17" s="198"/>
      <c r="Q17" s="198"/>
      <c r="R17" s="198"/>
      <c r="S17" s="198"/>
      <c r="T17" s="196" t="s">
        <v>885</v>
      </c>
      <c r="U17" s="198" t="s">
        <v>920</v>
      </c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8"/>
      <c r="AG17" s="196" t="s">
        <v>885</v>
      </c>
      <c r="AH17" s="196" t="s">
        <v>885</v>
      </c>
      <c r="AI17" s="196" t="s">
        <v>885</v>
      </c>
      <c r="AJ17" s="196" t="s">
        <v>885</v>
      </c>
      <c r="AK17" s="196" t="s">
        <v>885</v>
      </c>
      <c r="AL17" s="196" t="s">
        <v>885</v>
      </c>
      <c r="AM17" s="196" t="s">
        <v>885</v>
      </c>
      <c r="AN17" s="196" t="s">
        <v>885</v>
      </c>
      <c r="AO17" s="196" t="s">
        <v>885</v>
      </c>
      <c r="AP17" s="196" t="s">
        <v>885</v>
      </c>
      <c r="AQ17" s="196" t="s">
        <v>885</v>
      </c>
      <c r="AR17" s="196" t="s">
        <v>885</v>
      </c>
      <c r="AS17" s="196" t="s">
        <v>885</v>
      </c>
      <c r="AT17" s="196" t="s">
        <v>885</v>
      </c>
      <c r="AU17" s="196" t="s">
        <v>885</v>
      </c>
      <c r="AV17" s="196" t="s">
        <v>885</v>
      </c>
      <c r="AW17" s="196" t="s">
        <v>885</v>
      </c>
      <c r="AX17" s="196"/>
      <c r="AY17" s="196"/>
      <c r="AZ17" s="196"/>
      <c r="BA17" s="196"/>
      <c r="BB17" s="196"/>
      <c r="BC17" s="196"/>
      <c r="BD17" s="196"/>
      <c r="BE17" s="196"/>
      <c r="BF17" s="196"/>
      <c r="BG17" s="196"/>
      <c r="BH17" s="196"/>
      <c r="BI17" s="196"/>
      <c r="BJ17" s="196"/>
      <c r="BK17" s="196"/>
      <c r="BL17" s="196"/>
      <c r="BM17" s="196"/>
      <c r="BN17" s="196"/>
      <c r="BO17" s="196"/>
      <c r="BP17" s="196"/>
      <c r="BQ17" s="196"/>
      <c r="BR17" s="196"/>
      <c r="BS17" s="196"/>
      <c r="BT17" s="196"/>
      <c r="BU17" s="196"/>
      <c r="BV17" s="196"/>
      <c r="BW17" s="196"/>
      <c r="BX17" s="196"/>
      <c r="BY17" s="196"/>
      <c r="BZ17" s="196"/>
      <c r="CA17" s="196"/>
      <c r="CB17" s="196"/>
      <c r="CC17" s="196"/>
      <c r="CD17" s="196"/>
      <c r="CE17" s="196"/>
      <c r="CF17" s="196"/>
      <c r="CG17" s="196"/>
      <c r="CH17" s="196"/>
      <c r="CI17" s="196"/>
      <c r="CJ17" s="196"/>
      <c r="CK17" s="196"/>
      <c r="CL17" s="196"/>
      <c r="CM17" s="196"/>
      <c r="CN17" s="196"/>
      <c r="CO17" s="196"/>
      <c r="CP17" s="196"/>
      <c r="CQ17" s="196"/>
      <c r="CR17" s="196"/>
      <c r="CS17" s="196"/>
      <c r="CT17" s="196"/>
      <c r="CU17" s="196"/>
      <c r="CV17" s="196"/>
      <c r="CW17" s="196"/>
      <c r="CX17" s="196"/>
      <c r="CY17" s="196"/>
      <c r="CZ17" s="196"/>
      <c r="DA17" s="196"/>
      <c r="DB17" s="196"/>
      <c r="DC17" s="196"/>
      <c r="DD17" s="196"/>
    </row>
    <row customHeight="true" ht="18.51851851851852" r="18">
      <c r="A18" s="194"/>
      <c r="B18" s="193" t="s">
        <v>898</v>
      </c>
      <c r="C18" s="194" t="s">
        <v>884</v>
      </c>
      <c r="D18" s="195">
        <v>0.15</v>
      </c>
      <c r="E18" s="196" t="s">
        <v>885</v>
      </c>
      <c r="F18" s="196" t="s">
        <v>885</v>
      </c>
      <c r="G18" s="196" t="s">
        <v>885</v>
      </c>
      <c r="H18" s="196" t="s">
        <v>885</v>
      </c>
      <c r="I18" s="196" t="s">
        <v>885</v>
      </c>
      <c r="J18" s="196" t="s">
        <v>885</v>
      </c>
      <c r="K18" s="196" t="s">
        <v>885</v>
      </c>
      <c r="L18" s="196" t="s">
        <v>885</v>
      </c>
      <c r="M18" s="196" t="s">
        <v>885</v>
      </c>
      <c r="N18" s="196" t="s">
        <v>885</v>
      </c>
      <c r="O18" s="196" t="s">
        <v>885</v>
      </c>
      <c r="P18" s="196" t="s">
        <v>885</v>
      </c>
      <c r="Q18" s="196" t="s">
        <v>885</v>
      </c>
      <c r="R18" s="196" t="s">
        <v>885</v>
      </c>
      <c r="S18" s="196" t="s">
        <v>885</v>
      </c>
      <c r="T18" s="198" t="s">
        <v>921</v>
      </c>
      <c r="U18" s="198"/>
      <c r="V18" s="198"/>
      <c r="W18" s="198"/>
      <c r="X18" s="198"/>
      <c r="Y18" s="198"/>
      <c r="Z18" s="196" t="s">
        <v>885</v>
      </c>
      <c r="AA18" s="196" t="s">
        <v>885</v>
      </c>
      <c r="AB18" s="199" t="s">
        <v>922</v>
      </c>
      <c r="AC18" s="199"/>
      <c r="AD18" s="199"/>
      <c r="AE18" s="199"/>
      <c r="AF18" s="199"/>
      <c r="AG18" s="199"/>
      <c r="AH18" s="199"/>
      <c r="AI18" s="199"/>
      <c r="AJ18" s="199"/>
      <c r="AK18" s="199"/>
      <c r="AL18" s="199"/>
      <c r="AM18" s="196" t="s">
        <v>885</v>
      </c>
      <c r="AN18" s="198" t="s">
        <v>917</v>
      </c>
      <c r="AO18" s="198"/>
      <c r="AP18" s="198"/>
      <c r="AQ18" s="198"/>
      <c r="AR18" s="198"/>
      <c r="AS18" s="198"/>
      <c r="AT18" s="198"/>
      <c r="AU18" s="198"/>
      <c r="AV18" s="198"/>
      <c r="AW18" s="198"/>
      <c r="AX18" s="196"/>
      <c r="AY18" s="196"/>
      <c r="AZ18" s="196"/>
      <c r="BA18" s="196"/>
      <c r="BB18" s="196"/>
      <c r="BC18" s="196"/>
      <c r="BD18" s="196"/>
      <c r="BE18" s="196"/>
      <c r="BF18" s="196"/>
      <c r="BG18" s="196"/>
      <c r="BH18" s="196"/>
      <c r="BI18" s="196"/>
      <c r="BJ18" s="196"/>
      <c r="BK18" s="196"/>
      <c r="BL18" s="196"/>
      <c r="BM18" s="196"/>
      <c r="BN18" s="196"/>
      <c r="BO18" s="196"/>
      <c r="BP18" s="196"/>
      <c r="BQ18" s="196"/>
      <c r="BR18" s="196"/>
      <c r="BS18" s="196"/>
      <c r="BT18" s="196"/>
      <c r="BU18" s="196"/>
      <c r="BV18" s="196"/>
      <c r="BW18" s="196"/>
      <c r="BX18" s="196"/>
      <c r="BY18" s="196"/>
      <c r="BZ18" s="196"/>
      <c r="CA18" s="196"/>
      <c r="CB18" s="196"/>
      <c r="CC18" s="196"/>
      <c r="CD18" s="196"/>
      <c r="CE18" s="196"/>
      <c r="CF18" s="196"/>
      <c r="CG18" s="196"/>
      <c r="CH18" s="196"/>
      <c r="CI18" s="196"/>
      <c r="CJ18" s="196"/>
      <c r="CK18" s="196"/>
      <c r="CL18" s="196"/>
      <c r="CM18" s="196"/>
      <c r="CN18" s="196"/>
      <c r="CO18" s="196"/>
      <c r="CP18" s="196"/>
      <c r="CQ18" s="196"/>
      <c r="CR18" s="196"/>
      <c r="CS18" s="196"/>
      <c r="CT18" s="196"/>
      <c r="CU18" s="196"/>
      <c r="CV18" s="196"/>
      <c r="CW18" s="196"/>
      <c r="CX18" s="196"/>
      <c r="CY18" s="196"/>
      <c r="CZ18" s="196"/>
      <c r="DA18" s="196"/>
      <c r="DB18" s="196"/>
      <c r="DC18" s="196"/>
      <c r="DD18" s="196"/>
    </row>
    <row customHeight="true" ht="18.51851851851852" r="19">
      <c r="A19" s="194"/>
      <c r="B19" s="193"/>
      <c r="C19" s="194" t="s">
        <v>881</v>
      </c>
      <c r="D19" s="197" t="s">
        <v>923</v>
      </c>
      <c r="E19" s="196" t="s">
        <v>885</v>
      </c>
      <c r="F19" s="196" t="s">
        <v>885</v>
      </c>
      <c r="G19" s="196" t="s">
        <v>885</v>
      </c>
      <c r="H19" s="196" t="s">
        <v>885</v>
      </c>
      <c r="I19" s="196" t="s">
        <v>885</v>
      </c>
      <c r="J19" s="196" t="s">
        <v>885</v>
      </c>
      <c r="K19" s="196" t="s">
        <v>885</v>
      </c>
      <c r="L19" s="196" t="s">
        <v>885</v>
      </c>
      <c r="M19" s="196" t="s">
        <v>885</v>
      </c>
      <c r="N19" s="196" t="s">
        <v>885</v>
      </c>
      <c r="O19" s="196" t="s">
        <v>885</v>
      </c>
      <c r="P19" s="196" t="s">
        <v>885</v>
      </c>
      <c r="Q19" s="196" t="s">
        <v>885</v>
      </c>
      <c r="R19" s="196" t="s">
        <v>885</v>
      </c>
      <c r="S19" s="196" t="s">
        <v>885</v>
      </c>
      <c r="T19" s="196" t="s">
        <v>885</v>
      </c>
      <c r="U19" s="196" t="s">
        <v>885</v>
      </c>
      <c r="V19" s="196" t="s">
        <v>885</v>
      </c>
      <c r="W19" s="196" t="s">
        <v>885</v>
      </c>
      <c r="X19" s="196" t="s">
        <v>885</v>
      </c>
      <c r="Y19" s="196" t="s">
        <v>885</v>
      </c>
      <c r="Z19" s="196" t="s">
        <v>885</v>
      </c>
      <c r="AA19" s="196" t="s">
        <v>885</v>
      </c>
      <c r="AB19" s="196" t="s">
        <v>885</v>
      </c>
      <c r="AC19" s="196" t="s">
        <v>885</v>
      </c>
      <c r="AD19" s="196" t="s">
        <v>885</v>
      </c>
      <c r="AE19" s="196" t="s">
        <v>885</v>
      </c>
      <c r="AF19" s="196" t="s">
        <v>885</v>
      </c>
      <c r="AG19" s="196" t="s">
        <v>885</v>
      </c>
      <c r="AH19" s="196" t="s">
        <v>885</v>
      </c>
      <c r="AI19" s="196" t="s">
        <v>885</v>
      </c>
      <c r="AJ19" s="196" t="s">
        <v>885</v>
      </c>
      <c r="AK19" s="196" t="s">
        <v>885</v>
      </c>
      <c r="AL19" s="196" t="s">
        <v>885</v>
      </c>
      <c r="AM19" s="196" t="s">
        <v>885</v>
      </c>
      <c r="AN19" s="196" t="s">
        <v>885</v>
      </c>
      <c r="AO19" s="196" t="s">
        <v>885</v>
      </c>
      <c r="AP19" s="196" t="s">
        <v>885</v>
      </c>
      <c r="AQ19" s="196" t="s">
        <v>885</v>
      </c>
      <c r="AR19" s="196" t="s">
        <v>885</v>
      </c>
      <c r="AS19" s="196" t="s">
        <v>885</v>
      </c>
      <c r="AT19" s="196" t="s">
        <v>885</v>
      </c>
      <c r="AU19" s="196" t="s">
        <v>885</v>
      </c>
      <c r="AV19" s="196" t="s">
        <v>885</v>
      </c>
      <c r="AW19" s="196" t="s">
        <v>885</v>
      </c>
      <c r="AX19" s="196"/>
      <c r="AY19" s="196"/>
      <c r="AZ19" s="196"/>
      <c r="BA19" s="196"/>
      <c r="BB19" s="196"/>
      <c r="BC19" s="196"/>
      <c r="BD19" s="196"/>
      <c r="BE19" s="196"/>
      <c r="BF19" s="196"/>
      <c r="BG19" s="196"/>
      <c r="BH19" s="196"/>
      <c r="BI19" s="196"/>
      <c r="BJ19" s="196"/>
      <c r="BK19" s="196"/>
      <c r="BL19" s="196"/>
      <c r="BM19" s="196"/>
      <c r="BN19" s="196"/>
      <c r="BO19" s="196"/>
      <c r="BP19" s="196"/>
      <c r="BQ19" s="196"/>
      <c r="BR19" s="196"/>
      <c r="BS19" s="196"/>
      <c r="BT19" s="196"/>
      <c r="BU19" s="196"/>
      <c r="BV19" s="196"/>
      <c r="BW19" s="196"/>
      <c r="BX19" s="196"/>
      <c r="BY19" s="196"/>
      <c r="BZ19" s="196"/>
      <c r="CA19" s="196"/>
      <c r="CB19" s="196"/>
      <c r="CC19" s="196"/>
      <c r="CD19" s="196"/>
      <c r="CE19" s="196"/>
      <c r="CF19" s="196"/>
      <c r="CG19" s="196"/>
      <c r="CH19" s="196"/>
      <c r="CI19" s="196"/>
      <c r="CJ19" s="196"/>
      <c r="CK19" s="196"/>
      <c r="CL19" s="196"/>
      <c r="CM19" s="196"/>
      <c r="CN19" s="196"/>
      <c r="CO19" s="196"/>
      <c r="CP19" s="196"/>
      <c r="CQ19" s="196"/>
      <c r="CR19" s="196"/>
      <c r="CS19" s="196"/>
      <c r="CT19" s="196"/>
      <c r="CU19" s="196"/>
      <c r="CV19" s="196"/>
      <c r="CW19" s="196"/>
      <c r="CX19" s="196"/>
      <c r="CY19" s="196"/>
      <c r="CZ19" s="196"/>
      <c r="DA19" s="196"/>
      <c r="DB19" s="196"/>
      <c r="DC19" s="196"/>
      <c r="DD19" s="196"/>
    </row>
    <row customHeight="true" ht="18.51851851851852" r="20">
      <c r="A20" s="192" t="s">
        <v>924</v>
      </c>
      <c r="B20" s="193" t="s">
        <v>883</v>
      </c>
      <c r="C20" s="194" t="s">
        <v>884</v>
      </c>
      <c r="D20" s="195">
        <v>0.15</v>
      </c>
      <c r="E20" s="198" t="s">
        <v>925</v>
      </c>
      <c r="F20" s="198"/>
      <c r="G20" s="198"/>
      <c r="H20" s="198"/>
      <c r="I20" s="198"/>
      <c r="J20" s="198"/>
      <c r="K20" s="198"/>
      <c r="L20" s="198"/>
      <c r="M20" s="198"/>
      <c r="N20" s="198"/>
      <c r="O20" s="198"/>
      <c r="P20" s="198"/>
      <c r="Q20" s="198"/>
      <c r="R20" s="198"/>
      <c r="S20" s="198"/>
      <c r="T20" s="198"/>
      <c r="U20" s="196" t="s">
        <v>885</v>
      </c>
      <c r="V20" s="196" t="s">
        <v>885</v>
      </c>
      <c r="W20" s="196" t="s">
        <v>885</v>
      </c>
      <c r="X20" s="196" t="s">
        <v>885</v>
      </c>
      <c r="Y20" s="196" t="s">
        <v>885</v>
      </c>
      <c r="Z20" s="196" t="s">
        <v>885</v>
      </c>
      <c r="AA20" s="196" t="s">
        <v>885</v>
      </c>
      <c r="AB20" s="196" t="s">
        <v>885</v>
      </c>
      <c r="AC20" s="196" t="s">
        <v>885</v>
      </c>
      <c r="AD20" s="196" t="s">
        <v>885</v>
      </c>
      <c r="AE20" s="196" t="s">
        <v>885</v>
      </c>
      <c r="AF20" s="196" t="s">
        <v>885</v>
      </c>
      <c r="AG20" s="196" t="s">
        <v>885</v>
      </c>
      <c r="AH20" s="196" t="s">
        <v>885</v>
      </c>
      <c r="AI20" s="196" t="s">
        <v>885</v>
      </c>
      <c r="AJ20" s="196" t="s">
        <v>885</v>
      </c>
      <c r="AK20" s="196" t="s">
        <v>885</v>
      </c>
      <c r="AL20" s="196" t="s">
        <v>885</v>
      </c>
      <c r="AM20" s="196" t="s">
        <v>885</v>
      </c>
      <c r="AN20" s="196" t="s">
        <v>885</v>
      </c>
      <c r="AO20" s="196" t="s">
        <v>885</v>
      </c>
      <c r="AP20" s="196" t="s">
        <v>885</v>
      </c>
      <c r="AQ20" s="196" t="s">
        <v>885</v>
      </c>
      <c r="AR20" s="196" t="s">
        <v>885</v>
      </c>
      <c r="AS20" s="196" t="s">
        <v>885</v>
      </c>
      <c r="AT20" s="196" t="s">
        <v>885</v>
      </c>
      <c r="AU20" s="196" t="s">
        <v>885</v>
      </c>
      <c r="AV20" s="196" t="s">
        <v>885</v>
      </c>
      <c r="AW20" s="196" t="s">
        <v>885</v>
      </c>
      <c r="AX20" s="196"/>
      <c r="AY20" s="196"/>
      <c r="AZ20" s="196"/>
      <c r="BA20" s="196"/>
      <c r="BB20" s="196"/>
      <c r="BC20" s="196"/>
      <c r="BD20" s="196"/>
      <c r="BE20" s="196"/>
      <c r="BF20" s="196"/>
      <c r="BG20" s="196"/>
      <c r="BH20" s="196"/>
      <c r="BI20" s="196"/>
      <c r="BJ20" s="196"/>
      <c r="BK20" s="196"/>
      <c r="BL20" s="196"/>
      <c r="BM20" s="196"/>
      <c r="BN20" s="196"/>
      <c r="BO20" s="196"/>
      <c r="BP20" s="196"/>
      <c r="BQ20" s="196"/>
      <c r="BR20" s="196"/>
      <c r="BS20" s="196"/>
      <c r="BT20" s="196"/>
      <c r="BU20" s="196"/>
      <c r="BV20" s="196"/>
      <c r="BW20" s="196"/>
      <c r="BX20" s="196"/>
      <c r="BY20" s="196"/>
      <c r="BZ20" s="196"/>
      <c r="CA20" s="196"/>
      <c r="CB20" s="196"/>
      <c r="CC20" s="196"/>
      <c r="CD20" s="196"/>
      <c r="CE20" s="196"/>
      <c r="CF20" s="196"/>
      <c r="CG20" s="196"/>
      <c r="CH20" s="196"/>
      <c r="CI20" s="196"/>
      <c r="CJ20" s="196"/>
      <c r="CK20" s="196"/>
      <c r="CL20" s="196"/>
      <c r="CM20" s="196"/>
      <c r="CN20" s="196"/>
      <c r="CO20" s="196"/>
      <c r="CP20" s="196"/>
      <c r="CQ20" s="196"/>
      <c r="CR20" s="196"/>
      <c r="CS20" s="196"/>
      <c r="CT20" s="196"/>
      <c r="CU20" s="196"/>
      <c r="CV20" s="196"/>
      <c r="CW20" s="196"/>
      <c r="CX20" s="196"/>
      <c r="CY20" s="196"/>
      <c r="CZ20" s="196"/>
      <c r="DA20" s="196"/>
      <c r="DB20" s="196"/>
      <c r="DC20" s="196"/>
      <c r="DD20" s="196"/>
    </row>
    <row customHeight="true" ht="18.51851851851852" r="21">
      <c r="A21" s="194"/>
      <c r="B21" s="193"/>
      <c r="C21" s="194" t="s">
        <v>881</v>
      </c>
      <c r="D21" s="197" t="s">
        <v>926</v>
      </c>
      <c r="E21" s="196" t="s">
        <v>885</v>
      </c>
      <c r="F21" s="196" t="s">
        <v>885</v>
      </c>
      <c r="G21" s="196" t="s">
        <v>885</v>
      </c>
      <c r="H21" s="196" t="s">
        <v>885</v>
      </c>
      <c r="I21" s="196" t="s">
        <v>885</v>
      </c>
      <c r="J21" s="196" t="s">
        <v>885</v>
      </c>
      <c r="K21" s="196" t="s">
        <v>885</v>
      </c>
      <c r="L21" s="196" t="s">
        <v>885</v>
      </c>
      <c r="M21" s="196" t="s">
        <v>885</v>
      </c>
      <c r="N21" s="196" t="s">
        <v>885</v>
      </c>
      <c r="O21" s="196" t="s">
        <v>885</v>
      </c>
      <c r="P21" s="196" t="s">
        <v>885</v>
      </c>
      <c r="Q21" s="196" t="s">
        <v>885</v>
      </c>
      <c r="R21" s="196" t="s">
        <v>885</v>
      </c>
      <c r="S21" s="196" t="s">
        <v>885</v>
      </c>
      <c r="T21" s="196" t="s">
        <v>885</v>
      </c>
      <c r="U21" s="198" t="s">
        <v>927</v>
      </c>
      <c r="V21" s="198"/>
      <c r="W21" s="198"/>
      <c r="X21" s="198"/>
      <c r="Y21" s="198"/>
      <c r="Z21" s="198"/>
      <c r="AA21" s="198"/>
      <c r="AB21" s="198"/>
      <c r="AC21" s="198"/>
      <c r="AD21" s="198"/>
      <c r="AE21" s="198"/>
      <c r="AF21" s="198"/>
      <c r="AG21" s="198"/>
      <c r="AH21" s="198"/>
      <c r="AI21" s="196" t="s">
        <v>885</v>
      </c>
      <c r="AJ21" s="196" t="s">
        <v>885</v>
      </c>
      <c r="AK21" s="196" t="s">
        <v>885</v>
      </c>
      <c r="AL21" s="196" t="s">
        <v>885</v>
      </c>
      <c r="AM21" s="198" t="s">
        <v>928</v>
      </c>
      <c r="AN21" s="198"/>
      <c r="AO21" s="198"/>
      <c r="AP21" s="198"/>
      <c r="AQ21" s="198"/>
      <c r="AR21" s="198"/>
      <c r="AS21" s="198"/>
      <c r="AT21" s="198"/>
      <c r="AU21" s="198"/>
      <c r="AV21" s="198"/>
      <c r="AW21" s="198"/>
      <c r="AX21" s="196"/>
      <c r="AY21" s="196"/>
      <c r="AZ21" s="196"/>
      <c r="BA21" s="196"/>
      <c r="BB21" s="196"/>
      <c r="BC21" s="196"/>
      <c r="BD21" s="196"/>
      <c r="BE21" s="196"/>
      <c r="BF21" s="196"/>
      <c r="BG21" s="196"/>
      <c r="BH21" s="196"/>
      <c r="BI21" s="196"/>
      <c r="BJ21" s="196"/>
      <c r="BK21" s="196"/>
      <c r="BL21" s="196"/>
      <c r="BM21" s="196"/>
      <c r="BN21" s="196"/>
      <c r="BO21" s="196"/>
      <c r="BP21" s="196"/>
      <c r="BQ21" s="196"/>
      <c r="BR21" s="196"/>
      <c r="BS21" s="196"/>
      <c r="BT21" s="196"/>
      <c r="BU21" s="196"/>
      <c r="BV21" s="196"/>
      <c r="BW21" s="196"/>
      <c r="BX21" s="196"/>
      <c r="BY21" s="196"/>
      <c r="BZ21" s="196"/>
      <c r="CA21" s="196"/>
      <c r="CB21" s="196"/>
      <c r="CC21" s="196"/>
      <c r="CD21" s="196"/>
      <c r="CE21" s="196"/>
      <c r="CF21" s="196"/>
      <c r="CG21" s="196"/>
      <c r="CH21" s="196"/>
      <c r="CI21" s="196"/>
      <c r="CJ21" s="196"/>
      <c r="CK21" s="196"/>
      <c r="CL21" s="196"/>
      <c r="CM21" s="196"/>
      <c r="CN21" s="196"/>
      <c r="CO21" s="196"/>
      <c r="CP21" s="196"/>
      <c r="CQ21" s="196"/>
      <c r="CR21" s="196"/>
      <c r="CS21" s="196"/>
      <c r="CT21" s="196"/>
      <c r="CU21" s="196"/>
      <c r="CV21" s="196"/>
      <c r="CW21" s="196"/>
      <c r="CX21" s="196"/>
      <c r="CY21" s="196"/>
      <c r="CZ21" s="196"/>
      <c r="DA21" s="196"/>
      <c r="DB21" s="196"/>
      <c r="DC21" s="196"/>
      <c r="DD21" s="196"/>
    </row>
    <row customHeight="true" ht="18.51851851851852" r="22">
      <c r="A22" s="194"/>
      <c r="B22" s="193" t="s">
        <v>890</v>
      </c>
      <c r="C22" s="194" t="s">
        <v>884</v>
      </c>
      <c r="D22" s="195">
        <v>0.15</v>
      </c>
      <c r="E22" s="196" t="s">
        <v>885</v>
      </c>
      <c r="F22" s="196" t="s">
        <v>885</v>
      </c>
      <c r="G22" s="196" t="s">
        <v>885</v>
      </c>
      <c r="H22" s="196" t="s">
        <v>885</v>
      </c>
      <c r="I22" s="196" t="s">
        <v>885</v>
      </c>
      <c r="J22" s="196" t="s">
        <v>885</v>
      </c>
      <c r="K22" s="196" t="s">
        <v>885</v>
      </c>
      <c r="L22" s="196" t="s">
        <v>885</v>
      </c>
      <c r="M22" s="196" t="s">
        <v>885</v>
      </c>
      <c r="N22" s="196" t="s">
        <v>885</v>
      </c>
      <c r="O22" s="196" t="s">
        <v>885</v>
      </c>
      <c r="P22" s="196" t="s">
        <v>885</v>
      </c>
      <c r="Q22" s="196" t="s">
        <v>885</v>
      </c>
      <c r="R22" s="196" t="s">
        <v>885</v>
      </c>
      <c r="S22" s="196" t="s">
        <v>885</v>
      </c>
      <c r="T22" s="196" t="s">
        <v>885</v>
      </c>
      <c r="U22" s="196" t="s">
        <v>885</v>
      </c>
      <c r="V22" s="196" t="s">
        <v>885</v>
      </c>
      <c r="W22" s="198" t="s">
        <v>929</v>
      </c>
      <c r="X22" s="198"/>
      <c r="Y22" s="198"/>
      <c r="Z22" s="196" t="s">
        <v>885</v>
      </c>
      <c r="AA22" s="196" t="s">
        <v>885</v>
      </c>
      <c r="AB22" s="196" t="s">
        <v>885</v>
      </c>
      <c r="AC22" s="196" t="s">
        <v>885</v>
      </c>
      <c r="AD22" s="196" t="s">
        <v>885</v>
      </c>
      <c r="AE22" s="196" t="s">
        <v>885</v>
      </c>
      <c r="AF22" s="196" t="s">
        <v>885</v>
      </c>
      <c r="AG22" s="196" t="s">
        <v>885</v>
      </c>
      <c r="AH22" s="196" t="s">
        <v>885</v>
      </c>
      <c r="AI22" s="196" t="s">
        <v>885</v>
      </c>
      <c r="AJ22" s="196" t="s">
        <v>885</v>
      </c>
      <c r="AK22" s="196" t="s">
        <v>885</v>
      </c>
      <c r="AL22" s="196" t="s">
        <v>885</v>
      </c>
      <c r="AM22" s="196" t="s">
        <v>885</v>
      </c>
      <c r="AN22" s="196" t="s">
        <v>885</v>
      </c>
      <c r="AO22" s="196" t="s">
        <v>885</v>
      </c>
      <c r="AP22" s="196" t="s">
        <v>885</v>
      </c>
      <c r="AQ22" s="196" t="s">
        <v>885</v>
      </c>
      <c r="AR22" s="196" t="s">
        <v>885</v>
      </c>
      <c r="AS22" s="196" t="s">
        <v>885</v>
      </c>
      <c r="AT22" s="196" t="s">
        <v>885</v>
      </c>
      <c r="AU22" s="196" t="s">
        <v>885</v>
      </c>
      <c r="AV22" s="196" t="s">
        <v>885</v>
      </c>
      <c r="AW22" s="196" t="s">
        <v>885</v>
      </c>
      <c r="AX22" s="196"/>
      <c r="AY22" s="196"/>
      <c r="AZ22" s="196"/>
      <c r="BA22" s="196"/>
      <c r="BB22" s="196"/>
      <c r="BC22" s="196"/>
      <c r="BD22" s="196"/>
      <c r="BE22" s="196"/>
      <c r="BF22" s="196"/>
      <c r="BG22" s="196"/>
      <c r="BH22" s="196"/>
      <c r="BI22" s="196"/>
      <c r="BJ22" s="196"/>
      <c r="BK22" s="196"/>
      <c r="BL22" s="196"/>
      <c r="BM22" s="196"/>
      <c r="BN22" s="196"/>
      <c r="BO22" s="196"/>
      <c r="BP22" s="196"/>
      <c r="BQ22" s="196"/>
      <c r="BR22" s="196"/>
      <c r="BS22" s="196"/>
      <c r="BT22" s="196"/>
      <c r="BU22" s="196"/>
      <c r="BV22" s="196"/>
      <c r="BW22" s="196"/>
      <c r="BX22" s="196"/>
      <c r="BY22" s="196"/>
      <c r="BZ22" s="196"/>
      <c r="CA22" s="196"/>
      <c r="CB22" s="196"/>
      <c r="CC22" s="196"/>
      <c r="CD22" s="196"/>
      <c r="CE22" s="196"/>
      <c r="CF22" s="196"/>
      <c r="CG22" s="196"/>
      <c r="CH22" s="196"/>
      <c r="CI22" s="196"/>
      <c r="CJ22" s="196"/>
      <c r="CK22" s="196"/>
      <c r="CL22" s="196"/>
      <c r="CM22" s="196"/>
      <c r="CN22" s="196"/>
      <c r="CO22" s="196"/>
      <c r="CP22" s="196"/>
      <c r="CQ22" s="196"/>
      <c r="CR22" s="196"/>
      <c r="CS22" s="196"/>
      <c r="CT22" s="196"/>
      <c r="CU22" s="196"/>
      <c r="CV22" s="196"/>
      <c r="CW22" s="196"/>
      <c r="CX22" s="196"/>
      <c r="CY22" s="196"/>
      <c r="CZ22" s="196"/>
      <c r="DA22" s="196"/>
      <c r="DB22" s="196"/>
      <c r="DC22" s="196"/>
      <c r="DD22" s="196"/>
    </row>
    <row customHeight="true" ht="18.51851851851852" r="23">
      <c r="A23" s="194"/>
      <c r="B23" s="193"/>
      <c r="C23" s="194" t="s">
        <v>881</v>
      </c>
      <c r="D23" s="197" t="s">
        <v>930</v>
      </c>
      <c r="E23" s="196" t="s">
        <v>885</v>
      </c>
      <c r="F23" s="196" t="s">
        <v>885</v>
      </c>
      <c r="G23" s="196" t="s">
        <v>885</v>
      </c>
      <c r="H23" s="196" t="s">
        <v>885</v>
      </c>
      <c r="I23" s="199" t="s">
        <v>931</v>
      </c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199"/>
      <c r="W23" s="196" t="s">
        <v>885</v>
      </c>
      <c r="X23" s="196" t="s">
        <v>885</v>
      </c>
      <c r="Y23" s="196" t="s">
        <v>885</v>
      </c>
      <c r="Z23" s="196" t="s">
        <v>885</v>
      </c>
      <c r="AA23" s="196" t="s">
        <v>885</v>
      </c>
      <c r="AB23" s="196" t="s">
        <v>885</v>
      </c>
      <c r="AC23" s="196" t="s">
        <v>885</v>
      </c>
      <c r="AD23" s="196" t="s">
        <v>885</v>
      </c>
      <c r="AE23" s="199" t="s">
        <v>932</v>
      </c>
      <c r="AF23" s="199"/>
      <c r="AG23" s="199"/>
      <c r="AH23" s="199"/>
      <c r="AI23" s="199"/>
      <c r="AJ23" s="199"/>
      <c r="AK23" s="199"/>
      <c r="AL23" s="199"/>
      <c r="AM23" s="199"/>
      <c r="AN23" s="199"/>
      <c r="AO23" s="199"/>
      <c r="AP23" s="199"/>
      <c r="AQ23" s="199"/>
      <c r="AR23" s="199"/>
      <c r="AS23" s="196" t="s">
        <v>885</v>
      </c>
      <c r="AT23" s="196" t="s">
        <v>885</v>
      </c>
      <c r="AU23" s="196" t="s">
        <v>885</v>
      </c>
      <c r="AV23" s="196" t="s">
        <v>885</v>
      </c>
      <c r="AW23" s="196" t="s">
        <v>885</v>
      </c>
      <c r="AX23" s="196"/>
      <c r="AY23" s="196"/>
      <c r="AZ23" s="196"/>
      <c r="BA23" s="196"/>
      <c r="BB23" s="196"/>
      <c r="BC23" s="196"/>
      <c r="BD23" s="196"/>
      <c r="BE23" s="196"/>
      <c r="BF23" s="196"/>
      <c r="BG23" s="196"/>
      <c r="BH23" s="196"/>
      <c r="BI23" s="196"/>
      <c r="BJ23" s="196"/>
      <c r="BK23" s="196"/>
      <c r="BL23" s="196"/>
      <c r="BM23" s="196"/>
      <c r="BN23" s="196"/>
      <c r="BO23" s="196"/>
      <c r="BP23" s="196"/>
      <c r="BQ23" s="196"/>
      <c r="BR23" s="196"/>
      <c r="BS23" s="196"/>
      <c r="BT23" s="196"/>
      <c r="BU23" s="196"/>
      <c r="BV23" s="196"/>
      <c r="BW23" s="196"/>
      <c r="BX23" s="196"/>
      <c r="BY23" s="196"/>
      <c r="BZ23" s="196"/>
      <c r="CA23" s="196"/>
      <c r="CB23" s="196"/>
      <c r="CC23" s="196"/>
      <c r="CD23" s="196"/>
      <c r="CE23" s="196"/>
      <c r="CF23" s="196"/>
      <c r="CG23" s="196"/>
      <c r="CH23" s="196"/>
      <c r="CI23" s="196"/>
      <c r="CJ23" s="196"/>
      <c r="CK23" s="196"/>
      <c r="CL23" s="196"/>
      <c r="CM23" s="196"/>
      <c r="CN23" s="196"/>
      <c r="CO23" s="196"/>
      <c r="CP23" s="196"/>
      <c r="CQ23" s="196"/>
      <c r="CR23" s="196"/>
      <c r="CS23" s="196"/>
      <c r="CT23" s="196"/>
      <c r="CU23" s="196"/>
      <c r="CV23" s="196"/>
      <c r="CW23" s="196"/>
      <c r="CX23" s="196"/>
      <c r="CY23" s="196"/>
      <c r="CZ23" s="196"/>
      <c r="DA23" s="196"/>
      <c r="DB23" s="196"/>
      <c r="DC23" s="196"/>
      <c r="DD23" s="196"/>
    </row>
    <row customHeight="true" ht="18.51851851851852" r="24">
      <c r="A24" s="194"/>
      <c r="B24" s="193" t="s">
        <v>895</v>
      </c>
      <c r="C24" s="194" t="s">
        <v>884</v>
      </c>
      <c r="D24" s="195">
        <v>0.15</v>
      </c>
      <c r="E24" s="196" t="s">
        <v>885</v>
      </c>
      <c r="F24" s="196" t="s">
        <v>885</v>
      </c>
      <c r="G24" s="196" t="s">
        <v>885</v>
      </c>
      <c r="H24" s="196" t="s">
        <v>885</v>
      </c>
      <c r="I24" s="196" t="s">
        <v>885</v>
      </c>
      <c r="J24" s="196" t="s">
        <v>885</v>
      </c>
      <c r="K24" s="196" t="s">
        <v>885</v>
      </c>
      <c r="L24" s="196" t="s">
        <v>885</v>
      </c>
      <c r="M24" s="196" t="s">
        <v>885</v>
      </c>
      <c r="N24" s="196" t="s">
        <v>885</v>
      </c>
      <c r="O24" s="196" t="s">
        <v>885</v>
      </c>
      <c r="P24" s="196" t="s">
        <v>885</v>
      </c>
      <c r="Q24" s="196" t="s">
        <v>885</v>
      </c>
      <c r="R24" s="196" t="s">
        <v>885</v>
      </c>
      <c r="S24" s="196" t="s">
        <v>885</v>
      </c>
      <c r="T24" s="196" t="s">
        <v>885</v>
      </c>
      <c r="U24" s="196" t="s">
        <v>885</v>
      </c>
      <c r="V24" s="196" t="s">
        <v>885</v>
      </c>
      <c r="W24" s="196" t="s">
        <v>885</v>
      </c>
      <c r="X24" s="196" t="s">
        <v>885</v>
      </c>
      <c r="Y24" s="196" t="s">
        <v>885</v>
      </c>
      <c r="Z24" s="196" t="s">
        <v>885</v>
      </c>
      <c r="AA24" s="196" t="s">
        <v>885</v>
      </c>
      <c r="AB24" s="196" t="s">
        <v>885</v>
      </c>
      <c r="AC24" s="196" t="s">
        <v>885</v>
      </c>
      <c r="AD24" s="196" t="s">
        <v>885</v>
      </c>
      <c r="AE24" s="196" t="s">
        <v>885</v>
      </c>
      <c r="AF24" s="196" t="s">
        <v>885</v>
      </c>
      <c r="AG24" s="196" t="s">
        <v>885</v>
      </c>
      <c r="AH24" s="196" t="s">
        <v>885</v>
      </c>
      <c r="AI24" s="196" t="s">
        <v>885</v>
      </c>
      <c r="AJ24" s="196" t="s">
        <v>885</v>
      </c>
      <c r="AK24" s="196" t="s">
        <v>885</v>
      </c>
      <c r="AL24" s="196" t="s">
        <v>885</v>
      </c>
      <c r="AM24" s="196" t="s">
        <v>885</v>
      </c>
      <c r="AN24" s="196" t="s">
        <v>885</v>
      </c>
      <c r="AO24" s="196" t="s">
        <v>885</v>
      </c>
      <c r="AP24" s="196" t="s">
        <v>885</v>
      </c>
      <c r="AQ24" s="196" t="s">
        <v>885</v>
      </c>
      <c r="AR24" s="196" t="s">
        <v>885</v>
      </c>
      <c r="AS24" s="196" t="s">
        <v>885</v>
      </c>
      <c r="AT24" s="196" t="s">
        <v>885</v>
      </c>
      <c r="AU24" s="196" t="s">
        <v>885</v>
      </c>
      <c r="AV24" s="196" t="s">
        <v>885</v>
      </c>
      <c r="AW24" s="196" t="s">
        <v>885</v>
      </c>
      <c r="AX24" s="196"/>
      <c r="AY24" s="196"/>
      <c r="AZ24" s="196"/>
      <c r="BA24" s="196"/>
      <c r="BB24" s="196"/>
      <c r="BC24" s="196"/>
      <c r="BD24" s="196"/>
      <c r="BE24" s="196"/>
      <c r="BF24" s="196"/>
      <c r="BG24" s="196"/>
      <c r="BH24" s="196"/>
      <c r="BI24" s="196"/>
      <c r="BJ24" s="196"/>
      <c r="BK24" s="196"/>
      <c r="BL24" s="196"/>
      <c r="BM24" s="196"/>
      <c r="BN24" s="196"/>
      <c r="BO24" s="196"/>
      <c r="BP24" s="196"/>
      <c r="BQ24" s="196"/>
      <c r="BR24" s="196"/>
      <c r="BS24" s="196"/>
      <c r="BT24" s="196"/>
      <c r="BU24" s="196"/>
      <c r="BV24" s="196"/>
      <c r="BW24" s="196"/>
      <c r="BX24" s="196"/>
      <c r="BY24" s="196"/>
      <c r="BZ24" s="196"/>
      <c r="CA24" s="196"/>
      <c r="CB24" s="196"/>
      <c r="CC24" s="196"/>
      <c r="CD24" s="196"/>
      <c r="CE24" s="196"/>
      <c r="CF24" s="196"/>
      <c r="CG24" s="196"/>
      <c r="CH24" s="196"/>
      <c r="CI24" s="196"/>
      <c r="CJ24" s="196"/>
      <c r="CK24" s="196"/>
      <c r="CL24" s="196"/>
      <c r="CM24" s="196"/>
      <c r="CN24" s="196"/>
      <c r="CO24" s="196"/>
      <c r="CP24" s="196"/>
      <c r="CQ24" s="196"/>
      <c r="CR24" s="196"/>
      <c r="CS24" s="196"/>
      <c r="CT24" s="196"/>
      <c r="CU24" s="196"/>
      <c r="CV24" s="196"/>
      <c r="CW24" s="196"/>
      <c r="CX24" s="196"/>
      <c r="CY24" s="196"/>
      <c r="CZ24" s="196"/>
      <c r="DA24" s="196"/>
      <c r="DB24" s="196"/>
      <c r="DC24" s="196"/>
      <c r="DD24" s="196"/>
    </row>
    <row customHeight="true" ht="18.51851851851852" r="25">
      <c r="A25" s="194"/>
      <c r="B25" s="193"/>
      <c r="C25" s="194" t="s">
        <v>881</v>
      </c>
      <c r="D25" s="197" t="s">
        <v>933</v>
      </c>
      <c r="E25" s="196" t="s">
        <v>885</v>
      </c>
      <c r="F25" s="196" t="s">
        <v>885</v>
      </c>
      <c r="G25" s="196" t="s">
        <v>885</v>
      </c>
      <c r="H25" s="196" t="s">
        <v>885</v>
      </c>
      <c r="I25" s="199" t="s">
        <v>934</v>
      </c>
      <c r="J25" s="199"/>
      <c r="K25" s="199"/>
      <c r="L25" s="199"/>
      <c r="M25" s="199"/>
      <c r="N25" s="199"/>
      <c r="O25" s="199"/>
      <c r="P25" s="199"/>
      <c r="Q25" s="199"/>
      <c r="R25" s="199"/>
      <c r="S25" s="199"/>
      <c r="T25" s="199"/>
      <c r="U25" s="199"/>
      <c r="V25" s="199"/>
      <c r="W25" s="198" t="s">
        <v>935</v>
      </c>
      <c r="X25" s="198"/>
      <c r="Y25" s="198"/>
      <c r="Z25" s="198"/>
      <c r="AA25" s="198"/>
      <c r="AB25" s="198"/>
      <c r="AC25" s="198"/>
      <c r="AD25" s="198"/>
      <c r="AE25" s="198"/>
      <c r="AF25" s="198"/>
      <c r="AG25" s="198"/>
      <c r="AH25" s="198"/>
      <c r="AI25" s="198"/>
      <c r="AJ25" s="198"/>
      <c r="AK25" s="196" t="s">
        <v>885</v>
      </c>
      <c r="AL25" s="196" t="s">
        <v>885</v>
      </c>
      <c r="AM25" s="199" t="s">
        <v>936</v>
      </c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6"/>
      <c r="AY25" s="196"/>
      <c r="AZ25" s="196"/>
      <c r="BA25" s="196"/>
      <c r="BB25" s="196"/>
      <c r="BC25" s="196"/>
      <c r="BD25" s="196"/>
      <c r="BE25" s="196"/>
      <c r="BF25" s="196"/>
      <c r="BG25" s="196"/>
      <c r="BH25" s="196"/>
      <c r="BI25" s="196"/>
      <c r="BJ25" s="196"/>
      <c r="BK25" s="196"/>
      <c r="BL25" s="196"/>
      <c r="BM25" s="196"/>
      <c r="BN25" s="196"/>
      <c r="BO25" s="196"/>
      <c r="BP25" s="196"/>
      <c r="BQ25" s="196"/>
      <c r="BR25" s="196"/>
      <c r="BS25" s="196"/>
      <c r="BT25" s="196"/>
      <c r="BU25" s="196"/>
      <c r="BV25" s="196"/>
      <c r="BW25" s="196"/>
      <c r="BX25" s="196"/>
      <c r="BY25" s="196"/>
      <c r="BZ25" s="196"/>
      <c r="CA25" s="196"/>
      <c r="CB25" s="196"/>
      <c r="CC25" s="196"/>
      <c r="CD25" s="196"/>
      <c r="CE25" s="196"/>
      <c r="CF25" s="196"/>
      <c r="CG25" s="196"/>
      <c r="CH25" s="196"/>
      <c r="CI25" s="196"/>
      <c r="CJ25" s="196"/>
      <c r="CK25" s="196"/>
      <c r="CL25" s="196"/>
      <c r="CM25" s="196"/>
      <c r="CN25" s="196"/>
      <c r="CO25" s="196"/>
      <c r="CP25" s="196"/>
      <c r="CQ25" s="196"/>
      <c r="CR25" s="196"/>
      <c r="CS25" s="196"/>
      <c r="CT25" s="196"/>
      <c r="CU25" s="196"/>
      <c r="CV25" s="196"/>
      <c r="CW25" s="196"/>
      <c r="CX25" s="196"/>
      <c r="CY25" s="196"/>
      <c r="CZ25" s="196"/>
      <c r="DA25" s="196"/>
      <c r="DB25" s="196"/>
      <c r="DC25" s="196"/>
      <c r="DD25" s="196"/>
    </row>
    <row customHeight="true" ht="18.51851851851852" r="26">
      <c r="A26" s="194"/>
      <c r="B26" s="193" t="s">
        <v>898</v>
      </c>
      <c r="C26" s="194" t="s">
        <v>884</v>
      </c>
      <c r="D26" s="195">
        <v>0.15</v>
      </c>
      <c r="E26" s="196" t="s">
        <v>885</v>
      </c>
      <c r="F26" s="196" t="s">
        <v>885</v>
      </c>
      <c r="G26" s="196" t="s">
        <v>885</v>
      </c>
      <c r="H26" s="196" t="s">
        <v>885</v>
      </c>
      <c r="I26" s="196" t="s">
        <v>885</v>
      </c>
      <c r="J26" s="196" t="s">
        <v>885</v>
      </c>
      <c r="K26" s="196" t="s">
        <v>885</v>
      </c>
      <c r="L26" s="196" t="s">
        <v>885</v>
      </c>
      <c r="M26" s="196" t="s">
        <v>885</v>
      </c>
      <c r="N26" s="196" t="s">
        <v>885</v>
      </c>
      <c r="O26" s="196" t="s">
        <v>885</v>
      </c>
      <c r="P26" s="196" t="s">
        <v>885</v>
      </c>
      <c r="Q26" s="196" t="s">
        <v>885</v>
      </c>
      <c r="R26" s="196" t="s">
        <v>885</v>
      </c>
      <c r="S26" s="196" t="s">
        <v>885</v>
      </c>
      <c r="T26" s="196" t="s">
        <v>885</v>
      </c>
      <c r="U26" s="196" t="s">
        <v>885</v>
      </c>
      <c r="V26" s="196" t="s">
        <v>885</v>
      </c>
      <c r="W26" s="196" t="s">
        <v>885</v>
      </c>
      <c r="X26" s="196" t="s">
        <v>885</v>
      </c>
      <c r="Y26" s="196" t="s">
        <v>885</v>
      </c>
      <c r="Z26" s="196" t="s">
        <v>885</v>
      </c>
      <c r="AA26" s="196" t="s">
        <v>885</v>
      </c>
      <c r="AB26" s="196" t="s">
        <v>885</v>
      </c>
      <c r="AC26" s="196" t="s">
        <v>885</v>
      </c>
      <c r="AD26" s="196" t="s">
        <v>885</v>
      </c>
      <c r="AE26" s="196" t="s">
        <v>885</v>
      </c>
      <c r="AF26" s="196" t="s">
        <v>885</v>
      </c>
      <c r="AG26" s="196" t="s">
        <v>885</v>
      </c>
      <c r="AH26" s="196" t="s">
        <v>885</v>
      </c>
      <c r="AI26" s="196" t="s">
        <v>885</v>
      </c>
      <c r="AJ26" s="196" t="s">
        <v>885</v>
      </c>
      <c r="AK26" s="196" t="s">
        <v>885</v>
      </c>
      <c r="AL26" s="196" t="s">
        <v>885</v>
      </c>
      <c r="AM26" s="196" t="s">
        <v>885</v>
      </c>
      <c r="AN26" s="196" t="s">
        <v>885</v>
      </c>
      <c r="AO26" s="196" t="s">
        <v>885</v>
      </c>
      <c r="AP26" s="196" t="s">
        <v>885</v>
      </c>
      <c r="AQ26" s="196" t="s">
        <v>885</v>
      </c>
      <c r="AR26" s="196" t="s">
        <v>885</v>
      </c>
      <c r="AS26" s="196" t="s">
        <v>885</v>
      </c>
      <c r="AT26" s="196" t="s">
        <v>885</v>
      </c>
      <c r="AU26" s="196" t="s">
        <v>885</v>
      </c>
      <c r="AV26" s="196" t="s">
        <v>885</v>
      </c>
      <c r="AW26" s="196" t="s">
        <v>885</v>
      </c>
      <c r="AX26" s="196"/>
      <c r="AY26" s="196"/>
      <c r="AZ26" s="196"/>
      <c r="BA26" s="196"/>
      <c r="BB26" s="196"/>
      <c r="BC26" s="196"/>
      <c r="BD26" s="196"/>
      <c r="BE26" s="196"/>
      <c r="BF26" s="196"/>
      <c r="BG26" s="196"/>
      <c r="BH26" s="196"/>
      <c r="BI26" s="196"/>
      <c r="BJ26" s="196"/>
      <c r="BK26" s="196"/>
      <c r="BL26" s="196"/>
      <c r="BM26" s="196"/>
      <c r="BN26" s="196"/>
      <c r="BO26" s="196"/>
      <c r="BP26" s="196"/>
      <c r="BQ26" s="196"/>
      <c r="BR26" s="196"/>
      <c r="BS26" s="196"/>
      <c r="BT26" s="196"/>
      <c r="BU26" s="196"/>
      <c r="BV26" s="196"/>
      <c r="BW26" s="196"/>
      <c r="BX26" s="196"/>
      <c r="BY26" s="196"/>
      <c r="BZ26" s="196"/>
      <c r="CA26" s="196"/>
      <c r="CB26" s="196"/>
      <c r="CC26" s="196"/>
      <c r="CD26" s="196"/>
      <c r="CE26" s="196"/>
      <c r="CF26" s="196"/>
      <c r="CG26" s="196"/>
      <c r="CH26" s="196"/>
      <c r="CI26" s="196"/>
      <c r="CJ26" s="196"/>
      <c r="CK26" s="196"/>
      <c r="CL26" s="196"/>
      <c r="CM26" s="196"/>
      <c r="CN26" s="196"/>
      <c r="CO26" s="196"/>
      <c r="CP26" s="196"/>
      <c r="CQ26" s="196"/>
      <c r="CR26" s="196"/>
      <c r="CS26" s="196"/>
      <c r="CT26" s="196"/>
      <c r="CU26" s="196"/>
      <c r="CV26" s="196"/>
      <c r="CW26" s="196"/>
      <c r="CX26" s="196"/>
      <c r="CY26" s="196"/>
      <c r="CZ26" s="196"/>
      <c r="DA26" s="196"/>
      <c r="DB26" s="196"/>
      <c r="DC26" s="196"/>
      <c r="DD26" s="196"/>
    </row>
    <row customHeight="true" ht="18.51851851851852" r="27">
      <c r="A27" s="194"/>
      <c r="B27" s="193"/>
      <c r="C27" s="194" t="s">
        <v>881</v>
      </c>
      <c r="D27" s="197" t="s">
        <v>926</v>
      </c>
      <c r="E27" s="196" t="s">
        <v>885</v>
      </c>
      <c r="F27" s="196" t="s">
        <v>885</v>
      </c>
      <c r="G27" s="196" t="s">
        <v>885</v>
      </c>
      <c r="H27" s="196" t="s">
        <v>885</v>
      </c>
      <c r="I27" s="199" t="s">
        <v>937</v>
      </c>
      <c r="J27" s="199"/>
      <c r="K27" s="199"/>
      <c r="L27" s="199"/>
      <c r="M27" s="199"/>
      <c r="N27" s="199"/>
      <c r="O27" s="199"/>
      <c r="P27" s="199"/>
      <c r="Q27" s="199"/>
      <c r="R27" s="199"/>
      <c r="S27" s="199"/>
      <c r="T27" s="199"/>
      <c r="U27" s="199"/>
      <c r="V27" s="199"/>
      <c r="W27" s="196" t="s">
        <v>885</v>
      </c>
      <c r="X27" s="196" t="s">
        <v>885</v>
      </c>
      <c r="Y27" s="196" t="s">
        <v>885</v>
      </c>
      <c r="Z27" s="201" t="s">
        <v>938</v>
      </c>
      <c r="AA27" s="201"/>
      <c r="AB27" s="201"/>
      <c r="AC27" s="201"/>
      <c r="AD27" s="201"/>
      <c r="AE27" s="201"/>
      <c r="AF27" s="201"/>
      <c r="AG27" s="201"/>
      <c r="AH27" s="201"/>
      <c r="AI27" s="201"/>
      <c r="AJ27" s="201"/>
      <c r="AK27" s="201"/>
      <c r="AL27" s="201"/>
      <c r="AM27" s="201"/>
      <c r="AN27" s="199" t="s">
        <v>939</v>
      </c>
      <c r="AO27" s="199"/>
      <c r="AP27" s="199"/>
      <c r="AQ27" s="199"/>
      <c r="AR27" s="199"/>
      <c r="AS27" s="199"/>
      <c r="AT27" s="199"/>
      <c r="AU27" s="199"/>
      <c r="AV27" s="199"/>
      <c r="AW27" s="199"/>
      <c r="AX27" s="196"/>
      <c r="AY27" s="196"/>
      <c r="AZ27" s="196"/>
      <c r="BA27" s="196"/>
      <c r="BB27" s="196"/>
      <c r="BC27" s="196"/>
      <c r="BD27" s="196"/>
      <c r="BE27" s="196"/>
      <c r="BF27" s="196"/>
      <c r="BG27" s="196"/>
      <c r="BH27" s="196"/>
      <c r="BI27" s="196"/>
      <c r="BJ27" s="196"/>
      <c r="BK27" s="196"/>
      <c r="BL27" s="196"/>
      <c r="BM27" s="196"/>
      <c r="BN27" s="196"/>
      <c r="BO27" s="196"/>
      <c r="BP27" s="196"/>
      <c r="BQ27" s="196"/>
      <c r="BR27" s="196"/>
      <c r="BS27" s="196"/>
      <c r="BT27" s="196"/>
      <c r="BU27" s="196"/>
      <c r="BV27" s="196"/>
      <c r="BW27" s="196"/>
      <c r="BX27" s="196"/>
      <c r="BY27" s="196"/>
      <c r="BZ27" s="196"/>
      <c r="CA27" s="196"/>
      <c r="CB27" s="196"/>
      <c r="CC27" s="196"/>
      <c r="CD27" s="196"/>
      <c r="CE27" s="196"/>
      <c r="CF27" s="196"/>
      <c r="CG27" s="196"/>
      <c r="CH27" s="196"/>
      <c r="CI27" s="196"/>
      <c r="CJ27" s="196"/>
      <c r="CK27" s="196"/>
      <c r="CL27" s="196"/>
      <c r="CM27" s="196"/>
      <c r="CN27" s="196"/>
      <c r="CO27" s="196"/>
      <c r="CP27" s="196"/>
      <c r="CQ27" s="196"/>
      <c r="CR27" s="196"/>
      <c r="CS27" s="196"/>
      <c r="CT27" s="196"/>
      <c r="CU27" s="196"/>
      <c r="CV27" s="196"/>
      <c r="CW27" s="196"/>
      <c r="CX27" s="196"/>
      <c r="CY27" s="196"/>
      <c r="CZ27" s="196"/>
      <c r="DA27" s="196"/>
      <c r="DB27" s="196"/>
      <c r="DC27" s="196"/>
      <c r="DD27" s="196"/>
    </row>
    <row customHeight="true" ht="18.51851851851852" r="28">
      <c r="A28" s="192" t="s">
        <v>940</v>
      </c>
      <c r="B28" s="193" t="s">
        <v>883</v>
      </c>
      <c r="C28" s="194" t="s">
        <v>884</v>
      </c>
      <c r="D28" s="195">
        <v>0.15</v>
      </c>
      <c r="E28" s="200" t="s">
        <v>941</v>
      </c>
      <c r="F28" s="200"/>
      <c r="G28" s="200"/>
      <c r="H28" s="199" t="s">
        <v>942</v>
      </c>
      <c r="I28" s="199"/>
      <c r="J28" s="199"/>
      <c r="K28" s="199"/>
      <c r="L28" s="199"/>
      <c r="M28" s="199"/>
      <c r="N28" s="199"/>
      <c r="O28" s="199"/>
      <c r="P28" s="199"/>
      <c r="Q28" s="199"/>
      <c r="R28" s="199"/>
      <c r="S28" s="199"/>
      <c r="T28" s="198" t="s">
        <v>943</v>
      </c>
      <c r="U28" s="198"/>
      <c r="V28" s="198"/>
      <c r="W28" s="198"/>
      <c r="X28" s="198"/>
      <c r="Y28" s="198"/>
      <c r="Z28" s="198"/>
      <c r="AA28" s="198"/>
      <c r="AB28" s="198"/>
      <c r="AC28" s="198"/>
      <c r="AD28" s="198"/>
      <c r="AE28" s="198"/>
      <c r="AF28" s="198"/>
      <c r="AG28" s="198"/>
      <c r="AH28" s="198"/>
      <c r="AI28" s="198"/>
      <c r="AJ28" s="198"/>
      <c r="AK28" s="198"/>
      <c r="AL28" s="198"/>
      <c r="AM28" s="196"/>
      <c r="AN28" s="196"/>
      <c r="AO28" s="196"/>
      <c r="AP28" s="196"/>
      <c r="AQ28" s="196"/>
      <c r="AR28" s="196"/>
      <c r="AS28" s="196"/>
      <c r="AT28" s="196"/>
      <c r="AU28" s="196"/>
      <c r="AV28" s="196"/>
      <c r="AW28" s="196"/>
      <c r="AX28" s="196"/>
      <c r="AY28" s="196"/>
      <c r="AZ28" s="196"/>
      <c r="BA28" s="196"/>
      <c r="BB28" s="196"/>
      <c r="BC28" s="196"/>
      <c r="BD28" s="196"/>
      <c r="BE28" s="196"/>
      <c r="BF28" s="196"/>
      <c r="BG28" s="196"/>
      <c r="BH28" s="196"/>
      <c r="BI28" s="196"/>
      <c r="BJ28" s="196"/>
      <c r="BK28" s="196"/>
      <c r="BL28" s="196"/>
      <c r="BM28" s="196"/>
      <c r="BN28" s="196"/>
      <c r="BO28" s="196"/>
      <c r="BP28" s="196"/>
      <c r="BQ28" s="196"/>
      <c r="BR28" s="196"/>
      <c r="BS28" s="196"/>
      <c r="BT28" s="196"/>
      <c r="BU28" s="196"/>
      <c r="BV28" s="196"/>
      <c r="BW28" s="196"/>
      <c r="BX28" s="196"/>
      <c r="BY28" s="196"/>
      <c r="BZ28" s="196"/>
      <c r="CA28" s="196"/>
      <c r="CB28" s="196"/>
      <c r="CC28" s="196"/>
      <c r="CD28" s="196"/>
      <c r="CE28" s="196"/>
      <c r="CF28" s="196"/>
      <c r="CG28" s="196"/>
      <c r="CH28" s="196"/>
      <c r="CI28" s="196"/>
      <c r="CJ28" s="196"/>
      <c r="CK28" s="196"/>
      <c r="CL28" s="196"/>
      <c r="CM28" s="196"/>
      <c r="CN28" s="196"/>
      <c r="CO28" s="196"/>
      <c r="CP28" s="196"/>
      <c r="CQ28" s="196"/>
      <c r="CR28" s="196"/>
      <c r="CS28" s="196"/>
      <c r="CT28" s="196"/>
      <c r="CU28" s="196"/>
      <c r="CV28" s="196"/>
      <c r="CW28" s="196"/>
      <c r="CX28" s="196"/>
      <c r="CY28" s="196"/>
      <c r="CZ28" s="196"/>
      <c r="DA28" s="196"/>
      <c r="DB28" s="196"/>
      <c r="DC28" s="196"/>
      <c r="DD28" s="196"/>
    </row>
    <row customHeight="true" ht="18.51851851851852" r="29">
      <c r="A29" s="194"/>
      <c r="B29" s="193"/>
      <c r="C29" s="194" t="s">
        <v>881</v>
      </c>
      <c r="D29" s="197" t="s">
        <v>944</v>
      </c>
      <c r="E29" s="196" t="s">
        <v>885</v>
      </c>
      <c r="F29" s="196" t="s">
        <v>885</v>
      </c>
      <c r="G29" s="196" t="s">
        <v>885</v>
      </c>
      <c r="H29" s="196" t="s">
        <v>885</v>
      </c>
      <c r="I29" s="196" t="s">
        <v>885</v>
      </c>
      <c r="J29" s="196" t="s">
        <v>885</v>
      </c>
      <c r="K29" s="196" t="s">
        <v>885</v>
      </c>
      <c r="L29" s="196" t="s">
        <v>885</v>
      </c>
      <c r="M29" s="196" t="s">
        <v>885</v>
      </c>
      <c r="N29" s="196" t="s">
        <v>885</v>
      </c>
      <c r="O29" s="196" t="s">
        <v>885</v>
      </c>
      <c r="P29" s="196" t="s">
        <v>885</v>
      </c>
      <c r="Q29" s="196" t="s">
        <v>885</v>
      </c>
      <c r="R29" s="196" t="s">
        <v>885</v>
      </c>
      <c r="S29" s="196" t="s">
        <v>885</v>
      </c>
      <c r="T29" s="196" t="s">
        <v>885</v>
      </c>
      <c r="U29" s="196" t="s">
        <v>885</v>
      </c>
      <c r="V29" s="196" t="s">
        <v>885</v>
      </c>
      <c r="W29" s="196" t="s">
        <v>885</v>
      </c>
      <c r="X29" s="196" t="s">
        <v>885</v>
      </c>
      <c r="Y29" s="196" t="s">
        <v>885</v>
      </c>
      <c r="Z29" s="196" t="s">
        <v>885</v>
      </c>
      <c r="AA29" s="196" t="s">
        <v>885</v>
      </c>
      <c r="AB29" s="196" t="s">
        <v>885</v>
      </c>
      <c r="AC29" s="196" t="s">
        <v>885</v>
      </c>
      <c r="AD29" s="196" t="s">
        <v>885</v>
      </c>
      <c r="AE29" s="196" t="s">
        <v>885</v>
      </c>
      <c r="AF29" s="196" t="s">
        <v>885</v>
      </c>
      <c r="AG29" s="196" t="s">
        <v>885</v>
      </c>
      <c r="AH29" s="196" t="s">
        <v>885</v>
      </c>
      <c r="AI29" s="196" t="s">
        <v>885</v>
      </c>
      <c r="AJ29" s="196" t="s">
        <v>885</v>
      </c>
      <c r="AK29" s="196" t="s">
        <v>885</v>
      </c>
      <c r="AL29" s="196" t="s">
        <v>885</v>
      </c>
      <c r="AM29" s="196"/>
      <c r="AN29" s="196"/>
      <c r="AO29" s="196"/>
      <c r="AP29" s="196"/>
      <c r="AQ29" s="196"/>
      <c r="AR29" s="196"/>
      <c r="AS29" s="196"/>
      <c r="AT29" s="196"/>
      <c r="AU29" s="196"/>
      <c r="AV29" s="196"/>
      <c r="AW29" s="196"/>
      <c r="AX29" s="196"/>
      <c r="AY29" s="196"/>
      <c r="AZ29" s="196"/>
      <c r="BA29" s="196"/>
      <c r="BB29" s="196"/>
      <c r="BC29" s="196"/>
      <c r="BD29" s="196"/>
      <c r="BE29" s="196"/>
      <c r="BF29" s="196"/>
      <c r="BG29" s="196"/>
      <c r="BH29" s="196"/>
      <c r="BI29" s="196"/>
      <c r="BJ29" s="196"/>
      <c r="BK29" s="196"/>
      <c r="BL29" s="196"/>
      <c r="BM29" s="196"/>
      <c r="BN29" s="196"/>
      <c r="BO29" s="196"/>
      <c r="BP29" s="196"/>
      <c r="BQ29" s="196"/>
      <c r="BR29" s="196"/>
      <c r="BS29" s="196"/>
      <c r="BT29" s="196"/>
      <c r="BU29" s="196"/>
      <c r="BV29" s="196"/>
      <c r="BW29" s="196"/>
      <c r="BX29" s="196"/>
      <c r="BY29" s="196"/>
      <c r="BZ29" s="196"/>
      <c r="CA29" s="196"/>
      <c r="CB29" s="196"/>
      <c r="CC29" s="196"/>
      <c r="CD29" s="196"/>
      <c r="CE29" s="196"/>
      <c r="CF29" s="196"/>
      <c r="CG29" s="196"/>
      <c r="CH29" s="196"/>
      <c r="CI29" s="196"/>
      <c r="CJ29" s="196"/>
      <c r="CK29" s="196"/>
      <c r="CL29" s="196"/>
      <c r="CM29" s="196"/>
      <c r="CN29" s="196"/>
      <c r="CO29" s="196"/>
      <c r="CP29" s="196"/>
      <c r="CQ29" s="196"/>
      <c r="CR29" s="196"/>
      <c r="CS29" s="196"/>
      <c r="CT29" s="196"/>
      <c r="CU29" s="196"/>
      <c r="CV29" s="196"/>
      <c r="CW29" s="196"/>
      <c r="CX29" s="196"/>
      <c r="CY29" s="196"/>
      <c r="CZ29" s="196"/>
      <c r="DA29" s="196"/>
      <c r="DB29" s="196"/>
      <c r="DC29" s="196"/>
      <c r="DD29" s="196"/>
    </row>
    <row customHeight="true" ht="18.51851851851852" r="30">
      <c r="A30" s="194"/>
      <c r="B30" s="193" t="s">
        <v>890</v>
      </c>
      <c r="C30" s="194" t="s">
        <v>884</v>
      </c>
      <c r="D30" s="195">
        <v>0.15</v>
      </c>
      <c r="E30" s="196" t="s">
        <v>885</v>
      </c>
      <c r="F30" s="196" t="s">
        <v>885</v>
      </c>
      <c r="G30" s="196" t="s">
        <v>885</v>
      </c>
      <c r="H30" s="196" t="s">
        <v>885</v>
      </c>
      <c r="I30" s="196" t="s">
        <v>885</v>
      </c>
      <c r="J30" s="196" t="s">
        <v>885</v>
      </c>
      <c r="K30" s="196" t="s">
        <v>885</v>
      </c>
      <c r="L30" s="196" t="s">
        <v>885</v>
      </c>
      <c r="M30" s="196" t="s">
        <v>885</v>
      </c>
      <c r="N30" s="196" t="s">
        <v>885</v>
      </c>
      <c r="O30" s="196" t="s">
        <v>885</v>
      </c>
      <c r="P30" s="196" t="s">
        <v>885</v>
      </c>
      <c r="Q30" s="196" t="s">
        <v>885</v>
      </c>
      <c r="R30" s="196" t="s">
        <v>885</v>
      </c>
      <c r="S30" s="196" t="s">
        <v>885</v>
      </c>
      <c r="T30" s="198" t="s">
        <v>945</v>
      </c>
      <c r="U30" s="198"/>
      <c r="V30" s="198"/>
      <c r="W30" s="198"/>
      <c r="X30" s="198"/>
      <c r="Y30" s="198"/>
      <c r="Z30" s="198"/>
      <c r="AA30" s="198"/>
      <c r="AB30" s="198"/>
      <c r="AC30" s="198"/>
      <c r="AD30" s="198"/>
      <c r="AE30" s="198"/>
      <c r="AF30" s="198"/>
      <c r="AG30" s="198"/>
      <c r="AH30" s="198"/>
      <c r="AI30" s="198"/>
      <c r="AJ30" s="198"/>
      <c r="AK30" s="198"/>
      <c r="AL30" s="198"/>
      <c r="AM30" s="196"/>
      <c r="AN30" s="196"/>
      <c r="AO30" s="196"/>
      <c r="AP30" s="196"/>
      <c r="AQ30" s="196"/>
      <c r="AR30" s="196"/>
      <c r="AS30" s="196"/>
      <c r="AT30" s="196"/>
      <c r="AU30" s="196"/>
      <c r="AV30" s="196"/>
      <c r="AW30" s="196"/>
      <c r="AX30" s="196"/>
      <c r="AY30" s="196"/>
      <c r="AZ30" s="196"/>
      <c r="BA30" s="196"/>
      <c r="BB30" s="196"/>
      <c r="BC30" s="196"/>
      <c r="BD30" s="196"/>
      <c r="BE30" s="196"/>
      <c r="BF30" s="196"/>
      <c r="BG30" s="196"/>
      <c r="BH30" s="196"/>
      <c r="BI30" s="196"/>
      <c r="BJ30" s="196"/>
      <c r="BK30" s="196"/>
      <c r="BL30" s="196"/>
      <c r="BM30" s="196"/>
      <c r="BN30" s="196"/>
      <c r="BO30" s="196"/>
      <c r="BP30" s="196"/>
      <c r="BQ30" s="196"/>
      <c r="BR30" s="196"/>
      <c r="BS30" s="196"/>
      <c r="BT30" s="196"/>
      <c r="BU30" s="196"/>
      <c r="BV30" s="196"/>
      <c r="BW30" s="196"/>
      <c r="BX30" s="196"/>
      <c r="BY30" s="196"/>
      <c r="BZ30" s="196"/>
      <c r="CA30" s="196"/>
      <c r="CB30" s="196"/>
      <c r="CC30" s="196"/>
      <c r="CD30" s="196"/>
      <c r="CE30" s="196"/>
      <c r="CF30" s="196"/>
      <c r="CG30" s="196"/>
      <c r="CH30" s="196"/>
      <c r="CI30" s="196"/>
      <c r="CJ30" s="196"/>
      <c r="CK30" s="196"/>
      <c r="CL30" s="196"/>
      <c r="CM30" s="196"/>
      <c r="CN30" s="196"/>
      <c r="CO30" s="196"/>
      <c r="CP30" s="196"/>
      <c r="CQ30" s="196"/>
      <c r="CR30" s="196"/>
      <c r="CS30" s="196"/>
      <c r="CT30" s="196"/>
      <c r="CU30" s="196"/>
      <c r="CV30" s="196"/>
      <c r="CW30" s="196"/>
      <c r="CX30" s="196"/>
      <c r="CY30" s="196"/>
      <c r="CZ30" s="196"/>
      <c r="DA30" s="196"/>
      <c r="DB30" s="196"/>
      <c r="DC30" s="196"/>
      <c r="DD30" s="196"/>
    </row>
    <row customHeight="true" ht="18.51851851851852" r="31">
      <c r="A31" s="194"/>
      <c r="B31" s="193"/>
      <c r="C31" s="194" t="s">
        <v>881</v>
      </c>
      <c r="D31" s="197" t="s">
        <v>946</v>
      </c>
      <c r="E31" s="200" t="s">
        <v>947</v>
      </c>
      <c r="F31" s="200"/>
      <c r="G31" s="200"/>
      <c r="H31" s="199" t="s">
        <v>948</v>
      </c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6" t="s">
        <v>885</v>
      </c>
      <c r="U31" s="196" t="s">
        <v>885</v>
      </c>
      <c r="V31" s="196" t="s">
        <v>885</v>
      </c>
      <c r="W31" s="196" t="s">
        <v>885</v>
      </c>
      <c r="X31" s="196" t="s">
        <v>885</v>
      </c>
      <c r="Y31" s="196" t="s">
        <v>885</v>
      </c>
      <c r="Z31" s="196" t="s">
        <v>885</v>
      </c>
      <c r="AA31" s="196" t="s">
        <v>885</v>
      </c>
      <c r="AB31" s="196" t="s">
        <v>885</v>
      </c>
      <c r="AC31" s="196" t="s">
        <v>885</v>
      </c>
      <c r="AD31" s="196" t="s">
        <v>885</v>
      </c>
      <c r="AE31" s="196" t="s">
        <v>885</v>
      </c>
      <c r="AF31" s="196" t="s">
        <v>885</v>
      </c>
      <c r="AG31" s="196" t="s">
        <v>885</v>
      </c>
      <c r="AH31" s="196" t="s">
        <v>885</v>
      </c>
      <c r="AI31" s="196" t="s">
        <v>885</v>
      </c>
      <c r="AJ31" s="196" t="s">
        <v>885</v>
      </c>
      <c r="AK31" s="196" t="s">
        <v>885</v>
      </c>
      <c r="AL31" s="196" t="s">
        <v>885</v>
      </c>
      <c r="AM31" s="196"/>
      <c r="AN31" s="196"/>
      <c r="AO31" s="196"/>
      <c r="AP31" s="196"/>
      <c r="AQ31" s="196"/>
      <c r="AR31" s="196"/>
      <c r="AS31" s="196"/>
      <c r="AT31" s="196"/>
      <c r="AU31" s="196"/>
      <c r="AV31" s="196"/>
      <c r="AW31" s="196"/>
      <c r="AX31" s="196"/>
      <c r="AY31" s="196"/>
      <c r="AZ31" s="196"/>
      <c r="BA31" s="196"/>
      <c r="BB31" s="196"/>
      <c r="BC31" s="196"/>
      <c r="BD31" s="196"/>
      <c r="BE31" s="196"/>
      <c r="BF31" s="196"/>
      <c r="BG31" s="196"/>
      <c r="BH31" s="196"/>
      <c r="BI31" s="196"/>
      <c r="BJ31" s="196"/>
      <c r="BK31" s="196"/>
      <c r="BL31" s="196"/>
      <c r="BM31" s="196"/>
      <c r="BN31" s="196"/>
      <c r="BO31" s="196"/>
      <c r="BP31" s="196"/>
      <c r="BQ31" s="196"/>
      <c r="BR31" s="196"/>
      <c r="BS31" s="196"/>
      <c r="BT31" s="196"/>
      <c r="BU31" s="196"/>
      <c r="BV31" s="196"/>
      <c r="BW31" s="196"/>
      <c r="BX31" s="196"/>
      <c r="BY31" s="196"/>
      <c r="BZ31" s="196"/>
      <c r="CA31" s="196"/>
      <c r="CB31" s="196"/>
      <c r="CC31" s="196"/>
      <c r="CD31" s="196"/>
      <c r="CE31" s="196"/>
      <c r="CF31" s="196"/>
      <c r="CG31" s="196"/>
      <c r="CH31" s="196"/>
      <c r="CI31" s="196"/>
      <c r="CJ31" s="196"/>
      <c r="CK31" s="196"/>
      <c r="CL31" s="196"/>
      <c r="CM31" s="196"/>
      <c r="CN31" s="196"/>
      <c r="CO31" s="196"/>
      <c r="CP31" s="196"/>
      <c r="CQ31" s="196"/>
      <c r="CR31" s="196"/>
      <c r="CS31" s="196"/>
      <c r="CT31" s="196"/>
      <c r="CU31" s="196"/>
      <c r="CV31" s="196"/>
      <c r="CW31" s="196"/>
      <c r="CX31" s="196"/>
      <c r="CY31" s="196"/>
      <c r="CZ31" s="196"/>
      <c r="DA31" s="196"/>
      <c r="DB31" s="196"/>
      <c r="DC31" s="196"/>
      <c r="DD31" s="196"/>
    </row>
    <row customHeight="true" ht="18.51851851851852" r="32">
      <c r="A32" s="194"/>
      <c r="B32" s="193" t="s">
        <v>895</v>
      </c>
      <c r="C32" s="194" t="s">
        <v>884</v>
      </c>
      <c r="D32" s="195">
        <v>0.15</v>
      </c>
      <c r="E32" s="196" t="s">
        <v>885</v>
      </c>
      <c r="F32" s="196" t="s">
        <v>885</v>
      </c>
      <c r="G32" s="196" t="s">
        <v>885</v>
      </c>
      <c r="H32" s="196" t="s">
        <v>885</v>
      </c>
      <c r="I32" s="196" t="s">
        <v>885</v>
      </c>
      <c r="J32" s="196" t="s">
        <v>885</v>
      </c>
      <c r="K32" s="196" t="s">
        <v>885</v>
      </c>
      <c r="L32" s="196" t="s">
        <v>885</v>
      </c>
      <c r="M32" s="196" t="s">
        <v>885</v>
      </c>
      <c r="N32" s="196" t="s">
        <v>885</v>
      </c>
      <c r="O32" s="196" t="s">
        <v>885</v>
      </c>
      <c r="P32" s="196" t="s">
        <v>885</v>
      </c>
      <c r="Q32" s="196" t="s">
        <v>885</v>
      </c>
      <c r="R32" s="196" t="s">
        <v>885</v>
      </c>
      <c r="S32" s="196" t="s">
        <v>885</v>
      </c>
      <c r="T32" s="198" t="s">
        <v>945</v>
      </c>
      <c r="U32" s="198"/>
      <c r="V32" s="198"/>
      <c r="W32" s="198"/>
      <c r="X32" s="198"/>
      <c r="Y32" s="198"/>
      <c r="Z32" s="198"/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6"/>
      <c r="AN32" s="196"/>
      <c r="AO32" s="196"/>
      <c r="AP32" s="196"/>
      <c r="AQ32" s="196"/>
      <c r="AR32" s="196"/>
      <c r="AS32" s="196"/>
      <c r="AT32" s="196"/>
      <c r="AU32" s="196"/>
      <c r="AV32" s="196"/>
      <c r="AW32" s="196"/>
      <c r="AX32" s="196"/>
      <c r="AY32" s="196"/>
      <c r="AZ32" s="196"/>
      <c r="BA32" s="196"/>
      <c r="BB32" s="196"/>
      <c r="BC32" s="196"/>
      <c r="BD32" s="196"/>
      <c r="BE32" s="196"/>
      <c r="BF32" s="196"/>
      <c r="BG32" s="196"/>
      <c r="BH32" s="196"/>
      <c r="BI32" s="196"/>
      <c r="BJ32" s="196"/>
      <c r="BK32" s="196"/>
      <c r="BL32" s="196"/>
      <c r="BM32" s="196"/>
      <c r="BN32" s="196"/>
      <c r="BO32" s="196"/>
      <c r="BP32" s="196"/>
      <c r="BQ32" s="196"/>
      <c r="BR32" s="196"/>
      <c r="BS32" s="196"/>
      <c r="BT32" s="196"/>
      <c r="BU32" s="196"/>
      <c r="BV32" s="196"/>
      <c r="BW32" s="196"/>
      <c r="BX32" s="196"/>
      <c r="BY32" s="196"/>
      <c r="BZ32" s="196"/>
      <c r="CA32" s="196"/>
      <c r="CB32" s="196"/>
      <c r="CC32" s="196"/>
      <c r="CD32" s="196"/>
      <c r="CE32" s="196"/>
      <c r="CF32" s="196"/>
      <c r="CG32" s="196"/>
      <c r="CH32" s="196"/>
      <c r="CI32" s="196"/>
      <c r="CJ32" s="196"/>
      <c r="CK32" s="196"/>
      <c r="CL32" s="196"/>
      <c r="CM32" s="196"/>
      <c r="CN32" s="196"/>
      <c r="CO32" s="196"/>
      <c r="CP32" s="196"/>
      <c r="CQ32" s="196"/>
      <c r="CR32" s="196"/>
      <c r="CS32" s="196"/>
      <c r="CT32" s="196"/>
      <c r="CU32" s="196"/>
      <c r="CV32" s="196"/>
      <c r="CW32" s="196"/>
      <c r="CX32" s="196"/>
      <c r="CY32" s="196"/>
      <c r="CZ32" s="196"/>
      <c r="DA32" s="196"/>
      <c r="DB32" s="196"/>
      <c r="DC32" s="196"/>
      <c r="DD32" s="196"/>
    </row>
    <row customHeight="true" ht="18.51851851851852" r="33">
      <c r="A33" s="194"/>
      <c r="B33" s="193"/>
      <c r="C33" s="194" t="s">
        <v>881</v>
      </c>
      <c r="D33" s="197" t="s">
        <v>949</v>
      </c>
      <c r="E33" s="200" t="s">
        <v>950</v>
      </c>
      <c r="F33" s="200"/>
      <c r="G33" s="200"/>
      <c r="H33" s="199" t="s">
        <v>951</v>
      </c>
      <c r="I33" s="199"/>
      <c r="J33" s="199"/>
      <c r="K33" s="199"/>
      <c r="L33" s="199"/>
      <c r="M33" s="199"/>
      <c r="N33" s="199"/>
      <c r="O33" s="199"/>
      <c r="P33" s="199"/>
      <c r="Q33" s="199"/>
      <c r="R33" s="199"/>
      <c r="S33" s="199"/>
      <c r="T33" s="196" t="s">
        <v>885</v>
      </c>
      <c r="U33" s="196" t="s">
        <v>885</v>
      </c>
      <c r="V33" s="196" t="s">
        <v>885</v>
      </c>
      <c r="W33" s="196" t="s">
        <v>885</v>
      </c>
      <c r="X33" s="196" t="s">
        <v>885</v>
      </c>
      <c r="Y33" s="196" t="s">
        <v>885</v>
      </c>
      <c r="Z33" s="196" t="s">
        <v>885</v>
      </c>
      <c r="AA33" s="196" t="s">
        <v>885</v>
      </c>
      <c r="AB33" s="196" t="s">
        <v>885</v>
      </c>
      <c r="AC33" s="196" t="s">
        <v>885</v>
      </c>
      <c r="AD33" s="196" t="s">
        <v>885</v>
      </c>
      <c r="AE33" s="196" t="s">
        <v>885</v>
      </c>
      <c r="AF33" s="196" t="s">
        <v>885</v>
      </c>
      <c r="AG33" s="196" t="s">
        <v>885</v>
      </c>
      <c r="AH33" s="196" t="s">
        <v>885</v>
      </c>
      <c r="AI33" s="196" t="s">
        <v>885</v>
      </c>
      <c r="AJ33" s="196" t="s">
        <v>885</v>
      </c>
      <c r="AK33" s="196" t="s">
        <v>885</v>
      </c>
      <c r="AL33" s="196" t="s">
        <v>885</v>
      </c>
      <c r="AM33" s="196"/>
      <c r="AN33" s="196"/>
      <c r="AO33" s="196"/>
      <c r="AP33" s="196"/>
      <c r="AQ33" s="196"/>
      <c r="AR33" s="196"/>
      <c r="AS33" s="196"/>
      <c r="AT33" s="196"/>
      <c r="AU33" s="196"/>
      <c r="AV33" s="196"/>
      <c r="AW33" s="196"/>
      <c r="AX33" s="196"/>
      <c r="AY33" s="196"/>
      <c r="AZ33" s="196"/>
      <c r="BA33" s="196"/>
      <c r="BB33" s="196"/>
      <c r="BC33" s="196"/>
      <c r="BD33" s="196"/>
      <c r="BE33" s="196"/>
      <c r="BF33" s="196"/>
      <c r="BG33" s="196"/>
      <c r="BH33" s="196"/>
      <c r="BI33" s="196"/>
      <c r="BJ33" s="196"/>
      <c r="BK33" s="196"/>
      <c r="BL33" s="196"/>
      <c r="BM33" s="196"/>
      <c r="BN33" s="196"/>
      <c r="BO33" s="196"/>
      <c r="BP33" s="196"/>
      <c r="BQ33" s="196"/>
      <c r="BR33" s="196"/>
      <c r="BS33" s="196"/>
      <c r="BT33" s="196"/>
      <c r="BU33" s="196"/>
      <c r="BV33" s="196"/>
      <c r="BW33" s="196"/>
      <c r="BX33" s="196"/>
      <c r="BY33" s="196"/>
      <c r="BZ33" s="196"/>
      <c r="CA33" s="196"/>
      <c r="CB33" s="196"/>
      <c r="CC33" s="196"/>
      <c r="CD33" s="196"/>
      <c r="CE33" s="196"/>
      <c r="CF33" s="196"/>
      <c r="CG33" s="196"/>
      <c r="CH33" s="196"/>
      <c r="CI33" s="196"/>
      <c r="CJ33" s="196"/>
      <c r="CK33" s="196"/>
      <c r="CL33" s="196"/>
      <c r="CM33" s="196"/>
      <c r="CN33" s="196"/>
      <c r="CO33" s="196"/>
      <c r="CP33" s="196"/>
      <c r="CQ33" s="196"/>
      <c r="CR33" s="196"/>
      <c r="CS33" s="196"/>
      <c r="CT33" s="196"/>
      <c r="CU33" s="196"/>
      <c r="CV33" s="196"/>
      <c r="CW33" s="196"/>
      <c r="CX33" s="196"/>
      <c r="CY33" s="196"/>
      <c r="CZ33" s="196"/>
      <c r="DA33" s="196"/>
      <c r="DB33" s="196"/>
      <c r="DC33" s="196"/>
      <c r="DD33" s="196"/>
    </row>
    <row customHeight="true" ht="18.51851851851852" r="34">
      <c r="A34" s="194"/>
      <c r="B34" s="193" t="s">
        <v>898</v>
      </c>
      <c r="C34" s="194" t="s">
        <v>884</v>
      </c>
      <c r="D34" s="195">
        <v>0.15</v>
      </c>
      <c r="E34" s="196" t="s">
        <v>885</v>
      </c>
      <c r="F34" s="196" t="s">
        <v>885</v>
      </c>
      <c r="G34" s="196" t="s">
        <v>885</v>
      </c>
      <c r="H34" s="196" t="s">
        <v>885</v>
      </c>
      <c r="I34" s="196" t="s">
        <v>885</v>
      </c>
      <c r="J34" s="196" t="s">
        <v>885</v>
      </c>
      <c r="K34" s="196" t="s">
        <v>885</v>
      </c>
      <c r="L34" s="196" t="s">
        <v>885</v>
      </c>
      <c r="M34" s="196" t="s">
        <v>885</v>
      </c>
      <c r="N34" s="196" t="s">
        <v>885</v>
      </c>
      <c r="O34" s="196" t="s">
        <v>885</v>
      </c>
      <c r="P34" s="196" t="s">
        <v>885</v>
      </c>
      <c r="Q34" s="196" t="s">
        <v>885</v>
      </c>
      <c r="R34" s="196" t="s">
        <v>885</v>
      </c>
      <c r="S34" s="196" t="s">
        <v>885</v>
      </c>
      <c r="T34" s="198" t="s">
        <v>952</v>
      </c>
      <c r="U34" s="198"/>
      <c r="V34" s="198"/>
      <c r="W34" s="198"/>
      <c r="X34" s="198"/>
      <c r="Y34" s="198"/>
      <c r="Z34" s="198"/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6"/>
      <c r="AN34" s="196"/>
      <c r="AO34" s="196"/>
      <c r="AP34" s="196"/>
      <c r="AQ34" s="196"/>
      <c r="AR34" s="196"/>
      <c r="AS34" s="196"/>
      <c r="AT34" s="196"/>
      <c r="AU34" s="196"/>
      <c r="AV34" s="196"/>
      <c r="AW34" s="196"/>
      <c r="AX34" s="196"/>
      <c r="AY34" s="196"/>
      <c r="AZ34" s="196"/>
      <c r="BA34" s="196"/>
      <c r="BB34" s="196"/>
      <c r="BC34" s="196"/>
      <c r="BD34" s="196"/>
      <c r="BE34" s="196"/>
      <c r="BF34" s="196"/>
      <c r="BG34" s="196"/>
      <c r="BH34" s="196"/>
      <c r="BI34" s="196"/>
      <c r="BJ34" s="196"/>
      <c r="BK34" s="196"/>
      <c r="BL34" s="196"/>
      <c r="BM34" s="196"/>
      <c r="BN34" s="196"/>
      <c r="BO34" s="196"/>
      <c r="BP34" s="196"/>
      <c r="BQ34" s="196"/>
      <c r="BR34" s="196"/>
      <c r="BS34" s="196"/>
      <c r="BT34" s="196"/>
      <c r="BU34" s="196"/>
      <c r="BV34" s="196"/>
      <c r="BW34" s="196"/>
      <c r="BX34" s="196"/>
      <c r="BY34" s="196"/>
      <c r="BZ34" s="196"/>
      <c r="CA34" s="196"/>
      <c r="CB34" s="196"/>
      <c r="CC34" s="196"/>
      <c r="CD34" s="196"/>
      <c r="CE34" s="196"/>
      <c r="CF34" s="196"/>
      <c r="CG34" s="196"/>
      <c r="CH34" s="196"/>
      <c r="CI34" s="196"/>
      <c r="CJ34" s="196"/>
      <c r="CK34" s="196"/>
      <c r="CL34" s="196"/>
      <c r="CM34" s="196"/>
      <c r="CN34" s="196"/>
      <c r="CO34" s="196"/>
      <c r="CP34" s="196"/>
      <c r="CQ34" s="196"/>
      <c r="CR34" s="196"/>
      <c r="CS34" s="196"/>
      <c r="CT34" s="196"/>
      <c r="CU34" s="196"/>
      <c r="CV34" s="196"/>
      <c r="CW34" s="196"/>
      <c r="CX34" s="196"/>
      <c r="CY34" s="196"/>
      <c r="CZ34" s="196"/>
      <c r="DA34" s="196"/>
      <c r="DB34" s="196"/>
      <c r="DC34" s="196"/>
      <c r="DD34" s="196"/>
    </row>
    <row customHeight="true" ht="18.51851851851852" r="35">
      <c r="A35" s="194"/>
      <c r="B35" s="193"/>
      <c r="C35" s="194" t="s">
        <v>881</v>
      </c>
      <c r="D35" s="197" t="s">
        <v>953</v>
      </c>
      <c r="E35" s="200" t="s">
        <v>954</v>
      </c>
      <c r="F35" s="200"/>
      <c r="G35" s="200"/>
      <c r="H35" s="199" t="s">
        <v>955</v>
      </c>
      <c r="I35" s="199"/>
      <c r="J35" s="199"/>
      <c r="K35" s="199"/>
      <c r="L35" s="199"/>
      <c r="M35" s="199"/>
      <c r="N35" s="199"/>
      <c r="O35" s="199"/>
      <c r="P35" s="199"/>
      <c r="Q35" s="199"/>
      <c r="R35" s="199"/>
      <c r="S35" s="199"/>
      <c r="T35" s="196" t="s">
        <v>885</v>
      </c>
      <c r="U35" s="196" t="s">
        <v>885</v>
      </c>
      <c r="V35" s="196" t="s">
        <v>885</v>
      </c>
      <c r="W35" s="196" t="s">
        <v>885</v>
      </c>
      <c r="X35" s="196" t="s">
        <v>885</v>
      </c>
      <c r="Y35" s="196" t="s">
        <v>885</v>
      </c>
      <c r="Z35" s="196" t="s">
        <v>885</v>
      </c>
      <c r="AA35" s="196" t="s">
        <v>885</v>
      </c>
      <c r="AB35" s="196" t="s">
        <v>885</v>
      </c>
      <c r="AC35" s="196" t="s">
        <v>885</v>
      </c>
      <c r="AD35" s="196" t="s">
        <v>885</v>
      </c>
      <c r="AE35" s="196" t="s">
        <v>885</v>
      </c>
      <c r="AF35" s="196" t="s">
        <v>885</v>
      </c>
      <c r="AG35" s="196" t="s">
        <v>885</v>
      </c>
      <c r="AH35" s="196" t="s">
        <v>885</v>
      </c>
      <c r="AI35" s="196" t="s">
        <v>885</v>
      </c>
      <c r="AJ35" s="196" t="s">
        <v>885</v>
      </c>
      <c r="AK35" s="196" t="s">
        <v>885</v>
      </c>
      <c r="AL35" s="196" t="s">
        <v>885</v>
      </c>
      <c r="AM35" s="196"/>
      <c r="AN35" s="196"/>
      <c r="AO35" s="196"/>
      <c r="AP35" s="196"/>
      <c r="AQ35" s="196"/>
      <c r="AR35" s="196"/>
      <c r="AS35" s="196"/>
      <c r="AT35" s="196"/>
      <c r="AU35" s="196"/>
      <c r="AV35" s="196"/>
      <c r="AW35" s="196"/>
      <c r="AX35" s="196"/>
      <c r="AY35" s="196"/>
      <c r="AZ35" s="196"/>
      <c r="BA35" s="196"/>
      <c r="BB35" s="196"/>
      <c r="BC35" s="196"/>
      <c r="BD35" s="196"/>
      <c r="BE35" s="196"/>
      <c r="BF35" s="196"/>
      <c r="BG35" s="196"/>
      <c r="BH35" s="196"/>
      <c r="BI35" s="196"/>
      <c r="BJ35" s="196"/>
      <c r="BK35" s="196"/>
      <c r="BL35" s="196"/>
      <c r="BM35" s="196"/>
      <c r="BN35" s="196"/>
      <c r="BO35" s="196"/>
      <c r="BP35" s="196"/>
      <c r="BQ35" s="196"/>
      <c r="BR35" s="196"/>
      <c r="BS35" s="196"/>
      <c r="BT35" s="196"/>
      <c r="BU35" s="196"/>
      <c r="BV35" s="196"/>
      <c r="BW35" s="196"/>
      <c r="BX35" s="196"/>
      <c r="BY35" s="196"/>
      <c r="BZ35" s="196"/>
      <c r="CA35" s="196"/>
      <c r="CB35" s="196"/>
      <c r="CC35" s="196"/>
      <c r="CD35" s="196"/>
      <c r="CE35" s="196"/>
      <c r="CF35" s="196"/>
      <c r="CG35" s="196"/>
      <c r="CH35" s="196"/>
      <c r="CI35" s="196"/>
      <c r="CJ35" s="196"/>
      <c r="CK35" s="196"/>
      <c r="CL35" s="196"/>
      <c r="CM35" s="196"/>
      <c r="CN35" s="196"/>
      <c r="CO35" s="196"/>
      <c r="CP35" s="196"/>
      <c r="CQ35" s="196"/>
      <c r="CR35" s="196"/>
      <c r="CS35" s="196"/>
      <c r="CT35" s="196"/>
      <c r="CU35" s="196"/>
      <c r="CV35" s="196"/>
      <c r="CW35" s="196"/>
      <c r="CX35" s="196"/>
      <c r="CY35" s="196"/>
      <c r="CZ35" s="196"/>
      <c r="DA35" s="196"/>
      <c r="DB35" s="196"/>
      <c r="DC35" s="196"/>
      <c r="DD35" s="196"/>
    </row>
    <row customHeight="true" ht="18.51851851851852" r="36">
      <c r="A36" s="192" t="s">
        <v>956</v>
      </c>
      <c r="B36" s="193" t="s">
        <v>883</v>
      </c>
      <c r="C36" s="194" t="s">
        <v>884</v>
      </c>
      <c r="D36" s="195">
        <v>0.15</v>
      </c>
      <c r="E36" s="196" t="s">
        <v>885</v>
      </c>
      <c r="F36" s="196" t="s">
        <v>885</v>
      </c>
      <c r="G36" s="196" t="s">
        <v>885</v>
      </c>
      <c r="H36" s="196" t="s">
        <v>885</v>
      </c>
      <c r="I36" s="196" t="s">
        <v>885</v>
      </c>
      <c r="J36" s="196" t="s">
        <v>885</v>
      </c>
      <c r="K36" s="196" t="s">
        <v>885</v>
      </c>
      <c r="L36" s="196" t="s">
        <v>885</v>
      </c>
      <c r="M36" s="196" t="s">
        <v>885</v>
      </c>
      <c r="N36" s="196" t="s">
        <v>885</v>
      </c>
      <c r="O36" s="196" t="s">
        <v>885</v>
      </c>
      <c r="P36" s="196" t="s">
        <v>885</v>
      </c>
      <c r="Q36" s="196" t="s">
        <v>885</v>
      </c>
      <c r="R36" s="196" t="s">
        <v>885</v>
      </c>
      <c r="S36" s="194"/>
      <c r="T36" s="196" t="s">
        <v>885</v>
      </c>
      <c r="U36" s="196">
        <v>10</v>
      </c>
      <c r="V36" s="196"/>
      <c r="W36" s="196"/>
      <c r="X36" s="196"/>
      <c r="Y36" s="196"/>
      <c r="Z36" s="196"/>
      <c r="AA36" s="196"/>
      <c r="AB36" s="196"/>
      <c r="AC36" s="196"/>
      <c r="AD36" s="196"/>
      <c r="AE36" s="196"/>
      <c r="AF36" s="196"/>
      <c r="AG36" s="196"/>
      <c r="AH36" s="196"/>
      <c r="AI36" s="196"/>
      <c r="AJ36" s="196" t="s">
        <v>885</v>
      </c>
      <c r="AK36" s="196" t="s">
        <v>885</v>
      </c>
      <c r="AL36" s="196" t="s">
        <v>885</v>
      </c>
      <c r="AM36" s="196" t="s">
        <v>885</v>
      </c>
      <c r="AN36" s="196" t="s">
        <v>885</v>
      </c>
      <c r="AO36" s="196" t="s">
        <v>885</v>
      </c>
      <c r="AP36" s="196" t="s">
        <v>885</v>
      </c>
      <c r="AQ36" s="196" t="s">
        <v>885</v>
      </c>
      <c r="AR36" s="196" t="s">
        <v>885</v>
      </c>
      <c r="AS36" s="196" t="s">
        <v>885</v>
      </c>
      <c r="AT36" s="196" t="s">
        <v>885</v>
      </c>
      <c r="AU36" s="196" t="s">
        <v>885</v>
      </c>
      <c r="AV36" s="196" t="s">
        <v>885</v>
      </c>
      <c r="AW36" s="196" t="s">
        <v>885</v>
      </c>
      <c r="AX36" s="196"/>
      <c r="AY36" s="196"/>
      <c r="AZ36" s="196"/>
      <c r="BA36" s="196"/>
      <c r="BB36" s="196"/>
      <c r="BC36" s="196"/>
      <c r="BD36" s="196"/>
      <c r="BE36" s="196"/>
      <c r="BF36" s="196"/>
      <c r="BG36" s="196"/>
      <c r="BH36" s="196"/>
      <c r="BI36" s="196"/>
      <c r="BJ36" s="196"/>
      <c r="BK36" s="196"/>
      <c r="BL36" s="196"/>
      <c r="BM36" s="196"/>
      <c r="BN36" s="196"/>
      <c r="BO36" s="196"/>
      <c r="BP36" s="196"/>
      <c r="BQ36" s="196"/>
      <c r="BR36" s="196"/>
      <c r="BS36" s="196"/>
      <c r="BT36" s="196"/>
      <c r="BU36" s="196"/>
      <c r="BV36" s="196"/>
      <c r="BW36" s="196"/>
      <c r="BX36" s="196"/>
      <c r="BY36" s="196"/>
      <c r="BZ36" s="196"/>
      <c r="CA36" s="196"/>
      <c r="CB36" s="196"/>
      <c r="CC36" s="196"/>
      <c r="CD36" s="196"/>
      <c r="CE36" s="196"/>
      <c r="CF36" s="196"/>
      <c r="CG36" s="196"/>
      <c r="CH36" s="196"/>
      <c r="CI36" s="196"/>
      <c r="CJ36" s="196"/>
      <c r="CK36" s="196"/>
      <c r="CL36" s="196"/>
      <c r="CM36" s="196"/>
      <c r="CN36" s="196"/>
      <c r="CO36" s="196"/>
      <c r="CP36" s="196"/>
      <c r="CQ36" s="196"/>
      <c r="CR36" s="196"/>
      <c r="CS36" s="196"/>
      <c r="CT36" s="196"/>
      <c r="CU36" s="196"/>
      <c r="CV36" s="196"/>
      <c r="CW36" s="196"/>
      <c r="CX36" s="196"/>
      <c r="CY36" s="196"/>
      <c r="CZ36" s="196"/>
      <c r="DA36" s="196"/>
      <c r="DB36" s="196"/>
      <c r="DC36" s="196"/>
      <c r="DD36" s="196"/>
    </row>
    <row customHeight="true" ht="18.51851851851852" r="37">
      <c r="A37" s="194"/>
      <c r="B37" s="193"/>
      <c r="C37" s="194" t="s">
        <v>881</v>
      </c>
      <c r="D37" s="197" t="s">
        <v>957</v>
      </c>
      <c r="E37" s="200" t="s">
        <v>958</v>
      </c>
      <c r="F37" s="200"/>
      <c r="G37" s="200"/>
      <c r="H37" s="196" t="s">
        <v>885</v>
      </c>
      <c r="I37" s="196" t="s">
        <v>885</v>
      </c>
      <c r="J37" s="196" t="s">
        <v>885</v>
      </c>
      <c r="K37" s="196" t="s">
        <v>885</v>
      </c>
      <c r="L37" s="196" t="s">
        <v>885</v>
      </c>
      <c r="M37" s="196" t="s">
        <v>885</v>
      </c>
      <c r="N37" s="196" t="s">
        <v>885</v>
      </c>
      <c r="O37" s="196" t="s">
        <v>885</v>
      </c>
      <c r="P37" s="196" t="s">
        <v>885</v>
      </c>
      <c r="Q37" s="196" t="s">
        <v>885</v>
      </c>
      <c r="R37" s="196" t="s">
        <v>885</v>
      </c>
      <c r="S37" s="196" t="s">
        <v>885</v>
      </c>
      <c r="T37" s="198" t="s">
        <v>887</v>
      </c>
      <c r="U37" s="198"/>
      <c r="V37" s="198"/>
      <c r="W37" s="198"/>
      <c r="X37" s="198"/>
      <c r="Y37" s="198"/>
      <c r="Z37" s="198"/>
      <c r="AA37" s="198"/>
      <c r="AB37" s="196"/>
      <c r="AC37" s="196"/>
      <c r="AD37" s="196"/>
      <c r="AE37" s="196"/>
      <c r="AF37" s="196"/>
      <c r="AG37" s="196"/>
      <c r="AH37" s="196"/>
      <c r="AI37" s="196"/>
      <c r="AJ37" s="196" t="s">
        <v>885</v>
      </c>
      <c r="AK37" s="196" t="s">
        <v>885</v>
      </c>
      <c r="AL37" s="196" t="s">
        <v>885</v>
      </c>
      <c r="AM37" s="196" t="s">
        <v>885</v>
      </c>
      <c r="AN37" s="196" t="s">
        <v>885</v>
      </c>
      <c r="AO37" s="196" t="s">
        <v>885</v>
      </c>
      <c r="AP37" s="196" t="s">
        <v>885</v>
      </c>
      <c r="AQ37" s="196" t="s">
        <v>885</v>
      </c>
      <c r="AR37" s="196" t="s">
        <v>885</v>
      </c>
      <c r="AS37" s="196" t="s">
        <v>885</v>
      </c>
      <c r="AT37" s="196" t="s">
        <v>885</v>
      </c>
      <c r="AU37" s="196" t="s">
        <v>885</v>
      </c>
      <c r="AV37" s="196" t="s">
        <v>885</v>
      </c>
      <c r="AW37" s="196" t="s">
        <v>885</v>
      </c>
      <c r="AX37" s="196"/>
      <c r="AY37" s="196"/>
      <c r="AZ37" s="196"/>
      <c r="BA37" s="196"/>
      <c r="BB37" s="196"/>
      <c r="BC37" s="196"/>
      <c r="BD37" s="196"/>
      <c r="BE37" s="196"/>
      <c r="BF37" s="196"/>
      <c r="BG37" s="196"/>
      <c r="BH37" s="196"/>
      <c r="BI37" s="196"/>
      <c r="BJ37" s="196"/>
      <c r="BK37" s="196"/>
      <c r="BL37" s="196"/>
      <c r="BM37" s="196"/>
      <c r="BN37" s="196"/>
      <c r="BO37" s="196"/>
      <c r="BP37" s="196"/>
      <c r="BQ37" s="196"/>
      <c r="BR37" s="196"/>
      <c r="BS37" s="196"/>
      <c r="BT37" s="196"/>
      <c r="BU37" s="196"/>
      <c r="BV37" s="196"/>
      <c r="BW37" s="196"/>
      <c r="BX37" s="196"/>
      <c r="BY37" s="196"/>
      <c r="BZ37" s="196"/>
      <c r="CA37" s="196"/>
      <c r="CB37" s="196"/>
      <c r="CC37" s="196"/>
      <c r="CD37" s="196"/>
      <c r="CE37" s="196"/>
      <c r="CF37" s="196"/>
      <c r="CG37" s="196"/>
      <c r="CH37" s="196"/>
      <c r="CI37" s="196"/>
      <c r="CJ37" s="196"/>
      <c r="CK37" s="196"/>
      <c r="CL37" s="196"/>
      <c r="CM37" s="196"/>
      <c r="CN37" s="196"/>
      <c r="CO37" s="196"/>
      <c r="CP37" s="196"/>
      <c r="CQ37" s="196"/>
      <c r="CR37" s="196"/>
      <c r="CS37" s="196"/>
      <c r="CT37" s="196"/>
      <c r="CU37" s="196"/>
      <c r="CV37" s="196"/>
      <c r="CW37" s="196"/>
      <c r="CX37" s="196"/>
      <c r="CY37" s="196"/>
      <c r="CZ37" s="196"/>
      <c r="DA37" s="196"/>
      <c r="DB37" s="196"/>
      <c r="DC37" s="196"/>
      <c r="DD37" s="196"/>
    </row>
    <row customHeight="true" ht="18.51851851851852" r="38">
      <c r="A38" s="194"/>
      <c r="B38" s="193" t="s">
        <v>890</v>
      </c>
      <c r="C38" s="194" t="s">
        <v>884</v>
      </c>
      <c r="D38" s="195">
        <v>0.15</v>
      </c>
      <c r="E38" s="196" t="s">
        <v>885</v>
      </c>
      <c r="F38" s="196" t="s">
        <v>885</v>
      </c>
      <c r="G38" s="196" t="s">
        <v>885</v>
      </c>
      <c r="H38" s="196" t="s">
        <v>885</v>
      </c>
      <c r="I38" s="196" t="s">
        <v>885</v>
      </c>
      <c r="J38" s="196" t="s">
        <v>885</v>
      </c>
      <c r="K38" s="196" t="s">
        <v>885</v>
      </c>
      <c r="L38" s="196" t="s">
        <v>885</v>
      </c>
      <c r="M38" s="196" t="s">
        <v>885</v>
      </c>
      <c r="N38" s="196" t="s">
        <v>885</v>
      </c>
      <c r="O38" s="196" t="s">
        <v>885</v>
      </c>
      <c r="P38" s="196" t="s">
        <v>885</v>
      </c>
      <c r="Q38" s="196" t="s">
        <v>885</v>
      </c>
      <c r="R38" s="196" t="s">
        <v>885</v>
      </c>
      <c r="S38" s="196" t="s">
        <v>885</v>
      </c>
      <c r="T38" s="196"/>
      <c r="U38" s="196"/>
      <c r="V38" s="196"/>
      <c r="W38" s="196"/>
      <c r="X38" s="196"/>
      <c r="Y38" s="196"/>
      <c r="Z38" s="196"/>
      <c r="AA38" s="196"/>
      <c r="AB38" s="196"/>
      <c r="AC38" s="196"/>
      <c r="AD38" s="196"/>
      <c r="AE38" s="196"/>
      <c r="AF38" s="196"/>
      <c r="AG38" s="196"/>
      <c r="AH38" s="196"/>
      <c r="AI38" s="196"/>
      <c r="AJ38" s="196" t="s">
        <v>885</v>
      </c>
      <c r="AK38" s="196" t="s">
        <v>885</v>
      </c>
      <c r="AL38" s="196" t="s">
        <v>885</v>
      </c>
      <c r="AM38" s="196" t="s">
        <v>885</v>
      </c>
      <c r="AN38" s="196" t="s">
        <v>885</v>
      </c>
      <c r="AO38" s="196" t="s">
        <v>885</v>
      </c>
      <c r="AP38" s="196" t="s">
        <v>885</v>
      </c>
      <c r="AQ38" s="196" t="s">
        <v>885</v>
      </c>
      <c r="AR38" s="196" t="s">
        <v>885</v>
      </c>
      <c r="AS38" s="196" t="s">
        <v>885</v>
      </c>
      <c r="AT38" s="196" t="s">
        <v>885</v>
      </c>
      <c r="AU38" s="196" t="s">
        <v>885</v>
      </c>
      <c r="AV38" s="196" t="s">
        <v>885</v>
      </c>
      <c r="AW38" s="196" t="s">
        <v>885</v>
      </c>
      <c r="AX38" s="196"/>
      <c r="AY38" s="196"/>
      <c r="AZ38" s="196"/>
      <c r="BA38" s="196"/>
      <c r="BB38" s="196"/>
      <c r="BC38" s="196"/>
      <c r="BD38" s="196"/>
      <c r="BE38" s="196"/>
      <c r="BF38" s="196"/>
      <c r="BG38" s="196"/>
      <c r="BH38" s="196"/>
      <c r="BI38" s="196"/>
      <c r="BJ38" s="196"/>
      <c r="BK38" s="196"/>
      <c r="BL38" s="196"/>
      <c r="BM38" s="196"/>
      <c r="BN38" s="196"/>
      <c r="BO38" s="196"/>
      <c r="BP38" s="196"/>
      <c r="BQ38" s="196"/>
      <c r="BR38" s="196"/>
      <c r="BS38" s="196"/>
      <c r="BT38" s="196"/>
      <c r="BU38" s="196"/>
      <c r="BV38" s="196"/>
      <c r="BW38" s="196"/>
      <c r="BX38" s="196"/>
      <c r="BY38" s="196"/>
      <c r="BZ38" s="196"/>
      <c r="CA38" s="196"/>
      <c r="CB38" s="196"/>
      <c r="CC38" s="196"/>
      <c r="CD38" s="196"/>
      <c r="CE38" s="196"/>
      <c r="CF38" s="196"/>
      <c r="CG38" s="196"/>
      <c r="CH38" s="196"/>
      <c r="CI38" s="196"/>
      <c r="CJ38" s="196"/>
      <c r="CK38" s="196"/>
      <c r="CL38" s="196"/>
      <c r="CM38" s="196"/>
      <c r="CN38" s="196"/>
      <c r="CO38" s="196"/>
      <c r="CP38" s="196"/>
      <c r="CQ38" s="196"/>
      <c r="CR38" s="196"/>
      <c r="CS38" s="196"/>
      <c r="CT38" s="196"/>
      <c r="CU38" s="196"/>
      <c r="CV38" s="196"/>
      <c r="CW38" s="196"/>
      <c r="CX38" s="196"/>
      <c r="CY38" s="196"/>
      <c r="CZ38" s="196"/>
      <c r="DA38" s="196"/>
      <c r="DB38" s="196"/>
      <c r="DC38" s="196"/>
      <c r="DD38" s="196"/>
    </row>
    <row customHeight="true" ht="18.51851851851852" r="39">
      <c r="A39" s="194"/>
      <c r="B39" s="193"/>
      <c r="C39" s="194" t="s">
        <v>881</v>
      </c>
      <c r="D39" s="197" t="s">
        <v>959</v>
      </c>
      <c r="E39" s="196" t="s">
        <v>885</v>
      </c>
      <c r="F39" s="196" t="s">
        <v>885</v>
      </c>
      <c r="G39" s="196" t="s">
        <v>885</v>
      </c>
      <c r="H39" s="199" t="s">
        <v>960</v>
      </c>
      <c r="I39" s="199"/>
      <c r="J39" s="199"/>
      <c r="K39" s="199"/>
      <c r="L39" s="199"/>
      <c r="M39" s="199"/>
      <c r="N39" s="199"/>
      <c r="O39" s="199"/>
      <c r="P39" s="199"/>
      <c r="Q39" s="199"/>
      <c r="R39" s="199"/>
      <c r="S39" s="199"/>
      <c r="T39" s="196" t="s">
        <v>885</v>
      </c>
      <c r="U39" s="196" t="s">
        <v>961</v>
      </c>
      <c r="V39" s="196"/>
      <c r="W39" s="196"/>
      <c r="X39" s="196"/>
      <c r="Y39" s="196"/>
      <c r="Z39" s="196"/>
      <c r="AA39" s="196"/>
      <c r="AB39" s="196"/>
      <c r="AC39" s="196"/>
      <c r="AD39" s="196"/>
      <c r="AE39" s="196"/>
      <c r="AF39" s="196"/>
      <c r="AG39" s="196"/>
      <c r="AH39" s="196"/>
      <c r="AI39" s="196"/>
      <c r="AJ39" s="196" t="s">
        <v>885</v>
      </c>
      <c r="AK39" s="196" t="s">
        <v>885</v>
      </c>
      <c r="AL39" s="196" t="s">
        <v>885</v>
      </c>
      <c r="AM39" s="196" t="s">
        <v>885</v>
      </c>
      <c r="AN39" s="196" t="s">
        <v>885</v>
      </c>
      <c r="AO39" s="196" t="s">
        <v>885</v>
      </c>
      <c r="AP39" s="196" t="s">
        <v>885</v>
      </c>
      <c r="AQ39" s="196" t="s">
        <v>885</v>
      </c>
      <c r="AR39" s="196" t="s">
        <v>885</v>
      </c>
      <c r="AS39" s="196" t="s">
        <v>885</v>
      </c>
      <c r="AT39" s="196" t="s">
        <v>885</v>
      </c>
      <c r="AU39" s="196" t="s">
        <v>885</v>
      </c>
      <c r="AV39" s="196" t="s">
        <v>885</v>
      </c>
      <c r="AW39" s="196" t="s">
        <v>885</v>
      </c>
      <c r="AX39" s="196"/>
      <c r="AY39" s="196"/>
      <c r="AZ39" s="196"/>
      <c r="BA39" s="196"/>
      <c r="BB39" s="196"/>
      <c r="BC39" s="196"/>
      <c r="BD39" s="196"/>
      <c r="BE39" s="196"/>
      <c r="BF39" s="196"/>
      <c r="BG39" s="196"/>
      <c r="BH39" s="196"/>
      <c r="BI39" s="196"/>
      <c r="BJ39" s="196"/>
      <c r="BK39" s="196"/>
      <c r="BL39" s="196"/>
      <c r="BM39" s="196"/>
      <c r="BN39" s="196"/>
      <c r="BO39" s="196"/>
      <c r="BP39" s="196"/>
      <c r="BQ39" s="196"/>
      <c r="BR39" s="196"/>
      <c r="BS39" s="196"/>
      <c r="BT39" s="196"/>
      <c r="BU39" s="196"/>
      <c r="BV39" s="196"/>
      <c r="BW39" s="196"/>
      <c r="BX39" s="196"/>
      <c r="BY39" s="196"/>
      <c r="BZ39" s="196"/>
      <c r="CA39" s="196"/>
      <c r="CB39" s="196"/>
      <c r="CC39" s="196"/>
      <c r="CD39" s="196"/>
      <c r="CE39" s="196"/>
      <c r="CF39" s="196"/>
      <c r="CG39" s="196"/>
      <c r="CH39" s="196"/>
      <c r="CI39" s="196"/>
      <c r="CJ39" s="196"/>
      <c r="CK39" s="196"/>
      <c r="CL39" s="196"/>
      <c r="CM39" s="196"/>
      <c r="CN39" s="196"/>
      <c r="CO39" s="196"/>
      <c r="CP39" s="196"/>
      <c r="CQ39" s="196"/>
      <c r="CR39" s="196"/>
      <c r="CS39" s="196"/>
      <c r="CT39" s="196"/>
      <c r="CU39" s="196"/>
      <c r="CV39" s="196"/>
      <c r="CW39" s="196"/>
      <c r="CX39" s="196"/>
      <c r="CY39" s="196"/>
      <c r="CZ39" s="196"/>
      <c r="DA39" s="196"/>
      <c r="DB39" s="196"/>
      <c r="DC39" s="196"/>
      <c r="DD39" s="196"/>
    </row>
    <row customHeight="true" ht="18.51851851851852" r="40">
      <c r="A40" s="194"/>
      <c r="B40" s="193" t="s">
        <v>895</v>
      </c>
      <c r="C40" s="194" t="s">
        <v>884</v>
      </c>
      <c r="D40" s="195">
        <v>0.15</v>
      </c>
      <c r="E40" s="196" t="s">
        <v>885</v>
      </c>
      <c r="F40" s="196" t="s">
        <v>885</v>
      </c>
      <c r="G40" s="196" t="s">
        <v>885</v>
      </c>
      <c r="H40" s="196" t="s">
        <v>885</v>
      </c>
      <c r="I40" s="196" t="s">
        <v>885</v>
      </c>
      <c r="J40" s="196" t="s">
        <v>885</v>
      </c>
      <c r="K40" s="196" t="s">
        <v>885</v>
      </c>
      <c r="L40" s="196" t="s">
        <v>885</v>
      </c>
      <c r="M40" s="196" t="s">
        <v>885</v>
      </c>
      <c r="N40" s="196" t="s">
        <v>885</v>
      </c>
      <c r="O40" s="196" t="s">
        <v>885</v>
      </c>
      <c r="P40" s="196" t="s">
        <v>885</v>
      </c>
      <c r="Q40" s="196" t="s">
        <v>885</v>
      </c>
      <c r="R40" s="196" t="s">
        <v>885</v>
      </c>
      <c r="S40" s="196" t="s">
        <v>885</v>
      </c>
      <c r="T40" s="196" t="s">
        <v>885</v>
      </c>
      <c r="U40" s="196" t="s">
        <v>885</v>
      </c>
      <c r="V40" s="196" t="s">
        <v>885</v>
      </c>
      <c r="W40" s="196" t="s">
        <v>885</v>
      </c>
      <c r="X40" s="196" t="s">
        <v>885</v>
      </c>
      <c r="Y40" s="196" t="s">
        <v>885</v>
      </c>
      <c r="Z40" s="196" t="s">
        <v>885</v>
      </c>
      <c r="AA40" s="196" t="s">
        <v>885</v>
      </c>
      <c r="AB40" s="199" t="s">
        <v>922</v>
      </c>
      <c r="AC40" s="199"/>
      <c r="AD40" s="199"/>
      <c r="AE40" s="196" t="s">
        <v>885</v>
      </c>
      <c r="AF40" s="196" t="s">
        <v>885</v>
      </c>
      <c r="AG40" s="196" t="s">
        <v>885</v>
      </c>
      <c r="AH40" s="196" t="s">
        <v>885</v>
      </c>
      <c r="AI40" s="196" t="s">
        <v>885</v>
      </c>
      <c r="AJ40" s="196" t="s">
        <v>885</v>
      </c>
      <c r="AK40" s="196" t="s">
        <v>885</v>
      </c>
      <c r="AL40" s="196" t="s">
        <v>885</v>
      </c>
      <c r="AM40" s="196" t="s">
        <v>885</v>
      </c>
      <c r="AN40" s="196" t="s">
        <v>885</v>
      </c>
      <c r="AO40" s="196" t="s">
        <v>885</v>
      </c>
      <c r="AP40" s="196" t="s">
        <v>885</v>
      </c>
      <c r="AQ40" s="196" t="s">
        <v>885</v>
      </c>
      <c r="AR40" s="196" t="s">
        <v>885</v>
      </c>
      <c r="AS40" s="196" t="s">
        <v>885</v>
      </c>
      <c r="AT40" s="196" t="s">
        <v>885</v>
      </c>
      <c r="AU40" s="196" t="s">
        <v>885</v>
      </c>
      <c r="AV40" s="196" t="s">
        <v>885</v>
      </c>
      <c r="AW40" s="196" t="s">
        <v>885</v>
      </c>
      <c r="AX40" s="196"/>
      <c r="AY40" s="196"/>
      <c r="AZ40" s="196"/>
      <c r="BA40" s="196"/>
      <c r="BB40" s="196"/>
      <c r="BC40" s="196"/>
      <c r="BD40" s="196"/>
      <c r="BE40" s="196"/>
      <c r="BF40" s="196"/>
      <c r="BG40" s="196"/>
      <c r="BH40" s="196"/>
      <c r="BI40" s="196"/>
      <c r="BJ40" s="196"/>
      <c r="BK40" s="196"/>
      <c r="BL40" s="196"/>
      <c r="BM40" s="196"/>
      <c r="BN40" s="196"/>
      <c r="BO40" s="196"/>
      <c r="BP40" s="196"/>
      <c r="BQ40" s="196"/>
      <c r="BR40" s="196"/>
      <c r="BS40" s="196"/>
      <c r="BT40" s="196"/>
      <c r="BU40" s="196"/>
      <c r="BV40" s="196"/>
      <c r="BW40" s="196"/>
      <c r="BX40" s="196"/>
      <c r="BY40" s="196"/>
      <c r="BZ40" s="196"/>
      <c r="CA40" s="196"/>
      <c r="CB40" s="196"/>
      <c r="CC40" s="196"/>
      <c r="CD40" s="196"/>
      <c r="CE40" s="196"/>
      <c r="CF40" s="196"/>
      <c r="CG40" s="196"/>
      <c r="CH40" s="196"/>
      <c r="CI40" s="196"/>
      <c r="CJ40" s="196"/>
      <c r="CK40" s="196"/>
      <c r="CL40" s="196"/>
      <c r="CM40" s="196"/>
      <c r="CN40" s="196"/>
      <c r="CO40" s="196"/>
      <c r="CP40" s="196"/>
      <c r="CQ40" s="196"/>
      <c r="CR40" s="196"/>
      <c r="CS40" s="196"/>
      <c r="CT40" s="196"/>
      <c r="CU40" s="196"/>
      <c r="CV40" s="196"/>
      <c r="CW40" s="196"/>
      <c r="CX40" s="196"/>
      <c r="CY40" s="196"/>
      <c r="CZ40" s="196"/>
      <c r="DA40" s="196"/>
      <c r="DB40" s="196"/>
      <c r="DC40" s="196"/>
      <c r="DD40" s="196"/>
    </row>
    <row customHeight="true" ht="18.51851851851852" r="41">
      <c r="A41" s="194"/>
      <c r="B41" s="193"/>
      <c r="C41" s="194" t="s">
        <v>881</v>
      </c>
      <c r="D41" s="197" t="s">
        <v>962</v>
      </c>
      <c r="E41" s="196" t="s">
        <v>885</v>
      </c>
      <c r="F41" s="196" t="s">
        <v>885</v>
      </c>
      <c r="G41" s="196" t="s">
        <v>885</v>
      </c>
      <c r="H41" s="196" t="s">
        <v>885</v>
      </c>
      <c r="I41" s="196" t="s">
        <v>885</v>
      </c>
      <c r="J41" s="199" t="s">
        <v>963</v>
      </c>
      <c r="K41" s="199"/>
      <c r="L41" s="199"/>
      <c r="M41" s="199"/>
      <c r="N41" s="199"/>
      <c r="O41" s="199"/>
      <c r="P41" s="199"/>
      <c r="Q41" s="199"/>
      <c r="R41" s="199"/>
      <c r="S41" s="199"/>
      <c r="T41" s="199"/>
      <c r="U41" s="199"/>
      <c r="V41" s="196" t="s">
        <v>885</v>
      </c>
      <c r="W41" s="196" t="s">
        <v>885</v>
      </c>
      <c r="X41" s="196" t="s">
        <v>885</v>
      </c>
      <c r="Y41" s="196" t="s">
        <v>885</v>
      </c>
      <c r="Z41" s="196" t="s">
        <v>885</v>
      </c>
      <c r="AA41" s="196" t="s">
        <v>885</v>
      </c>
      <c r="AB41" s="196" t="s">
        <v>885</v>
      </c>
      <c r="AC41" s="196" t="s">
        <v>885</v>
      </c>
      <c r="AD41" s="196" t="s">
        <v>885</v>
      </c>
      <c r="AE41" s="202" t="s">
        <v>963</v>
      </c>
      <c r="AF41" s="202"/>
      <c r="AG41" s="202"/>
      <c r="AH41" s="202"/>
      <c r="AI41" s="202"/>
      <c r="AJ41" s="202"/>
      <c r="AK41" s="202"/>
      <c r="AL41" s="202"/>
      <c r="AM41" s="202"/>
      <c r="AN41" s="202"/>
      <c r="AO41" s="202"/>
      <c r="AP41" s="202"/>
      <c r="AQ41" s="202"/>
      <c r="AR41" s="202"/>
      <c r="AS41" s="202"/>
      <c r="AT41" s="202"/>
      <c r="AU41" s="202"/>
      <c r="AV41" s="202"/>
      <c r="AW41" s="202"/>
      <c r="AX41" s="196"/>
      <c r="AY41" s="196"/>
      <c r="AZ41" s="196"/>
      <c r="BA41" s="196"/>
      <c r="BB41" s="196"/>
      <c r="BC41" s="196"/>
      <c r="BD41" s="196"/>
      <c r="BE41" s="196"/>
      <c r="BF41" s="196"/>
      <c r="BG41" s="196"/>
      <c r="BH41" s="196"/>
      <c r="BI41" s="196"/>
      <c r="BJ41" s="196"/>
      <c r="BK41" s="196"/>
      <c r="BL41" s="196"/>
      <c r="BM41" s="196"/>
      <c r="BN41" s="196"/>
      <c r="BO41" s="196"/>
      <c r="BP41" s="196"/>
      <c r="BQ41" s="196"/>
      <c r="BR41" s="196"/>
      <c r="BS41" s="196"/>
      <c r="BT41" s="196"/>
      <c r="BU41" s="196"/>
      <c r="BV41" s="196"/>
      <c r="BW41" s="196"/>
      <c r="BX41" s="196"/>
      <c r="BY41" s="196"/>
      <c r="BZ41" s="196"/>
      <c r="CA41" s="196"/>
      <c r="CB41" s="196"/>
      <c r="CC41" s="196"/>
      <c r="CD41" s="196"/>
      <c r="CE41" s="196"/>
      <c r="CF41" s="196"/>
      <c r="CG41" s="196"/>
      <c r="CH41" s="196"/>
      <c r="CI41" s="196"/>
      <c r="CJ41" s="196"/>
      <c r="CK41" s="196"/>
      <c r="CL41" s="196"/>
      <c r="CM41" s="196"/>
      <c r="CN41" s="196"/>
      <c r="CO41" s="196"/>
      <c r="CP41" s="196"/>
      <c r="CQ41" s="196"/>
      <c r="CR41" s="196"/>
      <c r="CS41" s="196"/>
      <c r="CT41" s="196"/>
      <c r="CU41" s="196"/>
      <c r="CV41" s="196"/>
      <c r="CW41" s="196"/>
      <c r="CX41" s="196"/>
      <c r="CY41" s="196"/>
      <c r="CZ41" s="196"/>
      <c r="DA41" s="196"/>
      <c r="DB41" s="196"/>
      <c r="DC41" s="196"/>
      <c r="DD41" s="196"/>
    </row>
    <row customHeight="true" ht="18.51851851851852" r="42">
      <c r="A42" s="194"/>
      <c r="B42" s="193" t="s">
        <v>898</v>
      </c>
      <c r="C42" s="194" t="s">
        <v>884</v>
      </c>
      <c r="D42" s="195">
        <v>0.15</v>
      </c>
      <c r="E42" s="196" t="s">
        <v>885</v>
      </c>
      <c r="F42" s="196" t="s">
        <v>885</v>
      </c>
      <c r="G42" s="196" t="s">
        <v>885</v>
      </c>
      <c r="H42" s="196" t="s">
        <v>885</v>
      </c>
      <c r="I42" s="196" t="s">
        <v>885</v>
      </c>
      <c r="J42" s="196" t="s">
        <v>885</v>
      </c>
      <c r="K42" s="196" t="s">
        <v>885</v>
      </c>
      <c r="L42" s="196" t="s">
        <v>885</v>
      </c>
      <c r="M42" s="196" t="s">
        <v>885</v>
      </c>
      <c r="N42" s="196" t="s">
        <v>885</v>
      </c>
      <c r="O42" s="196" t="s">
        <v>885</v>
      </c>
      <c r="P42" s="196" t="s">
        <v>885</v>
      </c>
      <c r="Q42" s="196" t="s">
        <v>885</v>
      </c>
      <c r="R42" s="196" t="s">
        <v>885</v>
      </c>
      <c r="S42" s="196" t="s">
        <v>885</v>
      </c>
      <c r="T42" s="196" t="s">
        <v>885</v>
      </c>
      <c r="U42" s="196" t="s">
        <v>885</v>
      </c>
      <c r="V42" s="196" t="s">
        <v>885</v>
      </c>
      <c r="W42" s="196" t="s">
        <v>885</v>
      </c>
      <c r="X42" s="196" t="s">
        <v>885</v>
      </c>
      <c r="Y42" s="196" t="s">
        <v>885</v>
      </c>
      <c r="Z42" s="196" t="s">
        <v>885</v>
      </c>
      <c r="AA42" s="196" t="s">
        <v>885</v>
      </c>
      <c r="AB42" s="199" t="s">
        <v>922</v>
      </c>
      <c r="AC42" s="199"/>
      <c r="AD42" s="199"/>
      <c r="AE42" s="196" t="s">
        <v>885</v>
      </c>
      <c r="AF42" s="196" t="s">
        <v>885</v>
      </c>
      <c r="AG42" s="196" t="s">
        <v>885</v>
      </c>
      <c r="AH42" s="196" t="s">
        <v>885</v>
      </c>
      <c r="AI42" s="196" t="s">
        <v>885</v>
      </c>
      <c r="AJ42" s="196" t="s">
        <v>885</v>
      </c>
      <c r="AK42" s="196" t="s">
        <v>885</v>
      </c>
      <c r="AL42" s="196" t="s">
        <v>885</v>
      </c>
      <c r="AM42" s="196" t="s">
        <v>885</v>
      </c>
      <c r="AN42" s="196" t="s">
        <v>885</v>
      </c>
      <c r="AO42" s="196" t="s">
        <v>885</v>
      </c>
      <c r="AP42" s="196" t="s">
        <v>885</v>
      </c>
      <c r="AQ42" s="196" t="s">
        <v>885</v>
      </c>
      <c r="AR42" s="196" t="s">
        <v>885</v>
      </c>
      <c r="AS42" s="196" t="s">
        <v>885</v>
      </c>
      <c r="AT42" s="196" t="s">
        <v>885</v>
      </c>
      <c r="AU42" s="196" t="s">
        <v>885</v>
      </c>
      <c r="AV42" s="196" t="s">
        <v>885</v>
      </c>
      <c r="AW42" s="196" t="s">
        <v>885</v>
      </c>
      <c r="AX42" s="196"/>
      <c r="AY42" s="196"/>
      <c r="AZ42" s="196"/>
      <c r="BA42" s="196"/>
      <c r="BB42" s="196"/>
      <c r="BC42" s="196"/>
      <c r="BD42" s="196"/>
      <c r="BE42" s="196"/>
      <c r="BF42" s="196"/>
      <c r="BG42" s="196"/>
      <c r="BH42" s="196"/>
      <c r="BI42" s="196"/>
      <c r="BJ42" s="196"/>
      <c r="BK42" s="196"/>
      <c r="BL42" s="196"/>
      <c r="BM42" s="196"/>
      <c r="BN42" s="196"/>
      <c r="BO42" s="196"/>
      <c r="BP42" s="196"/>
      <c r="BQ42" s="196"/>
      <c r="BR42" s="196"/>
      <c r="BS42" s="196"/>
      <c r="BT42" s="196"/>
      <c r="BU42" s="196"/>
      <c r="BV42" s="196"/>
      <c r="BW42" s="196"/>
      <c r="BX42" s="196"/>
      <c r="BY42" s="196"/>
      <c r="BZ42" s="196"/>
      <c r="CA42" s="196"/>
      <c r="CB42" s="196"/>
      <c r="CC42" s="196"/>
      <c r="CD42" s="196"/>
      <c r="CE42" s="196"/>
      <c r="CF42" s="196"/>
      <c r="CG42" s="196"/>
      <c r="CH42" s="196"/>
      <c r="CI42" s="196"/>
      <c r="CJ42" s="196"/>
      <c r="CK42" s="196"/>
      <c r="CL42" s="196"/>
      <c r="CM42" s="196"/>
      <c r="CN42" s="196"/>
      <c r="CO42" s="196"/>
      <c r="CP42" s="196"/>
      <c r="CQ42" s="196"/>
      <c r="CR42" s="196"/>
      <c r="CS42" s="196"/>
      <c r="CT42" s="196"/>
      <c r="CU42" s="196"/>
      <c r="CV42" s="196"/>
      <c r="CW42" s="196"/>
      <c r="CX42" s="196"/>
      <c r="CY42" s="196"/>
      <c r="CZ42" s="196"/>
      <c r="DA42" s="196"/>
      <c r="DB42" s="196"/>
      <c r="DC42" s="196"/>
      <c r="DD42" s="196"/>
    </row>
    <row customHeight="true" ht="18.51851851851852" r="43">
      <c r="A43" s="194"/>
      <c r="B43" s="193"/>
      <c r="C43" s="194" t="s">
        <v>881</v>
      </c>
      <c r="D43" s="197" t="s">
        <v>964</v>
      </c>
      <c r="E43" s="196" t="s">
        <v>885</v>
      </c>
      <c r="F43" s="196" t="s">
        <v>885</v>
      </c>
      <c r="G43" s="196" t="s">
        <v>885</v>
      </c>
      <c r="H43" s="196" t="s">
        <v>885</v>
      </c>
      <c r="I43" s="196" t="s">
        <v>885</v>
      </c>
      <c r="J43" s="199" t="s">
        <v>963</v>
      </c>
      <c r="K43" s="199"/>
      <c r="L43" s="199"/>
      <c r="M43" s="199"/>
      <c r="N43" s="199"/>
      <c r="O43" s="199"/>
      <c r="P43" s="199"/>
      <c r="Q43" s="199"/>
      <c r="R43" s="199"/>
      <c r="S43" s="199"/>
      <c r="T43" s="199"/>
      <c r="U43" s="199"/>
      <c r="V43" s="196" t="s">
        <v>885</v>
      </c>
      <c r="W43" s="196" t="s">
        <v>885</v>
      </c>
      <c r="X43" s="196" t="s">
        <v>885</v>
      </c>
      <c r="Y43" s="196" t="s">
        <v>885</v>
      </c>
      <c r="Z43" s="196" t="s">
        <v>885</v>
      </c>
      <c r="AA43" s="196" t="s">
        <v>885</v>
      </c>
      <c r="AB43" s="196" t="s">
        <v>885</v>
      </c>
      <c r="AC43" s="196" t="s">
        <v>885</v>
      </c>
      <c r="AD43" s="196" t="s">
        <v>885</v>
      </c>
      <c r="AE43" s="202" t="s">
        <v>963</v>
      </c>
      <c r="AF43" s="202"/>
      <c r="AG43" s="202"/>
      <c r="AH43" s="202"/>
      <c r="AI43" s="202"/>
      <c r="AJ43" s="202"/>
      <c r="AK43" s="202"/>
      <c r="AL43" s="202"/>
      <c r="AM43" s="202"/>
      <c r="AN43" s="202"/>
      <c r="AO43" s="202"/>
      <c r="AP43" s="202"/>
      <c r="AQ43" s="202"/>
      <c r="AR43" s="202"/>
      <c r="AS43" s="202"/>
      <c r="AT43" s="202"/>
      <c r="AU43" s="202"/>
      <c r="AV43" s="202"/>
      <c r="AW43" s="202"/>
      <c r="AX43" s="196"/>
      <c r="AY43" s="196"/>
      <c r="AZ43" s="196"/>
      <c r="BA43" s="196"/>
      <c r="BB43" s="196"/>
      <c r="BC43" s="196"/>
      <c r="BD43" s="196"/>
      <c r="BE43" s="196"/>
      <c r="BF43" s="196"/>
      <c r="BG43" s="196"/>
      <c r="BH43" s="196"/>
      <c r="BI43" s="196"/>
      <c r="BJ43" s="196"/>
      <c r="BK43" s="196"/>
      <c r="BL43" s="196"/>
      <c r="BM43" s="196"/>
      <c r="BN43" s="196"/>
      <c r="BO43" s="196"/>
      <c r="BP43" s="196"/>
      <c r="BQ43" s="196"/>
      <c r="BR43" s="196"/>
      <c r="BS43" s="196"/>
      <c r="BT43" s="196"/>
      <c r="BU43" s="196"/>
      <c r="BV43" s="196"/>
      <c r="BW43" s="196"/>
      <c r="BX43" s="196"/>
      <c r="BY43" s="196"/>
      <c r="BZ43" s="196"/>
      <c r="CA43" s="196"/>
      <c r="CB43" s="196"/>
      <c r="CC43" s="196"/>
      <c r="CD43" s="196"/>
      <c r="CE43" s="196"/>
      <c r="CF43" s="196"/>
      <c r="CG43" s="196"/>
      <c r="CH43" s="196"/>
      <c r="CI43" s="196"/>
      <c r="CJ43" s="196"/>
      <c r="CK43" s="196"/>
      <c r="CL43" s="196"/>
      <c r="CM43" s="196"/>
      <c r="CN43" s="196"/>
      <c r="CO43" s="196"/>
      <c r="CP43" s="196"/>
      <c r="CQ43" s="196"/>
      <c r="CR43" s="196"/>
      <c r="CS43" s="196"/>
      <c r="CT43" s="196"/>
      <c r="CU43" s="196"/>
      <c r="CV43" s="196"/>
      <c r="CW43" s="196"/>
      <c r="CX43" s="196"/>
      <c r="CY43" s="196"/>
      <c r="CZ43" s="196"/>
      <c r="DA43" s="196"/>
      <c r="DB43" s="196"/>
      <c r="DC43" s="196"/>
      <c r="DD43" s="196"/>
    </row>
    <row customHeight="true" ht="18.51851851851852" r="44">
      <c r="A44" s="194"/>
      <c r="B44" s="193" t="s">
        <v>902</v>
      </c>
      <c r="C44" s="194" t="s">
        <v>884</v>
      </c>
      <c r="D44" s="195">
        <v>0.15</v>
      </c>
      <c r="E44" s="196" t="s">
        <v>885</v>
      </c>
      <c r="F44" s="196" t="s">
        <v>885</v>
      </c>
      <c r="G44" s="196" t="s">
        <v>885</v>
      </c>
      <c r="H44" s="196" t="s">
        <v>885</v>
      </c>
      <c r="I44" s="196" t="s">
        <v>885</v>
      </c>
      <c r="J44" s="196" t="s">
        <v>885</v>
      </c>
      <c r="K44" s="196" t="s">
        <v>885</v>
      </c>
      <c r="L44" s="196" t="s">
        <v>885</v>
      </c>
      <c r="M44" s="196" t="s">
        <v>885</v>
      </c>
      <c r="N44" s="196" t="s">
        <v>885</v>
      </c>
      <c r="O44" s="196" t="s">
        <v>885</v>
      </c>
      <c r="P44" s="196" t="s">
        <v>885</v>
      </c>
      <c r="Q44" s="196" t="s">
        <v>885</v>
      </c>
      <c r="R44" s="196" t="s">
        <v>885</v>
      </c>
      <c r="S44" s="196" t="s">
        <v>885</v>
      </c>
      <c r="T44" s="196"/>
      <c r="U44" s="196"/>
      <c r="V44" s="196"/>
      <c r="W44" s="196"/>
      <c r="X44" s="196"/>
      <c r="Y44" s="196"/>
      <c r="Z44" s="196"/>
      <c r="AA44" s="196"/>
      <c r="AB44" s="196"/>
      <c r="AC44" s="196"/>
      <c r="AD44" s="196"/>
      <c r="AE44" s="196"/>
      <c r="AF44" s="196"/>
      <c r="AG44" s="196"/>
      <c r="AH44" s="196"/>
      <c r="AI44" s="196"/>
      <c r="AJ44" s="196" t="s">
        <v>885</v>
      </c>
      <c r="AK44" s="196" t="s">
        <v>885</v>
      </c>
      <c r="AL44" s="196" t="s">
        <v>885</v>
      </c>
      <c r="AM44" s="196" t="s">
        <v>885</v>
      </c>
      <c r="AN44" s="196" t="s">
        <v>885</v>
      </c>
      <c r="AO44" s="196" t="s">
        <v>885</v>
      </c>
      <c r="AP44" s="196" t="s">
        <v>885</v>
      </c>
      <c r="AQ44" s="196" t="s">
        <v>885</v>
      </c>
      <c r="AR44" s="196" t="s">
        <v>885</v>
      </c>
      <c r="AS44" s="196" t="s">
        <v>885</v>
      </c>
      <c r="AT44" s="196" t="s">
        <v>885</v>
      </c>
      <c r="AU44" s="196" t="s">
        <v>885</v>
      </c>
      <c r="AV44" s="196" t="s">
        <v>885</v>
      </c>
      <c r="AW44" s="196" t="s">
        <v>885</v>
      </c>
      <c r="AX44" s="196"/>
      <c r="AY44" s="196"/>
      <c r="AZ44" s="196"/>
      <c r="BA44" s="196"/>
      <c r="BB44" s="196"/>
      <c r="BC44" s="196"/>
      <c r="BD44" s="196"/>
      <c r="BE44" s="196"/>
      <c r="BF44" s="196"/>
      <c r="BG44" s="196"/>
      <c r="BH44" s="196"/>
      <c r="BI44" s="196"/>
      <c r="BJ44" s="196"/>
      <c r="BK44" s="196"/>
      <c r="BL44" s="196"/>
      <c r="BM44" s="196"/>
      <c r="BN44" s="196"/>
      <c r="BO44" s="196"/>
      <c r="BP44" s="196"/>
      <c r="BQ44" s="196"/>
      <c r="BR44" s="196"/>
      <c r="BS44" s="196"/>
      <c r="BT44" s="196"/>
      <c r="BU44" s="196"/>
      <c r="BV44" s="196"/>
      <c r="BW44" s="196"/>
      <c r="BX44" s="196"/>
      <c r="BY44" s="196"/>
      <c r="BZ44" s="196"/>
      <c r="CA44" s="196"/>
      <c r="CB44" s="196"/>
      <c r="CC44" s="196"/>
      <c r="CD44" s="196"/>
      <c r="CE44" s="196"/>
      <c r="CF44" s="196"/>
      <c r="CG44" s="196"/>
      <c r="CH44" s="196"/>
      <c r="CI44" s="196"/>
      <c r="CJ44" s="196"/>
      <c r="CK44" s="196"/>
      <c r="CL44" s="196"/>
      <c r="CM44" s="196"/>
      <c r="CN44" s="196"/>
      <c r="CO44" s="196"/>
      <c r="CP44" s="196"/>
      <c r="CQ44" s="196"/>
      <c r="CR44" s="196"/>
      <c r="CS44" s="196"/>
      <c r="CT44" s="196"/>
      <c r="CU44" s="196"/>
      <c r="CV44" s="196"/>
      <c r="CW44" s="196"/>
      <c r="CX44" s="196"/>
      <c r="CY44" s="196"/>
      <c r="CZ44" s="196"/>
      <c r="DA44" s="196"/>
      <c r="DB44" s="196"/>
      <c r="DC44" s="196"/>
      <c r="DD44" s="196"/>
    </row>
    <row customHeight="true" ht="18.51851851851852" r="45">
      <c r="A45" s="194"/>
      <c r="B45" s="193"/>
      <c r="C45" s="194" t="s">
        <v>881</v>
      </c>
      <c r="D45" s="197" t="s">
        <v>965</v>
      </c>
      <c r="E45" s="196" t="s">
        <v>885</v>
      </c>
      <c r="F45" s="196" t="s">
        <v>885</v>
      </c>
      <c r="G45" s="196" t="s">
        <v>885</v>
      </c>
      <c r="H45" s="196" t="s">
        <v>885</v>
      </c>
      <c r="I45" s="196" t="s">
        <v>885</v>
      </c>
      <c r="J45" s="196" t="s">
        <v>885</v>
      </c>
      <c r="K45" s="196" t="s">
        <v>885</v>
      </c>
      <c r="L45" s="196" t="s">
        <v>885</v>
      </c>
      <c r="M45" s="196" t="s">
        <v>885</v>
      </c>
      <c r="N45" s="196" t="s">
        <v>885</v>
      </c>
      <c r="O45" s="196" t="s">
        <v>885</v>
      </c>
      <c r="P45" s="196" t="s">
        <v>885</v>
      </c>
      <c r="Q45" s="196" t="s">
        <v>885</v>
      </c>
      <c r="R45" s="196" t="s">
        <v>885</v>
      </c>
      <c r="S45" s="196" t="s">
        <v>885</v>
      </c>
      <c r="T45" s="196"/>
      <c r="U45" s="196"/>
      <c r="V45" s="196"/>
      <c r="W45" s="196"/>
      <c r="X45" s="196"/>
      <c r="Y45" s="196"/>
      <c r="Z45" s="196"/>
      <c r="AA45" s="196"/>
      <c r="AB45" s="196"/>
      <c r="AC45" s="196"/>
      <c r="AD45" s="196"/>
      <c r="AE45" s="196"/>
      <c r="AF45" s="196"/>
      <c r="AG45" s="196"/>
      <c r="AH45" s="196"/>
      <c r="AI45" s="196"/>
      <c r="AJ45" s="196" t="s">
        <v>885</v>
      </c>
      <c r="AK45" s="196" t="s">
        <v>885</v>
      </c>
      <c r="AL45" s="196" t="s">
        <v>885</v>
      </c>
      <c r="AM45" s="196" t="s">
        <v>885</v>
      </c>
      <c r="AN45" s="196" t="s">
        <v>885</v>
      </c>
      <c r="AO45" s="196" t="s">
        <v>885</v>
      </c>
      <c r="AP45" s="196" t="s">
        <v>885</v>
      </c>
      <c r="AQ45" s="196" t="s">
        <v>885</v>
      </c>
      <c r="AR45" s="196" t="s">
        <v>885</v>
      </c>
      <c r="AS45" s="196" t="s">
        <v>885</v>
      </c>
      <c r="AT45" s="196" t="s">
        <v>885</v>
      </c>
      <c r="AU45" s="196" t="s">
        <v>885</v>
      </c>
      <c r="AV45" s="196" t="s">
        <v>885</v>
      </c>
      <c r="AW45" s="196" t="s">
        <v>885</v>
      </c>
      <c r="AX45" s="196"/>
      <c r="AY45" s="196"/>
      <c r="AZ45" s="196"/>
      <c r="BA45" s="196"/>
      <c r="BB45" s="196"/>
      <c r="BC45" s="196"/>
      <c r="BD45" s="196"/>
      <c r="BE45" s="196"/>
      <c r="BF45" s="196"/>
      <c r="BG45" s="196"/>
      <c r="BH45" s="196"/>
      <c r="BI45" s="196"/>
      <c r="BJ45" s="196"/>
      <c r="BK45" s="196"/>
      <c r="BL45" s="196"/>
      <c r="BM45" s="196"/>
      <c r="BN45" s="196"/>
      <c r="BO45" s="196"/>
      <c r="BP45" s="196"/>
      <c r="BQ45" s="196"/>
      <c r="BR45" s="196"/>
      <c r="BS45" s="196"/>
      <c r="BT45" s="196"/>
      <c r="BU45" s="196"/>
      <c r="BV45" s="196"/>
      <c r="BW45" s="196"/>
      <c r="BX45" s="196"/>
      <c r="BY45" s="196"/>
      <c r="BZ45" s="196"/>
      <c r="CA45" s="196"/>
      <c r="CB45" s="196"/>
      <c r="CC45" s="196"/>
      <c r="CD45" s="196"/>
      <c r="CE45" s="196"/>
      <c r="CF45" s="196"/>
      <c r="CG45" s="196"/>
      <c r="CH45" s="196"/>
      <c r="CI45" s="196"/>
      <c r="CJ45" s="196"/>
      <c r="CK45" s="196"/>
      <c r="CL45" s="196"/>
      <c r="CM45" s="196"/>
      <c r="CN45" s="196"/>
      <c r="CO45" s="196"/>
      <c r="CP45" s="196"/>
      <c r="CQ45" s="196"/>
      <c r="CR45" s="196"/>
      <c r="CS45" s="196"/>
      <c r="CT45" s="196"/>
      <c r="CU45" s="196"/>
      <c r="CV45" s="196"/>
      <c r="CW45" s="196"/>
      <c r="CX45" s="196"/>
      <c r="CY45" s="196"/>
      <c r="CZ45" s="196"/>
      <c r="DA45" s="196"/>
      <c r="DB45" s="196"/>
      <c r="DC45" s="196"/>
      <c r="DD45" s="196"/>
    </row>
    <row customHeight="true" ht="18.51851851851852" r="46">
      <c r="A46" s="192" t="s">
        <v>966</v>
      </c>
      <c r="B46" s="193" t="s">
        <v>883</v>
      </c>
      <c r="C46" s="194" t="s">
        <v>884</v>
      </c>
      <c r="D46" s="195">
        <v>0.15</v>
      </c>
      <c r="E46" s="196" t="s">
        <v>885</v>
      </c>
      <c r="F46" s="196" t="s">
        <v>885</v>
      </c>
      <c r="G46" s="196" t="s">
        <v>885</v>
      </c>
      <c r="H46" s="196" t="s">
        <v>885</v>
      </c>
      <c r="I46" s="196" t="s">
        <v>885</v>
      </c>
      <c r="J46" s="196" t="s">
        <v>885</v>
      </c>
      <c r="K46" s="196" t="s">
        <v>885</v>
      </c>
      <c r="L46" s="196" t="s">
        <v>885</v>
      </c>
      <c r="M46" s="196" t="s">
        <v>885</v>
      </c>
      <c r="N46" s="196" t="s">
        <v>885</v>
      </c>
      <c r="O46" s="196" t="s">
        <v>885</v>
      </c>
      <c r="P46" s="196" t="s">
        <v>885</v>
      </c>
      <c r="Q46" s="196" t="s">
        <v>885</v>
      </c>
      <c r="R46" s="196" t="s">
        <v>885</v>
      </c>
      <c r="S46" s="196" t="s">
        <v>885</v>
      </c>
      <c r="T46" s="196" t="s">
        <v>885</v>
      </c>
      <c r="U46" s="196" t="s">
        <v>885</v>
      </c>
      <c r="V46" s="196" t="s">
        <v>885</v>
      </c>
      <c r="W46" s="196" t="s">
        <v>885</v>
      </c>
      <c r="X46" s="196" t="s">
        <v>885</v>
      </c>
      <c r="Y46" s="196" t="s">
        <v>885</v>
      </c>
      <c r="Z46" s="196" t="s">
        <v>885</v>
      </c>
      <c r="AA46" s="196" t="s">
        <v>885</v>
      </c>
      <c r="AB46" s="196" t="s">
        <v>885</v>
      </c>
      <c r="AC46" s="196" t="s">
        <v>885</v>
      </c>
      <c r="AD46" s="196" t="s">
        <v>885</v>
      </c>
      <c r="AE46" s="196" t="s">
        <v>885</v>
      </c>
      <c r="AF46" s="196" t="s">
        <v>885</v>
      </c>
      <c r="AG46" s="196" t="s">
        <v>885</v>
      </c>
      <c r="AH46" s="196" t="s">
        <v>885</v>
      </c>
      <c r="AI46" s="196" t="s">
        <v>885</v>
      </c>
      <c r="AJ46" s="196" t="s">
        <v>885</v>
      </c>
      <c r="AK46" s="196" t="s">
        <v>885</v>
      </c>
      <c r="AL46" s="196" t="s">
        <v>885</v>
      </c>
      <c r="AM46" s="196" t="s">
        <v>885</v>
      </c>
      <c r="AN46" s="196" t="s">
        <v>885</v>
      </c>
      <c r="AO46" s="196" t="s">
        <v>885</v>
      </c>
      <c r="AP46" s="196" t="s">
        <v>885</v>
      </c>
      <c r="AQ46" s="196" t="s">
        <v>885</v>
      </c>
      <c r="AR46" s="196" t="s">
        <v>885</v>
      </c>
      <c r="AS46" s="196" t="s">
        <v>885</v>
      </c>
      <c r="AT46" s="196" t="s">
        <v>885</v>
      </c>
      <c r="AU46" s="196" t="s">
        <v>885</v>
      </c>
      <c r="AV46" s="196" t="s">
        <v>885</v>
      </c>
      <c r="AW46" s="196" t="s">
        <v>885</v>
      </c>
      <c r="AX46" s="196"/>
      <c r="AY46" s="196"/>
      <c r="AZ46" s="196"/>
      <c r="BA46" s="196"/>
      <c r="BB46" s="196"/>
      <c r="BC46" s="196"/>
      <c r="BD46" s="196"/>
      <c r="BE46" s="196"/>
      <c r="BF46" s="196"/>
      <c r="BG46" s="196"/>
      <c r="BH46" s="196"/>
      <c r="BI46" s="196"/>
      <c r="BJ46" s="196"/>
      <c r="BK46" s="196"/>
      <c r="BL46" s="196"/>
      <c r="BM46" s="196"/>
      <c r="BN46" s="196"/>
      <c r="BO46" s="196"/>
      <c r="BP46" s="196"/>
      <c r="BQ46" s="196"/>
      <c r="BR46" s="196"/>
      <c r="BS46" s="196"/>
      <c r="BT46" s="196"/>
      <c r="BU46" s="196"/>
      <c r="BV46" s="196"/>
      <c r="BW46" s="196"/>
      <c r="BX46" s="196"/>
      <c r="BY46" s="196"/>
      <c r="BZ46" s="196"/>
      <c r="CA46" s="196"/>
      <c r="CB46" s="196"/>
      <c r="CC46" s="196"/>
      <c r="CD46" s="196"/>
      <c r="CE46" s="196"/>
      <c r="CF46" s="196"/>
      <c r="CG46" s="196"/>
      <c r="CH46" s="196"/>
      <c r="CI46" s="196"/>
      <c r="CJ46" s="196"/>
      <c r="CK46" s="196"/>
      <c r="CL46" s="196"/>
      <c r="CM46" s="196"/>
      <c r="CN46" s="196"/>
      <c r="CO46" s="196"/>
      <c r="CP46" s="196"/>
      <c r="CQ46" s="196"/>
      <c r="CR46" s="196"/>
      <c r="CS46" s="196"/>
      <c r="CT46" s="196"/>
      <c r="CU46" s="196"/>
      <c r="CV46" s="196"/>
      <c r="CW46" s="196"/>
      <c r="CX46" s="196"/>
      <c r="CY46" s="196"/>
      <c r="CZ46" s="196"/>
      <c r="DA46" s="196"/>
      <c r="DB46" s="196"/>
      <c r="DC46" s="196"/>
      <c r="DD46" s="196"/>
    </row>
    <row customHeight="true" ht="18.51851851851852" r="47">
      <c r="A47" s="194"/>
      <c r="B47" s="193"/>
      <c r="C47" s="194" t="s">
        <v>881</v>
      </c>
      <c r="D47" s="197" t="s">
        <v>967</v>
      </c>
      <c r="E47" s="196" t="s">
        <v>885</v>
      </c>
      <c r="F47" s="196" t="s">
        <v>885</v>
      </c>
      <c r="G47" s="196" t="s">
        <v>885</v>
      </c>
      <c r="H47" s="199" t="s">
        <v>968</v>
      </c>
      <c r="I47" s="199"/>
      <c r="J47" s="199"/>
      <c r="K47" s="199"/>
      <c r="L47" s="199"/>
      <c r="M47" s="199"/>
      <c r="N47" s="199"/>
      <c r="O47" s="199"/>
      <c r="P47" s="199"/>
      <c r="Q47" s="199"/>
      <c r="R47" s="199"/>
      <c r="S47" s="199"/>
      <c r="T47" s="196" t="s">
        <v>885</v>
      </c>
      <c r="U47" s="196" t="s">
        <v>885</v>
      </c>
      <c r="V47" s="196" t="s">
        <v>885</v>
      </c>
      <c r="W47" s="196" t="s">
        <v>885</v>
      </c>
      <c r="X47" s="196" t="s">
        <v>885</v>
      </c>
      <c r="Y47" s="196" t="s">
        <v>885</v>
      </c>
      <c r="Z47" s="196" t="s">
        <v>885</v>
      </c>
      <c r="AA47" s="196" t="s">
        <v>885</v>
      </c>
      <c r="AB47" s="196" t="s">
        <v>885</v>
      </c>
      <c r="AC47" s="196" t="s">
        <v>885</v>
      </c>
      <c r="AD47" s="196" t="s">
        <v>885</v>
      </c>
      <c r="AE47" s="196" t="s">
        <v>885</v>
      </c>
      <c r="AF47" s="196" t="s">
        <v>885</v>
      </c>
      <c r="AG47" s="196" t="s">
        <v>885</v>
      </c>
      <c r="AH47" s="196" t="s">
        <v>885</v>
      </c>
      <c r="AI47" s="196" t="s">
        <v>885</v>
      </c>
      <c r="AJ47" s="196" t="s">
        <v>885</v>
      </c>
      <c r="AK47" s="196" t="s">
        <v>885</v>
      </c>
      <c r="AL47" s="196" t="s">
        <v>885</v>
      </c>
      <c r="AM47" s="196" t="s">
        <v>885</v>
      </c>
      <c r="AN47" s="196" t="s">
        <v>885</v>
      </c>
      <c r="AO47" s="196" t="s">
        <v>885</v>
      </c>
      <c r="AP47" s="196" t="s">
        <v>885</v>
      </c>
      <c r="AQ47" s="196" t="s">
        <v>885</v>
      </c>
      <c r="AR47" s="196" t="s">
        <v>885</v>
      </c>
      <c r="AS47" s="196" t="s">
        <v>885</v>
      </c>
      <c r="AT47" s="196" t="s">
        <v>885</v>
      </c>
      <c r="AU47" s="196" t="s">
        <v>885</v>
      </c>
      <c r="AV47" s="196" t="s">
        <v>885</v>
      </c>
      <c r="AW47" s="196" t="s">
        <v>885</v>
      </c>
      <c r="AX47" s="196"/>
      <c r="AY47" s="196"/>
      <c r="AZ47" s="196"/>
      <c r="BA47" s="196"/>
      <c r="BB47" s="196"/>
      <c r="BC47" s="196"/>
      <c r="BD47" s="196"/>
      <c r="BE47" s="196"/>
      <c r="BF47" s="196"/>
      <c r="BG47" s="196"/>
      <c r="BH47" s="196"/>
      <c r="BI47" s="196"/>
      <c r="BJ47" s="196"/>
      <c r="BK47" s="196"/>
      <c r="BL47" s="196"/>
      <c r="BM47" s="196"/>
      <c r="BN47" s="196"/>
      <c r="BO47" s="196"/>
      <c r="BP47" s="196"/>
      <c r="BQ47" s="196"/>
      <c r="BR47" s="196"/>
      <c r="BS47" s="196"/>
      <c r="BT47" s="196"/>
      <c r="BU47" s="196"/>
      <c r="BV47" s="196"/>
      <c r="BW47" s="196"/>
      <c r="BX47" s="196"/>
      <c r="BY47" s="196"/>
      <c r="BZ47" s="196"/>
      <c r="CA47" s="196"/>
      <c r="CB47" s="196"/>
      <c r="CC47" s="196"/>
      <c r="CD47" s="196"/>
      <c r="CE47" s="196"/>
      <c r="CF47" s="196"/>
      <c r="CG47" s="196"/>
      <c r="CH47" s="196"/>
      <c r="CI47" s="196"/>
      <c r="CJ47" s="196"/>
      <c r="CK47" s="196"/>
      <c r="CL47" s="196"/>
      <c r="CM47" s="196"/>
      <c r="CN47" s="196"/>
      <c r="CO47" s="196"/>
      <c r="CP47" s="196"/>
      <c r="CQ47" s="196"/>
      <c r="CR47" s="196"/>
      <c r="CS47" s="196"/>
      <c r="CT47" s="196"/>
      <c r="CU47" s="196"/>
      <c r="CV47" s="196"/>
      <c r="CW47" s="196"/>
      <c r="CX47" s="196"/>
      <c r="CY47" s="196"/>
      <c r="CZ47" s="196"/>
      <c r="DA47" s="196"/>
      <c r="DB47" s="196"/>
      <c r="DC47" s="196"/>
      <c r="DD47" s="196"/>
    </row>
    <row customHeight="true" ht="18.51851851851852" r="48">
      <c r="A48" s="194"/>
      <c r="B48" s="193" t="s">
        <v>890</v>
      </c>
      <c r="C48" s="194" t="s">
        <v>884</v>
      </c>
      <c r="D48" s="195">
        <v>0.15</v>
      </c>
      <c r="E48" s="203" t="s">
        <v>969</v>
      </c>
      <c r="F48" s="203"/>
      <c r="G48" s="203"/>
      <c r="H48" s="196" t="s">
        <v>885</v>
      </c>
      <c r="I48" s="196" t="s">
        <v>885</v>
      </c>
      <c r="J48" s="196" t="s">
        <v>885</v>
      </c>
      <c r="K48" s="196" t="s">
        <v>885</v>
      </c>
      <c r="L48" s="196" t="s">
        <v>885</v>
      </c>
      <c r="M48" s="196" t="s">
        <v>885</v>
      </c>
      <c r="N48" s="196" t="s">
        <v>885</v>
      </c>
      <c r="O48" s="196" t="s">
        <v>885</v>
      </c>
      <c r="P48" s="196" t="s">
        <v>885</v>
      </c>
      <c r="Q48" s="196" t="s">
        <v>885</v>
      </c>
      <c r="R48" s="196" t="s">
        <v>885</v>
      </c>
      <c r="S48" s="196" t="s">
        <v>885</v>
      </c>
      <c r="T48" s="196" t="s">
        <v>885</v>
      </c>
      <c r="U48" s="196" t="s">
        <v>885</v>
      </c>
      <c r="V48" s="196" t="s">
        <v>885</v>
      </c>
      <c r="W48" s="196" t="s">
        <v>885</v>
      </c>
      <c r="X48" s="196" t="s">
        <v>885</v>
      </c>
      <c r="Y48" s="196" t="s">
        <v>885</v>
      </c>
      <c r="Z48" s="196" t="s">
        <v>885</v>
      </c>
      <c r="AA48" s="196" t="s">
        <v>885</v>
      </c>
      <c r="AB48" s="196" t="s">
        <v>885</v>
      </c>
      <c r="AC48" s="196" t="s">
        <v>885</v>
      </c>
      <c r="AD48" s="196" t="s">
        <v>885</v>
      </c>
      <c r="AE48" s="196" t="s">
        <v>885</v>
      </c>
      <c r="AF48" s="196" t="s">
        <v>885</v>
      </c>
      <c r="AG48" s="196" t="s">
        <v>885</v>
      </c>
      <c r="AH48" s="196" t="s">
        <v>885</v>
      </c>
      <c r="AI48" s="196" t="s">
        <v>885</v>
      </c>
      <c r="AJ48" s="196" t="s">
        <v>885</v>
      </c>
      <c r="AK48" s="196" t="s">
        <v>885</v>
      </c>
      <c r="AL48" s="196" t="s">
        <v>885</v>
      </c>
      <c r="AM48" s="196" t="s">
        <v>885</v>
      </c>
      <c r="AN48" s="196" t="s">
        <v>885</v>
      </c>
      <c r="AO48" s="196" t="s">
        <v>885</v>
      </c>
      <c r="AP48" s="196" t="s">
        <v>885</v>
      </c>
      <c r="AQ48" s="196" t="s">
        <v>885</v>
      </c>
      <c r="AR48" s="196" t="s">
        <v>885</v>
      </c>
      <c r="AS48" s="196" t="s">
        <v>885</v>
      </c>
      <c r="AT48" s="196" t="s">
        <v>885</v>
      </c>
      <c r="AU48" s="196" t="s">
        <v>885</v>
      </c>
      <c r="AV48" s="196" t="s">
        <v>885</v>
      </c>
      <c r="AW48" s="196" t="s">
        <v>885</v>
      </c>
      <c r="AX48" s="196"/>
      <c r="AY48" s="196"/>
      <c r="AZ48" s="196"/>
      <c r="BA48" s="196"/>
      <c r="BB48" s="196"/>
      <c r="BC48" s="196"/>
      <c r="BD48" s="196"/>
      <c r="BE48" s="196"/>
      <c r="BF48" s="196"/>
      <c r="BG48" s="196"/>
      <c r="BH48" s="196"/>
      <c r="BI48" s="196"/>
      <c r="BJ48" s="196"/>
      <c r="BK48" s="196"/>
      <c r="BL48" s="196"/>
      <c r="BM48" s="196"/>
      <c r="BN48" s="196"/>
      <c r="BO48" s="196"/>
      <c r="BP48" s="196"/>
      <c r="BQ48" s="196"/>
      <c r="BR48" s="196"/>
      <c r="BS48" s="196"/>
      <c r="BT48" s="196"/>
      <c r="BU48" s="196"/>
      <c r="BV48" s="196"/>
      <c r="BW48" s="196"/>
      <c r="BX48" s="196"/>
      <c r="BY48" s="196"/>
      <c r="BZ48" s="196"/>
      <c r="CA48" s="196"/>
      <c r="CB48" s="196"/>
      <c r="CC48" s="196"/>
      <c r="CD48" s="196"/>
      <c r="CE48" s="196"/>
      <c r="CF48" s="196"/>
      <c r="CG48" s="196"/>
      <c r="CH48" s="196"/>
      <c r="CI48" s="196"/>
      <c r="CJ48" s="196"/>
      <c r="CK48" s="196"/>
      <c r="CL48" s="196"/>
      <c r="CM48" s="196"/>
      <c r="CN48" s="196"/>
      <c r="CO48" s="196"/>
      <c r="CP48" s="196"/>
      <c r="CQ48" s="196"/>
      <c r="CR48" s="196"/>
      <c r="CS48" s="196"/>
      <c r="CT48" s="196"/>
      <c r="CU48" s="196"/>
      <c r="CV48" s="196"/>
      <c r="CW48" s="196"/>
      <c r="CX48" s="196"/>
      <c r="CY48" s="196"/>
      <c r="CZ48" s="196"/>
      <c r="DA48" s="196"/>
      <c r="DB48" s="196"/>
      <c r="DC48" s="196"/>
      <c r="DD48" s="196"/>
    </row>
    <row customHeight="true" ht="18.51851851851852" r="49">
      <c r="A49" s="194"/>
      <c r="B49" s="193"/>
      <c r="C49" s="194" t="s">
        <v>881</v>
      </c>
      <c r="D49" s="197" t="s">
        <v>970</v>
      </c>
      <c r="E49" s="196" t="s">
        <v>885</v>
      </c>
      <c r="F49" s="196" t="s">
        <v>885</v>
      </c>
      <c r="G49" s="196" t="s">
        <v>885</v>
      </c>
      <c r="H49" s="199" t="s">
        <v>971</v>
      </c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6" t="s">
        <v>885</v>
      </c>
      <c r="U49" s="198" t="s">
        <v>972</v>
      </c>
      <c r="V49" s="198"/>
      <c r="W49" s="198"/>
      <c r="X49" s="198"/>
      <c r="Y49" s="198"/>
      <c r="Z49" s="198"/>
      <c r="AA49" s="198"/>
      <c r="AB49" s="198"/>
      <c r="AC49" s="198"/>
      <c r="AD49" s="198"/>
      <c r="AE49" s="198"/>
      <c r="AF49" s="198"/>
      <c r="AG49" s="198"/>
      <c r="AH49" s="198"/>
      <c r="AI49" s="196" t="s">
        <v>885</v>
      </c>
      <c r="AJ49" s="196" t="s">
        <v>885</v>
      </c>
      <c r="AK49" s="196" t="s">
        <v>885</v>
      </c>
      <c r="AL49" s="196" t="s">
        <v>885</v>
      </c>
      <c r="AM49" s="196" t="s">
        <v>885</v>
      </c>
      <c r="AN49" s="196" t="s">
        <v>885</v>
      </c>
      <c r="AO49" s="196" t="s">
        <v>885</v>
      </c>
      <c r="AP49" s="196" t="s">
        <v>885</v>
      </c>
      <c r="AQ49" s="196" t="s">
        <v>885</v>
      </c>
      <c r="AR49" s="196" t="s">
        <v>885</v>
      </c>
      <c r="AS49" s="196" t="s">
        <v>885</v>
      </c>
      <c r="AT49" s="196" t="s">
        <v>885</v>
      </c>
      <c r="AU49" s="196" t="s">
        <v>885</v>
      </c>
      <c r="AV49" s="196" t="s">
        <v>885</v>
      </c>
      <c r="AW49" s="196" t="s">
        <v>885</v>
      </c>
      <c r="AX49" s="196"/>
      <c r="AY49" s="196"/>
      <c r="AZ49" s="196"/>
      <c r="BA49" s="196"/>
      <c r="BB49" s="196"/>
      <c r="BC49" s="196"/>
      <c r="BD49" s="196"/>
      <c r="BE49" s="196"/>
      <c r="BF49" s="196"/>
      <c r="BG49" s="196"/>
      <c r="BH49" s="196"/>
      <c r="BI49" s="196"/>
      <c r="BJ49" s="196"/>
      <c r="BK49" s="196"/>
      <c r="BL49" s="196"/>
      <c r="BM49" s="196"/>
      <c r="BN49" s="196"/>
      <c r="BO49" s="196"/>
      <c r="BP49" s="196"/>
      <c r="BQ49" s="196"/>
      <c r="BR49" s="196"/>
      <c r="BS49" s="196"/>
      <c r="BT49" s="196"/>
      <c r="BU49" s="196"/>
      <c r="BV49" s="196"/>
      <c r="BW49" s="196"/>
      <c r="BX49" s="196"/>
      <c r="BY49" s="196"/>
      <c r="BZ49" s="196"/>
      <c r="CA49" s="196"/>
      <c r="CB49" s="196"/>
      <c r="CC49" s="196"/>
      <c r="CD49" s="196"/>
      <c r="CE49" s="196"/>
      <c r="CF49" s="196"/>
      <c r="CG49" s="196"/>
      <c r="CH49" s="196"/>
      <c r="CI49" s="196"/>
      <c r="CJ49" s="196"/>
      <c r="CK49" s="196"/>
      <c r="CL49" s="196"/>
      <c r="CM49" s="196"/>
      <c r="CN49" s="196"/>
      <c r="CO49" s="196"/>
      <c r="CP49" s="196"/>
      <c r="CQ49" s="196"/>
      <c r="CR49" s="196"/>
      <c r="CS49" s="196"/>
      <c r="CT49" s="196"/>
      <c r="CU49" s="196"/>
      <c r="CV49" s="196"/>
      <c r="CW49" s="196"/>
      <c r="CX49" s="196"/>
      <c r="CY49" s="196"/>
      <c r="CZ49" s="196"/>
      <c r="DA49" s="196"/>
      <c r="DB49" s="196"/>
      <c r="DC49" s="196"/>
      <c r="DD49" s="196"/>
    </row>
    <row customHeight="true" ht="18.51851851851852" r="50">
      <c r="A50" s="194"/>
      <c r="B50" s="193" t="s">
        <v>895</v>
      </c>
      <c r="C50" s="194" t="s">
        <v>884</v>
      </c>
      <c r="D50" s="195">
        <v>0.15</v>
      </c>
      <c r="E50" s="196" t="s">
        <v>885</v>
      </c>
      <c r="F50" s="196" t="s">
        <v>885</v>
      </c>
      <c r="G50" s="196" t="s">
        <v>885</v>
      </c>
      <c r="H50" s="196" t="s">
        <v>885</v>
      </c>
      <c r="I50" s="196" t="s">
        <v>885</v>
      </c>
      <c r="J50" s="196" t="s">
        <v>885</v>
      </c>
      <c r="K50" s="196" t="s">
        <v>885</v>
      </c>
      <c r="L50" s="196" t="s">
        <v>885</v>
      </c>
      <c r="M50" s="196" t="s">
        <v>885</v>
      </c>
      <c r="N50" s="196" t="s">
        <v>885</v>
      </c>
      <c r="O50" s="196" t="s">
        <v>885</v>
      </c>
      <c r="P50" s="196" t="s">
        <v>885</v>
      </c>
      <c r="Q50" s="196" t="s">
        <v>885</v>
      </c>
      <c r="R50" s="196" t="s">
        <v>885</v>
      </c>
      <c r="S50" s="196" t="s">
        <v>885</v>
      </c>
      <c r="T50" s="198" t="s">
        <v>922</v>
      </c>
      <c r="U50" s="198"/>
      <c r="V50" s="198"/>
      <c r="W50" s="198"/>
      <c r="X50" s="198"/>
      <c r="Y50" s="198"/>
      <c r="Z50" s="196" t="s">
        <v>885</v>
      </c>
      <c r="AA50" s="196" t="s">
        <v>885</v>
      </c>
      <c r="AB50" s="199" t="s">
        <v>903</v>
      </c>
      <c r="AC50" s="199"/>
      <c r="AD50" s="199"/>
      <c r="AE50" s="196" t="s">
        <v>885</v>
      </c>
      <c r="AF50" s="196" t="s">
        <v>885</v>
      </c>
      <c r="AG50" s="196" t="s">
        <v>885</v>
      </c>
      <c r="AH50" s="196" t="s">
        <v>885</v>
      </c>
      <c r="AI50" s="196" t="s">
        <v>885</v>
      </c>
      <c r="AJ50" s="196" t="s">
        <v>885</v>
      </c>
      <c r="AK50" s="196" t="s">
        <v>885</v>
      </c>
      <c r="AL50" s="196" t="s">
        <v>885</v>
      </c>
      <c r="AM50" s="196" t="s">
        <v>885</v>
      </c>
      <c r="AN50" s="196" t="s">
        <v>885</v>
      </c>
      <c r="AO50" s="196" t="s">
        <v>885</v>
      </c>
      <c r="AP50" s="196" t="s">
        <v>885</v>
      </c>
      <c r="AQ50" s="196" t="s">
        <v>885</v>
      </c>
      <c r="AR50" s="196" t="s">
        <v>885</v>
      </c>
      <c r="AS50" s="196" t="s">
        <v>885</v>
      </c>
      <c r="AT50" s="196" t="s">
        <v>885</v>
      </c>
      <c r="AU50" s="196" t="s">
        <v>885</v>
      </c>
      <c r="AV50" s="196" t="s">
        <v>885</v>
      </c>
      <c r="AW50" s="196" t="s">
        <v>885</v>
      </c>
      <c r="AX50" s="196"/>
      <c r="AY50" s="196"/>
      <c r="AZ50" s="196"/>
      <c r="BA50" s="196"/>
      <c r="BB50" s="196"/>
      <c r="BC50" s="196"/>
      <c r="BD50" s="196"/>
      <c r="BE50" s="196"/>
      <c r="BF50" s="196"/>
      <c r="BG50" s="196"/>
      <c r="BH50" s="196"/>
      <c r="BI50" s="196"/>
      <c r="BJ50" s="196"/>
      <c r="BK50" s="196"/>
      <c r="BL50" s="196"/>
      <c r="BM50" s="196"/>
      <c r="BN50" s="196"/>
      <c r="BO50" s="196"/>
      <c r="BP50" s="196"/>
      <c r="BQ50" s="196"/>
      <c r="BR50" s="196"/>
      <c r="BS50" s="196"/>
      <c r="BT50" s="196"/>
      <c r="BU50" s="196"/>
      <c r="BV50" s="196"/>
      <c r="BW50" s="196"/>
      <c r="BX50" s="196"/>
      <c r="BY50" s="196"/>
      <c r="BZ50" s="196"/>
      <c r="CA50" s="196"/>
      <c r="CB50" s="196"/>
      <c r="CC50" s="196"/>
      <c r="CD50" s="196"/>
      <c r="CE50" s="196"/>
      <c r="CF50" s="196"/>
      <c r="CG50" s="196"/>
      <c r="CH50" s="196"/>
      <c r="CI50" s="196"/>
      <c r="CJ50" s="196"/>
      <c r="CK50" s="196"/>
      <c r="CL50" s="196"/>
      <c r="CM50" s="196"/>
      <c r="CN50" s="196"/>
      <c r="CO50" s="196"/>
      <c r="CP50" s="196"/>
      <c r="CQ50" s="196"/>
      <c r="CR50" s="196"/>
      <c r="CS50" s="196"/>
      <c r="CT50" s="196"/>
      <c r="CU50" s="196"/>
      <c r="CV50" s="196"/>
      <c r="CW50" s="196"/>
      <c r="CX50" s="196"/>
      <c r="CY50" s="196"/>
      <c r="CZ50" s="196"/>
      <c r="DA50" s="196"/>
      <c r="DB50" s="196"/>
      <c r="DC50" s="196"/>
      <c r="DD50" s="196"/>
    </row>
    <row customHeight="true" ht="18.51851851851852" r="51">
      <c r="A51" s="194"/>
      <c r="B51" s="193"/>
      <c r="C51" s="194" t="s">
        <v>881</v>
      </c>
      <c r="D51" s="197" t="s">
        <v>973</v>
      </c>
      <c r="E51" s="196" t="s">
        <v>885</v>
      </c>
      <c r="F51" s="196" t="s">
        <v>885</v>
      </c>
      <c r="G51" s="196" t="s">
        <v>885</v>
      </c>
      <c r="H51" s="199" t="s">
        <v>974</v>
      </c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6" t="s">
        <v>885</v>
      </c>
      <c r="U51" s="196" t="s">
        <v>885</v>
      </c>
      <c r="V51" s="196" t="s">
        <v>885</v>
      </c>
      <c r="W51" s="196" t="s">
        <v>885</v>
      </c>
      <c r="X51" s="196" t="s">
        <v>885</v>
      </c>
      <c r="Y51" s="196" t="s">
        <v>885</v>
      </c>
      <c r="Z51" s="196" t="s">
        <v>885</v>
      </c>
      <c r="AA51" s="196" t="s">
        <v>885</v>
      </c>
      <c r="AB51" s="196" t="s">
        <v>885</v>
      </c>
      <c r="AC51" s="196" t="s">
        <v>885</v>
      </c>
      <c r="AD51" s="196" t="s">
        <v>885</v>
      </c>
      <c r="AE51" s="199" t="s">
        <v>975</v>
      </c>
      <c r="AF51" s="199"/>
      <c r="AG51" s="199"/>
      <c r="AH51" s="199"/>
      <c r="AI51" s="199"/>
      <c r="AJ51" s="199"/>
      <c r="AK51" s="199"/>
      <c r="AL51" s="199"/>
      <c r="AM51" s="199"/>
      <c r="AN51" s="199"/>
      <c r="AO51" s="199"/>
      <c r="AP51" s="199"/>
      <c r="AQ51" s="199"/>
      <c r="AR51" s="199"/>
      <c r="AS51" s="196" t="s">
        <v>885</v>
      </c>
      <c r="AT51" s="196" t="s">
        <v>885</v>
      </c>
      <c r="AU51" s="196" t="s">
        <v>885</v>
      </c>
      <c r="AV51" s="196" t="s">
        <v>885</v>
      </c>
      <c r="AW51" s="196" t="s">
        <v>885</v>
      </c>
      <c r="AX51" s="196"/>
      <c r="AY51" s="196"/>
      <c r="AZ51" s="196"/>
      <c r="BA51" s="196"/>
      <c r="BB51" s="196"/>
      <c r="BC51" s="196"/>
      <c r="BD51" s="196"/>
      <c r="BE51" s="196"/>
      <c r="BF51" s="196"/>
      <c r="BG51" s="196"/>
      <c r="BH51" s="196"/>
      <c r="BI51" s="196"/>
      <c r="BJ51" s="196"/>
      <c r="BK51" s="196"/>
      <c r="BL51" s="196"/>
      <c r="BM51" s="196"/>
      <c r="BN51" s="196"/>
      <c r="BO51" s="196"/>
      <c r="BP51" s="196"/>
      <c r="BQ51" s="196"/>
      <c r="BR51" s="196"/>
      <c r="BS51" s="196"/>
      <c r="BT51" s="196"/>
      <c r="BU51" s="196"/>
      <c r="BV51" s="196"/>
      <c r="BW51" s="196"/>
      <c r="BX51" s="196"/>
      <c r="BY51" s="196"/>
      <c r="BZ51" s="196"/>
      <c r="CA51" s="196"/>
      <c r="CB51" s="196"/>
      <c r="CC51" s="196"/>
      <c r="CD51" s="196"/>
      <c r="CE51" s="196"/>
      <c r="CF51" s="196"/>
      <c r="CG51" s="196"/>
      <c r="CH51" s="196"/>
      <c r="CI51" s="196"/>
      <c r="CJ51" s="196"/>
      <c r="CK51" s="196"/>
      <c r="CL51" s="196"/>
      <c r="CM51" s="196"/>
      <c r="CN51" s="196"/>
      <c r="CO51" s="196"/>
      <c r="CP51" s="196"/>
      <c r="CQ51" s="196"/>
      <c r="CR51" s="196"/>
      <c r="CS51" s="196"/>
      <c r="CT51" s="196"/>
      <c r="CU51" s="196"/>
      <c r="CV51" s="196"/>
      <c r="CW51" s="196"/>
      <c r="CX51" s="196"/>
      <c r="CY51" s="196"/>
      <c r="CZ51" s="196"/>
      <c r="DA51" s="196"/>
      <c r="DB51" s="196"/>
      <c r="DC51" s="196"/>
      <c r="DD51" s="196"/>
    </row>
    <row customHeight="true" ht="18.51851851851852" r="52">
      <c r="A52" s="194"/>
      <c r="B52" s="193" t="s">
        <v>898</v>
      </c>
      <c r="C52" s="194" t="s">
        <v>884</v>
      </c>
      <c r="D52" s="195">
        <v>0.15</v>
      </c>
      <c r="E52" s="196" t="s">
        <v>885</v>
      </c>
      <c r="F52" s="196" t="s">
        <v>885</v>
      </c>
      <c r="G52" s="196" t="s">
        <v>885</v>
      </c>
      <c r="H52" s="196" t="s">
        <v>885</v>
      </c>
      <c r="I52" s="196" t="s">
        <v>885</v>
      </c>
      <c r="J52" s="196" t="s">
        <v>885</v>
      </c>
      <c r="K52" s="196" t="s">
        <v>885</v>
      </c>
      <c r="L52" s="196" t="s">
        <v>885</v>
      </c>
      <c r="M52" s="196" t="s">
        <v>885</v>
      </c>
      <c r="N52" s="196" t="s">
        <v>885</v>
      </c>
      <c r="O52" s="196" t="s">
        <v>885</v>
      </c>
      <c r="P52" s="196" t="s">
        <v>885</v>
      </c>
      <c r="Q52" s="196" t="s">
        <v>885</v>
      </c>
      <c r="R52" s="196" t="s">
        <v>885</v>
      </c>
      <c r="S52" s="196" t="s">
        <v>885</v>
      </c>
      <c r="T52" s="196" t="s">
        <v>885</v>
      </c>
      <c r="U52" s="196" t="s">
        <v>885</v>
      </c>
      <c r="V52" s="196" t="s">
        <v>885</v>
      </c>
      <c r="W52" s="196" t="s">
        <v>885</v>
      </c>
      <c r="X52" s="196" t="s">
        <v>885</v>
      </c>
      <c r="Y52" s="196" t="s">
        <v>885</v>
      </c>
      <c r="Z52" s="196" t="s">
        <v>885</v>
      </c>
      <c r="AA52" s="196" t="s">
        <v>885</v>
      </c>
      <c r="AB52" s="196" t="s">
        <v>885</v>
      </c>
      <c r="AC52" s="196" t="s">
        <v>885</v>
      </c>
      <c r="AD52" s="196" t="s">
        <v>885</v>
      </c>
      <c r="AE52" s="196" t="s">
        <v>885</v>
      </c>
      <c r="AF52" s="196" t="s">
        <v>885</v>
      </c>
      <c r="AG52" s="196" t="s">
        <v>885</v>
      </c>
      <c r="AH52" s="196" t="s">
        <v>885</v>
      </c>
      <c r="AI52" s="196" t="s">
        <v>885</v>
      </c>
      <c r="AJ52" s="196" t="s">
        <v>885</v>
      </c>
      <c r="AK52" s="196" t="s">
        <v>885</v>
      </c>
      <c r="AL52" s="196" t="s">
        <v>885</v>
      </c>
      <c r="AM52" s="196" t="s">
        <v>885</v>
      </c>
      <c r="AN52" s="196" t="s">
        <v>885</v>
      </c>
      <c r="AO52" s="196" t="s">
        <v>885</v>
      </c>
      <c r="AP52" s="196" t="s">
        <v>885</v>
      </c>
      <c r="AQ52" s="196" t="s">
        <v>885</v>
      </c>
      <c r="AR52" s="196" t="s">
        <v>885</v>
      </c>
      <c r="AS52" s="196" t="s">
        <v>885</v>
      </c>
      <c r="AT52" s="196" t="s">
        <v>885</v>
      </c>
      <c r="AU52" s="196" t="s">
        <v>885</v>
      </c>
      <c r="AV52" s="196" t="s">
        <v>885</v>
      </c>
      <c r="AW52" s="196" t="s">
        <v>885</v>
      </c>
      <c r="AX52" s="196"/>
      <c r="AY52" s="196"/>
      <c r="AZ52" s="196"/>
      <c r="BA52" s="196"/>
      <c r="BB52" s="196"/>
      <c r="BC52" s="196"/>
      <c r="BD52" s="196"/>
      <c r="BE52" s="196"/>
      <c r="BF52" s="196"/>
      <c r="BG52" s="196"/>
      <c r="BH52" s="196"/>
      <c r="BI52" s="196"/>
      <c r="BJ52" s="196"/>
      <c r="BK52" s="196"/>
      <c r="BL52" s="196"/>
      <c r="BM52" s="196"/>
      <c r="BN52" s="196"/>
      <c r="BO52" s="196"/>
      <c r="BP52" s="196"/>
      <c r="BQ52" s="196"/>
      <c r="BR52" s="196"/>
      <c r="BS52" s="196"/>
      <c r="BT52" s="196"/>
      <c r="BU52" s="196"/>
      <c r="BV52" s="196"/>
      <c r="BW52" s="196"/>
      <c r="BX52" s="196"/>
      <c r="BY52" s="196"/>
      <c r="BZ52" s="196"/>
      <c r="CA52" s="196"/>
      <c r="CB52" s="196"/>
      <c r="CC52" s="196"/>
      <c r="CD52" s="196"/>
      <c r="CE52" s="196"/>
      <c r="CF52" s="196"/>
      <c r="CG52" s="196"/>
      <c r="CH52" s="196"/>
      <c r="CI52" s="196"/>
      <c r="CJ52" s="196"/>
      <c r="CK52" s="196"/>
      <c r="CL52" s="196"/>
      <c r="CM52" s="196"/>
      <c r="CN52" s="196"/>
      <c r="CO52" s="196"/>
      <c r="CP52" s="196"/>
      <c r="CQ52" s="196"/>
      <c r="CR52" s="196"/>
      <c r="CS52" s="196"/>
      <c r="CT52" s="196"/>
      <c r="CU52" s="196"/>
      <c r="CV52" s="196"/>
      <c r="CW52" s="196"/>
      <c r="CX52" s="196"/>
      <c r="CY52" s="196"/>
      <c r="CZ52" s="196"/>
      <c r="DA52" s="196"/>
      <c r="DB52" s="196"/>
      <c r="DC52" s="196"/>
      <c r="DD52" s="196"/>
    </row>
    <row customHeight="true" ht="18.51851851851852" r="53">
      <c r="A53" s="194"/>
      <c r="B53" s="193"/>
      <c r="C53" s="194" t="s">
        <v>881</v>
      </c>
      <c r="D53" s="197" t="s">
        <v>976</v>
      </c>
      <c r="E53" s="198" t="s">
        <v>977</v>
      </c>
      <c r="F53" s="198"/>
      <c r="G53" s="198"/>
      <c r="H53" s="199" t="s">
        <v>978</v>
      </c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198" t="s">
        <v>979</v>
      </c>
      <c r="U53" s="198"/>
      <c r="V53" s="198"/>
      <c r="W53" s="196" t="s">
        <v>885</v>
      </c>
      <c r="X53" s="196" t="s">
        <v>885</v>
      </c>
      <c r="Y53" s="196" t="s">
        <v>885</v>
      </c>
      <c r="Z53" s="196" t="s">
        <v>885</v>
      </c>
      <c r="AA53" s="196" t="s">
        <v>885</v>
      </c>
      <c r="AB53" s="196" t="s">
        <v>885</v>
      </c>
      <c r="AC53" s="196" t="s">
        <v>885</v>
      </c>
      <c r="AD53" s="196" t="s">
        <v>885</v>
      </c>
      <c r="AE53" s="196" t="s">
        <v>885</v>
      </c>
      <c r="AF53" s="196" t="s">
        <v>885</v>
      </c>
      <c r="AG53" s="196" t="s">
        <v>885</v>
      </c>
      <c r="AH53" s="196" t="s">
        <v>885</v>
      </c>
      <c r="AI53" s="196" t="s">
        <v>885</v>
      </c>
      <c r="AJ53" s="196" t="s">
        <v>885</v>
      </c>
      <c r="AK53" s="196" t="s">
        <v>885</v>
      </c>
      <c r="AL53" s="196" t="s">
        <v>885</v>
      </c>
      <c r="AM53" s="196" t="s">
        <v>885</v>
      </c>
      <c r="AN53" s="196" t="s">
        <v>885</v>
      </c>
      <c r="AO53" s="196" t="s">
        <v>885</v>
      </c>
      <c r="AP53" s="196" t="s">
        <v>885</v>
      </c>
      <c r="AQ53" s="196" t="s">
        <v>885</v>
      </c>
      <c r="AR53" s="196" t="s">
        <v>885</v>
      </c>
      <c r="AS53" s="196" t="s">
        <v>885</v>
      </c>
      <c r="AT53" s="196" t="s">
        <v>885</v>
      </c>
      <c r="AU53" s="196" t="s">
        <v>885</v>
      </c>
      <c r="AV53" s="196" t="s">
        <v>885</v>
      </c>
      <c r="AW53" s="196" t="s">
        <v>885</v>
      </c>
      <c r="AX53" s="196"/>
      <c r="AY53" s="196"/>
      <c r="AZ53" s="196"/>
      <c r="BA53" s="196"/>
      <c r="BB53" s="196"/>
      <c r="BC53" s="196"/>
      <c r="BD53" s="196"/>
      <c r="BE53" s="196"/>
      <c r="BF53" s="196"/>
      <c r="BG53" s="196"/>
      <c r="BH53" s="196"/>
      <c r="BI53" s="196"/>
      <c r="BJ53" s="196"/>
      <c r="BK53" s="196"/>
      <c r="BL53" s="196"/>
      <c r="BM53" s="196"/>
      <c r="BN53" s="196"/>
      <c r="BO53" s="196"/>
      <c r="BP53" s="196"/>
      <c r="BQ53" s="196"/>
      <c r="BR53" s="196"/>
      <c r="BS53" s="196"/>
      <c r="BT53" s="196"/>
      <c r="BU53" s="196"/>
      <c r="BV53" s="196"/>
      <c r="BW53" s="196"/>
      <c r="BX53" s="196"/>
      <c r="BY53" s="196"/>
      <c r="BZ53" s="196"/>
      <c r="CA53" s="196"/>
      <c r="CB53" s="196"/>
      <c r="CC53" s="196"/>
      <c r="CD53" s="196"/>
      <c r="CE53" s="196"/>
      <c r="CF53" s="196"/>
      <c r="CG53" s="196"/>
      <c r="CH53" s="196"/>
      <c r="CI53" s="196"/>
      <c r="CJ53" s="196"/>
      <c r="CK53" s="196"/>
      <c r="CL53" s="196"/>
      <c r="CM53" s="196"/>
      <c r="CN53" s="196"/>
      <c r="CO53" s="196"/>
      <c r="CP53" s="196"/>
      <c r="CQ53" s="196"/>
      <c r="CR53" s="196"/>
      <c r="CS53" s="196"/>
      <c r="CT53" s="196"/>
      <c r="CU53" s="196"/>
      <c r="CV53" s="196"/>
      <c r="CW53" s="196"/>
      <c r="CX53" s="196"/>
      <c r="CY53" s="196"/>
      <c r="CZ53" s="196"/>
      <c r="DA53" s="196"/>
      <c r="DB53" s="196"/>
      <c r="DC53" s="196"/>
      <c r="DD53" s="196"/>
    </row>
    <row customHeight="true" ht="18.51851851851852" r="54">
      <c r="A54" s="194"/>
      <c r="B54" s="193" t="s">
        <v>902</v>
      </c>
      <c r="C54" s="194" t="s">
        <v>884</v>
      </c>
      <c r="D54" s="195">
        <v>0.15</v>
      </c>
      <c r="E54" s="196" t="s">
        <v>885</v>
      </c>
      <c r="F54" s="196" t="s">
        <v>885</v>
      </c>
      <c r="G54" s="196" t="s">
        <v>885</v>
      </c>
      <c r="H54" s="196" t="s">
        <v>885</v>
      </c>
      <c r="I54" s="196" t="s">
        <v>885</v>
      </c>
      <c r="J54" s="196" t="s">
        <v>885</v>
      </c>
      <c r="K54" s="196" t="s">
        <v>885</v>
      </c>
      <c r="L54" s="196" t="s">
        <v>885</v>
      </c>
      <c r="M54" s="196" t="s">
        <v>885</v>
      </c>
      <c r="N54" s="196" t="s">
        <v>885</v>
      </c>
      <c r="O54" s="196" t="s">
        <v>885</v>
      </c>
      <c r="P54" s="196" t="s">
        <v>885</v>
      </c>
      <c r="Q54" s="196" t="s">
        <v>885</v>
      </c>
      <c r="R54" s="196" t="s">
        <v>885</v>
      </c>
      <c r="S54" s="196" t="s">
        <v>885</v>
      </c>
      <c r="T54" s="196" t="s">
        <v>885</v>
      </c>
      <c r="U54" s="196" t="s">
        <v>885</v>
      </c>
      <c r="V54" s="196" t="s">
        <v>885</v>
      </c>
      <c r="W54" s="196" t="s">
        <v>885</v>
      </c>
      <c r="X54" s="196" t="s">
        <v>885</v>
      </c>
      <c r="Y54" s="196" t="s">
        <v>885</v>
      </c>
      <c r="Z54" s="196" t="s">
        <v>885</v>
      </c>
      <c r="AA54" s="196" t="s">
        <v>885</v>
      </c>
      <c r="AB54" s="196" t="s">
        <v>885</v>
      </c>
      <c r="AC54" s="196" t="s">
        <v>885</v>
      </c>
      <c r="AD54" s="196" t="s">
        <v>885</v>
      </c>
      <c r="AE54" s="196" t="s">
        <v>885</v>
      </c>
      <c r="AF54" s="196" t="s">
        <v>885</v>
      </c>
      <c r="AG54" s="196" t="s">
        <v>885</v>
      </c>
      <c r="AH54" s="196" t="s">
        <v>885</v>
      </c>
      <c r="AI54" s="196" t="s">
        <v>885</v>
      </c>
      <c r="AJ54" s="196" t="s">
        <v>885</v>
      </c>
      <c r="AK54" s="196" t="s">
        <v>885</v>
      </c>
      <c r="AL54" s="196" t="s">
        <v>885</v>
      </c>
      <c r="AM54" s="196" t="s">
        <v>885</v>
      </c>
      <c r="AN54" s="199" t="s">
        <v>980</v>
      </c>
      <c r="AO54" s="199"/>
      <c r="AP54" s="199"/>
      <c r="AQ54" s="199"/>
      <c r="AR54" s="199"/>
      <c r="AS54" s="199"/>
      <c r="AT54" s="199"/>
      <c r="AU54" s="199"/>
      <c r="AV54" s="199"/>
      <c r="AW54" s="199"/>
      <c r="AX54" s="196"/>
      <c r="AY54" s="196"/>
      <c r="AZ54" s="196"/>
      <c r="BA54" s="196"/>
      <c r="BB54" s="196"/>
      <c r="BC54" s="196"/>
      <c r="BD54" s="196"/>
      <c r="BE54" s="196"/>
      <c r="BF54" s="196"/>
      <c r="BG54" s="196"/>
      <c r="BH54" s="196"/>
      <c r="BI54" s="196"/>
      <c r="BJ54" s="196"/>
      <c r="BK54" s="196"/>
      <c r="BL54" s="196"/>
      <c r="BM54" s="196"/>
      <c r="BN54" s="196"/>
      <c r="BO54" s="196"/>
      <c r="BP54" s="196"/>
      <c r="BQ54" s="196"/>
      <c r="BR54" s="196"/>
      <c r="BS54" s="196"/>
      <c r="BT54" s="196"/>
      <c r="BU54" s="196"/>
      <c r="BV54" s="196"/>
      <c r="BW54" s="196"/>
      <c r="BX54" s="196"/>
      <c r="BY54" s="196"/>
      <c r="BZ54" s="196"/>
      <c r="CA54" s="196"/>
      <c r="CB54" s="196"/>
      <c r="CC54" s="196"/>
      <c r="CD54" s="196"/>
      <c r="CE54" s="196"/>
      <c r="CF54" s="196"/>
      <c r="CG54" s="196"/>
      <c r="CH54" s="196"/>
      <c r="CI54" s="196"/>
      <c r="CJ54" s="196"/>
      <c r="CK54" s="196"/>
      <c r="CL54" s="196"/>
      <c r="CM54" s="196"/>
      <c r="CN54" s="196"/>
      <c r="CO54" s="196"/>
      <c r="CP54" s="196"/>
      <c r="CQ54" s="196"/>
      <c r="CR54" s="196"/>
      <c r="CS54" s="196"/>
      <c r="CT54" s="196"/>
      <c r="CU54" s="196"/>
      <c r="CV54" s="196"/>
      <c r="CW54" s="196"/>
      <c r="CX54" s="196"/>
      <c r="CY54" s="196"/>
      <c r="CZ54" s="196"/>
      <c r="DA54" s="196"/>
      <c r="DB54" s="196"/>
      <c r="DC54" s="196"/>
      <c r="DD54" s="196"/>
    </row>
    <row customHeight="true" ht="18.51851851851852" r="55">
      <c r="A55" s="194"/>
      <c r="B55" s="193"/>
      <c r="C55" s="194" t="s">
        <v>881</v>
      </c>
      <c r="D55" s="197" t="s">
        <v>981</v>
      </c>
      <c r="E55" s="196" t="s">
        <v>885</v>
      </c>
      <c r="F55" s="196" t="s">
        <v>885</v>
      </c>
      <c r="G55" s="196" t="s">
        <v>885</v>
      </c>
      <c r="H55" s="199" t="s">
        <v>982</v>
      </c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6" t="s">
        <v>885</v>
      </c>
      <c r="U55" s="196" t="s">
        <v>885</v>
      </c>
      <c r="V55" s="196" t="s">
        <v>885</v>
      </c>
      <c r="W55" s="196" t="s">
        <v>885</v>
      </c>
      <c r="X55" s="196" t="s">
        <v>885</v>
      </c>
      <c r="Y55" s="196" t="s">
        <v>885</v>
      </c>
      <c r="Z55" s="201" t="s">
        <v>983</v>
      </c>
      <c r="AA55" s="201"/>
      <c r="AB55" s="201"/>
      <c r="AC55" s="201"/>
      <c r="AD55" s="201"/>
      <c r="AE55" s="201"/>
      <c r="AF55" s="201"/>
      <c r="AG55" s="201"/>
      <c r="AH55" s="201"/>
      <c r="AI55" s="201"/>
      <c r="AJ55" s="201"/>
      <c r="AK55" s="201"/>
      <c r="AL55" s="201"/>
      <c r="AM55" s="201"/>
      <c r="AN55" s="196" t="s">
        <v>885</v>
      </c>
      <c r="AO55" s="196" t="s">
        <v>885</v>
      </c>
      <c r="AP55" s="196" t="s">
        <v>885</v>
      </c>
      <c r="AQ55" s="196" t="s">
        <v>885</v>
      </c>
      <c r="AR55" s="196" t="s">
        <v>885</v>
      </c>
      <c r="AS55" s="196" t="s">
        <v>885</v>
      </c>
      <c r="AT55" s="196" t="s">
        <v>885</v>
      </c>
      <c r="AU55" s="196" t="s">
        <v>885</v>
      </c>
      <c r="AV55" s="196" t="s">
        <v>885</v>
      </c>
      <c r="AW55" s="196" t="s">
        <v>885</v>
      </c>
      <c r="AX55" s="196"/>
      <c r="AY55" s="196"/>
      <c r="AZ55" s="196"/>
      <c r="BA55" s="196"/>
      <c r="BB55" s="196"/>
      <c r="BC55" s="196"/>
      <c r="BD55" s="196"/>
      <c r="BE55" s="196"/>
      <c r="BF55" s="196"/>
      <c r="BG55" s="196"/>
      <c r="BH55" s="196"/>
      <c r="BI55" s="196"/>
      <c r="BJ55" s="196"/>
      <c r="BK55" s="196"/>
      <c r="BL55" s="196"/>
      <c r="BM55" s="196"/>
      <c r="BN55" s="196"/>
      <c r="BO55" s="196"/>
      <c r="BP55" s="196"/>
      <c r="BQ55" s="196"/>
      <c r="BR55" s="196"/>
      <c r="BS55" s="196"/>
      <c r="BT55" s="196"/>
      <c r="BU55" s="196"/>
      <c r="BV55" s="196"/>
      <c r="BW55" s="196"/>
      <c r="BX55" s="196"/>
      <c r="BY55" s="196"/>
      <c r="BZ55" s="196"/>
      <c r="CA55" s="196"/>
      <c r="CB55" s="196"/>
      <c r="CC55" s="196"/>
      <c r="CD55" s="196"/>
      <c r="CE55" s="196"/>
      <c r="CF55" s="196"/>
      <c r="CG55" s="196"/>
      <c r="CH55" s="196"/>
      <c r="CI55" s="196"/>
      <c r="CJ55" s="196"/>
      <c r="CK55" s="196"/>
      <c r="CL55" s="196"/>
      <c r="CM55" s="196"/>
      <c r="CN55" s="196"/>
      <c r="CO55" s="196"/>
      <c r="CP55" s="196"/>
      <c r="CQ55" s="196"/>
      <c r="CR55" s="196"/>
      <c r="CS55" s="196"/>
      <c r="CT55" s="196"/>
      <c r="CU55" s="196"/>
      <c r="CV55" s="196"/>
      <c r="CW55" s="196"/>
      <c r="CX55" s="196"/>
      <c r="CY55" s="196"/>
      <c r="CZ55" s="196"/>
      <c r="DA55" s="196"/>
      <c r="DB55" s="196"/>
      <c r="DC55" s="196"/>
      <c r="DD55" s="196"/>
    </row>
    <row r="56">
      <c r="A56" s="204"/>
      <c r="B56" s="205"/>
      <c r="C56" s="204"/>
      <c r="D56" s="206"/>
      <c r="E56" s="207"/>
      <c r="F56" s="207"/>
      <c r="G56" s="207"/>
      <c r="H56" s="208"/>
      <c r="I56" s="208"/>
      <c r="J56" s="208"/>
      <c r="K56" s="208"/>
      <c r="L56" s="208"/>
      <c r="M56" s="208"/>
      <c r="N56" s="208"/>
      <c r="O56" s="208"/>
      <c r="P56" s="208"/>
      <c r="Q56" s="208"/>
      <c r="R56" s="208"/>
      <c r="S56" s="208"/>
      <c r="T56" s="207"/>
      <c r="U56" s="207"/>
      <c r="V56" s="207"/>
      <c r="W56" s="207"/>
      <c r="X56" s="207"/>
      <c r="Y56" s="207"/>
      <c r="Z56" s="209"/>
      <c r="AA56" s="209"/>
      <c r="AB56" s="209"/>
      <c r="AC56" s="209"/>
      <c r="AD56" s="209"/>
      <c r="AE56" s="209"/>
      <c r="AF56" s="209"/>
      <c r="AG56" s="209"/>
      <c r="AH56" s="209"/>
      <c r="AI56" s="209"/>
      <c r="AJ56" s="209"/>
      <c r="AK56" s="209"/>
      <c r="AL56" s="209"/>
      <c r="AM56" s="209"/>
      <c r="AN56" s="207"/>
      <c r="AO56" s="207"/>
      <c r="AP56" s="207"/>
      <c r="AQ56" s="207"/>
      <c r="AR56" s="207"/>
      <c r="AS56" s="207"/>
      <c r="AT56" s="207"/>
      <c r="AU56" s="207"/>
      <c r="AV56" s="207"/>
      <c r="AW56" s="207"/>
      <c r="AX56" s="207"/>
      <c r="AY56" s="207"/>
      <c r="AZ56" s="207"/>
      <c r="BA56" s="207"/>
      <c r="BB56" s="207"/>
      <c r="BC56" s="207"/>
      <c r="BD56" s="207"/>
      <c r="BE56" s="207"/>
      <c r="BF56" s="207"/>
      <c r="BG56" s="207"/>
      <c r="BH56" s="207"/>
      <c r="BI56" s="207"/>
      <c r="BJ56" s="207"/>
      <c r="BK56" s="207"/>
      <c r="BL56" s="207"/>
      <c r="BM56" s="207"/>
      <c r="BN56" s="207"/>
      <c r="BO56" s="207"/>
      <c r="BP56" s="207"/>
      <c r="BQ56" s="207"/>
      <c r="BR56" s="207"/>
      <c r="BS56" s="207"/>
      <c r="BT56" s="207"/>
      <c r="BU56" s="207"/>
      <c r="BV56" s="207"/>
      <c r="BW56" s="207"/>
      <c r="BX56" s="207"/>
      <c r="BY56" s="207"/>
      <c r="BZ56" s="207"/>
      <c r="CA56" s="207"/>
      <c r="CB56" s="207"/>
      <c r="CC56" s="207"/>
      <c r="CD56" s="207"/>
      <c r="CE56" s="207"/>
      <c r="CF56" s="207"/>
      <c r="CG56" s="207"/>
      <c r="CH56" s="207"/>
      <c r="CI56" s="207"/>
      <c r="CJ56" s="207"/>
      <c r="CK56" s="207"/>
      <c r="CL56" s="207"/>
      <c r="CM56" s="207"/>
      <c r="CN56" s="207"/>
      <c r="CO56" s="207"/>
      <c r="CP56" s="207"/>
      <c r="CQ56" s="207"/>
      <c r="CR56" s="207"/>
      <c r="CS56" s="207"/>
      <c r="CT56" s="207"/>
      <c r="CU56" s="207"/>
      <c r="CV56" s="207"/>
      <c r="CW56" s="207"/>
      <c r="CX56" s="207"/>
      <c r="CY56" s="207"/>
      <c r="CZ56" s="207"/>
      <c r="DA56" s="207"/>
      <c r="DB56" s="207"/>
      <c r="DC56" s="207"/>
      <c r="DD56" s="207"/>
    </row>
    <row r="57">
      <c r="A57" s="204"/>
      <c r="B57" s="205"/>
      <c r="C57" s="204"/>
      <c r="D57" s="206"/>
      <c r="E57" s="207"/>
      <c r="F57" s="207"/>
      <c r="G57" s="207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7"/>
      <c r="U57" s="207"/>
      <c r="V57" s="207"/>
      <c r="W57" s="207"/>
      <c r="X57" s="207"/>
      <c r="Y57" s="207"/>
      <c r="Z57" s="209"/>
      <c r="AA57" s="209"/>
      <c r="AB57" s="209"/>
      <c r="AC57" s="209"/>
      <c r="AD57" s="209"/>
      <c r="AE57" s="209"/>
      <c r="AF57" s="209"/>
      <c r="AG57" s="209"/>
      <c r="AH57" s="209"/>
      <c r="AI57" s="209"/>
      <c r="AJ57" s="209"/>
      <c r="AK57" s="209"/>
      <c r="AL57" s="209"/>
      <c r="AM57" s="209"/>
      <c r="AN57" s="207"/>
      <c r="AO57" s="207"/>
      <c r="AP57" s="207"/>
      <c r="AQ57" s="207"/>
      <c r="AR57" s="207"/>
      <c r="AS57" s="207"/>
      <c r="AT57" s="207"/>
      <c r="AU57" s="207"/>
      <c r="AV57" s="207"/>
      <c r="AW57" s="207"/>
      <c r="AX57" s="207"/>
      <c r="AY57" s="207"/>
      <c r="AZ57" s="207"/>
      <c r="BA57" s="207"/>
      <c r="BB57" s="207"/>
      <c r="BC57" s="207"/>
      <c r="BD57" s="207"/>
      <c r="BE57" s="207"/>
      <c r="BF57" s="207"/>
      <c r="BG57" s="207"/>
      <c r="BH57" s="207"/>
      <c r="BI57" s="207"/>
      <c r="BJ57" s="207"/>
      <c r="BK57" s="207"/>
      <c r="BL57" s="207"/>
      <c r="BM57" s="207"/>
      <c r="BN57" s="207"/>
      <c r="BO57" s="207"/>
      <c r="BP57" s="207"/>
      <c r="BQ57" s="207"/>
      <c r="BR57" s="207"/>
      <c r="BS57" s="207"/>
      <c r="BT57" s="207"/>
      <c r="BU57" s="207"/>
      <c r="BV57" s="207"/>
      <c r="BW57" s="207"/>
      <c r="BX57" s="207"/>
      <c r="BY57" s="207"/>
      <c r="BZ57" s="207"/>
      <c r="CA57" s="207"/>
      <c r="CB57" s="207"/>
      <c r="CC57" s="207"/>
      <c r="CD57" s="207"/>
      <c r="CE57" s="207"/>
      <c r="CF57" s="207"/>
      <c r="CG57" s="207"/>
      <c r="CH57" s="207"/>
      <c r="CI57" s="207"/>
      <c r="CJ57" s="207"/>
      <c r="CK57" s="207"/>
      <c r="CL57" s="207"/>
      <c r="CM57" s="207"/>
      <c r="CN57" s="207"/>
      <c r="CO57" s="207"/>
      <c r="CP57" s="207"/>
      <c r="CQ57" s="207"/>
      <c r="CR57" s="207"/>
      <c r="CS57" s="207"/>
      <c r="CT57" s="207"/>
      <c r="CU57" s="207"/>
      <c r="CV57" s="207"/>
      <c r="CW57" s="207"/>
      <c r="CX57" s="207"/>
      <c r="CY57" s="207"/>
      <c r="CZ57" s="207"/>
      <c r="DA57" s="207"/>
      <c r="DB57" s="207"/>
      <c r="DC57" s="207"/>
      <c r="DD57" s="207"/>
    </row>
    <row r="58">
      <c r="A58" s="204"/>
      <c r="B58" s="205"/>
      <c r="C58" s="204"/>
      <c r="D58" s="206"/>
      <c r="E58" s="207"/>
      <c r="F58" s="207"/>
      <c r="G58" s="207"/>
      <c r="H58" s="208"/>
      <c r="I58" s="208"/>
      <c r="J58" s="208"/>
      <c r="K58" s="208"/>
      <c r="L58" s="208"/>
      <c r="M58" s="208"/>
      <c r="N58" s="208"/>
      <c r="O58" s="208"/>
      <c r="P58" s="208"/>
      <c r="Q58" s="208"/>
      <c r="R58" s="208"/>
      <c r="S58" s="208"/>
      <c r="T58" s="207"/>
      <c r="U58" s="207"/>
      <c r="V58" s="207"/>
      <c r="W58" s="207"/>
      <c r="X58" s="207"/>
      <c r="Y58" s="207"/>
      <c r="Z58" s="209"/>
      <c r="AA58" s="209"/>
      <c r="AB58" s="209"/>
      <c r="AC58" s="209"/>
      <c r="AD58" s="209"/>
      <c r="AE58" s="209"/>
      <c r="AF58" s="209"/>
      <c r="AG58" s="209"/>
      <c r="AH58" s="209"/>
      <c r="AI58" s="209"/>
      <c r="AJ58" s="209"/>
      <c r="AK58" s="209"/>
      <c r="AL58" s="209"/>
      <c r="AM58" s="209"/>
      <c r="AN58" s="207"/>
      <c r="AO58" s="207"/>
      <c r="AP58" s="207"/>
      <c r="AQ58" s="207"/>
      <c r="AR58" s="207"/>
      <c r="AS58" s="207"/>
      <c r="AT58" s="207"/>
      <c r="AU58" s="207"/>
      <c r="AV58" s="207"/>
      <c r="AW58" s="207"/>
      <c r="AX58" s="207"/>
      <c r="AY58" s="207"/>
      <c r="AZ58" s="207"/>
      <c r="BA58" s="207"/>
      <c r="BB58" s="207"/>
      <c r="BC58" s="207"/>
      <c r="BD58" s="207"/>
      <c r="BE58" s="207"/>
      <c r="BF58" s="207"/>
      <c r="BG58" s="207"/>
      <c r="BH58" s="207"/>
      <c r="BI58" s="207"/>
      <c r="BJ58" s="207"/>
      <c r="BK58" s="207"/>
      <c r="BL58" s="207"/>
      <c r="BM58" s="207"/>
      <c r="BN58" s="207"/>
      <c r="BO58" s="207"/>
      <c r="BP58" s="207"/>
      <c r="BQ58" s="207"/>
      <c r="BR58" s="207"/>
      <c r="BS58" s="207"/>
      <c r="BT58" s="207"/>
      <c r="BU58" s="207"/>
      <c r="BV58" s="207"/>
      <c r="BW58" s="207"/>
      <c r="BX58" s="207"/>
      <c r="BY58" s="207"/>
      <c r="BZ58" s="207"/>
      <c r="CA58" s="207"/>
      <c r="CB58" s="207"/>
      <c r="CC58" s="207"/>
      <c r="CD58" s="207"/>
      <c r="CE58" s="207"/>
      <c r="CF58" s="207"/>
      <c r="CG58" s="207"/>
      <c r="CH58" s="207"/>
      <c r="CI58" s="207"/>
      <c r="CJ58" s="207"/>
      <c r="CK58" s="207"/>
      <c r="CL58" s="207"/>
      <c r="CM58" s="207"/>
      <c r="CN58" s="207"/>
      <c r="CO58" s="207"/>
      <c r="CP58" s="207"/>
      <c r="CQ58" s="207"/>
      <c r="CR58" s="207"/>
      <c r="CS58" s="207"/>
      <c r="CT58" s="207"/>
      <c r="CU58" s="207"/>
      <c r="CV58" s="207"/>
      <c r="CW58" s="207"/>
      <c r="CX58" s="207"/>
      <c r="CY58" s="207"/>
      <c r="CZ58" s="207"/>
      <c r="DA58" s="207"/>
      <c r="DB58" s="207"/>
      <c r="DC58" s="207"/>
      <c r="DD58" s="207"/>
    </row>
    <row r="59">
      <c r="A59" s="204"/>
      <c r="B59" s="205"/>
      <c r="C59" s="204"/>
      <c r="D59" s="206"/>
      <c r="E59" s="207"/>
      <c r="F59" s="207"/>
      <c r="G59" s="207"/>
      <c r="H59" s="208"/>
      <c r="I59" s="208"/>
      <c r="J59" s="208"/>
      <c r="K59" s="208"/>
      <c r="L59" s="208"/>
      <c r="M59" s="208"/>
      <c r="N59" s="208"/>
      <c r="O59" s="208"/>
      <c r="P59" s="208"/>
      <c r="Q59" s="208"/>
      <c r="R59" s="208"/>
      <c r="S59" s="208"/>
      <c r="T59" s="207"/>
      <c r="U59" s="207"/>
      <c r="V59" s="207"/>
      <c r="W59" s="207"/>
      <c r="X59" s="207"/>
      <c r="Y59" s="207"/>
      <c r="Z59" s="209"/>
      <c r="AA59" s="209"/>
      <c r="AB59" s="209"/>
      <c r="AC59" s="209"/>
      <c r="AD59" s="209"/>
      <c r="AE59" s="209"/>
      <c r="AF59" s="209"/>
      <c r="AG59" s="209"/>
      <c r="AH59" s="209"/>
      <c r="AI59" s="209"/>
      <c r="AJ59" s="209"/>
      <c r="AK59" s="209"/>
      <c r="AL59" s="209"/>
      <c r="AM59" s="209"/>
      <c r="AN59" s="207"/>
      <c r="AO59" s="207"/>
      <c r="AP59" s="207"/>
      <c r="AQ59" s="207"/>
      <c r="AR59" s="207"/>
      <c r="AS59" s="207"/>
      <c r="AT59" s="207"/>
      <c r="AU59" s="207"/>
      <c r="AV59" s="207"/>
      <c r="AW59" s="207"/>
      <c r="AX59" s="207"/>
      <c r="AY59" s="207"/>
      <c r="AZ59" s="207"/>
      <c r="BA59" s="207"/>
      <c r="BB59" s="207"/>
      <c r="BC59" s="207"/>
      <c r="BD59" s="207"/>
      <c r="BE59" s="207"/>
      <c r="BF59" s="207"/>
      <c r="BG59" s="207"/>
      <c r="BH59" s="207"/>
      <c r="BI59" s="207"/>
      <c r="BJ59" s="207"/>
      <c r="BK59" s="207"/>
      <c r="BL59" s="207"/>
      <c r="BM59" s="207"/>
      <c r="BN59" s="207"/>
      <c r="BO59" s="207"/>
      <c r="BP59" s="207"/>
      <c r="BQ59" s="207"/>
      <c r="BR59" s="207"/>
      <c r="BS59" s="207"/>
      <c r="BT59" s="207"/>
      <c r="BU59" s="207"/>
      <c r="BV59" s="207"/>
      <c r="BW59" s="207"/>
      <c r="BX59" s="207"/>
      <c r="BY59" s="207"/>
      <c r="BZ59" s="207"/>
      <c r="CA59" s="207"/>
      <c r="CB59" s="207"/>
      <c r="CC59" s="207"/>
      <c r="CD59" s="207"/>
      <c r="CE59" s="207"/>
      <c r="CF59" s="207"/>
      <c r="CG59" s="207"/>
      <c r="CH59" s="207"/>
      <c r="CI59" s="207"/>
      <c r="CJ59" s="207"/>
      <c r="CK59" s="207"/>
      <c r="CL59" s="207"/>
      <c r="CM59" s="207"/>
      <c r="CN59" s="207"/>
      <c r="CO59" s="207"/>
      <c r="CP59" s="207"/>
      <c r="CQ59" s="207"/>
      <c r="CR59" s="207"/>
      <c r="CS59" s="207"/>
      <c r="CT59" s="207"/>
      <c r="CU59" s="207"/>
      <c r="CV59" s="207"/>
      <c r="CW59" s="207"/>
      <c r="CX59" s="207"/>
      <c r="CY59" s="207"/>
      <c r="CZ59" s="207"/>
      <c r="DA59" s="207"/>
      <c r="DB59" s="207"/>
      <c r="DC59" s="207"/>
      <c r="DD59" s="207"/>
    </row>
    <row r="60">
      <c r="A60" s="204"/>
      <c r="B60" s="205"/>
      <c r="C60" s="204"/>
      <c r="D60" s="206"/>
      <c r="E60" s="207"/>
      <c r="F60" s="207"/>
      <c r="G60" s="207"/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7"/>
      <c r="U60" s="207"/>
      <c r="V60" s="207"/>
      <c r="W60" s="207"/>
      <c r="X60" s="207"/>
      <c r="Y60" s="207"/>
      <c r="Z60" s="209"/>
      <c r="AA60" s="209"/>
      <c r="AB60" s="209"/>
      <c r="AC60" s="209"/>
      <c r="AD60" s="209"/>
      <c r="AE60" s="209"/>
      <c r="AF60" s="209"/>
      <c r="AG60" s="209"/>
      <c r="AH60" s="209"/>
      <c r="AI60" s="209"/>
      <c r="AJ60" s="209"/>
      <c r="AK60" s="209"/>
      <c r="AL60" s="209"/>
      <c r="AM60" s="209"/>
      <c r="AN60" s="207"/>
      <c r="AO60" s="207"/>
      <c r="AP60" s="207"/>
      <c r="AQ60" s="207"/>
      <c r="AR60" s="207"/>
      <c r="AS60" s="207"/>
      <c r="AT60" s="207"/>
      <c r="AU60" s="207"/>
      <c r="AV60" s="207"/>
      <c r="AW60" s="207"/>
      <c r="AX60" s="207"/>
      <c r="AY60" s="207"/>
      <c r="AZ60" s="207"/>
      <c r="BA60" s="207"/>
      <c r="BB60" s="207"/>
      <c r="BC60" s="207"/>
      <c r="BD60" s="207"/>
      <c r="BE60" s="207"/>
      <c r="BF60" s="207"/>
      <c r="BG60" s="207"/>
      <c r="BH60" s="207"/>
      <c r="BI60" s="207"/>
      <c r="BJ60" s="207"/>
      <c r="BK60" s="207"/>
      <c r="BL60" s="207"/>
      <c r="BM60" s="207"/>
      <c r="BN60" s="207"/>
      <c r="BO60" s="207"/>
      <c r="BP60" s="207"/>
      <c r="BQ60" s="207"/>
      <c r="BR60" s="207"/>
      <c r="BS60" s="207"/>
      <c r="BT60" s="207"/>
      <c r="BU60" s="207"/>
      <c r="BV60" s="207"/>
      <c r="BW60" s="207"/>
      <c r="BX60" s="207"/>
      <c r="BY60" s="207"/>
      <c r="BZ60" s="207"/>
      <c r="CA60" s="207"/>
      <c r="CB60" s="207"/>
      <c r="CC60" s="207"/>
      <c r="CD60" s="207"/>
      <c r="CE60" s="207"/>
      <c r="CF60" s="207"/>
      <c r="CG60" s="207"/>
      <c r="CH60" s="207"/>
      <c r="CI60" s="207"/>
      <c r="CJ60" s="207"/>
      <c r="CK60" s="207"/>
      <c r="CL60" s="207"/>
      <c r="CM60" s="207"/>
      <c r="CN60" s="207"/>
      <c r="CO60" s="207"/>
      <c r="CP60" s="207"/>
      <c r="CQ60" s="207"/>
      <c r="CR60" s="207"/>
      <c r="CS60" s="207"/>
      <c r="CT60" s="207"/>
      <c r="CU60" s="207"/>
      <c r="CV60" s="207"/>
      <c r="CW60" s="207"/>
      <c r="CX60" s="207"/>
      <c r="CY60" s="207"/>
      <c r="CZ60" s="207"/>
      <c r="DA60" s="207"/>
      <c r="DB60" s="207"/>
      <c r="DC60" s="207"/>
      <c r="DD60" s="207"/>
    </row>
    <row r="61">
      <c r="A61" s="204"/>
      <c r="B61" s="205"/>
      <c r="C61" s="204"/>
      <c r="D61" s="206"/>
      <c r="E61" s="207"/>
      <c r="F61" s="207"/>
      <c r="G61" s="207"/>
      <c r="H61" s="208"/>
      <c r="I61" s="208"/>
      <c r="J61" s="208"/>
      <c r="K61" s="208"/>
      <c r="L61" s="208"/>
      <c r="M61" s="208"/>
      <c r="N61" s="208"/>
      <c r="O61" s="208"/>
      <c r="P61" s="208"/>
      <c r="Q61" s="208"/>
      <c r="R61" s="208"/>
      <c r="S61" s="208"/>
      <c r="T61" s="207"/>
      <c r="U61" s="207"/>
      <c r="V61" s="207"/>
      <c r="W61" s="207"/>
      <c r="X61" s="207"/>
      <c r="Y61" s="207"/>
      <c r="Z61" s="209"/>
      <c r="AA61" s="209"/>
      <c r="AB61" s="209"/>
      <c r="AC61" s="209"/>
      <c r="AD61" s="209"/>
      <c r="AE61" s="209"/>
      <c r="AF61" s="209"/>
      <c r="AG61" s="209"/>
      <c r="AH61" s="209"/>
      <c r="AI61" s="209"/>
      <c r="AJ61" s="209"/>
      <c r="AK61" s="209"/>
      <c r="AL61" s="209"/>
      <c r="AM61" s="209"/>
      <c r="AN61" s="207"/>
      <c r="AO61" s="207"/>
      <c r="AP61" s="207"/>
      <c r="AQ61" s="207"/>
      <c r="AR61" s="207"/>
      <c r="AS61" s="207"/>
      <c r="AT61" s="207"/>
      <c r="AU61" s="207"/>
      <c r="AV61" s="207"/>
      <c r="AW61" s="207"/>
      <c r="AX61" s="207"/>
      <c r="AY61" s="207"/>
      <c r="AZ61" s="207"/>
      <c r="BA61" s="207"/>
      <c r="BB61" s="207"/>
      <c r="BC61" s="207"/>
      <c r="BD61" s="207"/>
      <c r="BE61" s="207"/>
      <c r="BF61" s="207"/>
      <c r="BG61" s="207"/>
      <c r="BH61" s="207"/>
      <c r="BI61" s="207"/>
      <c r="BJ61" s="207"/>
      <c r="BK61" s="207"/>
      <c r="BL61" s="207"/>
      <c r="BM61" s="207"/>
      <c r="BN61" s="207"/>
      <c r="BO61" s="207"/>
      <c r="BP61" s="207"/>
      <c r="BQ61" s="207"/>
      <c r="BR61" s="207"/>
      <c r="BS61" s="207"/>
      <c r="BT61" s="207"/>
      <c r="BU61" s="207"/>
      <c r="BV61" s="207"/>
      <c r="BW61" s="207"/>
      <c r="BX61" s="207"/>
      <c r="BY61" s="207"/>
      <c r="BZ61" s="207"/>
      <c r="CA61" s="207"/>
      <c r="CB61" s="207"/>
      <c r="CC61" s="207"/>
      <c r="CD61" s="207"/>
      <c r="CE61" s="207"/>
      <c r="CF61" s="207"/>
      <c r="CG61" s="207"/>
      <c r="CH61" s="207"/>
      <c r="CI61" s="207"/>
      <c r="CJ61" s="207"/>
      <c r="CK61" s="207"/>
      <c r="CL61" s="207"/>
      <c r="CM61" s="207"/>
      <c r="CN61" s="207"/>
      <c r="CO61" s="207"/>
      <c r="CP61" s="207"/>
      <c r="CQ61" s="207"/>
      <c r="CR61" s="207"/>
      <c r="CS61" s="207"/>
      <c r="CT61" s="207"/>
      <c r="CU61" s="207"/>
      <c r="CV61" s="207"/>
      <c r="CW61" s="207"/>
      <c r="CX61" s="207"/>
      <c r="CY61" s="207"/>
      <c r="CZ61" s="207"/>
      <c r="DA61" s="207"/>
      <c r="DB61" s="207"/>
      <c r="DC61" s="207"/>
      <c r="DD61" s="207"/>
    </row>
    <row r="62">
      <c r="A62" s="204"/>
      <c r="B62" s="205"/>
      <c r="C62" s="204"/>
      <c r="D62" s="206"/>
      <c r="E62" s="207"/>
      <c r="F62" s="207"/>
      <c r="G62" s="207"/>
      <c r="H62" s="208"/>
      <c r="I62" s="208"/>
      <c r="J62" s="208"/>
      <c r="K62" s="208"/>
      <c r="L62" s="208"/>
      <c r="M62" s="208"/>
      <c r="N62" s="208"/>
      <c r="O62" s="208"/>
      <c r="P62" s="208"/>
      <c r="Q62" s="208"/>
      <c r="R62" s="208"/>
      <c r="S62" s="208"/>
      <c r="T62" s="207"/>
      <c r="U62" s="207"/>
      <c r="V62" s="207"/>
      <c r="W62" s="207"/>
      <c r="X62" s="207"/>
      <c r="Y62" s="207"/>
      <c r="Z62" s="209"/>
      <c r="AA62" s="209"/>
      <c r="AB62" s="209"/>
      <c r="AC62" s="209"/>
      <c r="AD62" s="209"/>
      <c r="AE62" s="209"/>
      <c r="AF62" s="209"/>
      <c r="AG62" s="209"/>
      <c r="AH62" s="209"/>
      <c r="AI62" s="209"/>
      <c r="AJ62" s="209"/>
      <c r="AK62" s="209"/>
      <c r="AL62" s="209"/>
      <c r="AM62" s="209"/>
      <c r="AN62" s="207"/>
      <c r="AO62" s="207"/>
      <c r="AP62" s="207"/>
      <c r="AQ62" s="207"/>
      <c r="AR62" s="207"/>
      <c r="AS62" s="207"/>
      <c r="AT62" s="207"/>
      <c r="AU62" s="207"/>
      <c r="AV62" s="207"/>
      <c r="AW62" s="207"/>
      <c r="AX62" s="207"/>
      <c r="AY62" s="207"/>
      <c r="AZ62" s="207"/>
      <c r="BA62" s="207"/>
      <c r="BB62" s="207"/>
      <c r="BC62" s="207"/>
      <c r="BD62" s="207"/>
      <c r="BE62" s="207"/>
      <c r="BF62" s="207"/>
      <c r="BG62" s="207"/>
      <c r="BH62" s="207"/>
      <c r="BI62" s="207"/>
      <c r="BJ62" s="207"/>
      <c r="BK62" s="207"/>
      <c r="BL62" s="207"/>
      <c r="BM62" s="207"/>
      <c r="BN62" s="207"/>
      <c r="BO62" s="207"/>
      <c r="BP62" s="207"/>
      <c r="BQ62" s="207"/>
      <c r="BR62" s="207"/>
      <c r="BS62" s="207"/>
      <c r="BT62" s="207"/>
      <c r="BU62" s="207"/>
      <c r="BV62" s="207"/>
      <c r="BW62" s="207"/>
      <c r="BX62" s="207"/>
      <c r="BY62" s="207"/>
      <c r="BZ62" s="207"/>
      <c r="CA62" s="207"/>
      <c r="CB62" s="207"/>
      <c r="CC62" s="207"/>
      <c r="CD62" s="207"/>
      <c r="CE62" s="207"/>
      <c r="CF62" s="207"/>
      <c r="CG62" s="207"/>
      <c r="CH62" s="207"/>
      <c r="CI62" s="207"/>
      <c r="CJ62" s="207"/>
      <c r="CK62" s="207"/>
      <c r="CL62" s="207"/>
      <c r="CM62" s="207"/>
      <c r="CN62" s="207"/>
      <c r="CO62" s="207"/>
      <c r="CP62" s="207"/>
      <c r="CQ62" s="207"/>
      <c r="CR62" s="207"/>
      <c r="CS62" s="207"/>
      <c r="CT62" s="207"/>
      <c r="CU62" s="207"/>
      <c r="CV62" s="207"/>
      <c r="CW62" s="207"/>
      <c r="CX62" s="207"/>
      <c r="CY62" s="207"/>
      <c r="CZ62" s="207"/>
      <c r="DA62" s="207"/>
      <c r="DB62" s="207"/>
      <c r="DC62" s="207"/>
      <c r="DD62" s="207"/>
    </row>
    <row r="63">
      <c r="A63" s="204"/>
      <c r="B63" s="205"/>
      <c r="C63" s="204"/>
      <c r="D63" s="206"/>
      <c r="E63" s="207"/>
      <c r="F63" s="207"/>
      <c r="G63" s="207"/>
      <c r="H63" s="208"/>
      <c r="I63" s="208"/>
      <c r="J63" s="208"/>
      <c r="K63" s="208"/>
      <c r="L63" s="208"/>
      <c r="M63" s="208"/>
      <c r="N63" s="208"/>
      <c r="O63" s="208"/>
      <c r="P63" s="208"/>
      <c r="Q63" s="208"/>
      <c r="R63" s="208"/>
      <c r="S63" s="208"/>
      <c r="T63" s="207"/>
      <c r="U63" s="207"/>
      <c r="V63" s="207"/>
      <c r="W63" s="207"/>
      <c r="X63" s="207"/>
      <c r="Y63" s="207"/>
      <c r="Z63" s="209"/>
      <c r="AA63" s="209"/>
      <c r="AB63" s="209"/>
      <c r="AC63" s="209"/>
      <c r="AD63" s="209"/>
      <c r="AE63" s="209"/>
      <c r="AF63" s="209"/>
      <c r="AG63" s="209"/>
      <c r="AH63" s="209"/>
      <c r="AI63" s="209"/>
      <c r="AJ63" s="209"/>
      <c r="AK63" s="209"/>
      <c r="AL63" s="209"/>
      <c r="AM63" s="209"/>
      <c r="AN63" s="207"/>
      <c r="AO63" s="207"/>
      <c r="AP63" s="207"/>
      <c r="AQ63" s="207"/>
      <c r="AR63" s="207"/>
      <c r="AS63" s="207"/>
      <c r="AT63" s="207"/>
      <c r="AU63" s="207"/>
      <c r="AV63" s="207"/>
      <c r="AW63" s="207"/>
      <c r="AX63" s="207"/>
      <c r="AY63" s="207"/>
      <c r="AZ63" s="207"/>
      <c r="BA63" s="207"/>
      <c r="BB63" s="207"/>
      <c r="BC63" s="207"/>
      <c r="BD63" s="207"/>
      <c r="BE63" s="207"/>
      <c r="BF63" s="207"/>
      <c r="BG63" s="207"/>
      <c r="BH63" s="207"/>
      <c r="BI63" s="207"/>
      <c r="BJ63" s="207"/>
      <c r="BK63" s="207"/>
      <c r="BL63" s="207"/>
      <c r="BM63" s="207"/>
      <c r="BN63" s="207"/>
      <c r="BO63" s="207"/>
      <c r="BP63" s="207"/>
      <c r="BQ63" s="207"/>
      <c r="BR63" s="207"/>
      <c r="BS63" s="207"/>
      <c r="BT63" s="207"/>
      <c r="BU63" s="207"/>
      <c r="BV63" s="207"/>
      <c r="BW63" s="207"/>
      <c r="BX63" s="207"/>
      <c r="BY63" s="207"/>
      <c r="BZ63" s="207"/>
      <c r="CA63" s="207"/>
      <c r="CB63" s="207"/>
      <c r="CC63" s="207"/>
      <c r="CD63" s="207"/>
      <c r="CE63" s="207"/>
      <c r="CF63" s="207"/>
      <c r="CG63" s="207"/>
      <c r="CH63" s="207"/>
      <c r="CI63" s="207"/>
      <c r="CJ63" s="207"/>
      <c r="CK63" s="207"/>
      <c r="CL63" s="207"/>
      <c r="CM63" s="207"/>
      <c r="CN63" s="207"/>
      <c r="CO63" s="207"/>
      <c r="CP63" s="207"/>
      <c r="CQ63" s="207"/>
      <c r="CR63" s="207"/>
      <c r="CS63" s="207"/>
      <c r="CT63" s="207"/>
      <c r="CU63" s="207"/>
      <c r="CV63" s="207"/>
      <c r="CW63" s="207"/>
      <c r="CX63" s="207"/>
      <c r="CY63" s="207"/>
      <c r="CZ63" s="207"/>
      <c r="DA63" s="207"/>
      <c r="DB63" s="207"/>
      <c r="DC63" s="207"/>
      <c r="DD63" s="207"/>
    </row>
    <row r="64">
      <c r="A64" s="204"/>
      <c r="B64" s="205"/>
      <c r="C64" s="204"/>
      <c r="D64" s="206"/>
      <c r="E64" s="207"/>
      <c r="F64" s="207"/>
      <c r="G64" s="207"/>
      <c r="H64" s="208"/>
      <c r="I64" s="208"/>
      <c r="J64" s="208"/>
      <c r="K64" s="208"/>
      <c r="L64" s="208"/>
      <c r="M64" s="208"/>
      <c r="N64" s="208"/>
      <c r="O64" s="208"/>
      <c r="P64" s="208"/>
      <c r="Q64" s="208"/>
      <c r="R64" s="208"/>
      <c r="S64" s="208"/>
      <c r="T64" s="207"/>
      <c r="U64" s="207"/>
      <c r="V64" s="207"/>
      <c r="W64" s="207"/>
      <c r="X64" s="207"/>
      <c r="Y64" s="207"/>
      <c r="Z64" s="209"/>
      <c r="AA64" s="209"/>
      <c r="AB64" s="209"/>
      <c r="AC64" s="209"/>
      <c r="AD64" s="209"/>
      <c r="AE64" s="209"/>
      <c r="AF64" s="209"/>
      <c r="AG64" s="209"/>
      <c r="AH64" s="209"/>
      <c r="AI64" s="209"/>
      <c r="AJ64" s="209"/>
      <c r="AK64" s="209"/>
      <c r="AL64" s="209"/>
      <c r="AM64" s="209"/>
      <c r="AN64" s="207"/>
      <c r="AO64" s="207"/>
      <c r="AP64" s="207"/>
      <c r="AQ64" s="207"/>
      <c r="AR64" s="207"/>
      <c r="AS64" s="207"/>
      <c r="AT64" s="207"/>
      <c r="AU64" s="207"/>
      <c r="AV64" s="207"/>
      <c r="AW64" s="207"/>
      <c r="AX64" s="207"/>
      <c r="AY64" s="207"/>
      <c r="AZ64" s="207"/>
      <c r="BA64" s="207"/>
      <c r="BB64" s="207"/>
      <c r="BC64" s="207"/>
      <c r="BD64" s="207"/>
      <c r="BE64" s="207"/>
      <c r="BF64" s="207"/>
      <c r="BG64" s="207"/>
      <c r="BH64" s="207"/>
      <c r="BI64" s="207"/>
      <c r="BJ64" s="207"/>
      <c r="BK64" s="207"/>
      <c r="BL64" s="207"/>
      <c r="BM64" s="207"/>
      <c r="BN64" s="207"/>
      <c r="BO64" s="207"/>
      <c r="BP64" s="207"/>
      <c r="BQ64" s="207"/>
      <c r="BR64" s="207"/>
      <c r="BS64" s="207"/>
      <c r="BT64" s="207"/>
      <c r="BU64" s="207"/>
      <c r="BV64" s="207"/>
      <c r="BW64" s="207"/>
      <c r="BX64" s="207"/>
      <c r="BY64" s="207"/>
      <c r="BZ64" s="207"/>
      <c r="CA64" s="207"/>
      <c r="CB64" s="207"/>
      <c r="CC64" s="207"/>
      <c r="CD64" s="207"/>
      <c r="CE64" s="207"/>
      <c r="CF64" s="207"/>
      <c r="CG64" s="207"/>
      <c r="CH64" s="207"/>
      <c r="CI64" s="207"/>
      <c r="CJ64" s="207"/>
      <c r="CK64" s="207"/>
      <c r="CL64" s="207"/>
      <c r="CM64" s="207"/>
      <c r="CN64" s="207"/>
      <c r="CO64" s="207"/>
      <c r="CP64" s="207"/>
      <c r="CQ64" s="207"/>
      <c r="CR64" s="207"/>
      <c r="CS64" s="207"/>
      <c r="CT64" s="207"/>
      <c r="CU64" s="207"/>
      <c r="CV64" s="207"/>
      <c r="CW64" s="207"/>
      <c r="CX64" s="207"/>
      <c r="CY64" s="207"/>
      <c r="CZ64" s="207"/>
      <c r="DA64" s="207"/>
      <c r="DB64" s="207"/>
      <c r="DC64" s="207"/>
      <c r="DD64" s="207"/>
    </row>
    <row r="65">
      <c r="A65" s="204"/>
      <c r="B65" s="205"/>
      <c r="C65" s="204"/>
      <c r="D65" s="206"/>
      <c r="E65" s="207"/>
      <c r="F65" s="207"/>
      <c r="G65" s="207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7"/>
      <c r="U65" s="207"/>
      <c r="V65" s="207"/>
      <c r="W65" s="207"/>
      <c r="X65" s="207"/>
      <c r="Y65" s="207"/>
      <c r="Z65" s="209"/>
      <c r="AA65" s="209"/>
      <c r="AB65" s="209"/>
      <c r="AC65" s="209"/>
      <c r="AD65" s="209"/>
      <c r="AE65" s="209"/>
      <c r="AF65" s="209"/>
      <c r="AG65" s="209"/>
      <c r="AH65" s="209"/>
      <c r="AI65" s="209"/>
      <c r="AJ65" s="209"/>
      <c r="AK65" s="209"/>
      <c r="AL65" s="209"/>
      <c r="AM65" s="209"/>
      <c r="AN65" s="207"/>
      <c r="AO65" s="207"/>
      <c r="AP65" s="207"/>
      <c r="AQ65" s="207"/>
      <c r="AR65" s="207"/>
      <c r="AS65" s="207"/>
      <c r="AT65" s="207"/>
      <c r="AU65" s="207"/>
      <c r="AV65" s="207"/>
      <c r="AW65" s="207"/>
      <c r="AX65" s="207"/>
      <c r="AY65" s="207"/>
      <c r="AZ65" s="207"/>
      <c r="BA65" s="207"/>
      <c r="BB65" s="207"/>
      <c r="BC65" s="207"/>
      <c r="BD65" s="207"/>
      <c r="BE65" s="207"/>
      <c r="BF65" s="207"/>
      <c r="BG65" s="207"/>
      <c r="BH65" s="207"/>
      <c r="BI65" s="207"/>
      <c r="BJ65" s="207"/>
      <c r="BK65" s="207"/>
      <c r="BL65" s="207"/>
      <c r="BM65" s="207"/>
      <c r="BN65" s="207"/>
      <c r="BO65" s="207"/>
      <c r="BP65" s="207"/>
      <c r="BQ65" s="207"/>
      <c r="BR65" s="207"/>
      <c r="BS65" s="207"/>
      <c r="BT65" s="207"/>
      <c r="BU65" s="207"/>
      <c r="BV65" s="207"/>
      <c r="BW65" s="207"/>
      <c r="BX65" s="207"/>
      <c r="BY65" s="207"/>
      <c r="BZ65" s="207"/>
      <c r="CA65" s="207"/>
      <c r="CB65" s="207"/>
      <c r="CC65" s="207"/>
      <c r="CD65" s="207"/>
      <c r="CE65" s="207"/>
      <c r="CF65" s="207"/>
      <c r="CG65" s="207"/>
      <c r="CH65" s="207"/>
      <c r="CI65" s="207"/>
      <c r="CJ65" s="207"/>
      <c r="CK65" s="207"/>
      <c r="CL65" s="207"/>
      <c r="CM65" s="207"/>
      <c r="CN65" s="207"/>
      <c r="CO65" s="207"/>
      <c r="CP65" s="207"/>
      <c r="CQ65" s="207"/>
      <c r="CR65" s="207"/>
      <c r="CS65" s="207"/>
      <c r="CT65" s="207"/>
      <c r="CU65" s="207"/>
      <c r="CV65" s="207"/>
      <c r="CW65" s="207"/>
      <c r="CX65" s="207"/>
      <c r="CY65" s="207"/>
      <c r="CZ65" s="207"/>
      <c r="DA65" s="207"/>
      <c r="DB65" s="207"/>
      <c r="DC65" s="207"/>
      <c r="DD65" s="207"/>
    </row>
    <row r="66">
      <c r="A66" s="204"/>
      <c r="B66" s="205"/>
      <c r="C66" s="204"/>
      <c r="D66" s="206"/>
      <c r="E66" s="207"/>
      <c r="F66" s="207"/>
      <c r="G66" s="207"/>
      <c r="H66" s="208"/>
      <c r="I66" s="208"/>
      <c r="J66" s="208"/>
      <c r="K66" s="208"/>
      <c r="L66" s="208"/>
      <c r="M66" s="208"/>
      <c r="N66" s="208"/>
      <c r="O66" s="208"/>
      <c r="P66" s="208"/>
      <c r="Q66" s="208"/>
      <c r="R66" s="208"/>
      <c r="S66" s="208"/>
      <c r="T66" s="207"/>
      <c r="U66" s="207"/>
      <c r="V66" s="207"/>
      <c r="W66" s="207"/>
      <c r="X66" s="207"/>
      <c r="Y66" s="207"/>
      <c r="Z66" s="209"/>
      <c r="AA66" s="209"/>
      <c r="AB66" s="209"/>
      <c r="AC66" s="209"/>
      <c r="AD66" s="209"/>
      <c r="AE66" s="209"/>
      <c r="AF66" s="209"/>
      <c r="AG66" s="209"/>
      <c r="AH66" s="209"/>
      <c r="AI66" s="209"/>
      <c r="AJ66" s="209"/>
      <c r="AK66" s="209"/>
      <c r="AL66" s="209"/>
      <c r="AM66" s="209"/>
      <c r="AN66" s="207"/>
      <c r="AO66" s="207"/>
      <c r="AP66" s="207"/>
      <c r="AQ66" s="207"/>
      <c r="AR66" s="207"/>
      <c r="AS66" s="207"/>
      <c r="AT66" s="207"/>
      <c r="AU66" s="207"/>
      <c r="AV66" s="207"/>
      <c r="AW66" s="207"/>
      <c r="AX66" s="207"/>
      <c r="AY66" s="207"/>
      <c r="AZ66" s="207"/>
      <c r="BA66" s="207"/>
      <c r="BB66" s="207"/>
      <c r="BC66" s="207"/>
      <c r="BD66" s="207"/>
      <c r="BE66" s="207"/>
      <c r="BF66" s="207"/>
      <c r="BG66" s="207"/>
      <c r="BH66" s="207"/>
      <c r="BI66" s="207"/>
      <c r="BJ66" s="207"/>
      <c r="BK66" s="207"/>
      <c r="BL66" s="207"/>
      <c r="BM66" s="207"/>
      <c r="BN66" s="207"/>
      <c r="BO66" s="207"/>
      <c r="BP66" s="207"/>
      <c r="BQ66" s="207"/>
      <c r="BR66" s="207"/>
      <c r="BS66" s="207"/>
      <c r="BT66" s="207"/>
      <c r="BU66" s="207"/>
      <c r="BV66" s="207"/>
      <c r="BW66" s="207"/>
      <c r="BX66" s="207"/>
      <c r="BY66" s="207"/>
      <c r="BZ66" s="207"/>
      <c r="CA66" s="207"/>
      <c r="CB66" s="207"/>
      <c r="CC66" s="207"/>
      <c r="CD66" s="207"/>
      <c r="CE66" s="207"/>
      <c r="CF66" s="207"/>
      <c r="CG66" s="207"/>
      <c r="CH66" s="207"/>
      <c r="CI66" s="207"/>
      <c r="CJ66" s="207"/>
      <c r="CK66" s="207"/>
      <c r="CL66" s="207"/>
      <c r="CM66" s="207"/>
      <c r="CN66" s="207"/>
      <c r="CO66" s="207"/>
      <c r="CP66" s="207"/>
      <c r="CQ66" s="207"/>
      <c r="CR66" s="207"/>
      <c r="CS66" s="207"/>
      <c r="CT66" s="207"/>
      <c r="CU66" s="207"/>
      <c r="CV66" s="207"/>
      <c r="CW66" s="207"/>
      <c r="CX66" s="207"/>
      <c r="CY66" s="207"/>
      <c r="CZ66" s="207"/>
      <c r="DA66" s="207"/>
      <c r="DB66" s="207"/>
      <c r="DC66" s="207"/>
      <c r="DD66" s="207"/>
    </row>
    <row r="67">
      <c r="A67" s="204"/>
      <c r="B67" s="205"/>
      <c r="C67" s="204"/>
      <c r="D67" s="206"/>
      <c r="E67" s="207"/>
      <c r="F67" s="207"/>
      <c r="G67" s="207"/>
      <c r="H67" s="208"/>
      <c r="I67" s="208"/>
      <c r="J67" s="208"/>
      <c r="K67" s="208"/>
      <c r="L67" s="208"/>
      <c r="M67" s="208"/>
      <c r="N67" s="208"/>
      <c r="O67" s="208"/>
      <c r="P67" s="208"/>
      <c r="Q67" s="208"/>
      <c r="R67" s="208"/>
      <c r="S67" s="208"/>
      <c r="T67" s="207"/>
      <c r="U67" s="207"/>
      <c r="V67" s="207"/>
      <c r="W67" s="207"/>
      <c r="X67" s="207"/>
      <c r="Y67" s="207"/>
      <c r="Z67" s="209"/>
      <c r="AA67" s="209"/>
      <c r="AB67" s="209"/>
      <c r="AC67" s="209"/>
      <c r="AD67" s="209"/>
      <c r="AE67" s="209"/>
      <c r="AF67" s="209"/>
      <c r="AG67" s="209"/>
      <c r="AH67" s="209"/>
      <c r="AI67" s="209"/>
      <c r="AJ67" s="209"/>
      <c r="AK67" s="209"/>
      <c r="AL67" s="209"/>
      <c r="AM67" s="209"/>
      <c r="AN67" s="207"/>
      <c r="AO67" s="207"/>
      <c r="AP67" s="207"/>
      <c r="AQ67" s="207"/>
      <c r="AR67" s="207"/>
      <c r="AS67" s="207"/>
      <c r="AT67" s="207"/>
      <c r="AU67" s="207"/>
      <c r="AV67" s="207"/>
      <c r="AW67" s="207"/>
      <c r="AX67" s="207"/>
      <c r="AY67" s="207"/>
      <c r="AZ67" s="207"/>
      <c r="BA67" s="207"/>
      <c r="BB67" s="207"/>
      <c r="BC67" s="207"/>
      <c r="BD67" s="207"/>
      <c r="BE67" s="207"/>
      <c r="BF67" s="207"/>
      <c r="BG67" s="207"/>
      <c r="BH67" s="207"/>
      <c r="BI67" s="207"/>
      <c r="BJ67" s="207"/>
      <c r="BK67" s="207"/>
      <c r="BL67" s="207"/>
      <c r="BM67" s="207"/>
      <c r="BN67" s="207"/>
      <c r="BO67" s="207"/>
      <c r="BP67" s="207"/>
      <c r="BQ67" s="207"/>
      <c r="BR67" s="207"/>
      <c r="BS67" s="207"/>
      <c r="BT67" s="207"/>
      <c r="BU67" s="207"/>
      <c r="BV67" s="207"/>
      <c r="BW67" s="207"/>
      <c r="BX67" s="207"/>
      <c r="BY67" s="207"/>
      <c r="BZ67" s="207"/>
      <c r="CA67" s="207"/>
      <c r="CB67" s="207"/>
      <c r="CC67" s="207"/>
      <c r="CD67" s="207"/>
      <c r="CE67" s="207"/>
      <c r="CF67" s="207"/>
      <c r="CG67" s="207"/>
      <c r="CH67" s="207"/>
      <c r="CI67" s="207"/>
      <c r="CJ67" s="207"/>
      <c r="CK67" s="207"/>
      <c r="CL67" s="207"/>
      <c r="CM67" s="207"/>
      <c r="CN67" s="207"/>
      <c r="CO67" s="207"/>
      <c r="CP67" s="207"/>
      <c r="CQ67" s="207"/>
      <c r="CR67" s="207"/>
      <c r="CS67" s="207"/>
      <c r="CT67" s="207"/>
      <c r="CU67" s="207"/>
      <c r="CV67" s="207"/>
      <c r="CW67" s="207"/>
      <c r="CX67" s="207"/>
      <c r="CY67" s="207"/>
      <c r="CZ67" s="207"/>
      <c r="DA67" s="207"/>
      <c r="DB67" s="207"/>
      <c r="DC67" s="207"/>
      <c r="DD67" s="207"/>
    </row>
    <row r="68">
      <c r="A68" s="204"/>
      <c r="B68" s="205"/>
      <c r="C68" s="204"/>
      <c r="D68" s="206"/>
      <c r="E68" s="207"/>
      <c r="F68" s="207"/>
      <c r="G68" s="207"/>
      <c r="H68" s="208"/>
      <c r="I68" s="208"/>
      <c r="J68" s="208"/>
      <c r="K68" s="208"/>
      <c r="L68" s="208"/>
      <c r="M68" s="208"/>
      <c r="N68" s="208"/>
      <c r="O68" s="208"/>
      <c r="P68" s="208"/>
      <c r="Q68" s="208"/>
      <c r="R68" s="208"/>
      <c r="S68" s="208"/>
      <c r="T68" s="207"/>
      <c r="U68" s="207"/>
      <c r="V68" s="207"/>
      <c r="W68" s="207"/>
      <c r="X68" s="207"/>
      <c r="Y68" s="207"/>
      <c r="Z68" s="209"/>
      <c r="AA68" s="209"/>
      <c r="AB68" s="209"/>
      <c r="AC68" s="209"/>
      <c r="AD68" s="209"/>
      <c r="AE68" s="209"/>
      <c r="AF68" s="209"/>
      <c r="AG68" s="209"/>
      <c r="AH68" s="209"/>
      <c r="AI68" s="209"/>
      <c r="AJ68" s="209"/>
      <c r="AK68" s="209"/>
      <c r="AL68" s="209"/>
      <c r="AM68" s="209"/>
      <c r="AN68" s="207"/>
      <c r="AO68" s="207"/>
      <c r="AP68" s="207"/>
      <c r="AQ68" s="207"/>
      <c r="AR68" s="207"/>
      <c r="AS68" s="207"/>
      <c r="AT68" s="207"/>
      <c r="AU68" s="207"/>
      <c r="AV68" s="207"/>
      <c r="AW68" s="207"/>
      <c r="AX68" s="207"/>
      <c r="AY68" s="207"/>
      <c r="AZ68" s="207"/>
      <c r="BA68" s="207"/>
      <c r="BB68" s="207"/>
      <c r="BC68" s="207"/>
      <c r="BD68" s="207"/>
      <c r="BE68" s="207"/>
      <c r="BF68" s="207"/>
      <c r="BG68" s="207"/>
      <c r="BH68" s="207"/>
      <c r="BI68" s="207"/>
      <c r="BJ68" s="207"/>
      <c r="BK68" s="207"/>
      <c r="BL68" s="207"/>
      <c r="BM68" s="207"/>
      <c r="BN68" s="207"/>
      <c r="BO68" s="207"/>
      <c r="BP68" s="207"/>
      <c r="BQ68" s="207"/>
      <c r="BR68" s="207"/>
      <c r="BS68" s="207"/>
      <c r="BT68" s="207"/>
      <c r="BU68" s="207"/>
      <c r="BV68" s="207"/>
      <c r="BW68" s="207"/>
      <c r="BX68" s="207"/>
      <c r="BY68" s="207"/>
      <c r="BZ68" s="207"/>
      <c r="CA68" s="207"/>
      <c r="CB68" s="207"/>
      <c r="CC68" s="207"/>
      <c r="CD68" s="207"/>
      <c r="CE68" s="207"/>
      <c r="CF68" s="207"/>
      <c r="CG68" s="207"/>
      <c r="CH68" s="207"/>
      <c r="CI68" s="207"/>
      <c r="CJ68" s="207"/>
      <c r="CK68" s="207"/>
      <c r="CL68" s="207"/>
      <c r="CM68" s="207"/>
      <c r="CN68" s="207"/>
      <c r="CO68" s="207"/>
      <c r="CP68" s="207"/>
      <c r="CQ68" s="207"/>
      <c r="CR68" s="207"/>
      <c r="CS68" s="207"/>
      <c r="CT68" s="207"/>
      <c r="CU68" s="207"/>
      <c r="CV68" s="207"/>
      <c r="CW68" s="207"/>
      <c r="CX68" s="207"/>
      <c r="CY68" s="207"/>
      <c r="CZ68" s="207"/>
      <c r="DA68" s="207"/>
      <c r="DB68" s="207"/>
      <c r="DC68" s="207"/>
      <c r="DD68" s="207"/>
    </row>
    <row r="69">
      <c r="A69" s="204"/>
      <c r="B69" s="205"/>
      <c r="C69" s="204"/>
      <c r="D69" s="206"/>
      <c r="E69" s="207"/>
      <c r="F69" s="207"/>
      <c r="G69" s="207"/>
      <c r="H69" s="208"/>
      <c r="I69" s="208"/>
      <c r="J69" s="208"/>
      <c r="K69" s="208"/>
      <c r="L69" s="208"/>
      <c r="M69" s="208"/>
      <c r="N69" s="208"/>
      <c r="O69" s="208"/>
      <c r="P69" s="208"/>
      <c r="Q69" s="208"/>
      <c r="R69" s="208"/>
      <c r="S69" s="208"/>
      <c r="T69" s="207"/>
      <c r="U69" s="207"/>
      <c r="V69" s="207"/>
      <c r="W69" s="207"/>
      <c r="X69" s="207"/>
      <c r="Y69" s="207"/>
      <c r="Z69" s="209"/>
      <c r="AA69" s="209"/>
      <c r="AB69" s="209"/>
      <c r="AC69" s="209"/>
      <c r="AD69" s="209"/>
      <c r="AE69" s="209"/>
      <c r="AF69" s="209"/>
      <c r="AG69" s="209"/>
      <c r="AH69" s="209"/>
      <c r="AI69" s="209"/>
      <c r="AJ69" s="209"/>
      <c r="AK69" s="209"/>
      <c r="AL69" s="209"/>
      <c r="AM69" s="209"/>
      <c r="AN69" s="207"/>
      <c r="AO69" s="207"/>
      <c r="AP69" s="207"/>
      <c r="AQ69" s="207"/>
      <c r="AR69" s="207"/>
      <c r="AS69" s="207"/>
      <c r="AT69" s="207"/>
      <c r="AU69" s="207"/>
      <c r="AV69" s="207"/>
      <c r="AW69" s="207"/>
      <c r="AX69" s="207"/>
      <c r="AY69" s="207"/>
      <c r="AZ69" s="207"/>
      <c r="BA69" s="207"/>
      <c r="BB69" s="207"/>
      <c r="BC69" s="207"/>
      <c r="BD69" s="207"/>
      <c r="BE69" s="207"/>
      <c r="BF69" s="207"/>
      <c r="BG69" s="207"/>
      <c r="BH69" s="207"/>
      <c r="BI69" s="207"/>
      <c r="BJ69" s="207"/>
      <c r="BK69" s="207"/>
      <c r="BL69" s="207"/>
      <c r="BM69" s="207"/>
      <c r="BN69" s="207"/>
      <c r="BO69" s="207"/>
      <c r="BP69" s="207"/>
      <c r="BQ69" s="207"/>
      <c r="BR69" s="207"/>
      <c r="BS69" s="207"/>
      <c r="BT69" s="207"/>
      <c r="BU69" s="207"/>
      <c r="BV69" s="207"/>
      <c r="BW69" s="207"/>
      <c r="BX69" s="207"/>
      <c r="BY69" s="207"/>
      <c r="BZ69" s="207"/>
      <c r="CA69" s="207"/>
      <c r="CB69" s="207"/>
      <c r="CC69" s="207"/>
      <c r="CD69" s="207"/>
      <c r="CE69" s="207"/>
      <c r="CF69" s="207"/>
      <c r="CG69" s="207"/>
      <c r="CH69" s="207"/>
      <c r="CI69" s="207"/>
      <c r="CJ69" s="207"/>
      <c r="CK69" s="207"/>
      <c r="CL69" s="207"/>
      <c r="CM69" s="207"/>
      <c r="CN69" s="207"/>
      <c r="CO69" s="207"/>
      <c r="CP69" s="207"/>
      <c r="CQ69" s="207"/>
      <c r="CR69" s="207"/>
      <c r="CS69" s="207"/>
      <c r="CT69" s="207"/>
      <c r="CU69" s="207"/>
      <c r="CV69" s="207"/>
      <c r="CW69" s="207"/>
      <c r="CX69" s="207"/>
      <c r="CY69" s="207"/>
      <c r="CZ69" s="207"/>
      <c r="DA69" s="207"/>
      <c r="DB69" s="207"/>
      <c r="DC69" s="207"/>
      <c r="DD69" s="207"/>
    </row>
    <row r="70">
      <c r="A70" s="204"/>
      <c r="B70" s="205"/>
      <c r="C70" s="204"/>
      <c r="D70" s="206"/>
      <c r="E70" s="207"/>
      <c r="F70" s="207"/>
      <c r="G70" s="207"/>
      <c r="H70" s="208"/>
      <c r="I70" s="208"/>
      <c r="J70" s="208"/>
      <c r="K70" s="208"/>
      <c r="L70" s="208"/>
      <c r="M70" s="208"/>
      <c r="N70" s="208"/>
      <c r="O70" s="208"/>
      <c r="P70" s="208"/>
      <c r="Q70" s="208"/>
      <c r="R70" s="208"/>
      <c r="S70" s="208"/>
      <c r="T70" s="207"/>
      <c r="U70" s="207"/>
      <c r="V70" s="207"/>
      <c r="W70" s="207"/>
      <c r="X70" s="207"/>
      <c r="Y70" s="207"/>
      <c r="Z70" s="209"/>
      <c r="AA70" s="209"/>
      <c r="AB70" s="209"/>
      <c r="AC70" s="209"/>
      <c r="AD70" s="209"/>
      <c r="AE70" s="209"/>
      <c r="AF70" s="209"/>
      <c r="AG70" s="209"/>
      <c r="AH70" s="209"/>
      <c r="AI70" s="209"/>
      <c r="AJ70" s="209"/>
      <c r="AK70" s="209"/>
      <c r="AL70" s="209"/>
      <c r="AM70" s="209"/>
      <c r="AN70" s="207"/>
      <c r="AO70" s="207"/>
      <c r="AP70" s="207"/>
      <c r="AQ70" s="207"/>
      <c r="AR70" s="207"/>
      <c r="AS70" s="207"/>
      <c r="AT70" s="207"/>
      <c r="AU70" s="207"/>
      <c r="AV70" s="207"/>
      <c r="AW70" s="207"/>
      <c r="AX70" s="207"/>
      <c r="AY70" s="207"/>
      <c r="AZ70" s="207"/>
      <c r="BA70" s="207"/>
      <c r="BB70" s="207"/>
      <c r="BC70" s="207"/>
      <c r="BD70" s="207"/>
      <c r="BE70" s="207"/>
      <c r="BF70" s="207"/>
      <c r="BG70" s="207"/>
      <c r="BH70" s="207"/>
      <c r="BI70" s="207"/>
      <c r="BJ70" s="207"/>
      <c r="BK70" s="207"/>
      <c r="BL70" s="207"/>
      <c r="BM70" s="207"/>
      <c r="BN70" s="207"/>
      <c r="BO70" s="207"/>
      <c r="BP70" s="207"/>
      <c r="BQ70" s="207"/>
      <c r="BR70" s="207"/>
      <c r="BS70" s="207"/>
      <c r="BT70" s="207"/>
      <c r="BU70" s="207"/>
      <c r="BV70" s="207"/>
      <c r="BW70" s="207"/>
      <c r="BX70" s="207"/>
      <c r="BY70" s="207"/>
      <c r="BZ70" s="207"/>
      <c r="CA70" s="207"/>
      <c r="CB70" s="207"/>
      <c r="CC70" s="207"/>
      <c r="CD70" s="207"/>
      <c r="CE70" s="207"/>
      <c r="CF70" s="207"/>
      <c r="CG70" s="207"/>
      <c r="CH70" s="207"/>
      <c r="CI70" s="207"/>
      <c r="CJ70" s="207"/>
      <c r="CK70" s="207"/>
      <c r="CL70" s="207"/>
      <c r="CM70" s="207"/>
      <c r="CN70" s="207"/>
      <c r="CO70" s="207"/>
      <c r="CP70" s="207"/>
      <c r="CQ70" s="207"/>
      <c r="CR70" s="207"/>
      <c r="CS70" s="207"/>
      <c r="CT70" s="207"/>
      <c r="CU70" s="207"/>
      <c r="CV70" s="207"/>
      <c r="CW70" s="207"/>
      <c r="CX70" s="207"/>
      <c r="CY70" s="207"/>
      <c r="CZ70" s="207"/>
      <c r="DA70" s="207"/>
      <c r="DB70" s="207"/>
      <c r="DC70" s="207"/>
      <c r="DD70" s="207"/>
    </row>
    <row r="71">
      <c r="A71" s="204"/>
      <c r="B71" s="205"/>
      <c r="C71" s="204"/>
      <c r="D71" s="206"/>
      <c r="E71" s="207"/>
      <c r="F71" s="207"/>
      <c r="G71" s="207"/>
      <c r="H71" s="208"/>
      <c r="I71" s="208"/>
      <c r="J71" s="208"/>
      <c r="K71" s="208"/>
      <c r="L71" s="208"/>
      <c r="M71" s="208"/>
      <c r="N71" s="208"/>
      <c r="O71" s="208"/>
      <c r="P71" s="208"/>
      <c r="Q71" s="208"/>
      <c r="R71" s="208"/>
      <c r="S71" s="208"/>
      <c r="T71" s="207"/>
      <c r="U71" s="207"/>
      <c r="V71" s="207"/>
      <c r="W71" s="207"/>
      <c r="X71" s="207"/>
      <c r="Y71" s="207"/>
      <c r="Z71" s="209"/>
      <c r="AA71" s="209"/>
      <c r="AB71" s="209"/>
      <c r="AC71" s="209"/>
      <c r="AD71" s="209"/>
      <c r="AE71" s="209"/>
      <c r="AF71" s="209"/>
      <c r="AG71" s="209"/>
      <c r="AH71" s="209"/>
      <c r="AI71" s="209"/>
      <c r="AJ71" s="209"/>
      <c r="AK71" s="209"/>
      <c r="AL71" s="209"/>
      <c r="AM71" s="209"/>
      <c r="AN71" s="207"/>
      <c r="AO71" s="207"/>
      <c r="AP71" s="207"/>
      <c r="AQ71" s="207"/>
      <c r="AR71" s="207"/>
      <c r="AS71" s="207"/>
      <c r="AT71" s="207"/>
      <c r="AU71" s="207"/>
      <c r="AV71" s="207"/>
      <c r="AW71" s="207"/>
      <c r="AX71" s="207"/>
      <c r="AY71" s="207"/>
      <c r="AZ71" s="207"/>
      <c r="BA71" s="207"/>
      <c r="BB71" s="207"/>
      <c r="BC71" s="207"/>
      <c r="BD71" s="207"/>
      <c r="BE71" s="207"/>
      <c r="BF71" s="207"/>
      <c r="BG71" s="207"/>
      <c r="BH71" s="207"/>
      <c r="BI71" s="207"/>
      <c r="BJ71" s="207"/>
      <c r="BK71" s="207"/>
      <c r="BL71" s="207"/>
      <c r="BM71" s="207"/>
      <c r="BN71" s="207"/>
      <c r="BO71" s="207"/>
      <c r="BP71" s="207"/>
      <c r="BQ71" s="207"/>
      <c r="BR71" s="207"/>
      <c r="BS71" s="207"/>
      <c r="BT71" s="207"/>
      <c r="BU71" s="207"/>
      <c r="BV71" s="207"/>
      <c r="BW71" s="207"/>
      <c r="BX71" s="207"/>
      <c r="BY71" s="207"/>
      <c r="BZ71" s="207"/>
      <c r="CA71" s="207"/>
      <c r="CB71" s="207"/>
      <c r="CC71" s="207"/>
      <c r="CD71" s="207"/>
      <c r="CE71" s="207"/>
      <c r="CF71" s="207"/>
      <c r="CG71" s="207"/>
      <c r="CH71" s="207"/>
      <c r="CI71" s="207"/>
      <c r="CJ71" s="207"/>
      <c r="CK71" s="207"/>
      <c r="CL71" s="207"/>
      <c r="CM71" s="207"/>
      <c r="CN71" s="207"/>
      <c r="CO71" s="207"/>
      <c r="CP71" s="207"/>
      <c r="CQ71" s="207"/>
      <c r="CR71" s="207"/>
      <c r="CS71" s="207"/>
      <c r="CT71" s="207"/>
      <c r="CU71" s="207"/>
      <c r="CV71" s="207"/>
      <c r="CW71" s="207"/>
      <c r="CX71" s="207"/>
      <c r="CY71" s="207"/>
      <c r="CZ71" s="207"/>
      <c r="DA71" s="207"/>
      <c r="DB71" s="207"/>
      <c r="DC71" s="207"/>
      <c r="DD71" s="207"/>
    </row>
    <row r="72">
      <c r="A72" s="204"/>
      <c r="B72" s="205"/>
      <c r="C72" s="204"/>
      <c r="D72" s="206"/>
      <c r="E72" s="207"/>
      <c r="F72" s="207"/>
      <c r="G72" s="207"/>
      <c r="H72" s="208"/>
      <c r="I72" s="208"/>
      <c r="J72" s="208"/>
      <c r="K72" s="208"/>
      <c r="L72" s="208"/>
      <c r="M72" s="208"/>
      <c r="N72" s="208"/>
      <c r="O72" s="208"/>
      <c r="P72" s="208"/>
      <c r="Q72" s="208"/>
      <c r="R72" s="208"/>
      <c r="S72" s="208"/>
      <c r="T72" s="207"/>
      <c r="U72" s="207"/>
      <c r="V72" s="207"/>
      <c r="W72" s="207"/>
      <c r="X72" s="207"/>
      <c r="Y72" s="207"/>
      <c r="Z72" s="209"/>
      <c r="AA72" s="209"/>
      <c r="AB72" s="209"/>
      <c r="AC72" s="209"/>
      <c r="AD72" s="209"/>
      <c r="AE72" s="209"/>
      <c r="AF72" s="209"/>
      <c r="AG72" s="209"/>
      <c r="AH72" s="209"/>
      <c r="AI72" s="209"/>
      <c r="AJ72" s="209"/>
      <c r="AK72" s="209"/>
      <c r="AL72" s="209"/>
      <c r="AM72" s="209"/>
      <c r="AN72" s="207"/>
      <c r="AO72" s="207"/>
      <c r="AP72" s="207"/>
      <c r="AQ72" s="207"/>
      <c r="AR72" s="207"/>
      <c r="AS72" s="207"/>
      <c r="AT72" s="207"/>
      <c r="AU72" s="207"/>
      <c r="AV72" s="207"/>
      <c r="AW72" s="207"/>
      <c r="AX72" s="207"/>
      <c r="AY72" s="207"/>
      <c r="AZ72" s="207"/>
      <c r="BA72" s="207"/>
      <c r="BB72" s="207"/>
      <c r="BC72" s="207"/>
      <c r="BD72" s="207"/>
      <c r="BE72" s="207"/>
      <c r="BF72" s="207"/>
      <c r="BG72" s="207"/>
      <c r="BH72" s="207"/>
      <c r="BI72" s="207"/>
      <c r="BJ72" s="207"/>
      <c r="BK72" s="207"/>
      <c r="BL72" s="207"/>
      <c r="BM72" s="207"/>
      <c r="BN72" s="207"/>
      <c r="BO72" s="207"/>
      <c r="BP72" s="207"/>
      <c r="BQ72" s="207"/>
      <c r="BR72" s="207"/>
      <c r="BS72" s="207"/>
      <c r="BT72" s="207"/>
      <c r="BU72" s="207"/>
      <c r="BV72" s="207"/>
      <c r="BW72" s="207"/>
      <c r="BX72" s="207"/>
      <c r="BY72" s="207"/>
      <c r="BZ72" s="207"/>
      <c r="CA72" s="207"/>
      <c r="CB72" s="207"/>
      <c r="CC72" s="207"/>
      <c r="CD72" s="207"/>
      <c r="CE72" s="207"/>
      <c r="CF72" s="207"/>
      <c r="CG72" s="207"/>
      <c r="CH72" s="207"/>
      <c r="CI72" s="207"/>
      <c r="CJ72" s="207"/>
      <c r="CK72" s="207"/>
      <c r="CL72" s="207"/>
      <c r="CM72" s="207"/>
      <c r="CN72" s="207"/>
      <c r="CO72" s="207"/>
      <c r="CP72" s="207"/>
      <c r="CQ72" s="207"/>
      <c r="CR72" s="207"/>
      <c r="CS72" s="207"/>
      <c r="CT72" s="207"/>
      <c r="CU72" s="207"/>
      <c r="CV72" s="207"/>
      <c r="CW72" s="207"/>
      <c r="CX72" s="207"/>
      <c r="CY72" s="207"/>
      <c r="CZ72" s="207"/>
      <c r="DA72" s="207"/>
      <c r="DB72" s="207"/>
      <c r="DC72" s="207"/>
      <c r="DD72" s="207"/>
    </row>
    <row r="73">
      <c r="A73" s="204"/>
      <c r="B73" s="205"/>
      <c r="C73" s="204"/>
      <c r="D73" s="206"/>
      <c r="E73" s="207"/>
      <c r="F73" s="207"/>
      <c r="G73" s="207"/>
      <c r="H73" s="208"/>
      <c r="I73" s="208"/>
      <c r="J73" s="208"/>
      <c r="K73" s="208"/>
      <c r="L73" s="208"/>
      <c r="M73" s="208"/>
      <c r="N73" s="208"/>
      <c r="O73" s="208"/>
      <c r="P73" s="208"/>
      <c r="Q73" s="208"/>
      <c r="R73" s="208"/>
      <c r="S73" s="208"/>
      <c r="T73" s="207"/>
      <c r="U73" s="207"/>
      <c r="V73" s="207"/>
      <c r="W73" s="207"/>
      <c r="X73" s="207"/>
      <c r="Y73" s="207"/>
      <c r="Z73" s="209"/>
      <c r="AA73" s="209"/>
      <c r="AB73" s="209"/>
      <c r="AC73" s="209"/>
      <c r="AD73" s="209"/>
      <c r="AE73" s="209"/>
      <c r="AF73" s="209"/>
      <c r="AG73" s="209"/>
      <c r="AH73" s="209"/>
      <c r="AI73" s="209"/>
      <c r="AJ73" s="209"/>
      <c r="AK73" s="209"/>
      <c r="AL73" s="209"/>
      <c r="AM73" s="209"/>
      <c r="AN73" s="207"/>
      <c r="AO73" s="207"/>
      <c r="AP73" s="207"/>
      <c r="AQ73" s="207"/>
      <c r="AR73" s="207"/>
      <c r="AS73" s="207"/>
      <c r="AT73" s="207"/>
      <c r="AU73" s="207"/>
      <c r="AV73" s="207"/>
      <c r="AW73" s="207"/>
      <c r="AX73" s="207"/>
      <c r="AY73" s="207"/>
      <c r="AZ73" s="207"/>
      <c r="BA73" s="207"/>
      <c r="BB73" s="207"/>
      <c r="BC73" s="207"/>
      <c r="BD73" s="207"/>
      <c r="BE73" s="207"/>
      <c r="BF73" s="207"/>
      <c r="BG73" s="207"/>
      <c r="BH73" s="207"/>
      <c r="BI73" s="207"/>
      <c r="BJ73" s="207"/>
      <c r="BK73" s="207"/>
      <c r="BL73" s="207"/>
      <c r="BM73" s="207"/>
      <c r="BN73" s="207"/>
      <c r="BO73" s="207"/>
      <c r="BP73" s="207"/>
      <c r="BQ73" s="207"/>
      <c r="BR73" s="207"/>
      <c r="BS73" s="207"/>
      <c r="BT73" s="207"/>
      <c r="BU73" s="207"/>
      <c r="BV73" s="207"/>
      <c r="BW73" s="207"/>
      <c r="BX73" s="207"/>
      <c r="BY73" s="207"/>
      <c r="BZ73" s="207"/>
      <c r="CA73" s="207"/>
      <c r="CB73" s="207"/>
      <c r="CC73" s="207"/>
      <c r="CD73" s="207"/>
      <c r="CE73" s="207"/>
      <c r="CF73" s="207"/>
      <c r="CG73" s="207"/>
      <c r="CH73" s="207"/>
      <c r="CI73" s="207"/>
      <c r="CJ73" s="207"/>
      <c r="CK73" s="207"/>
      <c r="CL73" s="207"/>
      <c r="CM73" s="207"/>
      <c r="CN73" s="207"/>
      <c r="CO73" s="207"/>
      <c r="CP73" s="207"/>
      <c r="CQ73" s="207"/>
      <c r="CR73" s="207"/>
      <c r="CS73" s="207"/>
      <c r="CT73" s="207"/>
      <c r="CU73" s="207"/>
      <c r="CV73" s="207"/>
      <c r="CW73" s="207"/>
      <c r="CX73" s="207"/>
      <c r="CY73" s="207"/>
      <c r="CZ73" s="207"/>
      <c r="DA73" s="207"/>
      <c r="DB73" s="207"/>
      <c r="DC73" s="207"/>
      <c r="DD73" s="207"/>
    </row>
    <row r="74">
      <c r="A74" s="204"/>
      <c r="B74" s="205"/>
      <c r="C74" s="204"/>
      <c r="D74" s="206"/>
      <c r="E74" s="207"/>
      <c r="F74" s="207"/>
      <c r="G74" s="207"/>
      <c r="H74" s="208"/>
      <c r="I74" s="208"/>
      <c r="J74" s="208"/>
      <c r="K74" s="208"/>
      <c r="L74" s="208"/>
      <c r="M74" s="208"/>
      <c r="N74" s="208"/>
      <c r="O74" s="208"/>
      <c r="P74" s="208"/>
      <c r="Q74" s="208"/>
      <c r="R74" s="208"/>
      <c r="S74" s="208"/>
      <c r="T74" s="207"/>
      <c r="U74" s="207"/>
      <c r="V74" s="207"/>
      <c r="W74" s="207"/>
      <c r="X74" s="207"/>
      <c r="Y74" s="207"/>
      <c r="Z74" s="209"/>
      <c r="AA74" s="209"/>
      <c r="AB74" s="209"/>
      <c r="AC74" s="209"/>
      <c r="AD74" s="209"/>
      <c r="AE74" s="209"/>
      <c r="AF74" s="209"/>
      <c r="AG74" s="209"/>
      <c r="AH74" s="209"/>
      <c r="AI74" s="209"/>
      <c r="AJ74" s="209"/>
      <c r="AK74" s="209"/>
      <c r="AL74" s="209"/>
      <c r="AM74" s="209"/>
      <c r="AN74" s="207"/>
      <c r="AO74" s="207"/>
      <c r="AP74" s="207"/>
      <c r="AQ74" s="207"/>
      <c r="AR74" s="207"/>
      <c r="AS74" s="207"/>
      <c r="AT74" s="207"/>
      <c r="AU74" s="207"/>
      <c r="AV74" s="207"/>
      <c r="AW74" s="207"/>
      <c r="AX74" s="207"/>
      <c r="AY74" s="207"/>
      <c r="AZ74" s="207"/>
      <c r="BA74" s="207"/>
      <c r="BB74" s="207"/>
      <c r="BC74" s="207"/>
      <c r="BD74" s="207"/>
      <c r="BE74" s="207"/>
      <c r="BF74" s="207"/>
      <c r="BG74" s="207"/>
      <c r="BH74" s="207"/>
      <c r="BI74" s="207"/>
      <c r="BJ74" s="207"/>
      <c r="BK74" s="207"/>
      <c r="BL74" s="207"/>
      <c r="BM74" s="207"/>
      <c r="BN74" s="207"/>
      <c r="BO74" s="207"/>
      <c r="BP74" s="207"/>
      <c r="BQ74" s="207"/>
      <c r="BR74" s="207"/>
      <c r="BS74" s="207"/>
      <c r="BT74" s="207"/>
      <c r="BU74" s="207"/>
      <c r="BV74" s="207"/>
      <c r="BW74" s="207"/>
      <c r="BX74" s="207"/>
      <c r="BY74" s="207"/>
      <c r="BZ74" s="207"/>
      <c r="CA74" s="207"/>
      <c r="CB74" s="207"/>
      <c r="CC74" s="207"/>
      <c r="CD74" s="207"/>
      <c r="CE74" s="207"/>
      <c r="CF74" s="207"/>
      <c r="CG74" s="207"/>
      <c r="CH74" s="207"/>
      <c r="CI74" s="207"/>
      <c r="CJ74" s="207"/>
      <c r="CK74" s="207"/>
      <c r="CL74" s="207"/>
      <c r="CM74" s="207"/>
      <c r="CN74" s="207"/>
      <c r="CO74" s="207"/>
      <c r="CP74" s="207"/>
      <c r="CQ74" s="207"/>
      <c r="CR74" s="207"/>
      <c r="CS74" s="207"/>
      <c r="CT74" s="207"/>
      <c r="CU74" s="207"/>
      <c r="CV74" s="207"/>
      <c r="CW74" s="207"/>
      <c r="CX74" s="207"/>
      <c r="CY74" s="207"/>
      <c r="CZ74" s="207"/>
      <c r="DA74" s="207"/>
      <c r="DB74" s="207"/>
      <c r="DC74" s="207"/>
      <c r="DD74" s="207"/>
    </row>
    <row r="75">
      <c r="A75" s="204"/>
      <c r="B75" s="205"/>
      <c r="C75" s="204"/>
      <c r="D75" s="206"/>
      <c r="E75" s="207"/>
      <c r="F75" s="207"/>
      <c r="G75" s="207"/>
      <c r="H75" s="208"/>
      <c r="I75" s="208"/>
      <c r="J75" s="208"/>
      <c r="K75" s="208"/>
      <c r="L75" s="208"/>
      <c r="M75" s="208"/>
      <c r="N75" s="208"/>
      <c r="O75" s="208"/>
      <c r="P75" s="208"/>
      <c r="Q75" s="208"/>
      <c r="R75" s="208"/>
      <c r="S75" s="208"/>
      <c r="T75" s="207"/>
      <c r="U75" s="207"/>
      <c r="V75" s="207"/>
      <c r="W75" s="207"/>
      <c r="X75" s="207"/>
      <c r="Y75" s="207"/>
      <c r="Z75" s="209"/>
      <c r="AA75" s="209"/>
      <c r="AB75" s="209"/>
      <c r="AC75" s="209"/>
      <c r="AD75" s="209"/>
      <c r="AE75" s="209"/>
      <c r="AF75" s="209"/>
      <c r="AG75" s="209"/>
      <c r="AH75" s="209"/>
      <c r="AI75" s="209"/>
      <c r="AJ75" s="209"/>
      <c r="AK75" s="209"/>
      <c r="AL75" s="209"/>
      <c r="AM75" s="209"/>
      <c r="AN75" s="207"/>
      <c r="AO75" s="207"/>
      <c r="AP75" s="207"/>
      <c r="AQ75" s="207"/>
      <c r="AR75" s="207"/>
      <c r="AS75" s="207"/>
      <c r="AT75" s="207"/>
      <c r="AU75" s="207"/>
      <c r="AV75" s="207"/>
      <c r="AW75" s="207"/>
      <c r="AX75" s="207"/>
      <c r="AY75" s="207"/>
      <c r="AZ75" s="207"/>
      <c r="BA75" s="207"/>
      <c r="BB75" s="207"/>
      <c r="BC75" s="207"/>
      <c r="BD75" s="207"/>
      <c r="BE75" s="207"/>
      <c r="BF75" s="207"/>
      <c r="BG75" s="207"/>
      <c r="BH75" s="207"/>
      <c r="BI75" s="207"/>
      <c r="BJ75" s="207"/>
      <c r="BK75" s="207"/>
      <c r="BL75" s="207"/>
      <c r="BM75" s="207"/>
      <c r="BN75" s="207"/>
      <c r="BO75" s="207"/>
      <c r="BP75" s="207"/>
      <c r="BQ75" s="207"/>
      <c r="BR75" s="207"/>
      <c r="BS75" s="207"/>
      <c r="BT75" s="207"/>
      <c r="BU75" s="207"/>
      <c r="BV75" s="207"/>
      <c r="BW75" s="207"/>
      <c r="BX75" s="207"/>
      <c r="BY75" s="207"/>
      <c r="BZ75" s="207"/>
      <c r="CA75" s="207"/>
      <c r="CB75" s="207"/>
      <c r="CC75" s="207"/>
      <c r="CD75" s="207"/>
      <c r="CE75" s="207"/>
      <c r="CF75" s="207"/>
      <c r="CG75" s="207"/>
      <c r="CH75" s="207"/>
      <c r="CI75" s="207"/>
      <c r="CJ75" s="207"/>
      <c r="CK75" s="207"/>
      <c r="CL75" s="207"/>
      <c r="CM75" s="207"/>
      <c r="CN75" s="207"/>
      <c r="CO75" s="207"/>
      <c r="CP75" s="207"/>
      <c r="CQ75" s="207"/>
      <c r="CR75" s="207"/>
      <c r="CS75" s="207"/>
      <c r="CT75" s="207"/>
      <c r="CU75" s="207"/>
      <c r="CV75" s="207"/>
      <c r="CW75" s="207"/>
      <c r="CX75" s="207"/>
      <c r="CY75" s="207"/>
      <c r="CZ75" s="207"/>
      <c r="DA75" s="207"/>
      <c r="DB75" s="207"/>
      <c r="DC75" s="207"/>
      <c r="DD75" s="207"/>
    </row>
    <row r="76">
      <c r="A76" s="204"/>
      <c r="B76" s="205"/>
      <c r="C76" s="204"/>
      <c r="D76" s="206"/>
      <c r="E76" s="207"/>
      <c r="F76" s="207"/>
      <c r="G76" s="207"/>
      <c r="H76" s="208"/>
      <c r="I76" s="208"/>
      <c r="J76" s="208"/>
      <c r="K76" s="208"/>
      <c r="L76" s="208"/>
      <c r="M76" s="208"/>
      <c r="N76" s="208"/>
      <c r="O76" s="208"/>
      <c r="P76" s="208"/>
      <c r="Q76" s="208"/>
      <c r="R76" s="208"/>
      <c r="S76" s="208"/>
      <c r="T76" s="207"/>
      <c r="U76" s="207"/>
      <c r="V76" s="207"/>
      <c r="W76" s="207"/>
      <c r="X76" s="207"/>
      <c r="Y76" s="207"/>
      <c r="Z76" s="209"/>
      <c r="AA76" s="209"/>
      <c r="AB76" s="209"/>
      <c r="AC76" s="209"/>
      <c r="AD76" s="209"/>
      <c r="AE76" s="209"/>
      <c r="AF76" s="209"/>
      <c r="AG76" s="209"/>
      <c r="AH76" s="209"/>
      <c r="AI76" s="209"/>
      <c r="AJ76" s="209"/>
      <c r="AK76" s="209"/>
      <c r="AL76" s="209"/>
      <c r="AM76" s="209"/>
      <c r="AN76" s="207"/>
      <c r="AO76" s="207"/>
      <c r="AP76" s="207"/>
      <c r="AQ76" s="207"/>
      <c r="AR76" s="207"/>
      <c r="AS76" s="207"/>
      <c r="AT76" s="207"/>
      <c r="AU76" s="207"/>
      <c r="AV76" s="207"/>
      <c r="AW76" s="207"/>
      <c r="AX76" s="207"/>
      <c r="AY76" s="207"/>
      <c r="AZ76" s="207"/>
      <c r="BA76" s="207"/>
      <c r="BB76" s="207"/>
      <c r="BC76" s="207"/>
      <c r="BD76" s="207"/>
      <c r="BE76" s="207"/>
      <c r="BF76" s="207"/>
      <c r="BG76" s="207"/>
      <c r="BH76" s="207"/>
      <c r="BI76" s="207"/>
      <c r="BJ76" s="207"/>
      <c r="BK76" s="207"/>
      <c r="BL76" s="207"/>
      <c r="BM76" s="207"/>
      <c r="BN76" s="207"/>
      <c r="BO76" s="207"/>
      <c r="BP76" s="207"/>
      <c r="BQ76" s="207"/>
      <c r="BR76" s="207"/>
      <c r="BS76" s="207"/>
      <c r="BT76" s="207"/>
      <c r="BU76" s="207"/>
      <c r="BV76" s="207"/>
      <c r="BW76" s="207"/>
      <c r="BX76" s="207"/>
      <c r="BY76" s="207"/>
      <c r="BZ76" s="207"/>
      <c r="CA76" s="207"/>
      <c r="CB76" s="207"/>
      <c r="CC76" s="207"/>
      <c r="CD76" s="207"/>
      <c r="CE76" s="207"/>
      <c r="CF76" s="207"/>
      <c r="CG76" s="207"/>
      <c r="CH76" s="207"/>
      <c r="CI76" s="207"/>
      <c r="CJ76" s="207"/>
      <c r="CK76" s="207"/>
      <c r="CL76" s="207"/>
      <c r="CM76" s="207"/>
      <c r="CN76" s="207"/>
      <c r="CO76" s="207"/>
      <c r="CP76" s="207"/>
      <c r="CQ76" s="207"/>
      <c r="CR76" s="207"/>
      <c r="CS76" s="207"/>
      <c r="CT76" s="207"/>
      <c r="CU76" s="207"/>
      <c r="CV76" s="207"/>
      <c r="CW76" s="207"/>
      <c r="CX76" s="207"/>
      <c r="CY76" s="207"/>
      <c r="CZ76" s="207"/>
      <c r="DA76" s="207"/>
      <c r="DB76" s="207"/>
      <c r="DC76" s="207"/>
      <c r="DD76" s="207"/>
    </row>
    <row r="77">
      <c r="A77" s="204"/>
      <c r="B77" s="205"/>
      <c r="C77" s="204"/>
      <c r="D77" s="206"/>
      <c r="E77" s="207"/>
      <c r="F77" s="207"/>
      <c r="G77" s="207"/>
      <c r="H77" s="208"/>
      <c r="I77" s="208"/>
      <c r="J77" s="208"/>
      <c r="K77" s="208"/>
      <c r="L77" s="208"/>
      <c r="M77" s="208"/>
      <c r="N77" s="208"/>
      <c r="O77" s="208"/>
      <c r="P77" s="208"/>
      <c r="Q77" s="208"/>
      <c r="R77" s="208"/>
      <c r="S77" s="208"/>
      <c r="T77" s="207"/>
      <c r="U77" s="207"/>
      <c r="V77" s="207"/>
      <c r="W77" s="207"/>
      <c r="X77" s="207"/>
      <c r="Y77" s="207"/>
      <c r="Z77" s="209"/>
      <c r="AA77" s="209"/>
      <c r="AB77" s="209"/>
      <c r="AC77" s="209"/>
      <c r="AD77" s="209"/>
      <c r="AE77" s="209"/>
      <c r="AF77" s="209"/>
      <c r="AG77" s="209"/>
      <c r="AH77" s="209"/>
      <c r="AI77" s="209"/>
      <c r="AJ77" s="209"/>
      <c r="AK77" s="209"/>
      <c r="AL77" s="209"/>
      <c r="AM77" s="209"/>
      <c r="AN77" s="207"/>
      <c r="AO77" s="207"/>
      <c r="AP77" s="207"/>
      <c r="AQ77" s="207"/>
      <c r="AR77" s="207"/>
      <c r="AS77" s="207"/>
      <c r="AT77" s="207"/>
      <c r="AU77" s="207"/>
      <c r="AV77" s="207"/>
      <c r="AW77" s="207"/>
      <c r="AX77" s="207"/>
      <c r="AY77" s="207"/>
      <c r="AZ77" s="207"/>
      <c r="BA77" s="207"/>
      <c r="BB77" s="207"/>
      <c r="BC77" s="207"/>
      <c r="BD77" s="207"/>
      <c r="BE77" s="207"/>
      <c r="BF77" s="207"/>
      <c r="BG77" s="207"/>
      <c r="BH77" s="207"/>
      <c r="BI77" s="207"/>
      <c r="BJ77" s="207"/>
      <c r="BK77" s="207"/>
      <c r="BL77" s="207"/>
      <c r="BM77" s="207"/>
      <c r="BN77" s="207"/>
      <c r="BO77" s="207"/>
      <c r="BP77" s="207"/>
      <c r="BQ77" s="207"/>
      <c r="BR77" s="207"/>
      <c r="BS77" s="207"/>
      <c r="BT77" s="207"/>
      <c r="BU77" s="207"/>
      <c r="BV77" s="207"/>
      <c r="BW77" s="207"/>
      <c r="BX77" s="207"/>
      <c r="BY77" s="207"/>
      <c r="BZ77" s="207"/>
      <c r="CA77" s="207"/>
      <c r="CB77" s="207"/>
      <c r="CC77" s="207"/>
      <c r="CD77" s="207"/>
      <c r="CE77" s="207"/>
      <c r="CF77" s="207"/>
      <c r="CG77" s="207"/>
      <c r="CH77" s="207"/>
      <c r="CI77" s="207"/>
      <c r="CJ77" s="207"/>
      <c r="CK77" s="207"/>
      <c r="CL77" s="207"/>
      <c r="CM77" s="207"/>
      <c r="CN77" s="207"/>
      <c r="CO77" s="207"/>
      <c r="CP77" s="207"/>
      <c r="CQ77" s="207"/>
      <c r="CR77" s="207"/>
      <c r="CS77" s="207"/>
      <c r="CT77" s="207"/>
      <c r="CU77" s="207"/>
      <c r="CV77" s="207"/>
      <c r="CW77" s="207"/>
      <c r="CX77" s="207"/>
      <c r="CY77" s="207"/>
      <c r="CZ77" s="207"/>
      <c r="DA77" s="207"/>
      <c r="DB77" s="207"/>
      <c r="DC77" s="207"/>
      <c r="DD77" s="207"/>
    </row>
    <row r="78">
      <c r="A78" s="204"/>
      <c r="B78" s="205"/>
      <c r="C78" s="204"/>
      <c r="D78" s="206"/>
      <c r="E78" s="207"/>
      <c r="F78" s="207"/>
      <c r="G78" s="207"/>
      <c r="H78" s="208"/>
      <c r="I78" s="208"/>
      <c r="J78" s="208"/>
      <c r="K78" s="208"/>
      <c r="L78" s="208"/>
      <c r="M78" s="208"/>
      <c r="N78" s="208"/>
      <c r="O78" s="208"/>
      <c r="P78" s="208"/>
      <c r="Q78" s="208"/>
      <c r="R78" s="208"/>
      <c r="S78" s="208"/>
      <c r="T78" s="207"/>
      <c r="U78" s="207"/>
      <c r="V78" s="207"/>
      <c r="W78" s="207"/>
      <c r="X78" s="207"/>
      <c r="Y78" s="207"/>
      <c r="Z78" s="209"/>
      <c r="AA78" s="209"/>
      <c r="AB78" s="209"/>
      <c r="AC78" s="209"/>
      <c r="AD78" s="209"/>
      <c r="AE78" s="209"/>
      <c r="AF78" s="209"/>
      <c r="AG78" s="209"/>
      <c r="AH78" s="209"/>
      <c r="AI78" s="209"/>
      <c r="AJ78" s="209"/>
      <c r="AK78" s="209"/>
      <c r="AL78" s="209"/>
      <c r="AM78" s="209"/>
      <c r="AN78" s="207"/>
      <c r="AO78" s="207"/>
      <c r="AP78" s="207"/>
      <c r="AQ78" s="207"/>
      <c r="AR78" s="207"/>
      <c r="AS78" s="207"/>
      <c r="AT78" s="207"/>
      <c r="AU78" s="207"/>
      <c r="AV78" s="207"/>
      <c r="AW78" s="207"/>
      <c r="AX78" s="207"/>
      <c r="AY78" s="207"/>
      <c r="AZ78" s="207"/>
      <c r="BA78" s="207"/>
      <c r="BB78" s="207"/>
      <c r="BC78" s="207"/>
      <c r="BD78" s="207"/>
      <c r="BE78" s="207"/>
      <c r="BF78" s="207"/>
      <c r="BG78" s="207"/>
      <c r="BH78" s="207"/>
      <c r="BI78" s="207"/>
      <c r="BJ78" s="207"/>
      <c r="BK78" s="207"/>
      <c r="BL78" s="207"/>
      <c r="BM78" s="207"/>
      <c r="BN78" s="207"/>
      <c r="BO78" s="207"/>
      <c r="BP78" s="207"/>
      <c r="BQ78" s="207"/>
      <c r="BR78" s="207"/>
      <c r="BS78" s="207"/>
      <c r="BT78" s="207"/>
      <c r="BU78" s="207"/>
      <c r="BV78" s="207"/>
      <c r="BW78" s="207"/>
      <c r="BX78" s="207"/>
      <c r="BY78" s="207"/>
      <c r="BZ78" s="207"/>
      <c r="CA78" s="207"/>
      <c r="CB78" s="207"/>
      <c r="CC78" s="207"/>
      <c r="CD78" s="207"/>
      <c r="CE78" s="207"/>
      <c r="CF78" s="207"/>
      <c r="CG78" s="207"/>
      <c r="CH78" s="207"/>
      <c r="CI78" s="207"/>
      <c r="CJ78" s="207"/>
      <c r="CK78" s="207"/>
      <c r="CL78" s="207"/>
      <c r="CM78" s="207"/>
      <c r="CN78" s="207"/>
      <c r="CO78" s="207"/>
      <c r="CP78" s="207"/>
      <c r="CQ78" s="207"/>
      <c r="CR78" s="207"/>
      <c r="CS78" s="207"/>
      <c r="CT78" s="207"/>
      <c r="CU78" s="207"/>
      <c r="CV78" s="207"/>
      <c r="CW78" s="207"/>
      <c r="CX78" s="207"/>
      <c r="CY78" s="207"/>
      <c r="CZ78" s="207"/>
      <c r="DA78" s="207"/>
      <c r="DB78" s="207"/>
      <c r="DC78" s="207"/>
      <c r="DD78" s="207"/>
    </row>
    <row r="79">
      <c r="A79" s="204"/>
      <c r="B79" s="205"/>
      <c r="C79" s="204"/>
      <c r="D79" s="206"/>
      <c r="E79" s="207"/>
      <c r="F79" s="207"/>
      <c r="G79" s="207"/>
      <c r="H79" s="208"/>
      <c r="I79" s="208"/>
      <c r="J79" s="208"/>
      <c r="K79" s="208"/>
      <c r="L79" s="208"/>
      <c r="M79" s="208"/>
      <c r="N79" s="208"/>
      <c r="O79" s="208"/>
      <c r="P79" s="208"/>
      <c r="Q79" s="208"/>
      <c r="R79" s="208"/>
      <c r="S79" s="208"/>
      <c r="T79" s="207"/>
      <c r="U79" s="207"/>
      <c r="V79" s="207"/>
      <c r="W79" s="207"/>
      <c r="X79" s="207"/>
      <c r="Y79" s="207"/>
      <c r="Z79" s="209"/>
      <c r="AA79" s="209"/>
      <c r="AB79" s="209"/>
      <c r="AC79" s="209"/>
      <c r="AD79" s="209"/>
      <c r="AE79" s="209"/>
      <c r="AF79" s="209"/>
      <c r="AG79" s="209"/>
      <c r="AH79" s="209"/>
      <c r="AI79" s="209"/>
      <c r="AJ79" s="209"/>
      <c r="AK79" s="209"/>
      <c r="AL79" s="209"/>
      <c r="AM79" s="209"/>
      <c r="AN79" s="207"/>
      <c r="AO79" s="207"/>
      <c r="AP79" s="207"/>
      <c r="AQ79" s="207"/>
      <c r="AR79" s="207"/>
      <c r="AS79" s="207"/>
      <c r="AT79" s="207"/>
      <c r="AU79" s="207"/>
      <c r="AV79" s="207"/>
      <c r="AW79" s="207"/>
      <c r="AX79" s="207"/>
      <c r="AY79" s="207"/>
      <c r="AZ79" s="207"/>
      <c r="BA79" s="207"/>
      <c r="BB79" s="207"/>
      <c r="BC79" s="207"/>
      <c r="BD79" s="207"/>
      <c r="BE79" s="207"/>
      <c r="BF79" s="207"/>
      <c r="BG79" s="207"/>
      <c r="BH79" s="207"/>
      <c r="BI79" s="207"/>
      <c r="BJ79" s="207"/>
      <c r="BK79" s="207"/>
      <c r="BL79" s="207"/>
      <c r="BM79" s="207"/>
      <c r="BN79" s="207"/>
      <c r="BO79" s="207"/>
      <c r="BP79" s="207"/>
      <c r="BQ79" s="207"/>
      <c r="BR79" s="207"/>
      <c r="BS79" s="207"/>
      <c r="BT79" s="207"/>
      <c r="BU79" s="207"/>
      <c r="BV79" s="207"/>
      <c r="BW79" s="207"/>
      <c r="BX79" s="207"/>
      <c r="BY79" s="207"/>
      <c r="BZ79" s="207"/>
      <c r="CA79" s="207"/>
      <c r="CB79" s="207"/>
      <c r="CC79" s="207"/>
      <c r="CD79" s="207"/>
      <c r="CE79" s="207"/>
      <c r="CF79" s="207"/>
      <c r="CG79" s="207"/>
      <c r="CH79" s="207"/>
      <c r="CI79" s="207"/>
      <c r="CJ79" s="207"/>
      <c r="CK79" s="207"/>
      <c r="CL79" s="207"/>
      <c r="CM79" s="207"/>
      <c r="CN79" s="207"/>
      <c r="CO79" s="207"/>
      <c r="CP79" s="207"/>
      <c r="CQ79" s="207"/>
      <c r="CR79" s="207"/>
      <c r="CS79" s="207"/>
      <c r="CT79" s="207"/>
      <c r="CU79" s="207"/>
      <c r="CV79" s="207"/>
      <c r="CW79" s="207"/>
      <c r="CX79" s="207"/>
      <c r="CY79" s="207"/>
      <c r="CZ79" s="207"/>
      <c r="DA79" s="207"/>
      <c r="DB79" s="207"/>
      <c r="DC79" s="207"/>
      <c r="DD79" s="207"/>
    </row>
    <row r="80">
      <c r="A80" s="204"/>
      <c r="B80" s="205"/>
      <c r="C80" s="204"/>
      <c r="D80" s="206"/>
      <c r="E80" s="207"/>
      <c r="F80" s="207"/>
      <c r="G80" s="207"/>
      <c r="H80" s="208"/>
      <c r="I80" s="208"/>
      <c r="J80" s="208"/>
      <c r="K80" s="208"/>
      <c r="L80" s="208"/>
      <c r="M80" s="208"/>
      <c r="N80" s="208"/>
      <c r="O80" s="208"/>
      <c r="P80" s="208"/>
      <c r="Q80" s="208"/>
      <c r="R80" s="208"/>
      <c r="S80" s="208"/>
      <c r="T80" s="207"/>
      <c r="U80" s="207"/>
      <c r="V80" s="207"/>
      <c r="W80" s="207"/>
      <c r="X80" s="207"/>
      <c r="Y80" s="207"/>
      <c r="Z80" s="209"/>
      <c r="AA80" s="209"/>
      <c r="AB80" s="209"/>
      <c r="AC80" s="209"/>
      <c r="AD80" s="209"/>
      <c r="AE80" s="209"/>
      <c r="AF80" s="209"/>
      <c r="AG80" s="209"/>
      <c r="AH80" s="209"/>
      <c r="AI80" s="209"/>
      <c r="AJ80" s="209"/>
      <c r="AK80" s="209"/>
      <c r="AL80" s="209"/>
      <c r="AM80" s="209"/>
      <c r="AN80" s="207"/>
      <c r="AO80" s="207"/>
      <c r="AP80" s="207"/>
      <c r="AQ80" s="207"/>
      <c r="AR80" s="207"/>
      <c r="AS80" s="207"/>
      <c r="AT80" s="207"/>
      <c r="AU80" s="207"/>
      <c r="AV80" s="207"/>
      <c r="AW80" s="207"/>
      <c r="AX80" s="207"/>
      <c r="AY80" s="207"/>
      <c r="AZ80" s="207"/>
      <c r="BA80" s="207"/>
      <c r="BB80" s="207"/>
      <c r="BC80" s="207"/>
      <c r="BD80" s="207"/>
      <c r="BE80" s="207"/>
      <c r="BF80" s="207"/>
      <c r="BG80" s="207"/>
      <c r="BH80" s="207"/>
      <c r="BI80" s="207"/>
      <c r="BJ80" s="207"/>
      <c r="BK80" s="207"/>
      <c r="BL80" s="207"/>
      <c r="BM80" s="207"/>
      <c r="BN80" s="207"/>
      <c r="BO80" s="207"/>
      <c r="BP80" s="207"/>
      <c r="BQ80" s="207"/>
      <c r="BR80" s="207"/>
      <c r="BS80" s="207"/>
      <c r="BT80" s="207"/>
      <c r="BU80" s="207"/>
      <c r="BV80" s="207"/>
      <c r="BW80" s="207"/>
      <c r="BX80" s="207"/>
      <c r="BY80" s="207"/>
      <c r="BZ80" s="207"/>
      <c r="CA80" s="207"/>
      <c r="CB80" s="207"/>
      <c r="CC80" s="207"/>
      <c r="CD80" s="207"/>
      <c r="CE80" s="207"/>
      <c r="CF80" s="207"/>
      <c r="CG80" s="207"/>
      <c r="CH80" s="207"/>
      <c r="CI80" s="207"/>
      <c r="CJ80" s="207"/>
      <c r="CK80" s="207"/>
      <c r="CL80" s="207"/>
      <c r="CM80" s="207"/>
      <c r="CN80" s="207"/>
      <c r="CO80" s="207"/>
      <c r="CP80" s="207"/>
      <c r="CQ80" s="207"/>
      <c r="CR80" s="207"/>
      <c r="CS80" s="207"/>
      <c r="CT80" s="207"/>
      <c r="CU80" s="207"/>
      <c r="CV80" s="207"/>
      <c r="CW80" s="207"/>
      <c r="CX80" s="207"/>
      <c r="CY80" s="207"/>
      <c r="CZ80" s="207"/>
      <c r="DA80" s="207"/>
      <c r="DB80" s="207"/>
      <c r="DC80" s="207"/>
      <c r="DD80" s="207"/>
    </row>
    <row r="81">
      <c r="A81" s="204"/>
      <c r="B81" s="205"/>
      <c r="C81" s="204"/>
      <c r="D81" s="206"/>
      <c r="E81" s="207"/>
      <c r="F81" s="207"/>
      <c r="G81" s="207"/>
      <c r="H81" s="208"/>
      <c r="I81" s="208"/>
      <c r="J81" s="208"/>
      <c r="K81" s="208"/>
      <c r="L81" s="208"/>
      <c r="M81" s="208"/>
      <c r="N81" s="208"/>
      <c r="O81" s="208"/>
      <c r="P81" s="208"/>
      <c r="Q81" s="208"/>
      <c r="R81" s="208"/>
      <c r="S81" s="208"/>
      <c r="T81" s="207"/>
      <c r="U81" s="207"/>
      <c r="V81" s="207"/>
      <c r="W81" s="207"/>
      <c r="X81" s="207"/>
      <c r="Y81" s="207"/>
      <c r="Z81" s="209"/>
      <c r="AA81" s="209"/>
      <c r="AB81" s="209"/>
      <c r="AC81" s="209"/>
      <c r="AD81" s="209"/>
      <c r="AE81" s="209"/>
      <c r="AF81" s="209"/>
      <c r="AG81" s="209"/>
      <c r="AH81" s="209"/>
      <c r="AI81" s="209"/>
      <c r="AJ81" s="209"/>
      <c r="AK81" s="209"/>
      <c r="AL81" s="209"/>
      <c r="AM81" s="209"/>
      <c r="AN81" s="207"/>
      <c r="AO81" s="207"/>
      <c r="AP81" s="207"/>
      <c r="AQ81" s="207"/>
      <c r="AR81" s="207"/>
      <c r="AS81" s="207"/>
      <c r="AT81" s="207"/>
      <c r="AU81" s="207"/>
      <c r="AV81" s="207"/>
      <c r="AW81" s="207"/>
      <c r="AX81" s="207"/>
      <c r="AY81" s="207"/>
      <c r="AZ81" s="207"/>
      <c r="BA81" s="207"/>
      <c r="BB81" s="207"/>
      <c r="BC81" s="207"/>
      <c r="BD81" s="207"/>
      <c r="BE81" s="207"/>
      <c r="BF81" s="207"/>
      <c r="BG81" s="207"/>
      <c r="BH81" s="207"/>
      <c r="BI81" s="207"/>
      <c r="BJ81" s="207"/>
      <c r="BK81" s="207"/>
      <c r="BL81" s="207"/>
      <c r="BM81" s="207"/>
      <c r="BN81" s="207"/>
      <c r="BO81" s="207"/>
      <c r="BP81" s="207"/>
      <c r="BQ81" s="207"/>
      <c r="BR81" s="207"/>
      <c r="BS81" s="207"/>
      <c r="BT81" s="207"/>
      <c r="BU81" s="207"/>
      <c r="BV81" s="207"/>
      <c r="BW81" s="207"/>
      <c r="BX81" s="207"/>
      <c r="BY81" s="207"/>
      <c r="BZ81" s="207"/>
      <c r="CA81" s="207"/>
      <c r="CB81" s="207"/>
      <c r="CC81" s="207"/>
      <c r="CD81" s="207"/>
      <c r="CE81" s="207"/>
      <c r="CF81" s="207"/>
      <c r="CG81" s="207"/>
      <c r="CH81" s="207"/>
      <c r="CI81" s="207"/>
      <c r="CJ81" s="207"/>
      <c r="CK81" s="207"/>
      <c r="CL81" s="207"/>
      <c r="CM81" s="207"/>
      <c r="CN81" s="207"/>
      <c r="CO81" s="207"/>
      <c r="CP81" s="207"/>
      <c r="CQ81" s="207"/>
      <c r="CR81" s="207"/>
      <c r="CS81" s="207"/>
      <c r="CT81" s="207"/>
      <c r="CU81" s="207"/>
      <c r="CV81" s="207"/>
      <c r="CW81" s="207"/>
      <c r="CX81" s="207"/>
      <c r="CY81" s="207"/>
      <c r="CZ81" s="207"/>
      <c r="DA81" s="207"/>
      <c r="DB81" s="207"/>
      <c r="DC81" s="207"/>
      <c r="DD81" s="207"/>
    </row>
    <row r="82">
      <c r="A82" s="204"/>
      <c r="B82" s="205"/>
      <c r="C82" s="204"/>
      <c r="D82" s="206"/>
      <c r="E82" s="207"/>
      <c r="F82" s="207"/>
      <c r="G82" s="207"/>
      <c r="H82" s="208"/>
      <c r="I82" s="208"/>
      <c r="J82" s="208"/>
      <c r="K82" s="208"/>
      <c r="L82" s="208"/>
      <c r="M82" s="208"/>
      <c r="N82" s="208"/>
      <c r="O82" s="208"/>
      <c r="P82" s="208"/>
      <c r="Q82" s="208"/>
      <c r="R82" s="208"/>
      <c r="S82" s="208"/>
      <c r="T82" s="207"/>
      <c r="U82" s="207"/>
      <c r="V82" s="207"/>
      <c r="W82" s="207"/>
      <c r="X82" s="207"/>
      <c r="Y82" s="207"/>
      <c r="Z82" s="209"/>
      <c r="AA82" s="209"/>
      <c r="AB82" s="209"/>
      <c r="AC82" s="209"/>
      <c r="AD82" s="209"/>
      <c r="AE82" s="209"/>
      <c r="AF82" s="209"/>
      <c r="AG82" s="209"/>
      <c r="AH82" s="209"/>
      <c r="AI82" s="209"/>
      <c r="AJ82" s="209"/>
      <c r="AK82" s="209"/>
      <c r="AL82" s="209"/>
      <c r="AM82" s="209"/>
      <c r="AN82" s="207"/>
      <c r="AO82" s="207"/>
      <c r="AP82" s="207"/>
      <c r="AQ82" s="207"/>
      <c r="AR82" s="207"/>
      <c r="AS82" s="207"/>
      <c r="AT82" s="207"/>
      <c r="AU82" s="207"/>
      <c r="AV82" s="207"/>
      <c r="AW82" s="207"/>
      <c r="AX82" s="207"/>
      <c r="AY82" s="207"/>
      <c r="AZ82" s="207"/>
      <c r="BA82" s="207"/>
      <c r="BB82" s="207"/>
      <c r="BC82" s="207"/>
      <c r="BD82" s="207"/>
      <c r="BE82" s="207"/>
      <c r="BF82" s="207"/>
      <c r="BG82" s="207"/>
      <c r="BH82" s="207"/>
      <c r="BI82" s="207"/>
      <c r="BJ82" s="207"/>
      <c r="BK82" s="207"/>
      <c r="BL82" s="207"/>
      <c r="BM82" s="207"/>
      <c r="BN82" s="207"/>
      <c r="BO82" s="207"/>
      <c r="BP82" s="207"/>
      <c r="BQ82" s="207"/>
      <c r="BR82" s="207"/>
      <c r="BS82" s="207"/>
      <c r="BT82" s="207"/>
      <c r="BU82" s="207"/>
      <c r="BV82" s="207"/>
      <c r="BW82" s="207"/>
      <c r="BX82" s="207"/>
      <c r="BY82" s="207"/>
      <c r="BZ82" s="207"/>
      <c r="CA82" s="207"/>
      <c r="CB82" s="207"/>
      <c r="CC82" s="207"/>
      <c r="CD82" s="207"/>
      <c r="CE82" s="207"/>
      <c r="CF82" s="207"/>
      <c r="CG82" s="207"/>
      <c r="CH82" s="207"/>
      <c r="CI82" s="207"/>
      <c r="CJ82" s="207"/>
      <c r="CK82" s="207"/>
      <c r="CL82" s="207"/>
      <c r="CM82" s="207"/>
      <c r="CN82" s="207"/>
      <c r="CO82" s="207"/>
      <c r="CP82" s="207"/>
      <c r="CQ82" s="207"/>
      <c r="CR82" s="207"/>
      <c r="CS82" s="207"/>
      <c r="CT82" s="207"/>
      <c r="CU82" s="207"/>
      <c r="CV82" s="207"/>
      <c r="CW82" s="207"/>
      <c r="CX82" s="207"/>
      <c r="CY82" s="207"/>
      <c r="CZ82" s="207"/>
      <c r="DA82" s="207"/>
      <c r="DB82" s="207"/>
      <c r="DC82" s="207"/>
      <c r="DD82" s="207"/>
    </row>
    <row r="83">
      <c r="A83" s="204"/>
      <c r="B83" s="205"/>
      <c r="C83" s="204"/>
      <c r="D83" s="206"/>
      <c r="E83" s="207"/>
      <c r="F83" s="207"/>
      <c r="G83" s="207"/>
      <c r="H83" s="208"/>
      <c r="I83" s="208"/>
      <c r="J83" s="208"/>
      <c r="K83" s="208"/>
      <c r="L83" s="208"/>
      <c r="M83" s="208"/>
      <c r="N83" s="208"/>
      <c r="O83" s="208"/>
      <c r="P83" s="208"/>
      <c r="Q83" s="208"/>
      <c r="R83" s="208"/>
      <c r="S83" s="208"/>
      <c r="T83" s="207"/>
      <c r="U83" s="207"/>
      <c r="V83" s="207"/>
      <c r="W83" s="207"/>
      <c r="X83" s="207"/>
      <c r="Y83" s="207"/>
      <c r="Z83" s="209"/>
      <c r="AA83" s="209"/>
      <c r="AB83" s="209"/>
      <c r="AC83" s="209"/>
      <c r="AD83" s="209"/>
      <c r="AE83" s="209"/>
      <c r="AF83" s="209"/>
      <c r="AG83" s="209"/>
      <c r="AH83" s="209"/>
      <c r="AI83" s="209"/>
      <c r="AJ83" s="209"/>
      <c r="AK83" s="209"/>
      <c r="AL83" s="209"/>
      <c r="AM83" s="209"/>
      <c r="AN83" s="207"/>
      <c r="AO83" s="207"/>
      <c r="AP83" s="207"/>
      <c r="AQ83" s="207"/>
      <c r="AR83" s="207"/>
      <c r="AS83" s="207"/>
      <c r="AT83" s="207"/>
      <c r="AU83" s="207"/>
      <c r="AV83" s="207"/>
      <c r="AW83" s="207"/>
      <c r="AX83" s="207"/>
      <c r="AY83" s="207"/>
      <c r="AZ83" s="207"/>
      <c r="BA83" s="207"/>
      <c r="BB83" s="207"/>
      <c r="BC83" s="207"/>
      <c r="BD83" s="207"/>
      <c r="BE83" s="207"/>
      <c r="BF83" s="207"/>
      <c r="BG83" s="207"/>
      <c r="BH83" s="207"/>
      <c r="BI83" s="207"/>
      <c r="BJ83" s="207"/>
      <c r="BK83" s="207"/>
      <c r="BL83" s="207"/>
      <c r="BM83" s="207"/>
      <c r="BN83" s="207"/>
      <c r="BO83" s="207"/>
      <c r="BP83" s="207"/>
      <c r="BQ83" s="207"/>
      <c r="BR83" s="207"/>
      <c r="BS83" s="207"/>
      <c r="BT83" s="207"/>
      <c r="BU83" s="207"/>
      <c r="BV83" s="207"/>
      <c r="BW83" s="207"/>
      <c r="BX83" s="207"/>
      <c r="BY83" s="207"/>
      <c r="BZ83" s="207"/>
      <c r="CA83" s="207"/>
      <c r="CB83" s="207"/>
      <c r="CC83" s="207"/>
      <c r="CD83" s="207"/>
      <c r="CE83" s="207"/>
      <c r="CF83" s="207"/>
      <c r="CG83" s="207"/>
      <c r="CH83" s="207"/>
      <c r="CI83" s="207"/>
      <c r="CJ83" s="207"/>
      <c r="CK83" s="207"/>
      <c r="CL83" s="207"/>
      <c r="CM83" s="207"/>
      <c r="CN83" s="207"/>
      <c r="CO83" s="207"/>
      <c r="CP83" s="207"/>
      <c r="CQ83" s="207"/>
      <c r="CR83" s="207"/>
      <c r="CS83" s="207"/>
      <c r="CT83" s="207"/>
      <c r="CU83" s="207"/>
      <c r="CV83" s="207"/>
      <c r="CW83" s="207"/>
      <c r="CX83" s="207"/>
      <c r="CY83" s="207"/>
      <c r="CZ83" s="207"/>
      <c r="DA83" s="207"/>
      <c r="DB83" s="207"/>
      <c r="DC83" s="207"/>
      <c r="DD83" s="207"/>
    </row>
    <row r="84">
      <c r="A84" s="204"/>
      <c r="B84" s="205"/>
      <c r="C84" s="204"/>
      <c r="D84" s="206"/>
      <c r="E84" s="207"/>
      <c r="F84" s="207"/>
      <c r="G84" s="207"/>
      <c r="H84" s="208"/>
      <c r="I84" s="208"/>
      <c r="J84" s="208"/>
      <c r="K84" s="208"/>
      <c r="L84" s="208"/>
      <c r="M84" s="208"/>
      <c r="N84" s="208"/>
      <c r="O84" s="208"/>
      <c r="P84" s="208"/>
      <c r="Q84" s="208"/>
      <c r="R84" s="208"/>
      <c r="S84" s="208"/>
      <c r="T84" s="207"/>
      <c r="U84" s="207"/>
      <c r="V84" s="207"/>
      <c r="W84" s="207"/>
      <c r="X84" s="207"/>
      <c r="Y84" s="207"/>
      <c r="Z84" s="209"/>
      <c r="AA84" s="209"/>
      <c r="AB84" s="209"/>
      <c r="AC84" s="209"/>
      <c r="AD84" s="209"/>
      <c r="AE84" s="209"/>
      <c r="AF84" s="209"/>
      <c r="AG84" s="209"/>
      <c r="AH84" s="209"/>
      <c r="AI84" s="209"/>
      <c r="AJ84" s="209"/>
      <c r="AK84" s="209"/>
      <c r="AL84" s="209"/>
      <c r="AM84" s="209"/>
      <c r="AN84" s="207"/>
      <c r="AO84" s="207"/>
      <c r="AP84" s="207"/>
      <c r="AQ84" s="207"/>
      <c r="AR84" s="207"/>
      <c r="AS84" s="207"/>
      <c r="AT84" s="207"/>
      <c r="AU84" s="207"/>
      <c r="AV84" s="207"/>
      <c r="AW84" s="207"/>
      <c r="AX84" s="207"/>
      <c r="AY84" s="207"/>
      <c r="AZ84" s="207"/>
      <c r="BA84" s="207"/>
      <c r="BB84" s="207"/>
      <c r="BC84" s="207"/>
      <c r="BD84" s="207"/>
      <c r="BE84" s="207"/>
      <c r="BF84" s="207"/>
      <c r="BG84" s="207"/>
      <c r="BH84" s="207"/>
      <c r="BI84" s="207"/>
      <c r="BJ84" s="207"/>
      <c r="BK84" s="207"/>
      <c r="BL84" s="207"/>
      <c r="BM84" s="207"/>
      <c r="BN84" s="207"/>
      <c r="BO84" s="207"/>
      <c r="BP84" s="207"/>
      <c r="BQ84" s="207"/>
      <c r="BR84" s="207"/>
      <c r="BS84" s="207"/>
      <c r="BT84" s="207"/>
      <c r="BU84" s="207"/>
      <c r="BV84" s="207"/>
      <c r="BW84" s="207"/>
      <c r="BX84" s="207"/>
      <c r="BY84" s="207"/>
      <c r="BZ84" s="207"/>
      <c r="CA84" s="207"/>
      <c r="CB84" s="207"/>
      <c r="CC84" s="207"/>
      <c r="CD84" s="207"/>
      <c r="CE84" s="207"/>
      <c r="CF84" s="207"/>
      <c r="CG84" s="207"/>
      <c r="CH84" s="207"/>
      <c r="CI84" s="207"/>
      <c r="CJ84" s="207"/>
      <c r="CK84" s="207"/>
      <c r="CL84" s="207"/>
      <c r="CM84" s="207"/>
      <c r="CN84" s="207"/>
      <c r="CO84" s="207"/>
      <c r="CP84" s="207"/>
      <c r="CQ84" s="207"/>
      <c r="CR84" s="207"/>
      <c r="CS84" s="207"/>
      <c r="CT84" s="207"/>
      <c r="CU84" s="207"/>
      <c r="CV84" s="207"/>
      <c r="CW84" s="207"/>
      <c r="CX84" s="207"/>
      <c r="CY84" s="207"/>
      <c r="CZ84" s="207"/>
      <c r="DA84" s="207"/>
      <c r="DB84" s="207"/>
      <c r="DC84" s="207"/>
      <c r="DD84" s="207"/>
    </row>
    <row r="85">
      <c r="A85" s="204"/>
      <c r="B85" s="205"/>
      <c r="C85" s="204"/>
      <c r="D85" s="206"/>
      <c r="E85" s="207"/>
      <c r="F85" s="207"/>
      <c r="G85" s="207"/>
      <c r="H85" s="208"/>
      <c r="I85" s="208"/>
      <c r="J85" s="208"/>
      <c r="K85" s="208"/>
      <c r="L85" s="208"/>
      <c r="M85" s="208"/>
      <c r="N85" s="208"/>
      <c r="O85" s="208"/>
      <c r="P85" s="208"/>
      <c r="Q85" s="208"/>
      <c r="R85" s="208"/>
      <c r="S85" s="208"/>
      <c r="T85" s="207"/>
      <c r="U85" s="207"/>
      <c r="V85" s="207"/>
      <c r="W85" s="207"/>
      <c r="X85" s="207"/>
      <c r="Y85" s="207"/>
      <c r="Z85" s="209"/>
      <c r="AA85" s="209"/>
      <c r="AB85" s="209"/>
      <c r="AC85" s="209"/>
      <c r="AD85" s="209"/>
      <c r="AE85" s="209"/>
      <c r="AF85" s="209"/>
      <c r="AG85" s="209"/>
      <c r="AH85" s="209"/>
      <c r="AI85" s="209"/>
      <c r="AJ85" s="209"/>
      <c r="AK85" s="209"/>
      <c r="AL85" s="209"/>
      <c r="AM85" s="209"/>
      <c r="AN85" s="207"/>
      <c r="AO85" s="207"/>
      <c r="AP85" s="207"/>
      <c r="AQ85" s="207"/>
      <c r="AR85" s="207"/>
      <c r="AS85" s="207"/>
      <c r="AT85" s="207"/>
      <c r="AU85" s="207"/>
      <c r="AV85" s="207"/>
      <c r="AW85" s="207"/>
      <c r="AX85" s="207"/>
      <c r="AY85" s="207"/>
      <c r="AZ85" s="207"/>
      <c r="BA85" s="207"/>
      <c r="BB85" s="207"/>
      <c r="BC85" s="207"/>
      <c r="BD85" s="207"/>
      <c r="BE85" s="207"/>
      <c r="BF85" s="207"/>
      <c r="BG85" s="207"/>
      <c r="BH85" s="207"/>
      <c r="BI85" s="207"/>
      <c r="BJ85" s="207"/>
      <c r="BK85" s="207"/>
      <c r="BL85" s="207"/>
      <c r="BM85" s="207"/>
      <c r="BN85" s="207"/>
      <c r="BO85" s="207"/>
      <c r="BP85" s="207"/>
      <c r="BQ85" s="207"/>
      <c r="BR85" s="207"/>
      <c r="BS85" s="207"/>
      <c r="BT85" s="207"/>
      <c r="BU85" s="207"/>
      <c r="BV85" s="207"/>
      <c r="BW85" s="207"/>
      <c r="BX85" s="207"/>
      <c r="BY85" s="207"/>
      <c r="BZ85" s="207"/>
      <c r="CA85" s="207"/>
      <c r="CB85" s="207"/>
      <c r="CC85" s="207"/>
      <c r="CD85" s="207"/>
      <c r="CE85" s="207"/>
      <c r="CF85" s="207"/>
      <c r="CG85" s="207"/>
      <c r="CH85" s="207"/>
      <c r="CI85" s="207"/>
      <c r="CJ85" s="207"/>
      <c r="CK85" s="207"/>
      <c r="CL85" s="207"/>
      <c r="CM85" s="207"/>
      <c r="CN85" s="207"/>
      <c r="CO85" s="207"/>
      <c r="CP85" s="207"/>
      <c r="CQ85" s="207"/>
      <c r="CR85" s="207"/>
      <c r="CS85" s="207"/>
      <c r="CT85" s="207"/>
      <c r="CU85" s="207"/>
      <c r="CV85" s="207"/>
      <c r="CW85" s="207"/>
      <c r="CX85" s="207"/>
      <c r="CY85" s="207"/>
      <c r="CZ85" s="207"/>
      <c r="DA85" s="207"/>
      <c r="DB85" s="207"/>
      <c r="DC85" s="207"/>
      <c r="DD85" s="207"/>
    </row>
    <row r="86">
      <c r="A86" s="204"/>
      <c r="B86" s="205"/>
      <c r="C86" s="204"/>
      <c r="D86" s="206"/>
      <c r="E86" s="207"/>
      <c r="F86" s="207"/>
      <c r="G86" s="207"/>
      <c r="H86" s="208"/>
      <c r="I86" s="208"/>
      <c r="J86" s="208"/>
      <c r="K86" s="208"/>
      <c r="L86" s="208"/>
      <c r="M86" s="208"/>
      <c r="N86" s="208"/>
      <c r="O86" s="208"/>
      <c r="P86" s="208"/>
      <c r="Q86" s="208"/>
      <c r="R86" s="208"/>
      <c r="S86" s="208"/>
      <c r="T86" s="207"/>
      <c r="U86" s="207"/>
      <c r="V86" s="207"/>
      <c r="W86" s="207"/>
      <c r="X86" s="207"/>
      <c r="Y86" s="207"/>
      <c r="Z86" s="209"/>
      <c r="AA86" s="209"/>
      <c r="AB86" s="209"/>
      <c r="AC86" s="209"/>
      <c r="AD86" s="209"/>
      <c r="AE86" s="209"/>
      <c r="AF86" s="209"/>
      <c r="AG86" s="209"/>
      <c r="AH86" s="209"/>
      <c r="AI86" s="209"/>
      <c r="AJ86" s="209"/>
      <c r="AK86" s="209"/>
      <c r="AL86" s="209"/>
      <c r="AM86" s="209"/>
      <c r="AN86" s="207"/>
      <c r="AO86" s="207"/>
      <c r="AP86" s="207"/>
      <c r="AQ86" s="207"/>
      <c r="AR86" s="207"/>
      <c r="AS86" s="207"/>
      <c r="AT86" s="207"/>
      <c r="AU86" s="207"/>
      <c r="AV86" s="207"/>
      <c r="AW86" s="207"/>
      <c r="AX86" s="207"/>
      <c r="AY86" s="207"/>
      <c r="AZ86" s="207"/>
      <c r="BA86" s="207"/>
      <c r="BB86" s="207"/>
      <c r="BC86" s="207"/>
      <c r="BD86" s="207"/>
      <c r="BE86" s="207"/>
      <c r="BF86" s="207"/>
      <c r="BG86" s="207"/>
      <c r="BH86" s="207"/>
      <c r="BI86" s="207"/>
      <c r="BJ86" s="207"/>
      <c r="BK86" s="207"/>
      <c r="BL86" s="207"/>
      <c r="BM86" s="207"/>
      <c r="BN86" s="207"/>
      <c r="BO86" s="207"/>
      <c r="BP86" s="207"/>
      <c r="BQ86" s="207"/>
      <c r="BR86" s="207"/>
      <c r="BS86" s="207"/>
      <c r="BT86" s="207"/>
      <c r="BU86" s="207"/>
      <c r="BV86" s="207"/>
      <c r="BW86" s="207"/>
      <c r="BX86" s="207"/>
      <c r="BY86" s="207"/>
      <c r="BZ86" s="207"/>
      <c r="CA86" s="207"/>
      <c r="CB86" s="207"/>
      <c r="CC86" s="207"/>
      <c r="CD86" s="207"/>
      <c r="CE86" s="207"/>
      <c r="CF86" s="207"/>
      <c r="CG86" s="207"/>
      <c r="CH86" s="207"/>
      <c r="CI86" s="207"/>
      <c r="CJ86" s="207"/>
      <c r="CK86" s="207"/>
      <c r="CL86" s="207"/>
      <c r="CM86" s="207"/>
      <c r="CN86" s="207"/>
      <c r="CO86" s="207"/>
      <c r="CP86" s="207"/>
      <c r="CQ86" s="207"/>
      <c r="CR86" s="207"/>
      <c r="CS86" s="207"/>
      <c r="CT86" s="207"/>
      <c r="CU86" s="207"/>
      <c r="CV86" s="207"/>
      <c r="CW86" s="207"/>
      <c r="CX86" s="207"/>
      <c r="CY86" s="207"/>
      <c r="CZ86" s="207"/>
      <c r="DA86" s="207"/>
      <c r="DB86" s="207"/>
      <c r="DC86" s="207"/>
      <c r="DD86" s="207"/>
    </row>
    <row r="87">
      <c r="A87" s="204"/>
      <c r="B87" s="205"/>
      <c r="C87" s="204"/>
      <c r="D87" s="206"/>
      <c r="E87" s="207"/>
      <c r="F87" s="207"/>
      <c r="G87" s="207"/>
      <c r="H87" s="208"/>
      <c r="I87" s="208"/>
      <c r="J87" s="208"/>
      <c r="K87" s="208"/>
      <c r="L87" s="208"/>
      <c r="M87" s="208"/>
      <c r="N87" s="208"/>
      <c r="O87" s="208"/>
      <c r="P87" s="208"/>
      <c r="Q87" s="208"/>
      <c r="R87" s="208"/>
      <c r="S87" s="208"/>
      <c r="T87" s="207"/>
      <c r="U87" s="207"/>
      <c r="V87" s="207"/>
      <c r="W87" s="207"/>
      <c r="X87" s="207"/>
      <c r="Y87" s="207"/>
      <c r="Z87" s="209"/>
      <c r="AA87" s="209"/>
      <c r="AB87" s="209"/>
      <c r="AC87" s="209"/>
      <c r="AD87" s="209"/>
      <c r="AE87" s="209"/>
      <c r="AF87" s="209"/>
      <c r="AG87" s="209"/>
      <c r="AH87" s="209"/>
      <c r="AI87" s="209"/>
      <c r="AJ87" s="209"/>
      <c r="AK87" s="209"/>
      <c r="AL87" s="209"/>
      <c r="AM87" s="209"/>
      <c r="AN87" s="207"/>
      <c r="AO87" s="207"/>
      <c r="AP87" s="207"/>
      <c r="AQ87" s="207"/>
      <c r="AR87" s="207"/>
      <c r="AS87" s="207"/>
      <c r="AT87" s="207"/>
      <c r="AU87" s="207"/>
      <c r="AV87" s="207"/>
      <c r="AW87" s="207"/>
      <c r="AX87" s="207"/>
      <c r="AY87" s="207"/>
      <c r="AZ87" s="207"/>
      <c r="BA87" s="207"/>
      <c r="BB87" s="207"/>
      <c r="BC87" s="207"/>
      <c r="BD87" s="207"/>
      <c r="BE87" s="207"/>
      <c r="BF87" s="207"/>
      <c r="BG87" s="207"/>
      <c r="BH87" s="207"/>
      <c r="BI87" s="207"/>
      <c r="BJ87" s="207"/>
      <c r="BK87" s="207"/>
      <c r="BL87" s="207"/>
      <c r="BM87" s="207"/>
      <c r="BN87" s="207"/>
      <c r="BO87" s="207"/>
      <c r="BP87" s="207"/>
      <c r="BQ87" s="207"/>
      <c r="BR87" s="207"/>
      <c r="BS87" s="207"/>
      <c r="BT87" s="207"/>
      <c r="BU87" s="207"/>
      <c r="BV87" s="207"/>
      <c r="BW87" s="207"/>
      <c r="BX87" s="207"/>
      <c r="BY87" s="207"/>
      <c r="BZ87" s="207"/>
      <c r="CA87" s="207"/>
      <c r="CB87" s="207"/>
      <c r="CC87" s="207"/>
      <c r="CD87" s="207"/>
      <c r="CE87" s="207"/>
      <c r="CF87" s="207"/>
      <c r="CG87" s="207"/>
      <c r="CH87" s="207"/>
      <c r="CI87" s="207"/>
      <c r="CJ87" s="207"/>
      <c r="CK87" s="207"/>
      <c r="CL87" s="207"/>
      <c r="CM87" s="207"/>
      <c r="CN87" s="207"/>
      <c r="CO87" s="207"/>
      <c r="CP87" s="207"/>
      <c r="CQ87" s="207"/>
      <c r="CR87" s="207"/>
      <c r="CS87" s="207"/>
      <c r="CT87" s="207"/>
      <c r="CU87" s="207"/>
      <c r="CV87" s="207"/>
      <c r="CW87" s="207"/>
      <c r="CX87" s="207"/>
      <c r="CY87" s="207"/>
      <c r="CZ87" s="207"/>
      <c r="DA87" s="207"/>
      <c r="DB87" s="207"/>
      <c r="DC87" s="207"/>
      <c r="DD87" s="207"/>
    </row>
    <row r="88">
      <c r="A88" s="204"/>
      <c r="B88" s="205"/>
      <c r="C88" s="204"/>
      <c r="D88" s="206"/>
      <c r="E88" s="207"/>
      <c r="F88" s="207"/>
      <c r="G88" s="207"/>
      <c r="H88" s="208"/>
      <c r="I88" s="208"/>
      <c r="J88" s="208"/>
      <c r="K88" s="208"/>
      <c r="L88" s="208"/>
      <c r="M88" s="208"/>
      <c r="N88" s="208"/>
      <c r="O88" s="208"/>
      <c r="P88" s="208"/>
      <c r="Q88" s="208"/>
      <c r="R88" s="208"/>
      <c r="S88" s="208"/>
      <c r="T88" s="207"/>
      <c r="U88" s="207"/>
      <c r="V88" s="207"/>
      <c r="W88" s="207"/>
      <c r="X88" s="207"/>
      <c r="Y88" s="207"/>
      <c r="Z88" s="209"/>
      <c r="AA88" s="209"/>
      <c r="AB88" s="209"/>
      <c r="AC88" s="209"/>
      <c r="AD88" s="209"/>
      <c r="AE88" s="209"/>
      <c r="AF88" s="209"/>
      <c r="AG88" s="209"/>
      <c r="AH88" s="209"/>
      <c r="AI88" s="209"/>
      <c r="AJ88" s="209"/>
      <c r="AK88" s="209"/>
      <c r="AL88" s="209"/>
      <c r="AM88" s="209"/>
      <c r="AN88" s="207"/>
      <c r="AO88" s="207"/>
      <c r="AP88" s="207"/>
      <c r="AQ88" s="207"/>
      <c r="AR88" s="207"/>
      <c r="AS88" s="207"/>
      <c r="AT88" s="207"/>
      <c r="AU88" s="207"/>
      <c r="AV88" s="207"/>
      <c r="AW88" s="207"/>
      <c r="AX88" s="207"/>
      <c r="AY88" s="207"/>
      <c r="AZ88" s="207"/>
      <c r="BA88" s="207"/>
      <c r="BB88" s="207"/>
      <c r="BC88" s="207"/>
      <c r="BD88" s="207"/>
      <c r="BE88" s="207"/>
      <c r="BF88" s="207"/>
      <c r="BG88" s="207"/>
      <c r="BH88" s="207"/>
      <c r="BI88" s="207"/>
      <c r="BJ88" s="207"/>
      <c r="BK88" s="207"/>
      <c r="BL88" s="207"/>
      <c r="BM88" s="207"/>
      <c r="BN88" s="207"/>
      <c r="BO88" s="207"/>
      <c r="BP88" s="207"/>
      <c r="BQ88" s="207"/>
      <c r="BR88" s="207"/>
      <c r="BS88" s="207"/>
      <c r="BT88" s="207"/>
      <c r="BU88" s="207"/>
      <c r="BV88" s="207"/>
      <c r="BW88" s="207"/>
      <c r="BX88" s="207"/>
      <c r="BY88" s="207"/>
      <c r="BZ88" s="207"/>
      <c r="CA88" s="207"/>
      <c r="CB88" s="207"/>
      <c r="CC88" s="207"/>
      <c r="CD88" s="207"/>
      <c r="CE88" s="207"/>
      <c r="CF88" s="207"/>
      <c r="CG88" s="207"/>
      <c r="CH88" s="207"/>
      <c r="CI88" s="207"/>
      <c r="CJ88" s="207"/>
      <c r="CK88" s="207"/>
      <c r="CL88" s="207"/>
      <c r="CM88" s="207"/>
      <c r="CN88" s="207"/>
      <c r="CO88" s="207"/>
      <c r="CP88" s="207"/>
      <c r="CQ88" s="207"/>
      <c r="CR88" s="207"/>
      <c r="CS88" s="207"/>
      <c r="CT88" s="207"/>
      <c r="CU88" s="207"/>
      <c r="CV88" s="207"/>
      <c r="CW88" s="207"/>
      <c r="CX88" s="207"/>
      <c r="CY88" s="207"/>
      <c r="CZ88" s="207"/>
      <c r="DA88" s="207"/>
      <c r="DB88" s="207"/>
      <c r="DC88" s="207"/>
      <c r="DD88" s="207"/>
    </row>
    <row r="89">
      <c r="A89" s="204"/>
      <c r="B89" s="205"/>
      <c r="C89" s="204"/>
      <c r="D89" s="206"/>
      <c r="E89" s="207"/>
      <c r="F89" s="207"/>
      <c r="G89" s="207"/>
      <c r="H89" s="208"/>
      <c r="I89" s="208"/>
      <c r="J89" s="208"/>
      <c r="K89" s="208"/>
      <c r="L89" s="208"/>
      <c r="M89" s="208"/>
      <c r="N89" s="208"/>
      <c r="O89" s="208"/>
      <c r="P89" s="208"/>
      <c r="Q89" s="208"/>
      <c r="R89" s="208"/>
      <c r="S89" s="208"/>
      <c r="T89" s="207"/>
      <c r="U89" s="207"/>
      <c r="V89" s="207"/>
      <c r="W89" s="207"/>
      <c r="X89" s="207"/>
      <c r="Y89" s="207"/>
      <c r="Z89" s="209"/>
      <c r="AA89" s="209"/>
      <c r="AB89" s="209"/>
      <c r="AC89" s="209"/>
      <c r="AD89" s="209"/>
      <c r="AE89" s="209"/>
      <c r="AF89" s="209"/>
      <c r="AG89" s="209"/>
      <c r="AH89" s="209"/>
      <c r="AI89" s="209"/>
      <c r="AJ89" s="209"/>
      <c r="AK89" s="209"/>
      <c r="AL89" s="209"/>
      <c r="AM89" s="209"/>
      <c r="AN89" s="207"/>
      <c r="AO89" s="207"/>
      <c r="AP89" s="207"/>
      <c r="AQ89" s="207"/>
      <c r="AR89" s="207"/>
      <c r="AS89" s="207"/>
      <c r="AT89" s="207"/>
      <c r="AU89" s="207"/>
      <c r="AV89" s="207"/>
      <c r="AW89" s="207"/>
      <c r="AX89" s="207"/>
      <c r="AY89" s="207"/>
      <c r="AZ89" s="207"/>
      <c r="BA89" s="207"/>
      <c r="BB89" s="207"/>
      <c r="BC89" s="207"/>
      <c r="BD89" s="207"/>
      <c r="BE89" s="207"/>
      <c r="BF89" s="207"/>
      <c r="BG89" s="207"/>
      <c r="BH89" s="207"/>
      <c r="BI89" s="207"/>
      <c r="BJ89" s="207"/>
      <c r="BK89" s="207"/>
      <c r="BL89" s="207"/>
      <c r="BM89" s="207"/>
      <c r="BN89" s="207"/>
      <c r="BO89" s="207"/>
      <c r="BP89" s="207"/>
      <c r="BQ89" s="207"/>
      <c r="BR89" s="207"/>
      <c r="BS89" s="207"/>
      <c r="BT89" s="207"/>
      <c r="BU89" s="207"/>
      <c r="BV89" s="207"/>
      <c r="BW89" s="207"/>
      <c r="BX89" s="207"/>
      <c r="BY89" s="207"/>
      <c r="BZ89" s="207"/>
      <c r="CA89" s="207"/>
      <c r="CB89" s="207"/>
      <c r="CC89" s="207"/>
      <c r="CD89" s="207"/>
      <c r="CE89" s="207"/>
      <c r="CF89" s="207"/>
      <c r="CG89" s="207"/>
      <c r="CH89" s="207"/>
      <c r="CI89" s="207"/>
      <c r="CJ89" s="207"/>
      <c r="CK89" s="207"/>
      <c r="CL89" s="207"/>
      <c r="CM89" s="207"/>
      <c r="CN89" s="207"/>
      <c r="CO89" s="207"/>
      <c r="CP89" s="207"/>
      <c r="CQ89" s="207"/>
      <c r="CR89" s="207"/>
      <c r="CS89" s="207"/>
      <c r="CT89" s="207"/>
      <c r="CU89" s="207"/>
      <c r="CV89" s="207"/>
      <c r="CW89" s="207"/>
      <c r="CX89" s="207"/>
      <c r="CY89" s="207"/>
      <c r="CZ89" s="207"/>
      <c r="DA89" s="207"/>
      <c r="DB89" s="207"/>
      <c r="DC89" s="207"/>
      <c r="DD89" s="207"/>
    </row>
    <row r="90">
      <c r="A90" s="204"/>
      <c r="B90" s="205"/>
      <c r="C90" s="204"/>
      <c r="D90" s="206"/>
      <c r="E90" s="207"/>
      <c r="F90" s="207"/>
      <c r="G90" s="207"/>
      <c r="H90" s="208"/>
      <c r="I90" s="208"/>
      <c r="J90" s="208"/>
      <c r="K90" s="208"/>
      <c r="L90" s="208"/>
      <c r="M90" s="208"/>
      <c r="N90" s="208"/>
      <c r="O90" s="208"/>
      <c r="P90" s="208"/>
      <c r="Q90" s="208"/>
      <c r="R90" s="208"/>
      <c r="S90" s="208"/>
      <c r="T90" s="207"/>
      <c r="U90" s="207"/>
      <c r="V90" s="207"/>
      <c r="W90" s="207"/>
      <c r="X90" s="207"/>
      <c r="Y90" s="207"/>
      <c r="Z90" s="209"/>
      <c r="AA90" s="209"/>
      <c r="AB90" s="209"/>
      <c r="AC90" s="209"/>
      <c r="AD90" s="209"/>
      <c r="AE90" s="209"/>
      <c r="AF90" s="209"/>
      <c r="AG90" s="209"/>
      <c r="AH90" s="209"/>
      <c r="AI90" s="209"/>
      <c r="AJ90" s="209"/>
      <c r="AK90" s="209"/>
      <c r="AL90" s="209"/>
      <c r="AM90" s="209"/>
      <c r="AN90" s="207"/>
      <c r="AO90" s="207"/>
      <c r="AP90" s="207"/>
      <c r="AQ90" s="207"/>
      <c r="AR90" s="207"/>
      <c r="AS90" s="207"/>
      <c r="AT90" s="207"/>
      <c r="AU90" s="207"/>
      <c r="AV90" s="207"/>
      <c r="AW90" s="207"/>
      <c r="AX90" s="207"/>
      <c r="AY90" s="207"/>
      <c r="AZ90" s="207"/>
      <c r="BA90" s="207"/>
      <c r="BB90" s="207"/>
      <c r="BC90" s="207"/>
      <c r="BD90" s="207"/>
      <c r="BE90" s="207"/>
      <c r="BF90" s="207"/>
      <c r="BG90" s="207"/>
      <c r="BH90" s="207"/>
      <c r="BI90" s="207"/>
      <c r="BJ90" s="207"/>
      <c r="BK90" s="207"/>
      <c r="BL90" s="207"/>
      <c r="BM90" s="207"/>
      <c r="BN90" s="207"/>
      <c r="BO90" s="207"/>
      <c r="BP90" s="207"/>
      <c r="BQ90" s="207"/>
      <c r="BR90" s="207"/>
      <c r="BS90" s="207"/>
      <c r="BT90" s="207"/>
      <c r="BU90" s="207"/>
      <c r="BV90" s="207"/>
      <c r="BW90" s="207"/>
      <c r="BX90" s="207"/>
      <c r="BY90" s="207"/>
      <c r="BZ90" s="207"/>
      <c r="CA90" s="207"/>
      <c r="CB90" s="207"/>
      <c r="CC90" s="207"/>
      <c r="CD90" s="207"/>
      <c r="CE90" s="207"/>
      <c r="CF90" s="207"/>
      <c r="CG90" s="207"/>
      <c r="CH90" s="207"/>
      <c r="CI90" s="207"/>
      <c r="CJ90" s="207"/>
      <c r="CK90" s="207"/>
      <c r="CL90" s="207"/>
      <c r="CM90" s="207"/>
      <c r="CN90" s="207"/>
      <c r="CO90" s="207"/>
      <c r="CP90" s="207"/>
      <c r="CQ90" s="207"/>
      <c r="CR90" s="207"/>
      <c r="CS90" s="207"/>
      <c r="CT90" s="207"/>
      <c r="CU90" s="207"/>
      <c r="CV90" s="207"/>
      <c r="CW90" s="207"/>
      <c r="CX90" s="207"/>
      <c r="CY90" s="207"/>
      <c r="CZ90" s="207"/>
      <c r="DA90" s="207"/>
      <c r="DB90" s="207"/>
      <c r="DC90" s="207"/>
      <c r="DD90" s="207"/>
    </row>
    <row r="91">
      <c r="A91" s="204"/>
      <c r="B91" s="205"/>
      <c r="C91" s="204"/>
      <c r="D91" s="206"/>
      <c r="E91" s="207"/>
      <c r="F91" s="207"/>
      <c r="G91" s="207"/>
      <c r="H91" s="208"/>
      <c r="I91" s="208"/>
      <c r="J91" s="208"/>
      <c r="K91" s="208"/>
      <c r="L91" s="208"/>
      <c r="M91" s="208"/>
      <c r="N91" s="208"/>
      <c r="O91" s="208"/>
      <c r="P91" s="208"/>
      <c r="Q91" s="208"/>
      <c r="R91" s="208"/>
      <c r="S91" s="208"/>
      <c r="T91" s="207"/>
      <c r="U91" s="207"/>
      <c r="V91" s="207"/>
      <c r="W91" s="207"/>
      <c r="X91" s="207"/>
      <c r="Y91" s="207"/>
      <c r="Z91" s="209"/>
      <c r="AA91" s="209"/>
      <c r="AB91" s="209"/>
      <c r="AC91" s="209"/>
      <c r="AD91" s="209"/>
      <c r="AE91" s="209"/>
      <c r="AF91" s="209"/>
      <c r="AG91" s="209"/>
      <c r="AH91" s="209"/>
      <c r="AI91" s="209"/>
      <c r="AJ91" s="209"/>
      <c r="AK91" s="209"/>
      <c r="AL91" s="209"/>
      <c r="AM91" s="209"/>
      <c r="AN91" s="207"/>
      <c r="AO91" s="207"/>
      <c r="AP91" s="207"/>
      <c r="AQ91" s="207"/>
      <c r="AR91" s="207"/>
      <c r="AS91" s="207"/>
      <c r="AT91" s="207"/>
      <c r="AU91" s="207"/>
      <c r="AV91" s="207"/>
      <c r="AW91" s="207"/>
      <c r="AX91" s="207"/>
      <c r="AY91" s="207"/>
      <c r="AZ91" s="207"/>
      <c r="BA91" s="207"/>
      <c r="BB91" s="207"/>
      <c r="BC91" s="207"/>
      <c r="BD91" s="207"/>
      <c r="BE91" s="207"/>
      <c r="BF91" s="207"/>
      <c r="BG91" s="207"/>
      <c r="BH91" s="207"/>
      <c r="BI91" s="207"/>
      <c r="BJ91" s="207"/>
      <c r="BK91" s="207"/>
      <c r="BL91" s="207"/>
      <c r="BM91" s="207"/>
      <c r="BN91" s="207"/>
      <c r="BO91" s="207"/>
      <c r="BP91" s="207"/>
      <c r="BQ91" s="207"/>
      <c r="BR91" s="207"/>
      <c r="BS91" s="207"/>
      <c r="BT91" s="207"/>
      <c r="BU91" s="207"/>
      <c r="BV91" s="207"/>
      <c r="BW91" s="207"/>
      <c r="BX91" s="207"/>
      <c r="BY91" s="207"/>
      <c r="BZ91" s="207"/>
      <c r="CA91" s="207"/>
      <c r="CB91" s="207"/>
      <c r="CC91" s="207"/>
      <c r="CD91" s="207"/>
      <c r="CE91" s="207"/>
      <c r="CF91" s="207"/>
      <c r="CG91" s="207"/>
      <c r="CH91" s="207"/>
      <c r="CI91" s="207"/>
      <c r="CJ91" s="207"/>
      <c r="CK91" s="207"/>
      <c r="CL91" s="207"/>
      <c r="CM91" s="207"/>
      <c r="CN91" s="207"/>
      <c r="CO91" s="207"/>
      <c r="CP91" s="207"/>
      <c r="CQ91" s="207"/>
      <c r="CR91" s="207"/>
      <c r="CS91" s="207"/>
      <c r="CT91" s="207"/>
      <c r="CU91" s="207"/>
      <c r="CV91" s="207"/>
      <c r="CW91" s="207"/>
      <c r="CX91" s="207"/>
      <c r="CY91" s="207"/>
      <c r="CZ91" s="207"/>
      <c r="DA91" s="207"/>
      <c r="DB91" s="207"/>
      <c r="DC91" s="207"/>
      <c r="DD91" s="207"/>
    </row>
    <row r="92">
      <c r="A92" s="204"/>
      <c r="B92" s="205"/>
      <c r="C92" s="204"/>
      <c r="D92" s="206"/>
      <c r="E92" s="207"/>
      <c r="F92" s="207"/>
      <c r="G92" s="207"/>
      <c r="H92" s="208"/>
      <c r="I92" s="208"/>
      <c r="J92" s="208"/>
      <c r="K92" s="208"/>
      <c r="L92" s="208"/>
      <c r="M92" s="208"/>
      <c r="N92" s="208"/>
      <c r="O92" s="208"/>
      <c r="P92" s="208"/>
      <c r="Q92" s="208"/>
      <c r="R92" s="208"/>
      <c r="S92" s="208"/>
      <c r="T92" s="207"/>
      <c r="U92" s="207"/>
      <c r="V92" s="207"/>
      <c r="W92" s="207"/>
      <c r="X92" s="207"/>
      <c r="Y92" s="207"/>
      <c r="Z92" s="209"/>
      <c r="AA92" s="209"/>
      <c r="AB92" s="209"/>
      <c r="AC92" s="209"/>
      <c r="AD92" s="209"/>
      <c r="AE92" s="209"/>
      <c r="AF92" s="209"/>
      <c r="AG92" s="209"/>
      <c r="AH92" s="209"/>
      <c r="AI92" s="209"/>
      <c r="AJ92" s="209"/>
      <c r="AK92" s="209"/>
      <c r="AL92" s="209"/>
      <c r="AM92" s="209"/>
      <c r="AN92" s="207"/>
      <c r="AO92" s="207"/>
      <c r="AP92" s="207"/>
      <c r="AQ92" s="207"/>
      <c r="AR92" s="207"/>
      <c r="AS92" s="207"/>
      <c r="AT92" s="207"/>
      <c r="AU92" s="207"/>
      <c r="AV92" s="207"/>
      <c r="AW92" s="207"/>
      <c r="AX92" s="207"/>
      <c r="AY92" s="207"/>
      <c r="AZ92" s="207"/>
      <c r="BA92" s="207"/>
      <c r="BB92" s="207"/>
      <c r="BC92" s="207"/>
      <c r="BD92" s="207"/>
      <c r="BE92" s="207"/>
      <c r="BF92" s="207"/>
      <c r="BG92" s="207"/>
      <c r="BH92" s="207"/>
      <c r="BI92" s="207"/>
      <c r="BJ92" s="207"/>
      <c r="BK92" s="207"/>
      <c r="BL92" s="207"/>
      <c r="BM92" s="207"/>
      <c r="BN92" s="207"/>
      <c r="BO92" s="207"/>
      <c r="BP92" s="207"/>
      <c r="BQ92" s="207"/>
      <c r="BR92" s="207"/>
      <c r="BS92" s="207"/>
      <c r="BT92" s="207"/>
      <c r="BU92" s="207"/>
      <c r="BV92" s="207"/>
      <c r="BW92" s="207"/>
      <c r="BX92" s="207"/>
      <c r="BY92" s="207"/>
      <c r="BZ92" s="207"/>
      <c r="CA92" s="207"/>
      <c r="CB92" s="207"/>
      <c r="CC92" s="207"/>
      <c r="CD92" s="207"/>
      <c r="CE92" s="207"/>
      <c r="CF92" s="207"/>
      <c r="CG92" s="207"/>
      <c r="CH92" s="207"/>
      <c r="CI92" s="207"/>
      <c r="CJ92" s="207"/>
      <c r="CK92" s="207"/>
      <c r="CL92" s="207"/>
      <c r="CM92" s="207"/>
      <c r="CN92" s="207"/>
      <c r="CO92" s="207"/>
      <c r="CP92" s="207"/>
      <c r="CQ92" s="207"/>
      <c r="CR92" s="207"/>
      <c r="CS92" s="207"/>
      <c r="CT92" s="207"/>
      <c r="CU92" s="207"/>
      <c r="CV92" s="207"/>
      <c r="CW92" s="207"/>
      <c r="CX92" s="207"/>
      <c r="CY92" s="207"/>
      <c r="CZ92" s="207"/>
      <c r="DA92" s="207"/>
      <c r="DB92" s="207"/>
      <c r="DC92" s="207"/>
      <c r="DD92" s="207"/>
    </row>
    <row r="93">
      <c r="A93" s="204"/>
      <c r="B93" s="205"/>
      <c r="C93" s="204"/>
      <c r="D93" s="206"/>
      <c r="E93" s="207"/>
      <c r="F93" s="207"/>
      <c r="G93" s="207"/>
      <c r="H93" s="208"/>
      <c r="I93" s="208"/>
      <c r="J93" s="208"/>
      <c r="K93" s="208"/>
      <c r="L93" s="208"/>
      <c r="M93" s="208"/>
      <c r="N93" s="208"/>
      <c r="O93" s="208"/>
      <c r="P93" s="208"/>
      <c r="Q93" s="208"/>
      <c r="R93" s="208"/>
      <c r="S93" s="208"/>
      <c r="T93" s="207"/>
      <c r="U93" s="207"/>
      <c r="V93" s="207"/>
      <c r="W93" s="207"/>
      <c r="X93" s="207"/>
      <c r="Y93" s="207"/>
      <c r="Z93" s="209"/>
      <c r="AA93" s="209"/>
      <c r="AB93" s="209"/>
      <c r="AC93" s="209"/>
      <c r="AD93" s="209"/>
      <c r="AE93" s="209"/>
      <c r="AF93" s="209"/>
      <c r="AG93" s="209"/>
      <c r="AH93" s="209"/>
      <c r="AI93" s="209"/>
      <c r="AJ93" s="209"/>
      <c r="AK93" s="209"/>
      <c r="AL93" s="209"/>
      <c r="AM93" s="209"/>
      <c r="AN93" s="207"/>
      <c r="AO93" s="207"/>
      <c r="AP93" s="207"/>
      <c r="AQ93" s="207"/>
      <c r="AR93" s="207"/>
      <c r="AS93" s="207"/>
      <c r="AT93" s="207"/>
      <c r="AU93" s="207"/>
      <c r="AV93" s="207"/>
      <c r="AW93" s="207"/>
      <c r="AX93" s="207"/>
      <c r="AY93" s="207"/>
      <c r="AZ93" s="207"/>
      <c r="BA93" s="207"/>
      <c r="BB93" s="207"/>
      <c r="BC93" s="207"/>
      <c r="BD93" s="207"/>
      <c r="BE93" s="207"/>
      <c r="BF93" s="207"/>
      <c r="BG93" s="207"/>
      <c r="BH93" s="207"/>
      <c r="BI93" s="207"/>
      <c r="BJ93" s="207"/>
      <c r="BK93" s="207"/>
      <c r="BL93" s="207"/>
      <c r="BM93" s="207"/>
      <c r="BN93" s="207"/>
      <c r="BO93" s="207"/>
      <c r="BP93" s="207"/>
      <c r="BQ93" s="207"/>
      <c r="BR93" s="207"/>
      <c r="BS93" s="207"/>
      <c r="BT93" s="207"/>
      <c r="BU93" s="207"/>
      <c r="BV93" s="207"/>
      <c r="BW93" s="207"/>
      <c r="BX93" s="207"/>
      <c r="BY93" s="207"/>
      <c r="BZ93" s="207"/>
      <c r="CA93" s="207"/>
      <c r="CB93" s="207"/>
      <c r="CC93" s="207"/>
      <c r="CD93" s="207"/>
      <c r="CE93" s="207"/>
      <c r="CF93" s="207"/>
      <c r="CG93" s="207"/>
      <c r="CH93" s="207"/>
      <c r="CI93" s="207"/>
      <c r="CJ93" s="207"/>
      <c r="CK93" s="207"/>
      <c r="CL93" s="207"/>
      <c r="CM93" s="207"/>
      <c r="CN93" s="207"/>
      <c r="CO93" s="207"/>
      <c r="CP93" s="207"/>
      <c r="CQ93" s="207"/>
      <c r="CR93" s="207"/>
      <c r="CS93" s="207"/>
      <c r="CT93" s="207"/>
      <c r="CU93" s="207"/>
      <c r="CV93" s="207"/>
      <c r="CW93" s="207"/>
      <c r="CX93" s="207"/>
      <c r="CY93" s="207"/>
      <c r="CZ93" s="207"/>
      <c r="DA93" s="207"/>
      <c r="DB93" s="207"/>
      <c r="DC93" s="207"/>
      <c r="DD93" s="207"/>
    </row>
    <row r="94">
      <c r="A94" s="204"/>
      <c r="B94" s="205"/>
      <c r="C94" s="204"/>
      <c r="D94" s="206"/>
      <c r="E94" s="207"/>
      <c r="F94" s="207"/>
      <c r="G94" s="207"/>
      <c r="H94" s="208"/>
      <c r="I94" s="208"/>
      <c r="J94" s="208"/>
      <c r="K94" s="208"/>
      <c r="L94" s="208"/>
      <c r="M94" s="208"/>
      <c r="N94" s="208"/>
      <c r="O94" s="208"/>
      <c r="P94" s="208"/>
      <c r="Q94" s="208"/>
      <c r="R94" s="208"/>
      <c r="S94" s="208"/>
      <c r="T94" s="207"/>
      <c r="U94" s="207"/>
      <c r="V94" s="207"/>
      <c r="W94" s="207"/>
      <c r="X94" s="207"/>
      <c r="Y94" s="207"/>
      <c r="Z94" s="209"/>
      <c r="AA94" s="209"/>
      <c r="AB94" s="209"/>
      <c r="AC94" s="209"/>
      <c r="AD94" s="209"/>
      <c r="AE94" s="209"/>
      <c r="AF94" s="209"/>
      <c r="AG94" s="209"/>
      <c r="AH94" s="209"/>
      <c r="AI94" s="209"/>
      <c r="AJ94" s="209"/>
      <c r="AK94" s="209"/>
      <c r="AL94" s="209"/>
      <c r="AM94" s="209"/>
      <c r="AN94" s="207"/>
      <c r="AO94" s="207"/>
      <c r="AP94" s="207"/>
      <c r="AQ94" s="207"/>
      <c r="AR94" s="207"/>
      <c r="AS94" s="207"/>
      <c r="AT94" s="207"/>
      <c r="AU94" s="207"/>
      <c r="AV94" s="207"/>
      <c r="AW94" s="207"/>
      <c r="AX94" s="207"/>
      <c r="AY94" s="207"/>
      <c r="AZ94" s="207"/>
      <c r="BA94" s="207"/>
      <c r="BB94" s="207"/>
      <c r="BC94" s="207"/>
      <c r="BD94" s="207"/>
      <c r="BE94" s="207"/>
      <c r="BF94" s="207"/>
      <c r="BG94" s="207"/>
      <c r="BH94" s="207"/>
      <c r="BI94" s="207"/>
      <c r="BJ94" s="207"/>
      <c r="BK94" s="207"/>
      <c r="BL94" s="207"/>
      <c r="BM94" s="207"/>
      <c r="BN94" s="207"/>
      <c r="BO94" s="207"/>
      <c r="BP94" s="207"/>
      <c r="BQ94" s="207"/>
      <c r="BR94" s="207"/>
      <c r="BS94" s="207"/>
      <c r="BT94" s="207"/>
      <c r="BU94" s="207"/>
      <c r="BV94" s="207"/>
      <c r="BW94" s="207"/>
      <c r="BX94" s="207"/>
      <c r="BY94" s="207"/>
      <c r="BZ94" s="207"/>
      <c r="CA94" s="207"/>
      <c r="CB94" s="207"/>
      <c r="CC94" s="207"/>
      <c r="CD94" s="207"/>
      <c r="CE94" s="207"/>
      <c r="CF94" s="207"/>
      <c r="CG94" s="207"/>
      <c r="CH94" s="207"/>
      <c r="CI94" s="207"/>
      <c r="CJ94" s="207"/>
      <c r="CK94" s="207"/>
      <c r="CL94" s="207"/>
      <c r="CM94" s="207"/>
      <c r="CN94" s="207"/>
      <c r="CO94" s="207"/>
      <c r="CP94" s="207"/>
      <c r="CQ94" s="207"/>
      <c r="CR94" s="207"/>
      <c r="CS94" s="207"/>
      <c r="CT94" s="207"/>
      <c r="CU94" s="207"/>
      <c r="CV94" s="207"/>
      <c r="CW94" s="207"/>
      <c r="CX94" s="207"/>
      <c r="CY94" s="207"/>
      <c r="CZ94" s="207"/>
      <c r="DA94" s="207"/>
      <c r="DB94" s="207"/>
      <c r="DC94" s="207"/>
      <c r="DD94" s="207"/>
    </row>
    <row r="95">
      <c r="A95" s="204"/>
      <c r="B95" s="205"/>
      <c r="C95" s="204"/>
      <c r="D95" s="206"/>
      <c r="E95" s="207"/>
      <c r="F95" s="207"/>
      <c r="G95" s="207"/>
      <c r="H95" s="208"/>
      <c r="I95" s="208"/>
      <c r="J95" s="208"/>
      <c r="K95" s="208"/>
      <c r="L95" s="208"/>
      <c r="M95" s="208"/>
      <c r="N95" s="208"/>
      <c r="O95" s="208"/>
      <c r="P95" s="208"/>
      <c r="Q95" s="208"/>
      <c r="R95" s="208"/>
      <c r="S95" s="208"/>
      <c r="T95" s="207"/>
      <c r="U95" s="207"/>
      <c r="V95" s="207"/>
      <c r="W95" s="207"/>
      <c r="X95" s="207"/>
      <c r="Y95" s="207"/>
      <c r="Z95" s="209"/>
      <c r="AA95" s="209"/>
      <c r="AB95" s="209"/>
      <c r="AC95" s="209"/>
      <c r="AD95" s="209"/>
      <c r="AE95" s="209"/>
      <c r="AF95" s="209"/>
      <c r="AG95" s="209"/>
      <c r="AH95" s="209"/>
      <c r="AI95" s="209"/>
      <c r="AJ95" s="209"/>
      <c r="AK95" s="209"/>
      <c r="AL95" s="209"/>
      <c r="AM95" s="209"/>
      <c r="AN95" s="207"/>
      <c r="AO95" s="207"/>
      <c r="AP95" s="207"/>
      <c r="AQ95" s="207"/>
      <c r="AR95" s="207"/>
      <c r="AS95" s="207"/>
      <c r="AT95" s="207"/>
      <c r="AU95" s="207"/>
      <c r="AV95" s="207"/>
      <c r="AW95" s="207"/>
      <c r="AX95" s="207"/>
      <c r="AY95" s="207"/>
      <c r="AZ95" s="207"/>
      <c r="BA95" s="207"/>
      <c r="BB95" s="207"/>
      <c r="BC95" s="207"/>
      <c r="BD95" s="207"/>
      <c r="BE95" s="207"/>
      <c r="BF95" s="207"/>
      <c r="BG95" s="207"/>
      <c r="BH95" s="207"/>
      <c r="BI95" s="207"/>
      <c r="BJ95" s="207"/>
      <c r="BK95" s="207"/>
      <c r="BL95" s="207"/>
      <c r="BM95" s="207"/>
      <c r="BN95" s="207"/>
      <c r="BO95" s="207"/>
      <c r="BP95" s="207"/>
      <c r="BQ95" s="207"/>
      <c r="BR95" s="207"/>
      <c r="BS95" s="207"/>
      <c r="BT95" s="207"/>
      <c r="BU95" s="207"/>
      <c r="BV95" s="207"/>
      <c r="BW95" s="207"/>
      <c r="BX95" s="207"/>
      <c r="BY95" s="207"/>
      <c r="BZ95" s="207"/>
      <c r="CA95" s="207"/>
      <c r="CB95" s="207"/>
      <c r="CC95" s="207"/>
      <c r="CD95" s="207"/>
      <c r="CE95" s="207"/>
      <c r="CF95" s="207"/>
      <c r="CG95" s="207"/>
      <c r="CH95" s="207"/>
      <c r="CI95" s="207"/>
      <c r="CJ95" s="207"/>
      <c r="CK95" s="207"/>
      <c r="CL95" s="207"/>
      <c r="CM95" s="207"/>
      <c r="CN95" s="207"/>
      <c r="CO95" s="207"/>
      <c r="CP95" s="207"/>
      <c r="CQ95" s="207"/>
      <c r="CR95" s="207"/>
      <c r="CS95" s="207"/>
      <c r="CT95" s="207"/>
      <c r="CU95" s="207"/>
      <c r="CV95" s="207"/>
      <c r="CW95" s="207"/>
      <c r="CX95" s="207"/>
      <c r="CY95" s="207"/>
      <c r="CZ95" s="207"/>
      <c r="DA95" s="207"/>
      <c r="DB95" s="207"/>
      <c r="DC95" s="207"/>
      <c r="DD95" s="207"/>
    </row>
    <row r="96">
      <c r="A96" s="204"/>
      <c r="B96" s="205"/>
      <c r="C96" s="204"/>
      <c r="D96" s="206"/>
      <c r="E96" s="207"/>
      <c r="F96" s="207"/>
      <c r="G96" s="207"/>
      <c r="H96" s="208"/>
      <c r="I96" s="208"/>
      <c r="J96" s="208"/>
      <c r="K96" s="208"/>
      <c r="L96" s="208"/>
      <c r="M96" s="208"/>
      <c r="N96" s="208"/>
      <c r="O96" s="208"/>
      <c r="P96" s="208"/>
      <c r="Q96" s="208"/>
      <c r="R96" s="208"/>
      <c r="S96" s="208"/>
      <c r="T96" s="207"/>
      <c r="U96" s="207"/>
      <c r="V96" s="207"/>
      <c r="W96" s="207"/>
      <c r="X96" s="207"/>
      <c r="Y96" s="207"/>
      <c r="Z96" s="209"/>
      <c r="AA96" s="209"/>
      <c r="AB96" s="209"/>
      <c r="AC96" s="209"/>
      <c r="AD96" s="209"/>
      <c r="AE96" s="209"/>
      <c r="AF96" s="209"/>
      <c r="AG96" s="209"/>
      <c r="AH96" s="209"/>
      <c r="AI96" s="209"/>
      <c r="AJ96" s="209"/>
      <c r="AK96" s="209"/>
      <c r="AL96" s="209"/>
      <c r="AM96" s="209"/>
      <c r="AN96" s="207"/>
      <c r="AO96" s="207"/>
      <c r="AP96" s="207"/>
      <c r="AQ96" s="207"/>
      <c r="AR96" s="207"/>
      <c r="AS96" s="207"/>
      <c r="AT96" s="207"/>
      <c r="AU96" s="207"/>
      <c r="AV96" s="207"/>
      <c r="AW96" s="207"/>
      <c r="AX96" s="207"/>
      <c r="AY96" s="207"/>
      <c r="AZ96" s="207"/>
      <c r="BA96" s="207"/>
      <c r="BB96" s="207"/>
      <c r="BC96" s="207"/>
      <c r="BD96" s="207"/>
      <c r="BE96" s="207"/>
      <c r="BF96" s="207"/>
      <c r="BG96" s="207"/>
      <c r="BH96" s="207"/>
      <c r="BI96" s="207"/>
      <c r="BJ96" s="207"/>
      <c r="BK96" s="207"/>
      <c r="BL96" s="207"/>
      <c r="BM96" s="207"/>
      <c r="BN96" s="207"/>
      <c r="BO96" s="207"/>
      <c r="BP96" s="207"/>
      <c r="BQ96" s="207"/>
      <c r="BR96" s="207"/>
      <c r="BS96" s="207"/>
      <c r="BT96" s="207"/>
      <c r="BU96" s="207"/>
      <c r="BV96" s="207"/>
      <c r="BW96" s="207"/>
      <c r="BX96" s="207"/>
      <c r="BY96" s="207"/>
      <c r="BZ96" s="207"/>
      <c r="CA96" s="207"/>
      <c r="CB96" s="207"/>
      <c r="CC96" s="207"/>
      <c r="CD96" s="207"/>
      <c r="CE96" s="207"/>
      <c r="CF96" s="207"/>
      <c r="CG96" s="207"/>
      <c r="CH96" s="207"/>
      <c r="CI96" s="207"/>
      <c r="CJ96" s="207"/>
      <c r="CK96" s="207"/>
      <c r="CL96" s="207"/>
      <c r="CM96" s="207"/>
      <c r="CN96" s="207"/>
      <c r="CO96" s="207"/>
      <c r="CP96" s="207"/>
      <c r="CQ96" s="207"/>
      <c r="CR96" s="207"/>
      <c r="CS96" s="207"/>
      <c r="CT96" s="207"/>
      <c r="CU96" s="207"/>
      <c r="CV96" s="207"/>
      <c r="CW96" s="207"/>
      <c r="CX96" s="207"/>
      <c r="CY96" s="207"/>
      <c r="CZ96" s="207"/>
      <c r="DA96" s="207"/>
      <c r="DB96" s="207"/>
      <c r="DC96" s="207"/>
      <c r="DD96" s="207"/>
    </row>
    <row r="97">
      <c r="A97" s="204"/>
      <c r="B97" s="205"/>
      <c r="C97" s="204"/>
      <c r="D97" s="206"/>
      <c r="E97" s="207"/>
      <c r="F97" s="207"/>
      <c r="G97" s="207"/>
      <c r="H97" s="208"/>
      <c r="I97" s="208"/>
      <c r="J97" s="208"/>
      <c r="K97" s="208"/>
      <c r="L97" s="208"/>
      <c r="M97" s="208"/>
      <c r="N97" s="208"/>
      <c r="O97" s="208"/>
      <c r="P97" s="208"/>
      <c r="Q97" s="208"/>
      <c r="R97" s="208"/>
      <c r="S97" s="208"/>
      <c r="T97" s="207"/>
      <c r="U97" s="207"/>
      <c r="V97" s="207"/>
      <c r="W97" s="207"/>
      <c r="X97" s="207"/>
      <c r="Y97" s="207"/>
      <c r="Z97" s="209"/>
      <c r="AA97" s="209"/>
      <c r="AB97" s="209"/>
      <c r="AC97" s="209"/>
      <c r="AD97" s="209"/>
      <c r="AE97" s="209"/>
      <c r="AF97" s="209"/>
      <c r="AG97" s="209"/>
      <c r="AH97" s="209"/>
      <c r="AI97" s="209"/>
      <c r="AJ97" s="209"/>
      <c r="AK97" s="209"/>
      <c r="AL97" s="209"/>
      <c r="AM97" s="209"/>
      <c r="AN97" s="207"/>
      <c r="AO97" s="207"/>
      <c r="AP97" s="207"/>
      <c r="AQ97" s="207"/>
      <c r="AR97" s="207"/>
      <c r="AS97" s="207"/>
      <c r="AT97" s="207"/>
      <c r="AU97" s="207"/>
      <c r="AV97" s="207"/>
      <c r="AW97" s="207"/>
      <c r="AX97" s="207"/>
      <c r="AY97" s="207"/>
      <c r="AZ97" s="207"/>
      <c r="BA97" s="207"/>
      <c r="BB97" s="207"/>
      <c r="BC97" s="207"/>
      <c r="BD97" s="207"/>
      <c r="BE97" s="207"/>
      <c r="BF97" s="207"/>
      <c r="BG97" s="207"/>
      <c r="BH97" s="207"/>
      <c r="BI97" s="207"/>
      <c r="BJ97" s="207"/>
      <c r="BK97" s="207"/>
      <c r="BL97" s="207"/>
      <c r="BM97" s="207"/>
      <c r="BN97" s="207"/>
      <c r="BO97" s="207"/>
      <c r="BP97" s="207"/>
      <c r="BQ97" s="207"/>
      <c r="BR97" s="207"/>
      <c r="BS97" s="207"/>
      <c r="BT97" s="207"/>
      <c r="BU97" s="207"/>
      <c r="BV97" s="207"/>
      <c r="BW97" s="207"/>
      <c r="BX97" s="207"/>
      <c r="BY97" s="207"/>
      <c r="BZ97" s="207"/>
      <c r="CA97" s="207"/>
      <c r="CB97" s="207"/>
      <c r="CC97" s="207"/>
      <c r="CD97" s="207"/>
      <c r="CE97" s="207"/>
      <c r="CF97" s="207"/>
      <c r="CG97" s="207"/>
      <c r="CH97" s="207"/>
      <c r="CI97" s="207"/>
      <c r="CJ97" s="207"/>
      <c r="CK97" s="207"/>
      <c r="CL97" s="207"/>
      <c r="CM97" s="207"/>
      <c r="CN97" s="207"/>
      <c r="CO97" s="207"/>
      <c r="CP97" s="207"/>
      <c r="CQ97" s="207"/>
      <c r="CR97" s="207"/>
      <c r="CS97" s="207"/>
      <c r="CT97" s="207"/>
      <c r="CU97" s="207"/>
      <c r="CV97" s="207"/>
      <c r="CW97" s="207"/>
      <c r="CX97" s="207"/>
      <c r="CY97" s="207"/>
      <c r="CZ97" s="207"/>
      <c r="DA97" s="207"/>
      <c r="DB97" s="207"/>
      <c r="DC97" s="207"/>
      <c r="DD97" s="207"/>
    </row>
    <row r="98">
      <c r="A98" s="204"/>
      <c r="B98" s="205"/>
      <c r="C98" s="204"/>
      <c r="D98" s="206"/>
      <c r="E98" s="207"/>
      <c r="F98" s="207"/>
      <c r="G98" s="207"/>
      <c r="H98" s="208"/>
      <c r="I98" s="208"/>
      <c r="J98" s="208"/>
      <c r="K98" s="208"/>
      <c r="L98" s="208"/>
      <c r="M98" s="208"/>
      <c r="N98" s="208"/>
      <c r="O98" s="208"/>
      <c r="P98" s="208"/>
      <c r="Q98" s="208"/>
      <c r="R98" s="208"/>
      <c r="S98" s="208"/>
      <c r="T98" s="207"/>
      <c r="U98" s="207"/>
      <c r="V98" s="207"/>
      <c r="W98" s="207"/>
      <c r="X98" s="207"/>
      <c r="Y98" s="207"/>
      <c r="Z98" s="209"/>
      <c r="AA98" s="209"/>
      <c r="AB98" s="209"/>
      <c r="AC98" s="209"/>
      <c r="AD98" s="209"/>
      <c r="AE98" s="209"/>
      <c r="AF98" s="209"/>
      <c r="AG98" s="209"/>
      <c r="AH98" s="209"/>
      <c r="AI98" s="209"/>
      <c r="AJ98" s="209"/>
      <c r="AK98" s="209"/>
      <c r="AL98" s="209"/>
      <c r="AM98" s="209"/>
      <c r="AN98" s="207"/>
      <c r="AO98" s="207"/>
      <c r="AP98" s="207"/>
      <c r="AQ98" s="207"/>
      <c r="AR98" s="207"/>
      <c r="AS98" s="207"/>
      <c r="AT98" s="207"/>
      <c r="AU98" s="207"/>
      <c r="AV98" s="207"/>
      <c r="AW98" s="207"/>
      <c r="AX98" s="207"/>
      <c r="AY98" s="207"/>
      <c r="AZ98" s="207"/>
      <c r="BA98" s="207"/>
      <c r="BB98" s="207"/>
      <c r="BC98" s="207"/>
      <c r="BD98" s="207"/>
      <c r="BE98" s="207"/>
      <c r="BF98" s="207"/>
      <c r="BG98" s="207"/>
      <c r="BH98" s="207"/>
      <c r="BI98" s="207"/>
      <c r="BJ98" s="207"/>
      <c r="BK98" s="207"/>
      <c r="BL98" s="207"/>
      <c r="BM98" s="207"/>
      <c r="BN98" s="207"/>
      <c r="BO98" s="207"/>
      <c r="BP98" s="207"/>
      <c r="BQ98" s="207"/>
      <c r="BR98" s="207"/>
      <c r="BS98" s="207"/>
      <c r="BT98" s="207"/>
      <c r="BU98" s="207"/>
      <c r="BV98" s="207"/>
      <c r="BW98" s="207"/>
      <c r="BX98" s="207"/>
      <c r="BY98" s="207"/>
      <c r="BZ98" s="207"/>
      <c r="CA98" s="207"/>
      <c r="CB98" s="207"/>
      <c r="CC98" s="207"/>
      <c r="CD98" s="207"/>
      <c r="CE98" s="207"/>
      <c r="CF98" s="207"/>
      <c r="CG98" s="207"/>
      <c r="CH98" s="207"/>
      <c r="CI98" s="207"/>
      <c r="CJ98" s="207"/>
      <c r="CK98" s="207"/>
      <c r="CL98" s="207"/>
      <c r="CM98" s="207"/>
      <c r="CN98" s="207"/>
      <c r="CO98" s="207"/>
      <c r="CP98" s="207"/>
      <c r="CQ98" s="207"/>
      <c r="CR98" s="207"/>
      <c r="CS98" s="207"/>
      <c r="CT98" s="207"/>
      <c r="CU98" s="207"/>
      <c r="CV98" s="207"/>
      <c r="CW98" s="207"/>
      <c r="CX98" s="207"/>
      <c r="CY98" s="207"/>
      <c r="CZ98" s="207"/>
      <c r="DA98" s="207"/>
      <c r="DB98" s="207"/>
      <c r="DC98" s="207"/>
      <c r="DD98" s="207"/>
    </row>
    <row r="99">
      <c r="A99" s="204"/>
      <c r="B99" s="205"/>
      <c r="C99" s="204"/>
      <c r="D99" s="206"/>
      <c r="E99" s="207"/>
      <c r="F99" s="207"/>
      <c r="G99" s="207"/>
      <c r="H99" s="208"/>
      <c r="I99" s="208"/>
      <c r="J99" s="208"/>
      <c r="K99" s="208"/>
      <c r="L99" s="208"/>
      <c r="M99" s="208"/>
      <c r="N99" s="208"/>
      <c r="O99" s="208"/>
      <c r="P99" s="208"/>
      <c r="Q99" s="208"/>
      <c r="R99" s="208"/>
      <c r="S99" s="208"/>
      <c r="T99" s="207"/>
      <c r="U99" s="207"/>
      <c r="V99" s="207"/>
      <c r="W99" s="207"/>
      <c r="X99" s="207"/>
      <c r="Y99" s="207"/>
      <c r="Z99" s="209"/>
      <c r="AA99" s="209"/>
      <c r="AB99" s="209"/>
      <c r="AC99" s="209"/>
      <c r="AD99" s="209"/>
      <c r="AE99" s="209"/>
      <c r="AF99" s="209"/>
      <c r="AG99" s="209"/>
      <c r="AH99" s="209"/>
      <c r="AI99" s="209"/>
      <c r="AJ99" s="209"/>
      <c r="AK99" s="209"/>
      <c r="AL99" s="209"/>
      <c r="AM99" s="209"/>
      <c r="AN99" s="207"/>
      <c r="AO99" s="207"/>
      <c r="AP99" s="207"/>
      <c r="AQ99" s="207"/>
      <c r="AR99" s="207"/>
      <c r="AS99" s="207"/>
      <c r="AT99" s="207"/>
      <c r="AU99" s="207"/>
      <c r="AV99" s="207"/>
      <c r="AW99" s="207"/>
      <c r="AX99" s="207"/>
      <c r="AY99" s="207"/>
      <c r="AZ99" s="207"/>
      <c r="BA99" s="207"/>
      <c r="BB99" s="207"/>
      <c r="BC99" s="207"/>
      <c r="BD99" s="207"/>
      <c r="BE99" s="207"/>
      <c r="BF99" s="207"/>
      <c r="BG99" s="207"/>
      <c r="BH99" s="207"/>
      <c r="BI99" s="207"/>
      <c r="BJ99" s="207"/>
      <c r="BK99" s="207"/>
      <c r="BL99" s="207"/>
      <c r="BM99" s="207"/>
      <c r="BN99" s="207"/>
      <c r="BO99" s="207"/>
      <c r="BP99" s="207"/>
      <c r="BQ99" s="207"/>
      <c r="BR99" s="207"/>
      <c r="BS99" s="207"/>
      <c r="BT99" s="207"/>
      <c r="BU99" s="207"/>
      <c r="BV99" s="207"/>
      <c r="BW99" s="207"/>
      <c r="BX99" s="207"/>
      <c r="BY99" s="207"/>
      <c r="BZ99" s="207"/>
      <c r="CA99" s="207"/>
      <c r="CB99" s="207"/>
      <c r="CC99" s="207"/>
      <c r="CD99" s="207"/>
      <c r="CE99" s="207"/>
      <c r="CF99" s="207"/>
      <c r="CG99" s="207"/>
      <c r="CH99" s="207"/>
      <c r="CI99" s="207"/>
      <c r="CJ99" s="207"/>
      <c r="CK99" s="207"/>
      <c r="CL99" s="207"/>
      <c r="CM99" s="207"/>
      <c r="CN99" s="207"/>
      <c r="CO99" s="207"/>
      <c r="CP99" s="207"/>
      <c r="CQ99" s="207"/>
      <c r="CR99" s="207"/>
      <c r="CS99" s="207"/>
      <c r="CT99" s="207"/>
      <c r="CU99" s="207"/>
      <c r="CV99" s="207"/>
      <c r="CW99" s="207"/>
      <c r="CX99" s="207"/>
      <c r="CY99" s="207"/>
      <c r="CZ99" s="207"/>
      <c r="DA99" s="207"/>
      <c r="DB99" s="207"/>
      <c r="DC99" s="207"/>
      <c r="DD99" s="207"/>
    </row>
    <row r="100">
      <c r="A100" s="204"/>
      <c r="B100" s="205"/>
      <c r="C100" s="204"/>
      <c r="D100" s="206"/>
      <c r="E100" s="207"/>
      <c r="F100" s="207"/>
      <c r="G100" s="207"/>
      <c r="H100" s="208"/>
      <c r="I100" s="208"/>
      <c r="J100" s="208"/>
      <c r="K100" s="208"/>
      <c r="L100" s="208"/>
      <c r="M100" s="208"/>
      <c r="N100" s="208"/>
      <c r="O100" s="208"/>
      <c r="P100" s="208"/>
      <c r="Q100" s="208"/>
      <c r="R100" s="208"/>
      <c r="S100" s="208"/>
      <c r="T100" s="207"/>
      <c r="U100" s="207"/>
      <c r="V100" s="207"/>
      <c r="W100" s="207"/>
      <c r="X100" s="207"/>
      <c r="Y100" s="207"/>
      <c r="Z100" s="209"/>
      <c r="AA100" s="209"/>
      <c r="AB100" s="209"/>
      <c r="AC100" s="209"/>
      <c r="AD100" s="209"/>
      <c r="AE100" s="209"/>
      <c r="AF100" s="209"/>
      <c r="AG100" s="209"/>
      <c r="AH100" s="209"/>
      <c r="AI100" s="209"/>
      <c r="AJ100" s="209"/>
      <c r="AK100" s="209"/>
      <c r="AL100" s="209"/>
      <c r="AM100" s="209"/>
      <c r="AN100" s="207"/>
      <c r="AO100" s="207"/>
      <c r="AP100" s="207"/>
      <c r="AQ100" s="207"/>
      <c r="AR100" s="207"/>
      <c r="AS100" s="207"/>
      <c r="AT100" s="207"/>
      <c r="AU100" s="207"/>
      <c r="AV100" s="207"/>
      <c r="AW100" s="207"/>
      <c r="AX100" s="207"/>
      <c r="AY100" s="207"/>
      <c r="AZ100" s="207"/>
      <c r="BA100" s="207"/>
      <c r="BB100" s="207"/>
      <c r="BC100" s="207"/>
      <c r="BD100" s="207"/>
      <c r="BE100" s="207"/>
      <c r="BF100" s="207"/>
      <c r="BG100" s="207"/>
      <c r="BH100" s="207"/>
      <c r="BI100" s="207"/>
      <c r="BJ100" s="207"/>
      <c r="BK100" s="207"/>
      <c r="BL100" s="207"/>
      <c r="BM100" s="207"/>
      <c r="BN100" s="207"/>
      <c r="BO100" s="207"/>
      <c r="BP100" s="207"/>
      <c r="BQ100" s="207"/>
      <c r="BR100" s="207"/>
      <c r="BS100" s="207"/>
      <c r="BT100" s="207"/>
      <c r="BU100" s="207"/>
      <c r="BV100" s="207"/>
      <c r="BW100" s="207"/>
      <c r="BX100" s="207"/>
      <c r="BY100" s="207"/>
      <c r="BZ100" s="207"/>
      <c r="CA100" s="207"/>
      <c r="CB100" s="207"/>
      <c r="CC100" s="207"/>
      <c r="CD100" s="207"/>
      <c r="CE100" s="207"/>
      <c r="CF100" s="207"/>
      <c r="CG100" s="207"/>
      <c r="CH100" s="207"/>
      <c r="CI100" s="207"/>
      <c r="CJ100" s="207"/>
      <c r="CK100" s="207"/>
      <c r="CL100" s="207"/>
      <c r="CM100" s="207"/>
      <c r="CN100" s="207"/>
      <c r="CO100" s="207"/>
      <c r="CP100" s="207"/>
      <c r="CQ100" s="207"/>
      <c r="CR100" s="207"/>
      <c r="CS100" s="207"/>
      <c r="CT100" s="207"/>
      <c r="CU100" s="207"/>
      <c r="CV100" s="207"/>
      <c r="CW100" s="207"/>
      <c r="CX100" s="207"/>
      <c r="CY100" s="207"/>
      <c r="CZ100" s="207"/>
      <c r="DA100" s="207"/>
      <c r="DB100" s="207"/>
      <c r="DC100" s="207"/>
      <c r="DD100" s="207"/>
    </row>
    <row r="101">
      <c r="A101" s="204"/>
      <c r="B101" s="205"/>
      <c r="C101" s="204"/>
      <c r="D101" s="206"/>
      <c r="E101" s="207"/>
      <c r="F101" s="207"/>
      <c r="G101" s="207"/>
      <c r="H101" s="208"/>
      <c r="I101" s="208"/>
      <c r="J101" s="208"/>
      <c r="K101" s="208"/>
      <c r="L101" s="208"/>
      <c r="M101" s="208"/>
      <c r="N101" s="208"/>
      <c r="O101" s="208"/>
      <c r="P101" s="208"/>
      <c r="Q101" s="208"/>
      <c r="R101" s="208"/>
      <c r="S101" s="208"/>
      <c r="T101" s="207"/>
      <c r="U101" s="207"/>
      <c r="V101" s="207"/>
      <c r="W101" s="207"/>
      <c r="X101" s="207"/>
      <c r="Y101" s="207"/>
      <c r="Z101" s="209"/>
      <c r="AA101" s="209"/>
      <c r="AB101" s="209"/>
      <c r="AC101" s="209"/>
      <c r="AD101" s="209"/>
      <c r="AE101" s="209"/>
      <c r="AF101" s="209"/>
      <c r="AG101" s="209"/>
      <c r="AH101" s="209"/>
      <c r="AI101" s="209"/>
      <c r="AJ101" s="209"/>
      <c r="AK101" s="209"/>
      <c r="AL101" s="209"/>
      <c r="AM101" s="209"/>
      <c r="AN101" s="207"/>
      <c r="AO101" s="207"/>
      <c r="AP101" s="207"/>
      <c r="AQ101" s="207"/>
      <c r="AR101" s="207"/>
      <c r="AS101" s="207"/>
      <c r="AT101" s="207"/>
      <c r="AU101" s="207"/>
      <c r="AV101" s="207"/>
      <c r="AW101" s="207"/>
      <c r="AX101" s="207"/>
      <c r="AY101" s="207"/>
      <c r="AZ101" s="207"/>
      <c r="BA101" s="207"/>
      <c r="BB101" s="207"/>
      <c r="BC101" s="207"/>
      <c r="BD101" s="207"/>
      <c r="BE101" s="207"/>
      <c r="BF101" s="207"/>
      <c r="BG101" s="207"/>
      <c r="BH101" s="207"/>
      <c r="BI101" s="207"/>
      <c r="BJ101" s="207"/>
      <c r="BK101" s="207"/>
      <c r="BL101" s="207"/>
      <c r="BM101" s="207"/>
      <c r="BN101" s="207"/>
      <c r="BO101" s="207"/>
      <c r="BP101" s="207"/>
      <c r="BQ101" s="207"/>
      <c r="BR101" s="207"/>
      <c r="BS101" s="207"/>
      <c r="BT101" s="207"/>
      <c r="BU101" s="207"/>
      <c r="BV101" s="207"/>
      <c r="BW101" s="207"/>
      <c r="BX101" s="207"/>
      <c r="BY101" s="207"/>
      <c r="BZ101" s="207"/>
      <c r="CA101" s="207"/>
      <c r="CB101" s="207"/>
      <c r="CC101" s="207"/>
      <c r="CD101" s="207"/>
      <c r="CE101" s="207"/>
      <c r="CF101" s="207"/>
      <c r="CG101" s="207"/>
      <c r="CH101" s="207"/>
      <c r="CI101" s="207"/>
      <c r="CJ101" s="207"/>
      <c r="CK101" s="207"/>
      <c r="CL101" s="207"/>
      <c r="CM101" s="207"/>
      <c r="CN101" s="207"/>
      <c r="CO101" s="207"/>
      <c r="CP101" s="207"/>
      <c r="CQ101" s="207"/>
      <c r="CR101" s="207"/>
      <c r="CS101" s="207"/>
      <c r="CT101" s="207"/>
      <c r="CU101" s="207"/>
      <c r="CV101" s="207"/>
      <c r="CW101" s="207"/>
      <c r="CX101" s="207"/>
      <c r="CY101" s="207"/>
      <c r="CZ101" s="207"/>
      <c r="DA101" s="207"/>
      <c r="DB101" s="207"/>
      <c r="DC101" s="207"/>
      <c r="DD101" s="207"/>
    </row>
    <row r="102">
      <c r="A102" s="204"/>
      <c r="B102" s="205"/>
      <c r="C102" s="204"/>
      <c r="D102" s="206"/>
      <c r="E102" s="207"/>
      <c r="F102" s="207"/>
      <c r="G102" s="207"/>
      <c r="H102" s="208"/>
      <c r="I102" s="208"/>
      <c r="J102" s="208"/>
      <c r="K102" s="208"/>
      <c r="L102" s="208"/>
      <c r="M102" s="208"/>
      <c r="N102" s="208"/>
      <c r="O102" s="208"/>
      <c r="P102" s="208"/>
      <c r="Q102" s="208"/>
      <c r="R102" s="208"/>
      <c r="S102" s="208"/>
      <c r="T102" s="207"/>
      <c r="U102" s="207"/>
      <c r="V102" s="207"/>
      <c r="W102" s="207"/>
      <c r="X102" s="207"/>
      <c r="Y102" s="207"/>
      <c r="Z102" s="209"/>
      <c r="AA102" s="209"/>
      <c r="AB102" s="209"/>
      <c r="AC102" s="209"/>
      <c r="AD102" s="209"/>
      <c r="AE102" s="209"/>
      <c r="AF102" s="209"/>
      <c r="AG102" s="209"/>
      <c r="AH102" s="209"/>
      <c r="AI102" s="209"/>
      <c r="AJ102" s="209"/>
      <c r="AK102" s="209"/>
      <c r="AL102" s="209"/>
      <c r="AM102" s="209"/>
      <c r="AN102" s="207"/>
      <c r="AO102" s="207"/>
      <c r="AP102" s="207"/>
      <c r="AQ102" s="207"/>
      <c r="AR102" s="207"/>
      <c r="AS102" s="207"/>
      <c r="AT102" s="207"/>
      <c r="AU102" s="207"/>
      <c r="AV102" s="207"/>
      <c r="AW102" s="207"/>
      <c r="AX102" s="207"/>
      <c r="AY102" s="207"/>
      <c r="AZ102" s="207"/>
      <c r="BA102" s="207"/>
      <c r="BB102" s="207"/>
      <c r="BC102" s="207"/>
      <c r="BD102" s="207"/>
      <c r="BE102" s="207"/>
      <c r="BF102" s="207"/>
      <c r="BG102" s="207"/>
      <c r="BH102" s="207"/>
      <c r="BI102" s="207"/>
      <c r="BJ102" s="207"/>
      <c r="BK102" s="207"/>
      <c r="BL102" s="207"/>
      <c r="BM102" s="207"/>
      <c r="BN102" s="207"/>
      <c r="BO102" s="207"/>
      <c r="BP102" s="207"/>
      <c r="BQ102" s="207"/>
      <c r="BR102" s="207"/>
      <c r="BS102" s="207"/>
      <c r="BT102" s="207"/>
      <c r="BU102" s="207"/>
      <c r="BV102" s="207"/>
      <c r="BW102" s="207"/>
      <c r="BX102" s="207"/>
      <c r="BY102" s="207"/>
      <c r="BZ102" s="207"/>
      <c r="CA102" s="207"/>
      <c r="CB102" s="207"/>
      <c r="CC102" s="207"/>
      <c r="CD102" s="207"/>
      <c r="CE102" s="207"/>
      <c r="CF102" s="207"/>
      <c r="CG102" s="207"/>
      <c r="CH102" s="207"/>
      <c r="CI102" s="207"/>
      <c r="CJ102" s="207"/>
      <c r="CK102" s="207"/>
      <c r="CL102" s="207"/>
      <c r="CM102" s="207"/>
      <c r="CN102" s="207"/>
      <c r="CO102" s="207"/>
      <c r="CP102" s="207"/>
      <c r="CQ102" s="207"/>
      <c r="CR102" s="207"/>
      <c r="CS102" s="207"/>
      <c r="CT102" s="207"/>
      <c r="CU102" s="207"/>
      <c r="CV102" s="207"/>
      <c r="CW102" s="207"/>
      <c r="CX102" s="207"/>
      <c r="CY102" s="207"/>
      <c r="CZ102" s="207"/>
      <c r="DA102" s="207"/>
      <c r="DB102" s="207"/>
      <c r="DC102" s="207"/>
      <c r="DD102" s="207"/>
    </row>
    <row r="103">
      <c r="A103" s="204"/>
      <c r="B103" s="205"/>
      <c r="C103" s="204"/>
      <c r="D103" s="206"/>
      <c r="E103" s="207"/>
      <c r="F103" s="207"/>
      <c r="G103" s="207"/>
      <c r="H103" s="208"/>
      <c r="I103" s="208"/>
      <c r="J103" s="208"/>
      <c r="K103" s="208"/>
      <c r="L103" s="208"/>
      <c r="M103" s="208"/>
      <c r="N103" s="208"/>
      <c r="O103" s="208"/>
      <c r="P103" s="208"/>
      <c r="Q103" s="208"/>
      <c r="R103" s="208"/>
      <c r="S103" s="208"/>
      <c r="T103" s="207"/>
      <c r="U103" s="207"/>
      <c r="V103" s="207"/>
      <c r="W103" s="207"/>
      <c r="X103" s="207"/>
      <c r="Y103" s="207"/>
      <c r="Z103" s="209"/>
      <c r="AA103" s="209"/>
      <c r="AB103" s="209"/>
      <c r="AC103" s="209"/>
      <c r="AD103" s="209"/>
      <c r="AE103" s="209"/>
      <c r="AF103" s="209"/>
      <c r="AG103" s="209"/>
      <c r="AH103" s="209"/>
      <c r="AI103" s="209"/>
      <c r="AJ103" s="209"/>
      <c r="AK103" s="209"/>
      <c r="AL103" s="209"/>
      <c r="AM103" s="209"/>
      <c r="AN103" s="207"/>
      <c r="AO103" s="207"/>
      <c r="AP103" s="207"/>
      <c r="AQ103" s="207"/>
      <c r="AR103" s="207"/>
      <c r="AS103" s="207"/>
      <c r="AT103" s="207"/>
      <c r="AU103" s="207"/>
      <c r="AV103" s="207"/>
      <c r="AW103" s="207"/>
      <c r="AX103" s="207"/>
      <c r="AY103" s="207"/>
      <c r="AZ103" s="207"/>
      <c r="BA103" s="207"/>
      <c r="BB103" s="207"/>
      <c r="BC103" s="207"/>
      <c r="BD103" s="207"/>
      <c r="BE103" s="207"/>
      <c r="BF103" s="207"/>
      <c r="BG103" s="207"/>
      <c r="BH103" s="207"/>
      <c r="BI103" s="207"/>
      <c r="BJ103" s="207"/>
      <c r="BK103" s="207"/>
      <c r="BL103" s="207"/>
      <c r="BM103" s="207"/>
      <c r="BN103" s="207"/>
      <c r="BO103" s="207"/>
      <c r="BP103" s="207"/>
      <c r="BQ103" s="207"/>
      <c r="BR103" s="207"/>
      <c r="BS103" s="207"/>
      <c r="BT103" s="207"/>
      <c r="BU103" s="207"/>
      <c r="BV103" s="207"/>
      <c r="BW103" s="207"/>
      <c r="BX103" s="207"/>
      <c r="BY103" s="207"/>
      <c r="BZ103" s="207"/>
      <c r="CA103" s="207"/>
      <c r="CB103" s="207"/>
      <c r="CC103" s="207"/>
      <c r="CD103" s="207"/>
      <c r="CE103" s="207"/>
      <c r="CF103" s="207"/>
      <c r="CG103" s="207"/>
      <c r="CH103" s="207"/>
      <c r="CI103" s="207"/>
      <c r="CJ103" s="207"/>
      <c r="CK103" s="207"/>
      <c r="CL103" s="207"/>
      <c r="CM103" s="207"/>
      <c r="CN103" s="207"/>
      <c r="CO103" s="207"/>
      <c r="CP103" s="207"/>
      <c r="CQ103" s="207"/>
      <c r="CR103" s="207"/>
      <c r="CS103" s="207"/>
      <c r="CT103" s="207"/>
      <c r="CU103" s="207"/>
      <c r="CV103" s="207"/>
      <c r="CW103" s="207"/>
      <c r="CX103" s="207"/>
      <c r="CY103" s="207"/>
      <c r="CZ103" s="207"/>
      <c r="DA103" s="207"/>
      <c r="DB103" s="207"/>
      <c r="DC103" s="207"/>
      <c r="DD103" s="207"/>
    </row>
    <row r="104">
      <c r="A104" s="204"/>
      <c r="B104" s="205"/>
      <c r="C104" s="204"/>
      <c r="D104" s="206"/>
      <c r="E104" s="207"/>
      <c r="F104" s="207"/>
      <c r="G104" s="207"/>
      <c r="H104" s="208"/>
      <c r="I104" s="208"/>
      <c r="J104" s="208"/>
      <c r="K104" s="208"/>
      <c r="L104" s="208"/>
      <c r="M104" s="208"/>
      <c r="N104" s="208"/>
      <c r="O104" s="208"/>
      <c r="P104" s="208"/>
      <c r="Q104" s="208"/>
      <c r="R104" s="208"/>
      <c r="S104" s="208"/>
      <c r="T104" s="207"/>
      <c r="U104" s="207"/>
      <c r="V104" s="207"/>
      <c r="W104" s="207"/>
      <c r="X104" s="207"/>
      <c r="Y104" s="207"/>
      <c r="Z104" s="209"/>
      <c r="AA104" s="209"/>
      <c r="AB104" s="209"/>
      <c r="AC104" s="209"/>
      <c r="AD104" s="209"/>
      <c r="AE104" s="209"/>
      <c r="AF104" s="209"/>
      <c r="AG104" s="209"/>
      <c r="AH104" s="209"/>
      <c r="AI104" s="209"/>
      <c r="AJ104" s="209"/>
      <c r="AK104" s="209"/>
      <c r="AL104" s="209"/>
      <c r="AM104" s="209"/>
      <c r="AN104" s="207"/>
      <c r="AO104" s="207"/>
      <c r="AP104" s="207"/>
      <c r="AQ104" s="207"/>
      <c r="AR104" s="207"/>
      <c r="AS104" s="207"/>
      <c r="AT104" s="207"/>
      <c r="AU104" s="207"/>
      <c r="AV104" s="207"/>
      <c r="AW104" s="207"/>
      <c r="AX104" s="207"/>
      <c r="AY104" s="207"/>
      <c r="AZ104" s="207"/>
      <c r="BA104" s="207"/>
      <c r="BB104" s="207"/>
      <c r="BC104" s="207"/>
      <c r="BD104" s="207"/>
      <c r="BE104" s="207"/>
      <c r="BF104" s="207"/>
      <c r="BG104" s="207"/>
      <c r="BH104" s="207"/>
      <c r="BI104" s="207"/>
      <c r="BJ104" s="207"/>
      <c r="BK104" s="207"/>
      <c r="BL104" s="207"/>
      <c r="BM104" s="207"/>
      <c r="BN104" s="207"/>
      <c r="BO104" s="207"/>
      <c r="BP104" s="207"/>
      <c r="BQ104" s="207"/>
      <c r="BR104" s="207"/>
      <c r="BS104" s="207"/>
      <c r="BT104" s="207"/>
      <c r="BU104" s="207"/>
      <c r="BV104" s="207"/>
      <c r="BW104" s="207"/>
      <c r="BX104" s="207"/>
      <c r="BY104" s="207"/>
      <c r="BZ104" s="207"/>
      <c r="CA104" s="207"/>
      <c r="CB104" s="207"/>
      <c r="CC104" s="207"/>
      <c r="CD104" s="207"/>
      <c r="CE104" s="207"/>
      <c r="CF104" s="207"/>
      <c r="CG104" s="207"/>
      <c r="CH104" s="207"/>
      <c r="CI104" s="207"/>
      <c r="CJ104" s="207"/>
      <c r="CK104" s="207"/>
      <c r="CL104" s="207"/>
      <c r="CM104" s="207"/>
      <c r="CN104" s="207"/>
      <c r="CO104" s="207"/>
      <c r="CP104" s="207"/>
      <c r="CQ104" s="207"/>
      <c r="CR104" s="207"/>
      <c r="CS104" s="207"/>
      <c r="CT104" s="207"/>
      <c r="CU104" s="207"/>
      <c r="CV104" s="207"/>
      <c r="CW104" s="207"/>
      <c r="CX104" s="207"/>
      <c r="CY104" s="207"/>
      <c r="CZ104" s="207"/>
      <c r="DA104" s="207"/>
      <c r="DB104" s="207"/>
      <c r="DC104" s="207"/>
      <c r="DD104" s="207"/>
    </row>
    <row r="105">
      <c r="A105" s="204"/>
      <c r="B105" s="205"/>
      <c r="C105" s="204"/>
      <c r="D105" s="206"/>
      <c r="E105" s="207"/>
      <c r="F105" s="207"/>
      <c r="G105" s="207"/>
      <c r="H105" s="208"/>
      <c r="I105" s="208"/>
      <c r="J105" s="208"/>
      <c r="K105" s="208"/>
      <c r="L105" s="208"/>
      <c r="M105" s="208"/>
      <c r="N105" s="208"/>
      <c r="O105" s="208"/>
      <c r="P105" s="208"/>
      <c r="Q105" s="208"/>
      <c r="R105" s="208"/>
      <c r="S105" s="208"/>
      <c r="T105" s="207"/>
      <c r="U105" s="207"/>
      <c r="V105" s="207"/>
      <c r="W105" s="207"/>
      <c r="X105" s="207"/>
      <c r="Y105" s="207"/>
      <c r="Z105" s="209"/>
      <c r="AA105" s="209"/>
      <c r="AB105" s="209"/>
      <c r="AC105" s="209"/>
      <c r="AD105" s="209"/>
      <c r="AE105" s="209"/>
      <c r="AF105" s="209"/>
      <c r="AG105" s="209"/>
      <c r="AH105" s="209"/>
      <c r="AI105" s="209"/>
      <c r="AJ105" s="209"/>
      <c r="AK105" s="209"/>
      <c r="AL105" s="209"/>
      <c r="AM105" s="209"/>
      <c r="AN105" s="207"/>
      <c r="AO105" s="207"/>
      <c r="AP105" s="207"/>
      <c r="AQ105" s="207"/>
      <c r="AR105" s="207"/>
      <c r="AS105" s="207"/>
      <c r="AT105" s="207"/>
      <c r="AU105" s="207"/>
      <c r="AV105" s="207"/>
      <c r="AW105" s="207"/>
      <c r="AX105" s="207"/>
      <c r="AY105" s="207"/>
      <c r="AZ105" s="207"/>
      <c r="BA105" s="207"/>
      <c r="BB105" s="207"/>
      <c r="BC105" s="207"/>
      <c r="BD105" s="207"/>
      <c r="BE105" s="207"/>
      <c r="BF105" s="207"/>
      <c r="BG105" s="207"/>
      <c r="BH105" s="207"/>
      <c r="BI105" s="207"/>
      <c r="BJ105" s="207"/>
      <c r="BK105" s="207"/>
      <c r="BL105" s="207"/>
      <c r="BM105" s="207"/>
      <c r="BN105" s="207"/>
      <c r="BO105" s="207"/>
      <c r="BP105" s="207"/>
      <c r="BQ105" s="207"/>
      <c r="BR105" s="207"/>
      <c r="BS105" s="207"/>
      <c r="BT105" s="207"/>
      <c r="BU105" s="207"/>
      <c r="BV105" s="207"/>
      <c r="BW105" s="207"/>
      <c r="BX105" s="207"/>
      <c r="BY105" s="207"/>
      <c r="BZ105" s="207"/>
      <c r="CA105" s="207"/>
      <c r="CB105" s="207"/>
      <c r="CC105" s="207"/>
      <c r="CD105" s="207"/>
      <c r="CE105" s="207"/>
      <c r="CF105" s="207"/>
      <c r="CG105" s="207"/>
      <c r="CH105" s="207"/>
      <c r="CI105" s="207"/>
      <c r="CJ105" s="207"/>
      <c r="CK105" s="207"/>
      <c r="CL105" s="207"/>
      <c r="CM105" s="207"/>
      <c r="CN105" s="207"/>
      <c r="CO105" s="207"/>
      <c r="CP105" s="207"/>
      <c r="CQ105" s="207"/>
      <c r="CR105" s="207"/>
      <c r="CS105" s="207"/>
      <c r="CT105" s="207"/>
      <c r="CU105" s="207"/>
      <c r="CV105" s="207"/>
      <c r="CW105" s="207"/>
      <c r="CX105" s="207"/>
      <c r="CY105" s="207"/>
      <c r="CZ105" s="207"/>
      <c r="DA105" s="207"/>
      <c r="DB105" s="207"/>
      <c r="DC105" s="207"/>
      <c r="DD105" s="207"/>
    </row>
    <row r="106">
      <c r="A106" s="204"/>
      <c r="B106" s="205"/>
      <c r="C106" s="204"/>
      <c r="D106" s="206"/>
      <c r="E106" s="207"/>
      <c r="F106" s="207"/>
      <c r="G106" s="207"/>
      <c r="H106" s="208"/>
      <c r="I106" s="208"/>
      <c r="J106" s="208"/>
      <c r="K106" s="208"/>
      <c r="L106" s="208"/>
      <c r="M106" s="208"/>
      <c r="N106" s="208"/>
      <c r="O106" s="208"/>
      <c r="P106" s="208"/>
      <c r="Q106" s="208"/>
      <c r="R106" s="208"/>
      <c r="S106" s="208"/>
      <c r="T106" s="207"/>
      <c r="U106" s="207"/>
      <c r="V106" s="207"/>
      <c r="W106" s="207"/>
      <c r="X106" s="207"/>
      <c r="Y106" s="207"/>
      <c r="Z106" s="209"/>
      <c r="AA106" s="209"/>
      <c r="AB106" s="209"/>
      <c r="AC106" s="209"/>
      <c r="AD106" s="209"/>
      <c r="AE106" s="209"/>
      <c r="AF106" s="209"/>
      <c r="AG106" s="209"/>
      <c r="AH106" s="209"/>
      <c r="AI106" s="209"/>
      <c r="AJ106" s="209"/>
      <c r="AK106" s="209"/>
      <c r="AL106" s="209"/>
      <c r="AM106" s="209"/>
      <c r="AN106" s="207"/>
      <c r="AO106" s="207"/>
      <c r="AP106" s="207"/>
      <c r="AQ106" s="207"/>
      <c r="AR106" s="207"/>
      <c r="AS106" s="207"/>
      <c r="AT106" s="207"/>
      <c r="AU106" s="207"/>
      <c r="AV106" s="207"/>
      <c r="AW106" s="207"/>
      <c r="AX106" s="207"/>
      <c r="AY106" s="207"/>
      <c r="AZ106" s="207"/>
      <c r="BA106" s="207"/>
      <c r="BB106" s="207"/>
      <c r="BC106" s="207"/>
      <c r="BD106" s="207"/>
      <c r="BE106" s="207"/>
      <c r="BF106" s="207"/>
      <c r="BG106" s="207"/>
      <c r="BH106" s="207"/>
      <c r="BI106" s="207"/>
      <c r="BJ106" s="207"/>
      <c r="BK106" s="207"/>
      <c r="BL106" s="207"/>
      <c r="BM106" s="207"/>
      <c r="BN106" s="207"/>
      <c r="BO106" s="207"/>
      <c r="BP106" s="207"/>
      <c r="BQ106" s="207"/>
      <c r="BR106" s="207"/>
      <c r="BS106" s="207"/>
      <c r="BT106" s="207"/>
      <c r="BU106" s="207"/>
      <c r="BV106" s="207"/>
      <c r="BW106" s="207"/>
      <c r="BX106" s="207"/>
      <c r="BY106" s="207"/>
      <c r="BZ106" s="207"/>
      <c r="CA106" s="207"/>
      <c r="CB106" s="207"/>
      <c r="CC106" s="207"/>
      <c r="CD106" s="207"/>
      <c r="CE106" s="207"/>
      <c r="CF106" s="207"/>
      <c r="CG106" s="207"/>
      <c r="CH106" s="207"/>
      <c r="CI106" s="207"/>
      <c r="CJ106" s="207"/>
      <c r="CK106" s="207"/>
      <c r="CL106" s="207"/>
      <c r="CM106" s="207"/>
      <c r="CN106" s="207"/>
      <c r="CO106" s="207"/>
      <c r="CP106" s="207"/>
      <c r="CQ106" s="207"/>
      <c r="CR106" s="207"/>
      <c r="CS106" s="207"/>
      <c r="CT106" s="207"/>
      <c r="CU106" s="207"/>
      <c r="CV106" s="207"/>
      <c r="CW106" s="207"/>
      <c r="CX106" s="207"/>
      <c r="CY106" s="207"/>
      <c r="CZ106" s="207"/>
      <c r="DA106" s="207"/>
      <c r="DB106" s="207"/>
      <c r="DC106" s="207"/>
      <c r="DD106" s="207"/>
    </row>
    <row r="107">
      <c r="A107" s="204"/>
      <c r="B107" s="205"/>
      <c r="C107" s="204"/>
      <c r="D107" s="206"/>
      <c r="E107" s="207"/>
      <c r="F107" s="207"/>
      <c r="G107" s="207"/>
      <c r="H107" s="208"/>
      <c r="I107" s="208"/>
      <c r="J107" s="208"/>
      <c r="K107" s="208"/>
      <c r="L107" s="208"/>
      <c r="M107" s="208"/>
      <c r="N107" s="208"/>
      <c r="O107" s="208"/>
      <c r="P107" s="208"/>
      <c r="Q107" s="208"/>
      <c r="R107" s="208"/>
      <c r="S107" s="208"/>
      <c r="T107" s="207"/>
      <c r="U107" s="207"/>
      <c r="V107" s="207"/>
      <c r="W107" s="207"/>
      <c r="X107" s="207"/>
      <c r="Y107" s="207"/>
      <c r="Z107" s="209"/>
      <c r="AA107" s="209"/>
      <c r="AB107" s="209"/>
      <c r="AC107" s="209"/>
      <c r="AD107" s="209"/>
      <c r="AE107" s="209"/>
      <c r="AF107" s="209"/>
      <c r="AG107" s="209"/>
      <c r="AH107" s="209"/>
      <c r="AI107" s="209"/>
      <c r="AJ107" s="209"/>
      <c r="AK107" s="209"/>
      <c r="AL107" s="209"/>
      <c r="AM107" s="209"/>
      <c r="AN107" s="207"/>
      <c r="AO107" s="207"/>
      <c r="AP107" s="207"/>
      <c r="AQ107" s="207"/>
      <c r="AR107" s="207"/>
      <c r="AS107" s="207"/>
      <c r="AT107" s="207"/>
      <c r="AU107" s="207"/>
      <c r="AV107" s="207"/>
      <c r="AW107" s="207"/>
      <c r="AX107" s="207"/>
      <c r="AY107" s="207"/>
      <c r="AZ107" s="207"/>
      <c r="BA107" s="207"/>
      <c r="BB107" s="207"/>
      <c r="BC107" s="207"/>
      <c r="BD107" s="207"/>
      <c r="BE107" s="207"/>
      <c r="BF107" s="207"/>
      <c r="BG107" s="207"/>
      <c r="BH107" s="207"/>
      <c r="BI107" s="207"/>
      <c r="BJ107" s="207"/>
      <c r="BK107" s="207"/>
      <c r="BL107" s="207"/>
      <c r="BM107" s="207"/>
      <c r="BN107" s="207"/>
      <c r="BO107" s="207"/>
      <c r="BP107" s="207"/>
      <c r="BQ107" s="207"/>
      <c r="BR107" s="207"/>
      <c r="BS107" s="207"/>
      <c r="BT107" s="207"/>
      <c r="BU107" s="207"/>
      <c r="BV107" s="207"/>
      <c r="BW107" s="207"/>
      <c r="BX107" s="207"/>
      <c r="BY107" s="207"/>
      <c r="BZ107" s="207"/>
      <c r="CA107" s="207"/>
      <c r="CB107" s="207"/>
      <c r="CC107" s="207"/>
      <c r="CD107" s="207"/>
      <c r="CE107" s="207"/>
      <c r="CF107" s="207"/>
      <c r="CG107" s="207"/>
      <c r="CH107" s="207"/>
      <c r="CI107" s="207"/>
      <c r="CJ107" s="207"/>
      <c r="CK107" s="207"/>
      <c r="CL107" s="207"/>
      <c r="CM107" s="207"/>
      <c r="CN107" s="207"/>
      <c r="CO107" s="207"/>
      <c r="CP107" s="207"/>
      <c r="CQ107" s="207"/>
      <c r="CR107" s="207"/>
      <c r="CS107" s="207"/>
      <c r="CT107" s="207"/>
      <c r="CU107" s="207"/>
      <c r="CV107" s="207"/>
      <c r="CW107" s="207"/>
      <c r="CX107" s="207"/>
      <c r="CY107" s="207"/>
      <c r="CZ107" s="207"/>
      <c r="DA107" s="207"/>
      <c r="DB107" s="207"/>
      <c r="DC107" s="207"/>
      <c r="DD107" s="207"/>
    </row>
    <row r="108">
      <c r="A108" s="204"/>
      <c r="B108" s="205"/>
      <c r="C108" s="204"/>
      <c r="D108" s="206"/>
      <c r="E108" s="207"/>
      <c r="F108" s="207"/>
      <c r="G108" s="207"/>
      <c r="H108" s="208"/>
      <c r="I108" s="208"/>
      <c r="J108" s="208"/>
      <c r="K108" s="208"/>
      <c r="L108" s="208"/>
      <c r="M108" s="208"/>
      <c r="N108" s="208"/>
      <c r="O108" s="208"/>
      <c r="P108" s="208"/>
      <c r="Q108" s="208"/>
      <c r="R108" s="208"/>
      <c r="S108" s="208"/>
      <c r="T108" s="207"/>
      <c r="U108" s="207"/>
      <c r="V108" s="207"/>
      <c r="W108" s="207"/>
      <c r="X108" s="207"/>
      <c r="Y108" s="207"/>
      <c r="Z108" s="209"/>
      <c r="AA108" s="209"/>
      <c r="AB108" s="209"/>
      <c r="AC108" s="209"/>
      <c r="AD108" s="209"/>
      <c r="AE108" s="209"/>
      <c r="AF108" s="209"/>
      <c r="AG108" s="209"/>
      <c r="AH108" s="209"/>
      <c r="AI108" s="209"/>
      <c r="AJ108" s="209"/>
      <c r="AK108" s="209"/>
      <c r="AL108" s="209"/>
      <c r="AM108" s="209"/>
      <c r="AN108" s="207"/>
      <c r="AO108" s="207"/>
      <c r="AP108" s="207"/>
      <c r="AQ108" s="207"/>
      <c r="AR108" s="207"/>
      <c r="AS108" s="207"/>
      <c r="AT108" s="207"/>
      <c r="AU108" s="207"/>
      <c r="AV108" s="207"/>
      <c r="AW108" s="207"/>
      <c r="AX108" s="207"/>
      <c r="AY108" s="207"/>
      <c r="AZ108" s="207"/>
      <c r="BA108" s="207"/>
      <c r="BB108" s="207"/>
      <c r="BC108" s="207"/>
      <c r="BD108" s="207"/>
      <c r="BE108" s="207"/>
      <c r="BF108" s="207"/>
      <c r="BG108" s="207"/>
      <c r="BH108" s="207"/>
      <c r="BI108" s="207"/>
      <c r="BJ108" s="207"/>
      <c r="BK108" s="207"/>
      <c r="BL108" s="207"/>
      <c r="BM108" s="207"/>
      <c r="BN108" s="207"/>
      <c r="BO108" s="207"/>
      <c r="BP108" s="207"/>
      <c r="BQ108" s="207"/>
      <c r="BR108" s="207"/>
      <c r="BS108" s="207"/>
      <c r="BT108" s="207"/>
      <c r="BU108" s="207"/>
      <c r="BV108" s="207"/>
      <c r="BW108" s="207"/>
      <c r="BX108" s="207"/>
      <c r="BY108" s="207"/>
      <c r="BZ108" s="207"/>
      <c r="CA108" s="207"/>
      <c r="CB108" s="207"/>
      <c r="CC108" s="207"/>
      <c r="CD108" s="207"/>
      <c r="CE108" s="207"/>
      <c r="CF108" s="207"/>
      <c r="CG108" s="207"/>
      <c r="CH108" s="207"/>
      <c r="CI108" s="207"/>
      <c r="CJ108" s="207"/>
      <c r="CK108" s="207"/>
      <c r="CL108" s="207"/>
      <c r="CM108" s="207"/>
      <c r="CN108" s="207"/>
      <c r="CO108" s="207"/>
      <c r="CP108" s="207"/>
      <c r="CQ108" s="207"/>
      <c r="CR108" s="207"/>
      <c r="CS108" s="207"/>
      <c r="CT108" s="207"/>
      <c r="CU108" s="207"/>
      <c r="CV108" s="207"/>
      <c r="CW108" s="207"/>
      <c r="CX108" s="207"/>
      <c r="CY108" s="207"/>
      <c r="CZ108" s="207"/>
      <c r="DA108" s="207"/>
      <c r="DB108" s="207"/>
      <c r="DC108" s="207"/>
      <c r="DD108" s="207"/>
    </row>
    <row r="109">
      <c r="A109" s="204"/>
      <c r="B109" s="205"/>
      <c r="C109" s="204"/>
      <c r="D109" s="206"/>
      <c r="E109" s="207"/>
      <c r="F109" s="207"/>
      <c r="G109" s="207"/>
      <c r="H109" s="208"/>
      <c r="I109" s="208"/>
      <c r="J109" s="208"/>
      <c r="K109" s="208"/>
      <c r="L109" s="208"/>
      <c r="M109" s="208"/>
      <c r="N109" s="208"/>
      <c r="O109" s="208"/>
      <c r="P109" s="208"/>
      <c r="Q109" s="208"/>
      <c r="R109" s="208"/>
      <c r="S109" s="208"/>
      <c r="T109" s="207"/>
      <c r="U109" s="207"/>
      <c r="V109" s="207"/>
      <c r="W109" s="207"/>
      <c r="X109" s="207"/>
      <c r="Y109" s="207"/>
      <c r="Z109" s="209"/>
      <c r="AA109" s="209"/>
      <c r="AB109" s="209"/>
      <c r="AC109" s="209"/>
      <c r="AD109" s="209"/>
      <c r="AE109" s="209"/>
      <c r="AF109" s="209"/>
      <c r="AG109" s="209"/>
      <c r="AH109" s="209"/>
      <c r="AI109" s="209"/>
      <c r="AJ109" s="209"/>
      <c r="AK109" s="209"/>
      <c r="AL109" s="209"/>
      <c r="AM109" s="209"/>
      <c r="AN109" s="207"/>
      <c r="AO109" s="207"/>
      <c r="AP109" s="207"/>
      <c r="AQ109" s="207"/>
      <c r="AR109" s="207"/>
      <c r="AS109" s="207"/>
      <c r="AT109" s="207"/>
      <c r="AU109" s="207"/>
      <c r="AV109" s="207"/>
      <c r="AW109" s="207"/>
      <c r="AX109" s="207"/>
      <c r="AY109" s="207"/>
      <c r="AZ109" s="207"/>
      <c r="BA109" s="207"/>
      <c r="BB109" s="207"/>
      <c r="BC109" s="207"/>
      <c r="BD109" s="207"/>
      <c r="BE109" s="207"/>
      <c r="BF109" s="207"/>
      <c r="BG109" s="207"/>
      <c r="BH109" s="207"/>
      <c r="BI109" s="207"/>
      <c r="BJ109" s="207"/>
      <c r="BK109" s="207"/>
      <c r="BL109" s="207"/>
      <c r="BM109" s="207"/>
      <c r="BN109" s="207"/>
      <c r="BO109" s="207"/>
      <c r="BP109" s="207"/>
      <c r="BQ109" s="207"/>
      <c r="BR109" s="207"/>
      <c r="BS109" s="207"/>
      <c r="BT109" s="207"/>
      <c r="BU109" s="207"/>
      <c r="BV109" s="207"/>
      <c r="BW109" s="207"/>
      <c r="BX109" s="207"/>
      <c r="BY109" s="207"/>
      <c r="BZ109" s="207"/>
      <c r="CA109" s="207"/>
      <c r="CB109" s="207"/>
      <c r="CC109" s="207"/>
      <c r="CD109" s="207"/>
      <c r="CE109" s="207"/>
      <c r="CF109" s="207"/>
      <c r="CG109" s="207"/>
      <c r="CH109" s="207"/>
      <c r="CI109" s="207"/>
      <c r="CJ109" s="207"/>
      <c r="CK109" s="207"/>
      <c r="CL109" s="207"/>
      <c r="CM109" s="207"/>
      <c r="CN109" s="207"/>
      <c r="CO109" s="207"/>
      <c r="CP109" s="207"/>
      <c r="CQ109" s="207"/>
      <c r="CR109" s="207"/>
      <c r="CS109" s="207"/>
      <c r="CT109" s="207"/>
      <c r="CU109" s="207"/>
      <c r="CV109" s="207"/>
      <c r="CW109" s="207"/>
      <c r="CX109" s="207"/>
      <c r="CY109" s="207"/>
      <c r="CZ109" s="207"/>
      <c r="DA109" s="207"/>
      <c r="DB109" s="207"/>
      <c r="DC109" s="207"/>
      <c r="DD109" s="207"/>
    </row>
    <row r="110">
      <c r="A110" s="204"/>
      <c r="B110" s="205"/>
      <c r="C110" s="204"/>
      <c r="D110" s="206"/>
      <c r="E110" s="207"/>
      <c r="F110" s="207"/>
      <c r="G110" s="207"/>
      <c r="H110" s="208"/>
      <c r="I110" s="208"/>
      <c r="J110" s="208"/>
      <c r="K110" s="208"/>
      <c r="L110" s="208"/>
      <c r="M110" s="208"/>
      <c r="N110" s="208"/>
      <c r="O110" s="208"/>
      <c r="P110" s="208"/>
      <c r="Q110" s="208"/>
      <c r="R110" s="208"/>
      <c r="S110" s="208"/>
      <c r="T110" s="207"/>
      <c r="U110" s="207"/>
      <c r="V110" s="207"/>
      <c r="W110" s="207"/>
      <c r="X110" s="207"/>
      <c r="Y110" s="207"/>
      <c r="Z110" s="209"/>
      <c r="AA110" s="209"/>
      <c r="AB110" s="209"/>
      <c r="AC110" s="209"/>
      <c r="AD110" s="209"/>
      <c r="AE110" s="209"/>
      <c r="AF110" s="209"/>
      <c r="AG110" s="209"/>
      <c r="AH110" s="209"/>
      <c r="AI110" s="209"/>
      <c r="AJ110" s="209"/>
      <c r="AK110" s="209"/>
      <c r="AL110" s="209"/>
      <c r="AM110" s="209"/>
      <c r="AN110" s="207"/>
      <c r="AO110" s="207"/>
      <c r="AP110" s="207"/>
      <c r="AQ110" s="207"/>
      <c r="AR110" s="207"/>
      <c r="AS110" s="207"/>
      <c r="AT110" s="207"/>
      <c r="AU110" s="207"/>
      <c r="AV110" s="207"/>
      <c r="AW110" s="207"/>
      <c r="AX110" s="207"/>
      <c r="AY110" s="207"/>
      <c r="AZ110" s="207"/>
      <c r="BA110" s="207"/>
      <c r="BB110" s="207"/>
      <c r="BC110" s="207"/>
      <c r="BD110" s="207"/>
      <c r="BE110" s="207"/>
      <c r="BF110" s="207"/>
      <c r="BG110" s="207"/>
      <c r="BH110" s="207"/>
      <c r="BI110" s="207"/>
      <c r="BJ110" s="207"/>
      <c r="BK110" s="207"/>
      <c r="BL110" s="207"/>
      <c r="BM110" s="207"/>
      <c r="BN110" s="207"/>
      <c r="BO110" s="207"/>
      <c r="BP110" s="207"/>
      <c r="BQ110" s="207"/>
      <c r="BR110" s="207"/>
      <c r="BS110" s="207"/>
      <c r="BT110" s="207"/>
      <c r="BU110" s="207"/>
      <c r="BV110" s="207"/>
      <c r="BW110" s="207"/>
      <c r="BX110" s="207"/>
      <c r="BY110" s="207"/>
      <c r="BZ110" s="207"/>
      <c r="CA110" s="207"/>
      <c r="CB110" s="207"/>
      <c r="CC110" s="207"/>
      <c r="CD110" s="207"/>
      <c r="CE110" s="207"/>
      <c r="CF110" s="207"/>
      <c r="CG110" s="207"/>
      <c r="CH110" s="207"/>
      <c r="CI110" s="207"/>
      <c r="CJ110" s="207"/>
      <c r="CK110" s="207"/>
      <c r="CL110" s="207"/>
      <c r="CM110" s="207"/>
      <c r="CN110" s="207"/>
      <c r="CO110" s="207"/>
      <c r="CP110" s="207"/>
      <c r="CQ110" s="207"/>
      <c r="CR110" s="207"/>
      <c r="CS110" s="207"/>
      <c r="CT110" s="207"/>
      <c r="CU110" s="207"/>
      <c r="CV110" s="207"/>
      <c r="CW110" s="207"/>
      <c r="CX110" s="207"/>
      <c r="CY110" s="207"/>
      <c r="CZ110" s="207"/>
      <c r="DA110" s="207"/>
      <c r="DB110" s="207"/>
      <c r="DC110" s="207"/>
      <c r="DD110" s="207"/>
    </row>
    <row r="111">
      <c r="A111" s="204"/>
      <c r="B111" s="205"/>
      <c r="C111" s="204"/>
      <c r="D111" s="206"/>
      <c r="E111" s="207"/>
      <c r="F111" s="207"/>
      <c r="G111" s="207"/>
      <c r="H111" s="208"/>
      <c r="I111" s="208"/>
      <c r="J111" s="208"/>
      <c r="K111" s="208"/>
      <c r="L111" s="208"/>
      <c r="M111" s="208"/>
      <c r="N111" s="208"/>
      <c r="O111" s="208"/>
      <c r="P111" s="208"/>
      <c r="Q111" s="208"/>
      <c r="R111" s="208"/>
      <c r="S111" s="208"/>
      <c r="T111" s="207"/>
      <c r="U111" s="207"/>
      <c r="V111" s="207"/>
      <c r="W111" s="207"/>
      <c r="X111" s="207"/>
      <c r="Y111" s="207"/>
      <c r="Z111" s="209"/>
      <c r="AA111" s="209"/>
      <c r="AB111" s="209"/>
      <c r="AC111" s="209"/>
      <c r="AD111" s="209"/>
      <c r="AE111" s="209"/>
      <c r="AF111" s="209"/>
      <c r="AG111" s="209"/>
      <c r="AH111" s="209"/>
      <c r="AI111" s="209"/>
      <c r="AJ111" s="209"/>
      <c r="AK111" s="209"/>
      <c r="AL111" s="209"/>
      <c r="AM111" s="209"/>
      <c r="AN111" s="207"/>
      <c r="AO111" s="207"/>
      <c r="AP111" s="207"/>
      <c r="AQ111" s="207"/>
      <c r="AR111" s="207"/>
      <c r="AS111" s="207"/>
      <c r="AT111" s="207"/>
      <c r="AU111" s="207"/>
      <c r="AV111" s="207"/>
      <c r="AW111" s="207"/>
      <c r="AX111" s="207"/>
      <c r="AY111" s="207"/>
      <c r="AZ111" s="207"/>
      <c r="BA111" s="207"/>
      <c r="BB111" s="207"/>
      <c r="BC111" s="207"/>
      <c r="BD111" s="207"/>
      <c r="BE111" s="207"/>
      <c r="BF111" s="207"/>
      <c r="BG111" s="207"/>
      <c r="BH111" s="207"/>
      <c r="BI111" s="207"/>
      <c r="BJ111" s="207"/>
      <c r="BK111" s="207"/>
      <c r="BL111" s="207"/>
      <c r="BM111" s="207"/>
      <c r="BN111" s="207"/>
      <c r="BO111" s="207"/>
      <c r="BP111" s="207"/>
      <c r="BQ111" s="207"/>
      <c r="BR111" s="207"/>
      <c r="BS111" s="207"/>
      <c r="BT111" s="207"/>
      <c r="BU111" s="207"/>
      <c r="BV111" s="207"/>
      <c r="BW111" s="207"/>
      <c r="BX111" s="207"/>
      <c r="BY111" s="207"/>
      <c r="BZ111" s="207"/>
      <c r="CA111" s="207"/>
      <c r="CB111" s="207"/>
      <c r="CC111" s="207"/>
      <c r="CD111" s="207"/>
      <c r="CE111" s="207"/>
      <c r="CF111" s="207"/>
      <c r="CG111" s="207"/>
      <c r="CH111" s="207"/>
      <c r="CI111" s="207"/>
      <c r="CJ111" s="207"/>
      <c r="CK111" s="207"/>
      <c r="CL111" s="207"/>
      <c r="CM111" s="207"/>
      <c r="CN111" s="207"/>
      <c r="CO111" s="207"/>
      <c r="CP111" s="207"/>
      <c r="CQ111" s="207"/>
      <c r="CR111" s="207"/>
      <c r="CS111" s="207"/>
      <c r="CT111" s="207"/>
      <c r="CU111" s="207"/>
      <c r="CV111" s="207"/>
      <c r="CW111" s="207"/>
      <c r="CX111" s="207"/>
      <c r="CY111" s="207"/>
      <c r="CZ111" s="207"/>
      <c r="DA111" s="207"/>
      <c r="DB111" s="207"/>
      <c r="DC111" s="207"/>
      <c r="DD111" s="207"/>
    </row>
    <row r="112">
      <c r="A112" s="204"/>
      <c r="B112" s="205"/>
      <c r="C112" s="204"/>
      <c r="D112" s="206"/>
      <c r="E112" s="207"/>
      <c r="F112" s="207"/>
      <c r="G112" s="207"/>
      <c r="H112" s="208"/>
      <c r="I112" s="208"/>
      <c r="J112" s="208"/>
      <c r="K112" s="208"/>
      <c r="L112" s="208"/>
      <c r="M112" s="208"/>
      <c r="N112" s="208"/>
      <c r="O112" s="208"/>
      <c r="P112" s="208"/>
      <c r="Q112" s="208"/>
      <c r="R112" s="208"/>
      <c r="S112" s="208"/>
      <c r="T112" s="207"/>
      <c r="U112" s="207"/>
      <c r="V112" s="207"/>
      <c r="W112" s="207"/>
      <c r="X112" s="207"/>
      <c r="Y112" s="207"/>
      <c r="Z112" s="209"/>
      <c r="AA112" s="209"/>
      <c r="AB112" s="209"/>
      <c r="AC112" s="209"/>
      <c r="AD112" s="209"/>
      <c r="AE112" s="209"/>
      <c r="AF112" s="209"/>
      <c r="AG112" s="209"/>
      <c r="AH112" s="209"/>
      <c r="AI112" s="209"/>
      <c r="AJ112" s="209"/>
      <c r="AK112" s="209"/>
      <c r="AL112" s="209"/>
      <c r="AM112" s="209"/>
      <c r="AN112" s="207"/>
      <c r="AO112" s="207"/>
      <c r="AP112" s="207"/>
      <c r="AQ112" s="207"/>
      <c r="AR112" s="207"/>
      <c r="AS112" s="207"/>
      <c r="AT112" s="207"/>
      <c r="AU112" s="207"/>
      <c r="AV112" s="207"/>
      <c r="AW112" s="207"/>
      <c r="AX112" s="207"/>
      <c r="AY112" s="207"/>
      <c r="AZ112" s="207"/>
      <c r="BA112" s="207"/>
      <c r="BB112" s="207"/>
      <c r="BC112" s="207"/>
      <c r="BD112" s="207"/>
      <c r="BE112" s="207"/>
      <c r="BF112" s="207"/>
      <c r="BG112" s="207"/>
      <c r="BH112" s="207"/>
      <c r="BI112" s="207"/>
      <c r="BJ112" s="207"/>
      <c r="BK112" s="207"/>
      <c r="BL112" s="207"/>
      <c r="BM112" s="207"/>
      <c r="BN112" s="207"/>
      <c r="BO112" s="207"/>
      <c r="BP112" s="207"/>
      <c r="BQ112" s="207"/>
      <c r="BR112" s="207"/>
      <c r="BS112" s="207"/>
      <c r="BT112" s="207"/>
      <c r="BU112" s="207"/>
      <c r="BV112" s="207"/>
      <c r="BW112" s="207"/>
      <c r="BX112" s="207"/>
      <c r="BY112" s="207"/>
      <c r="BZ112" s="207"/>
      <c r="CA112" s="207"/>
      <c r="CB112" s="207"/>
      <c r="CC112" s="207"/>
      <c r="CD112" s="207"/>
      <c r="CE112" s="207"/>
      <c r="CF112" s="207"/>
      <c r="CG112" s="207"/>
      <c r="CH112" s="207"/>
      <c r="CI112" s="207"/>
      <c r="CJ112" s="207"/>
      <c r="CK112" s="207"/>
      <c r="CL112" s="207"/>
      <c r="CM112" s="207"/>
      <c r="CN112" s="207"/>
      <c r="CO112" s="207"/>
      <c r="CP112" s="207"/>
      <c r="CQ112" s="207"/>
      <c r="CR112" s="207"/>
      <c r="CS112" s="207"/>
      <c r="CT112" s="207"/>
      <c r="CU112" s="207"/>
      <c r="CV112" s="207"/>
      <c r="CW112" s="207"/>
      <c r="CX112" s="207"/>
      <c r="CY112" s="207"/>
      <c r="CZ112" s="207"/>
      <c r="DA112" s="207"/>
      <c r="DB112" s="207"/>
      <c r="DC112" s="207"/>
      <c r="DD112" s="207"/>
    </row>
    <row r="113">
      <c r="A113" s="204"/>
      <c r="B113" s="205"/>
      <c r="C113" s="204"/>
      <c r="D113" s="206"/>
      <c r="E113" s="207"/>
      <c r="F113" s="207"/>
      <c r="G113" s="207"/>
      <c r="H113" s="208"/>
      <c r="I113" s="208"/>
      <c r="J113" s="208"/>
      <c r="K113" s="208"/>
      <c r="L113" s="208"/>
      <c r="M113" s="208"/>
      <c r="N113" s="208"/>
      <c r="O113" s="208"/>
      <c r="P113" s="208"/>
      <c r="Q113" s="208"/>
      <c r="R113" s="208"/>
      <c r="S113" s="208"/>
      <c r="T113" s="207"/>
      <c r="U113" s="207"/>
      <c r="V113" s="207"/>
      <c r="W113" s="207"/>
      <c r="X113" s="207"/>
      <c r="Y113" s="207"/>
      <c r="Z113" s="209"/>
      <c r="AA113" s="209"/>
      <c r="AB113" s="209"/>
      <c r="AC113" s="209"/>
      <c r="AD113" s="209"/>
      <c r="AE113" s="209"/>
      <c r="AF113" s="209"/>
      <c r="AG113" s="209"/>
      <c r="AH113" s="209"/>
      <c r="AI113" s="209"/>
      <c r="AJ113" s="209"/>
      <c r="AK113" s="209"/>
      <c r="AL113" s="209"/>
      <c r="AM113" s="209"/>
      <c r="AN113" s="207"/>
      <c r="AO113" s="207"/>
      <c r="AP113" s="207"/>
      <c r="AQ113" s="207"/>
      <c r="AR113" s="207"/>
      <c r="AS113" s="207"/>
      <c r="AT113" s="207"/>
      <c r="AU113" s="207"/>
      <c r="AV113" s="207"/>
      <c r="AW113" s="207"/>
      <c r="AX113" s="207"/>
      <c r="AY113" s="207"/>
      <c r="AZ113" s="207"/>
      <c r="BA113" s="207"/>
      <c r="BB113" s="207"/>
      <c r="BC113" s="207"/>
      <c r="BD113" s="207"/>
      <c r="BE113" s="207"/>
      <c r="BF113" s="207"/>
      <c r="BG113" s="207"/>
      <c r="BH113" s="207"/>
      <c r="BI113" s="207"/>
      <c r="BJ113" s="207"/>
      <c r="BK113" s="207"/>
      <c r="BL113" s="207"/>
      <c r="BM113" s="207"/>
      <c r="BN113" s="207"/>
      <c r="BO113" s="207"/>
      <c r="BP113" s="207"/>
      <c r="BQ113" s="207"/>
      <c r="BR113" s="207"/>
      <c r="BS113" s="207"/>
      <c r="BT113" s="207"/>
      <c r="BU113" s="207"/>
      <c r="BV113" s="207"/>
      <c r="BW113" s="207"/>
      <c r="BX113" s="207"/>
      <c r="BY113" s="207"/>
      <c r="BZ113" s="207"/>
      <c r="CA113" s="207"/>
      <c r="CB113" s="207"/>
      <c r="CC113" s="207"/>
      <c r="CD113" s="207"/>
      <c r="CE113" s="207"/>
      <c r="CF113" s="207"/>
      <c r="CG113" s="207"/>
      <c r="CH113" s="207"/>
      <c r="CI113" s="207"/>
      <c r="CJ113" s="207"/>
      <c r="CK113" s="207"/>
      <c r="CL113" s="207"/>
      <c r="CM113" s="207"/>
      <c r="CN113" s="207"/>
      <c r="CO113" s="207"/>
      <c r="CP113" s="207"/>
      <c r="CQ113" s="207"/>
      <c r="CR113" s="207"/>
      <c r="CS113" s="207"/>
      <c r="CT113" s="207"/>
      <c r="CU113" s="207"/>
      <c r="CV113" s="207"/>
      <c r="CW113" s="207"/>
      <c r="CX113" s="207"/>
      <c r="CY113" s="207"/>
      <c r="CZ113" s="207"/>
      <c r="DA113" s="207"/>
      <c r="DB113" s="207"/>
      <c r="DC113" s="207"/>
      <c r="DD113" s="207"/>
    </row>
    <row r="114">
      <c r="A114" s="204"/>
      <c r="B114" s="205"/>
      <c r="C114" s="204"/>
      <c r="D114" s="206"/>
      <c r="E114" s="207"/>
      <c r="F114" s="207"/>
      <c r="G114" s="207"/>
      <c r="H114" s="208"/>
      <c r="I114" s="208"/>
      <c r="J114" s="208"/>
      <c r="K114" s="208"/>
      <c r="L114" s="208"/>
      <c r="M114" s="208"/>
      <c r="N114" s="208"/>
      <c r="O114" s="208"/>
      <c r="P114" s="208"/>
      <c r="Q114" s="208"/>
      <c r="R114" s="208"/>
      <c r="S114" s="208"/>
      <c r="T114" s="207"/>
      <c r="U114" s="207"/>
      <c r="V114" s="207"/>
      <c r="W114" s="207"/>
      <c r="X114" s="207"/>
      <c r="Y114" s="207"/>
      <c r="Z114" s="209"/>
      <c r="AA114" s="209"/>
      <c r="AB114" s="209"/>
      <c r="AC114" s="209"/>
      <c r="AD114" s="209"/>
      <c r="AE114" s="209"/>
      <c r="AF114" s="209"/>
      <c r="AG114" s="209"/>
      <c r="AH114" s="209"/>
      <c r="AI114" s="209"/>
      <c r="AJ114" s="209"/>
      <c r="AK114" s="209"/>
      <c r="AL114" s="209"/>
      <c r="AM114" s="209"/>
      <c r="AN114" s="207"/>
      <c r="AO114" s="207"/>
      <c r="AP114" s="207"/>
      <c r="AQ114" s="207"/>
      <c r="AR114" s="207"/>
      <c r="AS114" s="207"/>
      <c r="AT114" s="207"/>
      <c r="AU114" s="207"/>
      <c r="AV114" s="207"/>
      <c r="AW114" s="207"/>
      <c r="AX114" s="207"/>
      <c r="AY114" s="207"/>
      <c r="AZ114" s="207"/>
      <c r="BA114" s="207"/>
      <c r="BB114" s="207"/>
      <c r="BC114" s="207"/>
      <c r="BD114" s="207"/>
      <c r="BE114" s="207"/>
      <c r="BF114" s="207"/>
      <c r="BG114" s="207"/>
      <c r="BH114" s="207"/>
      <c r="BI114" s="207"/>
      <c r="BJ114" s="207"/>
      <c r="BK114" s="207"/>
      <c r="BL114" s="207"/>
      <c r="BM114" s="207"/>
      <c r="BN114" s="207"/>
      <c r="BO114" s="207"/>
      <c r="BP114" s="207"/>
      <c r="BQ114" s="207"/>
      <c r="BR114" s="207"/>
      <c r="BS114" s="207"/>
      <c r="BT114" s="207"/>
      <c r="BU114" s="207"/>
      <c r="BV114" s="207"/>
      <c r="BW114" s="207"/>
      <c r="BX114" s="207"/>
      <c r="BY114" s="207"/>
      <c r="BZ114" s="207"/>
      <c r="CA114" s="207"/>
      <c r="CB114" s="207"/>
      <c r="CC114" s="207"/>
      <c r="CD114" s="207"/>
      <c r="CE114" s="207"/>
      <c r="CF114" s="207"/>
      <c r="CG114" s="207"/>
      <c r="CH114" s="207"/>
      <c r="CI114" s="207"/>
      <c r="CJ114" s="207"/>
      <c r="CK114" s="207"/>
      <c r="CL114" s="207"/>
      <c r="CM114" s="207"/>
      <c r="CN114" s="207"/>
      <c r="CO114" s="207"/>
      <c r="CP114" s="207"/>
      <c r="CQ114" s="207"/>
      <c r="CR114" s="207"/>
      <c r="CS114" s="207"/>
      <c r="CT114" s="207"/>
      <c r="CU114" s="207"/>
      <c r="CV114" s="207"/>
      <c r="CW114" s="207"/>
      <c r="CX114" s="207"/>
      <c r="CY114" s="207"/>
      <c r="CZ114" s="207"/>
      <c r="DA114" s="207"/>
      <c r="DB114" s="207"/>
      <c r="DC114" s="207"/>
      <c r="DD114" s="207"/>
    </row>
    <row r="115">
      <c r="A115" s="204"/>
      <c r="B115" s="205"/>
      <c r="C115" s="204"/>
      <c r="D115" s="206"/>
      <c r="E115" s="207"/>
      <c r="F115" s="207"/>
      <c r="G115" s="207"/>
      <c r="H115" s="208"/>
      <c r="I115" s="208"/>
      <c r="J115" s="208"/>
      <c r="K115" s="208"/>
      <c r="L115" s="208"/>
      <c r="M115" s="208"/>
      <c r="N115" s="208"/>
      <c r="O115" s="208"/>
      <c r="P115" s="208"/>
      <c r="Q115" s="208"/>
      <c r="R115" s="208"/>
      <c r="S115" s="208"/>
      <c r="T115" s="207"/>
      <c r="U115" s="207"/>
      <c r="V115" s="207"/>
      <c r="W115" s="207"/>
      <c r="X115" s="207"/>
      <c r="Y115" s="207"/>
      <c r="Z115" s="209"/>
      <c r="AA115" s="209"/>
      <c r="AB115" s="209"/>
      <c r="AC115" s="209"/>
      <c r="AD115" s="209"/>
      <c r="AE115" s="209"/>
      <c r="AF115" s="209"/>
      <c r="AG115" s="209"/>
      <c r="AH115" s="209"/>
      <c r="AI115" s="209"/>
      <c r="AJ115" s="209"/>
      <c r="AK115" s="209"/>
      <c r="AL115" s="209"/>
      <c r="AM115" s="209"/>
      <c r="AN115" s="207"/>
      <c r="AO115" s="207"/>
      <c r="AP115" s="207"/>
      <c r="AQ115" s="207"/>
      <c r="AR115" s="207"/>
      <c r="AS115" s="207"/>
      <c r="AT115" s="207"/>
      <c r="AU115" s="207"/>
      <c r="AV115" s="207"/>
      <c r="AW115" s="207"/>
      <c r="AX115" s="207"/>
      <c r="AY115" s="207"/>
      <c r="AZ115" s="207"/>
      <c r="BA115" s="207"/>
      <c r="BB115" s="207"/>
      <c r="BC115" s="207"/>
      <c r="BD115" s="207"/>
      <c r="BE115" s="207"/>
      <c r="BF115" s="207"/>
      <c r="BG115" s="207"/>
      <c r="BH115" s="207"/>
      <c r="BI115" s="207"/>
      <c r="BJ115" s="207"/>
      <c r="BK115" s="207"/>
      <c r="BL115" s="207"/>
      <c r="BM115" s="207"/>
      <c r="BN115" s="207"/>
      <c r="BO115" s="207"/>
      <c r="BP115" s="207"/>
      <c r="BQ115" s="207"/>
      <c r="BR115" s="207"/>
      <c r="BS115" s="207"/>
      <c r="BT115" s="207"/>
      <c r="BU115" s="207"/>
      <c r="BV115" s="207"/>
      <c r="BW115" s="207"/>
      <c r="BX115" s="207"/>
      <c r="BY115" s="207"/>
      <c r="BZ115" s="207"/>
      <c r="CA115" s="207"/>
      <c r="CB115" s="207"/>
      <c r="CC115" s="207"/>
      <c r="CD115" s="207"/>
      <c r="CE115" s="207"/>
      <c r="CF115" s="207"/>
      <c r="CG115" s="207"/>
      <c r="CH115" s="207"/>
      <c r="CI115" s="207"/>
      <c r="CJ115" s="207"/>
      <c r="CK115" s="207"/>
      <c r="CL115" s="207"/>
      <c r="CM115" s="207"/>
      <c r="CN115" s="207"/>
      <c r="CO115" s="207"/>
      <c r="CP115" s="207"/>
      <c r="CQ115" s="207"/>
      <c r="CR115" s="207"/>
      <c r="CS115" s="207"/>
      <c r="CT115" s="207"/>
      <c r="CU115" s="207"/>
      <c r="CV115" s="207"/>
      <c r="CW115" s="207"/>
      <c r="CX115" s="207"/>
      <c r="CY115" s="207"/>
      <c r="CZ115" s="207"/>
      <c r="DA115" s="207"/>
      <c r="DB115" s="207"/>
      <c r="DC115" s="207"/>
      <c r="DD115" s="207"/>
    </row>
    <row r="116">
      <c r="A116" s="204"/>
      <c r="B116" s="205"/>
      <c r="C116" s="204"/>
      <c r="D116" s="206"/>
      <c r="E116" s="207"/>
      <c r="F116" s="207"/>
      <c r="G116" s="207"/>
      <c r="H116" s="208"/>
      <c r="I116" s="208"/>
      <c r="J116" s="208"/>
      <c r="K116" s="208"/>
      <c r="L116" s="208"/>
      <c r="M116" s="208"/>
      <c r="N116" s="208"/>
      <c r="O116" s="208"/>
      <c r="P116" s="208"/>
      <c r="Q116" s="208"/>
      <c r="R116" s="208"/>
      <c r="S116" s="208"/>
      <c r="T116" s="207"/>
      <c r="U116" s="207"/>
      <c r="V116" s="207"/>
      <c r="W116" s="207"/>
      <c r="X116" s="207"/>
      <c r="Y116" s="207"/>
      <c r="Z116" s="209"/>
      <c r="AA116" s="209"/>
      <c r="AB116" s="209"/>
      <c r="AC116" s="209"/>
      <c r="AD116" s="209"/>
      <c r="AE116" s="209"/>
      <c r="AF116" s="209"/>
      <c r="AG116" s="209"/>
      <c r="AH116" s="209"/>
      <c r="AI116" s="209"/>
      <c r="AJ116" s="209"/>
      <c r="AK116" s="209"/>
      <c r="AL116" s="209"/>
      <c r="AM116" s="209"/>
      <c r="AN116" s="207"/>
      <c r="AO116" s="207"/>
      <c r="AP116" s="207"/>
      <c r="AQ116" s="207"/>
      <c r="AR116" s="207"/>
      <c r="AS116" s="207"/>
      <c r="AT116" s="207"/>
      <c r="AU116" s="207"/>
      <c r="AV116" s="207"/>
      <c r="AW116" s="207"/>
      <c r="AX116" s="207"/>
      <c r="AY116" s="207"/>
      <c r="AZ116" s="207"/>
      <c r="BA116" s="207"/>
      <c r="BB116" s="207"/>
      <c r="BC116" s="207"/>
      <c r="BD116" s="207"/>
      <c r="BE116" s="207"/>
      <c r="BF116" s="207"/>
      <c r="BG116" s="207"/>
      <c r="BH116" s="207"/>
      <c r="BI116" s="207"/>
      <c r="BJ116" s="207"/>
      <c r="BK116" s="207"/>
      <c r="BL116" s="207"/>
      <c r="BM116" s="207"/>
      <c r="BN116" s="207"/>
      <c r="BO116" s="207"/>
      <c r="BP116" s="207"/>
      <c r="BQ116" s="207"/>
      <c r="BR116" s="207"/>
      <c r="BS116" s="207"/>
      <c r="BT116" s="207"/>
      <c r="BU116" s="207"/>
      <c r="BV116" s="207"/>
      <c r="BW116" s="207"/>
      <c r="BX116" s="207"/>
      <c r="BY116" s="207"/>
      <c r="BZ116" s="207"/>
      <c r="CA116" s="207"/>
      <c r="CB116" s="207"/>
      <c r="CC116" s="207"/>
      <c r="CD116" s="207"/>
      <c r="CE116" s="207"/>
      <c r="CF116" s="207"/>
      <c r="CG116" s="207"/>
      <c r="CH116" s="207"/>
      <c r="CI116" s="207"/>
      <c r="CJ116" s="207"/>
      <c r="CK116" s="207"/>
      <c r="CL116" s="207"/>
      <c r="CM116" s="207"/>
      <c r="CN116" s="207"/>
      <c r="CO116" s="207"/>
      <c r="CP116" s="207"/>
      <c r="CQ116" s="207"/>
      <c r="CR116" s="207"/>
      <c r="CS116" s="207"/>
      <c r="CT116" s="207"/>
      <c r="CU116" s="207"/>
      <c r="CV116" s="207"/>
      <c r="CW116" s="207"/>
      <c r="CX116" s="207"/>
      <c r="CY116" s="207"/>
      <c r="CZ116" s="207"/>
      <c r="DA116" s="207"/>
      <c r="DB116" s="207"/>
      <c r="DC116" s="207"/>
      <c r="DD116" s="207"/>
    </row>
    <row r="117">
      <c r="A117" s="204"/>
      <c r="B117" s="205"/>
      <c r="C117" s="204"/>
      <c r="D117" s="206"/>
      <c r="E117" s="207"/>
      <c r="F117" s="207"/>
      <c r="G117" s="207"/>
      <c r="H117" s="208"/>
      <c r="I117" s="208"/>
      <c r="J117" s="208"/>
      <c r="K117" s="208"/>
      <c r="L117" s="208"/>
      <c r="M117" s="208"/>
      <c r="N117" s="208"/>
      <c r="O117" s="208"/>
      <c r="P117" s="208"/>
      <c r="Q117" s="208"/>
      <c r="R117" s="208"/>
      <c r="S117" s="208"/>
      <c r="T117" s="207"/>
      <c r="U117" s="207"/>
      <c r="V117" s="207"/>
      <c r="W117" s="207"/>
      <c r="X117" s="207"/>
      <c r="Y117" s="207"/>
      <c r="Z117" s="209"/>
      <c r="AA117" s="209"/>
      <c r="AB117" s="209"/>
      <c r="AC117" s="209"/>
      <c r="AD117" s="209"/>
      <c r="AE117" s="209"/>
      <c r="AF117" s="209"/>
      <c r="AG117" s="209"/>
      <c r="AH117" s="209"/>
      <c r="AI117" s="209"/>
      <c r="AJ117" s="209"/>
      <c r="AK117" s="209"/>
      <c r="AL117" s="209"/>
      <c r="AM117" s="209"/>
      <c r="AN117" s="207"/>
      <c r="AO117" s="207"/>
      <c r="AP117" s="207"/>
      <c r="AQ117" s="207"/>
      <c r="AR117" s="207"/>
      <c r="AS117" s="207"/>
      <c r="AT117" s="207"/>
      <c r="AU117" s="207"/>
      <c r="AV117" s="207"/>
      <c r="AW117" s="207"/>
      <c r="AX117" s="207"/>
      <c r="AY117" s="207"/>
      <c r="AZ117" s="207"/>
      <c r="BA117" s="207"/>
      <c r="BB117" s="207"/>
      <c r="BC117" s="207"/>
      <c r="BD117" s="207"/>
      <c r="BE117" s="207"/>
      <c r="BF117" s="207"/>
      <c r="BG117" s="207"/>
      <c r="BH117" s="207"/>
      <c r="BI117" s="207"/>
      <c r="BJ117" s="207"/>
      <c r="BK117" s="207"/>
      <c r="BL117" s="207"/>
      <c r="BM117" s="207"/>
      <c r="BN117" s="207"/>
      <c r="BO117" s="207"/>
      <c r="BP117" s="207"/>
      <c r="BQ117" s="207"/>
      <c r="BR117" s="207"/>
      <c r="BS117" s="207"/>
      <c r="BT117" s="207"/>
      <c r="BU117" s="207"/>
      <c r="BV117" s="207"/>
      <c r="BW117" s="207"/>
      <c r="BX117" s="207"/>
      <c r="BY117" s="207"/>
      <c r="BZ117" s="207"/>
      <c r="CA117" s="207"/>
      <c r="CB117" s="207"/>
      <c r="CC117" s="207"/>
      <c r="CD117" s="207"/>
      <c r="CE117" s="207"/>
      <c r="CF117" s="207"/>
      <c r="CG117" s="207"/>
      <c r="CH117" s="207"/>
      <c r="CI117" s="207"/>
      <c r="CJ117" s="207"/>
      <c r="CK117" s="207"/>
      <c r="CL117" s="207"/>
      <c r="CM117" s="207"/>
      <c r="CN117" s="207"/>
      <c r="CO117" s="207"/>
      <c r="CP117" s="207"/>
      <c r="CQ117" s="207"/>
      <c r="CR117" s="207"/>
      <c r="CS117" s="207"/>
      <c r="CT117" s="207"/>
      <c r="CU117" s="207"/>
      <c r="CV117" s="207"/>
      <c r="CW117" s="207"/>
      <c r="CX117" s="207"/>
      <c r="CY117" s="207"/>
      <c r="CZ117" s="207"/>
      <c r="DA117" s="207"/>
      <c r="DB117" s="207"/>
      <c r="DC117" s="207"/>
      <c r="DD117" s="207"/>
    </row>
    <row r="118">
      <c r="A118" s="204"/>
      <c r="B118" s="205"/>
      <c r="C118" s="204"/>
      <c r="D118" s="206"/>
      <c r="E118" s="207"/>
      <c r="F118" s="207"/>
      <c r="G118" s="207"/>
      <c r="H118" s="208"/>
      <c r="I118" s="208"/>
      <c r="J118" s="208"/>
      <c r="K118" s="208"/>
      <c r="L118" s="208"/>
      <c r="M118" s="208"/>
      <c r="N118" s="208"/>
      <c r="O118" s="208"/>
      <c r="P118" s="208"/>
      <c r="Q118" s="208"/>
      <c r="R118" s="208"/>
      <c r="S118" s="208"/>
      <c r="T118" s="207"/>
      <c r="U118" s="207"/>
      <c r="V118" s="207"/>
      <c r="W118" s="207"/>
      <c r="X118" s="207"/>
      <c r="Y118" s="207"/>
      <c r="Z118" s="209"/>
      <c r="AA118" s="209"/>
      <c r="AB118" s="209"/>
      <c r="AC118" s="209"/>
      <c r="AD118" s="209"/>
      <c r="AE118" s="209"/>
      <c r="AF118" s="209"/>
      <c r="AG118" s="209"/>
      <c r="AH118" s="209"/>
      <c r="AI118" s="209"/>
      <c r="AJ118" s="209"/>
      <c r="AK118" s="209"/>
      <c r="AL118" s="209"/>
      <c r="AM118" s="209"/>
      <c r="AN118" s="207"/>
      <c r="AO118" s="207"/>
      <c r="AP118" s="207"/>
      <c r="AQ118" s="207"/>
      <c r="AR118" s="207"/>
      <c r="AS118" s="207"/>
      <c r="AT118" s="207"/>
      <c r="AU118" s="207"/>
      <c r="AV118" s="207"/>
      <c r="AW118" s="207"/>
      <c r="AX118" s="207"/>
      <c r="AY118" s="207"/>
      <c r="AZ118" s="207"/>
      <c r="BA118" s="207"/>
      <c r="BB118" s="207"/>
      <c r="BC118" s="207"/>
      <c r="BD118" s="207"/>
      <c r="BE118" s="207"/>
      <c r="BF118" s="207"/>
      <c r="BG118" s="207"/>
      <c r="BH118" s="207"/>
      <c r="BI118" s="207"/>
      <c r="BJ118" s="207"/>
      <c r="BK118" s="207"/>
      <c r="BL118" s="207"/>
      <c r="BM118" s="207"/>
      <c r="BN118" s="207"/>
      <c r="BO118" s="207"/>
      <c r="BP118" s="207"/>
      <c r="BQ118" s="207"/>
      <c r="BR118" s="207"/>
      <c r="BS118" s="207"/>
      <c r="BT118" s="207"/>
      <c r="BU118" s="207"/>
      <c r="BV118" s="207"/>
      <c r="BW118" s="207"/>
      <c r="BX118" s="207"/>
      <c r="BY118" s="207"/>
      <c r="BZ118" s="207"/>
      <c r="CA118" s="207"/>
      <c r="CB118" s="207"/>
      <c r="CC118" s="207"/>
      <c r="CD118" s="207"/>
      <c r="CE118" s="207"/>
      <c r="CF118" s="207"/>
      <c r="CG118" s="207"/>
      <c r="CH118" s="207"/>
      <c r="CI118" s="207"/>
      <c r="CJ118" s="207"/>
      <c r="CK118" s="207"/>
      <c r="CL118" s="207"/>
      <c r="CM118" s="207"/>
      <c r="CN118" s="207"/>
      <c r="CO118" s="207"/>
      <c r="CP118" s="207"/>
      <c r="CQ118" s="207"/>
      <c r="CR118" s="207"/>
      <c r="CS118" s="207"/>
      <c r="CT118" s="207"/>
      <c r="CU118" s="207"/>
      <c r="CV118" s="207"/>
      <c r="CW118" s="207"/>
      <c r="CX118" s="207"/>
      <c r="CY118" s="207"/>
      <c r="CZ118" s="207"/>
      <c r="DA118" s="207"/>
      <c r="DB118" s="207"/>
      <c r="DC118" s="207"/>
      <c r="DD118" s="207"/>
    </row>
    <row r="119">
      <c r="A119" s="204"/>
      <c r="B119" s="205"/>
      <c r="C119" s="204"/>
      <c r="D119" s="206"/>
      <c r="E119" s="207"/>
      <c r="F119" s="207"/>
      <c r="G119" s="207"/>
      <c r="H119" s="208"/>
      <c r="I119" s="208"/>
      <c r="J119" s="208"/>
      <c r="K119" s="208"/>
      <c r="L119" s="208"/>
      <c r="M119" s="208"/>
      <c r="N119" s="208"/>
      <c r="O119" s="208"/>
      <c r="P119" s="208"/>
      <c r="Q119" s="208"/>
      <c r="R119" s="208"/>
      <c r="S119" s="208"/>
      <c r="T119" s="207"/>
      <c r="U119" s="207"/>
      <c r="V119" s="207"/>
      <c r="W119" s="207"/>
      <c r="X119" s="207"/>
      <c r="Y119" s="207"/>
      <c r="Z119" s="209"/>
      <c r="AA119" s="209"/>
      <c r="AB119" s="209"/>
      <c r="AC119" s="209"/>
      <c r="AD119" s="209"/>
      <c r="AE119" s="209"/>
      <c r="AF119" s="209"/>
      <c r="AG119" s="209"/>
      <c r="AH119" s="209"/>
      <c r="AI119" s="209"/>
      <c r="AJ119" s="209"/>
      <c r="AK119" s="209"/>
      <c r="AL119" s="209"/>
      <c r="AM119" s="209"/>
      <c r="AN119" s="207"/>
      <c r="AO119" s="207"/>
      <c r="AP119" s="207"/>
      <c r="AQ119" s="207"/>
      <c r="AR119" s="207"/>
      <c r="AS119" s="207"/>
      <c r="AT119" s="207"/>
      <c r="AU119" s="207"/>
      <c r="AV119" s="207"/>
      <c r="AW119" s="207"/>
      <c r="AX119" s="207"/>
      <c r="AY119" s="207"/>
      <c r="AZ119" s="207"/>
      <c r="BA119" s="207"/>
      <c r="BB119" s="207"/>
      <c r="BC119" s="207"/>
      <c r="BD119" s="207"/>
      <c r="BE119" s="207"/>
      <c r="BF119" s="207"/>
      <c r="BG119" s="207"/>
      <c r="BH119" s="207"/>
      <c r="BI119" s="207"/>
      <c r="BJ119" s="207"/>
      <c r="BK119" s="207"/>
      <c r="BL119" s="207"/>
      <c r="BM119" s="207"/>
      <c r="BN119" s="207"/>
      <c r="BO119" s="207"/>
      <c r="BP119" s="207"/>
      <c r="BQ119" s="207"/>
      <c r="BR119" s="207"/>
      <c r="BS119" s="207"/>
      <c r="BT119" s="207"/>
      <c r="BU119" s="207"/>
      <c r="BV119" s="207"/>
      <c r="BW119" s="207"/>
      <c r="BX119" s="207"/>
      <c r="BY119" s="207"/>
      <c r="BZ119" s="207"/>
      <c r="CA119" s="207"/>
      <c r="CB119" s="207"/>
      <c r="CC119" s="207"/>
      <c r="CD119" s="207"/>
      <c r="CE119" s="207"/>
      <c r="CF119" s="207"/>
      <c r="CG119" s="207"/>
      <c r="CH119" s="207"/>
      <c r="CI119" s="207"/>
      <c r="CJ119" s="207"/>
      <c r="CK119" s="207"/>
      <c r="CL119" s="207"/>
      <c r="CM119" s="207"/>
      <c r="CN119" s="207"/>
      <c r="CO119" s="207"/>
      <c r="CP119" s="207"/>
      <c r="CQ119" s="207"/>
      <c r="CR119" s="207"/>
      <c r="CS119" s="207"/>
      <c r="CT119" s="207"/>
      <c r="CU119" s="207"/>
      <c r="CV119" s="207"/>
      <c r="CW119" s="207"/>
      <c r="CX119" s="207"/>
      <c r="CY119" s="207"/>
      <c r="CZ119" s="207"/>
      <c r="DA119" s="207"/>
      <c r="DB119" s="207"/>
      <c r="DC119" s="207"/>
      <c r="DD119" s="207"/>
    </row>
    <row r="120">
      <c r="A120" s="204"/>
      <c r="B120" s="205"/>
      <c r="C120" s="204"/>
      <c r="D120" s="206"/>
      <c r="E120" s="207"/>
      <c r="F120" s="207"/>
      <c r="G120" s="207"/>
      <c r="H120" s="208"/>
      <c r="I120" s="208"/>
      <c r="J120" s="208"/>
      <c r="K120" s="208"/>
      <c r="L120" s="208"/>
      <c r="M120" s="208"/>
      <c r="N120" s="208"/>
      <c r="O120" s="208"/>
      <c r="P120" s="208"/>
      <c r="Q120" s="208"/>
      <c r="R120" s="208"/>
      <c r="S120" s="208"/>
      <c r="T120" s="207"/>
      <c r="U120" s="207"/>
      <c r="V120" s="207"/>
      <c r="W120" s="207"/>
      <c r="X120" s="207"/>
      <c r="Y120" s="207"/>
      <c r="Z120" s="209"/>
      <c r="AA120" s="209"/>
      <c r="AB120" s="209"/>
      <c r="AC120" s="209"/>
      <c r="AD120" s="209"/>
      <c r="AE120" s="209"/>
      <c r="AF120" s="209"/>
      <c r="AG120" s="209"/>
      <c r="AH120" s="209"/>
      <c r="AI120" s="209"/>
      <c r="AJ120" s="209"/>
      <c r="AK120" s="209"/>
      <c r="AL120" s="209"/>
      <c r="AM120" s="209"/>
      <c r="AN120" s="207"/>
      <c r="AO120" s="207"/>
      <c r="AP120" s="207"/>
      <c r="AQ120" s="207"/>
      <c r="AR120" s="207"/>
      <c r="AS120" s="207"/>
      <c r="AT120" s="207"/>
      <c r="AU120" s="207"/>
      <c r="AV120" s="207"/>
      <c r="AW120" s="207"/>
      <c r="AX120" s="207"/>
      <c r="AY120" s="207"/>
      <c r="AZ120" s="207"/>
      <c r="BA120" s="207"/>
      <c r="BB120" s="207"/>
      <c r="BC120" s="207"/>
      <c r="BD120" s="207"/>
      <c r="BE120" s="207"/>
      <c r="BF120" s="207"/>
      <c r="BG120" s="207"/>
      <c r="BH120" s="207"/>
      <c r="BI120" s="207"/>
      <c r="BJ120" s="207"/>
      <c r="BK120" s="207"/>
      <c r="BL120" s="207"/>
      <c r="BM120" s="207"/>
      <c r="BN120" s="207"/>
      <c r="BO120" s="207"/>
      <c r="BP120" s="207"/>
      <c r="BQ120" s="207"/>
      <c r="BR120" s="207"/>
      <c r="BS120" s="207"/>
      <c r="BT120" s="207"/>
      <c r="BU120" s="207"/>
      <c r="BV120" s="207"/>
      <c r="BW120" s="207"/>
      <c r="BX120" s="207"/>
      <c r="BY120" s="207"/>
      <c r="BZ120" s="207"/>
      <c r="CA120" s="207"/>
      <c r="CB120" s="207"/>
      <c r="CC120" s="207"/>
      <c r="CD120" s="207"/>
      <c r="CE120" s="207"/>
      <c r="CF120" s="207"/>
      <c r="CG120" s="207"/>
      <c r="CH120" s="207"/>
      <c r="CI120" s="207"/>
      <c r="CJ120" s="207"/>
      <c r="CK120" s="207"/>
      <c r="CL120" s="207"/>
      <c r="CM120" s="207"/>
      <c r="CN120" s="207"/>
      <c r="CO120" s="207"/>
      <c r="CP120" s="207"/>
      <c r="CQ120" s="207"/>
      <c r="CR120" s="207"/>
      <c r="CS120" s="207"/>
      <c r="CT120" s="207"/>
      <c r="CU120" s="207"/>
      <c r="CV120" s="207"/>
      <c r="CW120" s="207"/>
      <c r="CX120" s="207"/>
      <c r="CY120" s="207"/>
      <c r="CZ120" s="207"/>
      <c r="DA120" s="207"/>
      <c r="DB120" s="207"/>
      <c r="DC120" s="207"/>
      <c r="DD120" s="207"/>
    </row>
    <row r="121">
      <c r="A121" s="204"/>
      <c r="B121" s="205"/>
      <c r="C121" s="204"/>
      <c r="D121" s="206"/>
      <c r="E121" s="207"/>
      <c r="F121" s="207"/>
      <c r="G121" s="207"/>
      <c r="H121" s="208"/>
      <c r="I121" s="208"/>
      <c r="J121" s="208"/>
      <c r="K121" s="208"/>
      <c r="L121" s="208"/>
      <c r="M121" s="208"/>
      <c r="N121" s="208"/>
      <c r="O121" s="208"/>
      <c r="P121" s="208"/>
      <c r="Q121" s="208"/>
      <c r="R121" s="208"/>
      <c r="S121" s="208"/>
      <c r="T121" s="207"/>
      <c r="U121" s="207"/>
      <c r="V121" s="207"/>
      <c r="W121" s="207"/>
      <c r="X121" s="207"/>
      <c r="Y121" s="207"/>
      <c r="Z121" s="209"/>
      <c r="AA121" s="209"/>
      <c r="AB121" s="209"/>
      <c r="AC121" s="209"/>
      <c r="AD121" s="209"/>
      <c r="AE121" s="209"/>
      <c r="AF121" s="209"/>
      <c r="AG121" s="209"/>
      <c r="AH121" s="209"/>
      <c r="AI121" s="209"/>
      <c r="AJ121" s="209"/>
      <c r="AK121" s="209"/>
      <c r="AL121" s="209"/>
      <c r="AM121" s="209"/>
      <c r="AN121" s="207"/>
      <c r="AO121" s="207"/>
      <c r="AP121" s="207"/>
      <c r="AQ121" s="207"/>
      <c r="AR121" s="207"/>
      <c r="AS121" s="207"/>
      <c r="AT121" s="207"/>
      <c r="AU121" s="207"/>
      <c r="AV121" s="207"/>
      <c r="AW121" s="207"/>
      <c r="AX121" s="207"/>
      <c r="AY121" s="207"/>
      <c r="AZ121" s="207"/>
      <c r="BA121" s="207"/>
      <c r="BB121" s="207"/>
      <c r="BC121" s="207"/>
      <c r="BD121" s="207"/>
      <c r="BE121" s="207"/>
      <c r="BF121" s="207"/>
      <c r="BG121" s="207"/>
      <c r="BH121" s="207"/>
      <c r="BI121" s="207"/>
      <c r="BJ121" s="207"/>
      <c r="BK121" s="207"/>
      <c r="BL121" s="207"/>
      <c r="BM121" s="207"/>
      <c r="BN121" s="207"/>
      <c r="BO121" s="207"/>
      <c r="BP121" s="207"/>
      <c r="BQ121" s="207"/>
      <c r="BR121" s="207"/>
      <c r="BS121" s="207"/>
      <c r="BT121" s="207"/>
      <c r="BU121" s="207"/>
      <c r="BV121" s="207"/>
      <c r="BW121" s="207"/>
      <c r="BX121" s="207"/>
      <c r="BY121" s="207"/>
      <c r="BZ121" s="207"/>
      <c r="CA121" s="207"/>
      <c r="CB121" s="207"/>
      <c r="CC121" s="207"/>
      <c r="CD121" s="207"/>
      <c r="CE121" s="207"/>
      <c r="CF121" s="207"/>
      <c r="CG121" s="207"/>
      <c r="CH121" s="207"/>
      <c r="CI121" s="207"/>
      <c r="CJ121" s="207"/>
      <c r="CK121" s="207"/>
      <c r="CL121" s="207"/>
      <c r="CM121" s="207"/>
      <c r="CN121" s="207"/>
      <c r="CO121" s="207"/>
      <c r="CP121" s="207"/>
      <c r="CQ121" s="207"/>
      <c r="CR121" s="207"/>
      <c r="CS121" s="207"/>
      <c r="CT121" s="207"/>
      <c r="CU121" s="207"/>
      <c r="CV121" s="207"/>
      <c r="CW121" s="207"/>
      <c r="CX121" s="207"/>
      <c r="CY121" s="207"/>
      <c r="CZ121" s="207"/>
      <c r="DA121" s="207"/>
      <c r="DB121" s="207"/>
      <c r="DC121" s="207"/>
      <c r="DD121" s="207"/>
    </row>
    <row r="122">
      <c r="A122" s="204"/>
      <c r="B122" s="205"/>
      <c r="C122" s="204"/>
      <c r="D122" s="206"/>
      <c r="E122" s="207"/>
      <c r="F122" s="207"/>
      <c r="G122" s="207"/>
      <c r="H122" s="208"/>
      <c r="I122" s="208"/>
      <c r="J122" s="208"/>
      <c r="K122" s="208"/>
      <c r="L122" s="208"/>
      <c r="M122" s="208"/>
      <c r="N122" s="208"/>
      <c r="O122" s="208"/>
      <c r="P122" s="208"/>
      <c r="Q122" s="208"/>
      <c r="R122" s="208"/>
      <c r="S122" s="208"/>
      <c r="T122" s="207"/>
      <c r="U122" s="207"/>
      <c r="V122" s="207"/>
      <c r="W122" s="207"/>
      <c r="X122" s="207"/>
      <c r="Y122" s="207"/>
      <c r="Z122" s="209"/>
      <c r="AA122" s="209"/>
      <c r="AB122" s="209"/>
      <c r="AC122" s="209"/>
      <c r="AD122" s="209"/>
      <c r="AE122" s="209"/>
      <c r="AF122" s="209"/>
      <c r="AG122" s="209"/>
      <c r="AH122" s="209"/>
      <c r="AI122" s="209"/>
      <c r="AJ122" s="209"/>
      <c r="AK122" s="209"/>
      <c r="AL122" s="209"/>
      <c r="AM122" s="209"/>
      <c r="AN122" s="207"/>
      <c r="AO122" s="207"/>
      <c r="AP122" s="207"/>
      <c r="AQ122" s="207"/>
      <c r="AR122" s="207"/>
      <c r="AS122" s="207"/>
      <c r="AT122" s="207"/>
      <c r="AU122" s="207"/>
      <c r="AV122" s="207"/>
      <c r="AW122" s="207"/>
      <c r="AX122" s="207"/>
      <c r="AY122" s="207"/>
      <c r="AZ122" s="207"/>
      <c r="BA122" s="207"/>
      <c r="BB122" s="207"/>
      <c r="BC122" s="207"/>
      <c r="BD122" s="207"/>
      <c r="BE122" s="207"/>
      <c r="BF122" s="207"/>
      <c r="BG122" s="207"/>
      <c r="BH122" s="207"/>
      <c r="BI122" s="207"/>
      <c r="BJ122" s="207"/>
      <c r="BK122" s="207"/>
      <c r="BL122" s="207"/>
      <c r="BM122" s="207"/>
      <c r="BN122" s="207"/>
      <c r="BO122" s="207"/>
      <c r="BP122" s="207"/>
      <c r="BQ122" s="207"/>
      <c r="BR122" s="207"/>
      <c r="BS122" s="207"/>
      <c r="BT122" s="207"/>
      <c r="BU122" s="207"/>
      <c r="BV122" s="207"/>
      <c r="BW122" s="207"/>
      <c r="BX122" s="207"/>
      <c r="BY122" s="207"/>
      <c r="BZ122" s="207"/>
      <c r="CA122" s="207"/>
      <c r="CB122" s="207"/>
      <c r="CC122" s="207"/>
      <c r="CD122" s="207"/>
      <c r="CE122" s="207"/>
      <c r="CF122" s="207"/>
      <c r="CG122" s="207"/>
      <c r="CH122" s="207"/>
      <c r="CI122" s="207"/>
      <c r="CJ122" s="207"/>
      <c r="CK122" s="207"/>
      <c r="CL122" s="207"/>
      <c r="CM122" s="207"/>
      <c r="CN122" s="207"/>
      <c r="CO122" s="207"/>
      <c r="CP122" s="207"/>
      <c r="CQ122" s="207"/>
      <c r="CR122" s="207"/>
      <c r="CS122" s="207"/>
      <c r="CT122" s="207"/>
      <c r="CU122" s="207"/>
      <c r="CV122" s="207"/>
      <c r="CW122" s="207"/>
      <c r="CX122" s="207"/>
      <c r="CY122" s="207"/>
      <c r="CZ122" s="207"/>
      <c r="DA122" s="207"/>
      <c r="DB122" s="207"/>
      <c r="DC122" s="207"/>
      <c r="DD122" s="207"/>
    </row>
    <row r="123">
      <c r="A123" s="204"/>
      <c r="B123" s="205"/>
      <c r="C123" s="204"/>
      <c r="D123" s="206"/>
      <c r="E123" s="207"/>
      <c r="F123" s="207"/>
      <c r="G123" s="207"/>
      <c r="H123" s="208"/>
      <c r="I123" s="208"/>
      <c r="J123" s="208"/>
      <c r="K123" s="208"/>
      <c r="L123" s="208"/>
      <c r="M123" s="208"/>
      <c r="N123" s="208"/>
      <c r="O123" s="208"/>
      <c r="P123" s="208"/>
      <c r="Q123" s="208"/>
      <c r="R123" s="208"/>
      <c r="S123" s="208"/>
      <c r="T123" s="207"/>
      <c r="U123" s="207"/>
      <c r="V123" s="207"/>
      <c r="W123" s="207"/>
      <c r="X123" s="207"/>
      <c r="Y123" s="207"/>
      <c r="Z123" s="209"/>
      <c r="AA123" s="209"/>
      <c r="AB123" s="209"/>
      <c r="AC123" s="209"/>
      <c r="AD123" s="209"/>
      <c r="AE123" s="209"/>
      <c r="AF123" s="209"/>
      <c r="AG123" s="209"/>
      <c r="AH123" s="209"/>
      <c r="AI123" s="209"/>
      <c r="AJ123" s="209"/>
      <c r="AK123" s="209"/>
      <c r="AL123" s="209"/>
      <c r="AM123" s="209"/>
      <c r="AN123" s="207"/>
      <c r="AO123" s="207"/>
      <c r="AP123" s="207"/>
      <c r="AQ123" s="207"/>
      <c r="AR123" s="207"/>
      <c r="AS123" s="207"/>
      <c r="AT123" s="207"/>
      <c r="AU123" s="207"/>
      <c r="AV123" s="207"/>
      <c r="AW123" s="207"/>
      <c r="AX123" s="207"/>
      <c r="AY123" s="207"/>
      <c r="AZ123" s="207"/>
      <c r="BA123" s="207"/>
      <c r="BB123" s="207"/>
      <c r="BC123" s="207"/>
      <c r="BD123" s="207"/>
      <c r="BE123" s="207"/>
      <c r="BF123" s="207"/>
      <c r="BG123" s="207"/>
      <c r="BH123" s="207"/>
      <c r="BI123" s="207"/>
      <c r="BJ123" s="207"/>
      <c r="BK123" s="207"/>
      <c r="BL123" s="207"/>
      <c r="BM123" s="207"/>
      <c r="BN123" s="207"/>
      <c r="BO123" s="207"/>
      <c r="BP123" s="207"/>
      <c r="BQ123" s="207"/>
      <c r="BR123" s="207"/>
      <c r="BS123" s="207"/>
      <c r="BT123" s="207"/>
      <c r="BU123" s="207"/>
      <c r="BV123" s="207"/>
      <c r="BW123" s="207"/>
      <c r="BX123" s="207"/>
      <c r="BY123" s="207"/>
      <c r="BZ123" s="207"/>
      <c r="CA123" s="207"/>
      <c r="CB123" s="207"/>
      <c r="CC123" s="207"/>
      <c r="CD123" s="207"/>
      <c r="CE123" s="207"/>
      <c r="CF123" s="207"/>
      <c r="CG123" s="207"/>
      <c r="CH123" s="207"/>
      <c r="CI123" s="207"/>
      <c r="CJ123" s="207"/>
      <c r="CK123" s="207"/>
      <c r="CL123" s="207"/>
      <c r="CM123" s="207"/>
      <c r="CN123" s="207"/>
      <c r="CO123" s="207"/>
      <c r="CP123" s="207"/>
      <c r="CQ123" s="207"/>
      <c r="CR123" s="207"/>
      <c r="CS123" s="207"/>
      <c r="CT123" s="207"/>
      <c r="CU123" s="207"/>
      <c r="CV123" s="207"/>
      <c r="CW123" s="207"/>
      <c r="CX123" s="207"/>
      <c r="CY123" s="207"/>
      <c r="CZ123" s="207"/>
      <c r="DA123" s="207"/>
      <c r="DB123" s="207"/>
      <c r="DC123" s="207"/>
      <c r="DD123" s="207"/>
    </row>
    <row r="124">
      <c r="A124" s="204"/>
      <c r="B124" s="205"/>
      <c r="C124" s="204"/>
      <c r="D124" s="206"/>
      <c r="E124" s="207"/>
      <c r="F124" s="207"/>
      <c r="G124" s="207"/>
      <c r="H124" s="208"/>
      <c r="I124" s="208"/>
      <c r="J124" s="208"/>
      <c r="K124" s="208"/>
      <c r="L124" s="208"/>
      <c r="M124" s="208"/>
      <c r="N124" s="208"/>
      <c r="O124" s="208"/>
      <c r="P124" s="208"/>
      <c r="Q124" s="208"/>
      <c r="R124" s="208"/>
      <c r="S124" s="208"/>
      <c r="T124" s="207"/>
      <c r="U124" s="207"/>
      <c r="V124" s="207"/>
      <c r="W124" s="207"/>
      <c r="X124" s="207"/>
      <c r="Y124" s="207"/>
      <c r="Z124" s="209"/>
      <c r="AA124" s="209"/>
      <c r="AB124" s="209"/>
      <c r="AC124" s="209"/>
      <c r="AD124" s="209"/>
      <c r="AE124" s="209"/>
      <c r="AF124" s="209"/>
      <c r="AG124" s="209"/>
      <c r="AH124" s="209"/>
      <c r="AI124" s="209"/>
      <c r="AJ124" s="209"/>
      <c r="AK124" s="209"/>
      <c r="AL124" s="209"/>
      <c r="AM124" s="209"/>
      <c r="AN124" s="207"/>
      <c r="AO124" s="207"/>
      <c r="AP124" s="207"/>
      <c r="AQ124" s="207"/>
      <c r="AR124" s="207"/>
      <c r="AS124" s="207"/>
      <c r="AT124" s="207"/>
      <c r="AU124" s="207"/>
      <c r="AV124" s="207"/>
      <c r="AW124" s="207"/>
      <c r="AX124" s="207"/>
      <c r="AY124" s="207"/>
      <c r="AZ124" s="207"/>
      <c r="BA124" s="207"/>
      <c r="BB124" s="207"/>
      <c r="BC124" s="207"/>
      <c r="BD124" s="207"/>
      <c r="BE124" s="207"/>
      <c r="BF124" s="207"/>
      <c r="BG124" s="207"/>
      <c r="BH124" s="207"/>
      <c r="BI124" s="207"/>
      <c r="BJ124" s="207"/>
      <c r="BK124" s="207"/>
      <c r="BL124" s="207"/>
      <c r="BM124" s="207"/>
      <c r="BN124" s="207"/>
      <c r="BO124" s="207"/>
      <c r="BP124" s="207"/>
      <c r="BQ124" s="207"/>
      <c r="BR124" s="207"/>
      <c r="BS124" s="207"/>
      <c r="BT124" s="207"/>
      <c r="BU124" s="207"/>
      <c r="BV124" s="207"/>
      <c r="BW124" s="207"/>
      <c r="BX124" s="207"/>
      <c r="BY124" s="207"/>
      <c r="BZ124" s="207"/>
      <c r="CA124" s="207"/>
      <c r="CB124" s="207"/>
      <c r="CC124" s="207"/>
      <c r="CD124" s="207"/>
      <c r="CE124" s="207"/>
      <c r="CF124" s="207"/>
      <c r="CG124" s="207"/>
      <c r="CH124" s="207"/>
      <c r="CI124" s="207"/>
      <c r="CJ124" s="207"/>
      <c r="CK124" s="207"/>
      <c r="CL124" s="207"/>
      <c r="CM124" s="207"/>
      <c r="CN124" s="207"/>
      <c r="CO124" s="207"/>
      <c r="CP124" s="207"/>
      <c r="CQ124" s="207"/>
      <c r="CR124" s="207"/>
      <c r="CS124" s="207"/>
      <c r="CT124" s="207"/>
      <c r="CU124" s="207"/>
      <c r="CV124" s="207"/>
      <c r="CW124" s="207"/>
      <c r="CX124" s="207"/>
      <c r="CY124" s="207"/>
      <c r="CZ124" s="207"/>
      <c r="DA124" s="207"/>
      <c r="DB124" s="207"/>
      <c r="DC124" s="207"/>
      <c r="DD124" s="207"/>
    </row>
    <row r="125">
      <c r="A125" s="204"/>
      <c r="B125" s="205"/>
      <c r="C125" s="204"/>
      <c r="D125" s="206"/>
      <c r="E125" s="207"/>
      <c r="F125" s="207"/>
      <c r="G125" s="207"/>
      <c r="H125" s="208"/>
      <c r="I125" s="208"/>
      <c r="J125" s="208"/>
      <c r="K125" s="208"/>
      <c r="L125" s="208"/>
      <c r="M125" s="208"/>
      <c r="N125" s="208"/>
      <c r="O125" s="208"/>
      <c r="P125" s="208"/>
      <c r="Q125" s="208"/>
      <c r="R125" s="208"/>
      <c r="S125" s="208"/>
      <c r="T125" s="207"/>
      <c r="U125" s="207"/>
      <c r="V125" s="207"/>
      <c r="W125" s="207"/>
      <c r="X125" s="207"/>
      <c r="Y125" s="207"/>
      <c r="Z125" s="209"/>
      <c r="AA125" s="209"/>
      <c r="AB125" s="209"/>
      <c r="AC125" s="209"/>
      <c r="AD125" s="209"/>
      <c r="AE125" s="209"/>
      <c r="AF125" s="209"/>
      <c r="AG125" s="209"/>
      <c r="AH125" s="209"/>
      <c r="AI125" s="209"/>
      <c r="AJ125" s="209"/>
      <c r="AK125" s="209"/>
      <c r="AL125" s="209"/>
      <c r="AM125" s="209"/>
      <c r="AN125" s="207"/>
      <c r="AO125" s="207"/>
      <c r="AP125" s="207"/>
      <c r="AQ125" s="207"/>
      <c r="AR125" s="207"/>
      <c r="AS125" s="207"/>
      <c r="AT125" s="207"/>
      <c r="AU125" s="207"/>
      <c r="AV125" s="207"/>
      <c r="AW125" s="207"/>
      <c r="AX125" s="207"/>
      <c r="AY125" s="207"/>
      <c r="AZ125" s="207"/>
      <c r="BA125" s="207"/>
      <c r="BB125" s="207"/>
      <c r="BC125" s="207"/>
      <c r="BD125" s="207"/>
      <c r="BE125" s="207"/>
      <c r="BF125" s="207"/>
      <c r="BG125" s="207"/>
      <c r="BH125" s="207"/>
      <c r="BI125" s="207"/>
      <c r="BJ125" s="207"/>
      <c r="BK125" s="207"/>
      <c r="BL125" s="207"/>
      <c r="BM125" s="207"/>
      <c r="BN125" s="207"/>
      <c r="BO125" s="207"/>
      <c r="BP125" s="207"/>
      <c r="BQ125" s="207"/>
      <c r="BR125" s="207"/>
      <c r="BS125" s="207"/>
      <c r="BT125" s="207"/>
      <c r="BU125" s="207"/>
      <c r="BV125" s="207"/>
      <c r="BW125" s="207"/>
      <c r="BX125" s="207"/>
      <c r="BY125" s="207"/>
      <c r="BZ125" s="207"/>
      <c r="CA125" s="207"/>
      <c r="CB125" s="207"/>
      <c r="CC125" s="207"/>
      <c r="CD125" s="207"/>
      <c r="CE125" s="207"/>
      <c r="CF125" s="207"/>
      <c r="CG125" s="207"/>
      <c r="CH125" s="207"/>
      <c r="CI125" s="207"/>
      <c r="CJ125" s="207"/>
      <c r="CK125" s="207"/>
      <c r="CL125" s="207"/>
      <c r="CM125" s="207"/>
      <c r="CN125" s="207"/>
      <c r="CO125" s="207"/>
      <c r="CP125" s="207"/>
      <c r="CQ125" s="207"/>
      <c r="CR125" s="207"/>
      <c r="CS125" s="207"/>
      <c r="CT125" s="207"/>
      <c r="CU125" s="207"/>
      <c r="CV125" s="207"/>
      <c r="CW125" s="207"/>
      <c r="CX125" s="207"/>
      <c r="CY125" s="207"/>
      <c r="CZ125" s="207"/>
      <c r="DA125" s="207"/>
      <c r="DB125" s="207"/>
      <c r="DC125" s="207"/>
      <c r="DD125" s="207"/>
    </row>
    <row r="126">
      <c r="A126" s="204"/>
      <c r="B126" s="205"/>
      <c r="C126" s="204"/>
      <c r="D126" s="206"/>
      <c r="E126" s="207"/>
      <c r="F126" s="207"/>
      <c r="G126" s="207"/>
      <c r="H126" s="208"/>
      <c r="I126" s="208"/>
      <c r="J126" s="208"/>
      <c r="K126" s="208"/>
      <c r="L126" s="208"/>
      <c r="M126" s="208"/>
      <c r="N126" s="208"/>
      <c r="O126" s="208"/>
      <c r="P126" s="208"/>
      <c r="Q126" s="208"/>
      <c r="R126" s="208"/>
      <c r="S126" s="208"/>
      <c r="T126" s="207"/>
      <c r="U126" s="207"/>
      <c r="V126" s="207"/>
      <c r="W126" s="207"/>
      <c r="X126" s="207"/>
      <c r="Y126" s="207"/>
      <c r="Z126" s="209"/>
      <c r="AA126" s="209"/>
      <c r="AB126" s="209"/>
      <c r="AC126" s="209"/>
      <c r="AD126" s="209"/>
      <c r="AE126" s="209"/>
      <c r="AF126" s="209"/>
      <c r="AG126" s="209"/>
      <c r="AH126" s="209"/>
      <c r="AI126" s="209"/>
      <c r="AJ126" s="209"/>
      <c r="AK126" s="209"/>
      <c r="AL126" s="209"/>
      <c r="AM126" s="209"/>
      <c r="AN126" s="207"/>
      <c r="AO126" s="207"/>
      <c r="AP126" s="207"/>
      <c r="AQ126" s="207"/>
      <c r="AR126" s="207"/>
      <c r="AS126" s="207"/>
      <c r="AT126" s="207"/>
      <c r="AU126" s="207"/>
      <c r="AV126" s="207"/>
      <c r="AW126" s="207"/>
      <c r="AX126" s="207"/>
      <c r="AY126" s="207"/>
      <c r="AZ126" s="207"/>
      <c r="BA126" s="207"/>
      <c r="BB126" s="207"/>
      <c r="BC126" s="207"/>
      <c r="BD126" s="207"/>
      <c r="BE126" s="207"/>
      <c r="BF126" s="207"/>
      <c r="BG126" s="207"/>
      <c r="BH126" s="207"/>
      <c r="BI126" s="207"/>
      <c r="BJ126" s="207"/>
      <c r="BK126" s="207"/>
      <c r="BL126" s="207"/>
      <c r="BM126" s="207"/>
      <c r="BN126" s="207"/>
      <c r="BO126" s="207"/>
      <c r="BP126" s="207"/>
      <c r="BQ126" s="207"/>
      <c r="BR126" s="207"/>
      <c r="BS126" s="207"/>
      <c r="BT126" s="207"/>
      <c r="BU126" s="207"/>
      <c r="BV126" s="207"/>
      <c r="BW126" s="207"/>
      <c r="BX126" s="207"/>
      <c r="BY126" s="207"/>
      <c r="BZ126" s="207"/>
      <c r="CA126" s="207"/>
      <c r="CB126" s="207"/>
      <c r="CC126" s="207"/>
      <c r="CD126" s="207"/>
      <c r="CE126" s="207"/>
      <c r="CF126" s="207"/>
      <c r="CG126" s="207"/>
      <c r="CH126" s="207"/>
      <c r="CI126" s="207"/>
      <c r="CJ126" s="207"/>
      <c r="CK126" s="207"/>
      <c r="CL126" s="207"/>
      <c r="CM126" s="207"/>
      <c r="CN126" s="207"/>
      <c r="CO126" s="207"/>
      <c r="CP126" s="207"/>
      <c r="CQ126" s="207"/>
      <c r="CR126" s="207"/>
      <c r="CS126" s="207"/>
      <c r="CT126" s="207"/>
      <c r="CU126" s="207"/>
      <c r="CV126" s="207"/>
      <c r="CW126" s="207"/>
      <c r="CX126" s="207"/>
      <c r="CY126" s="207"/>
      <c r="CZ126" s="207"/>
      <c r="DA126" s="207"/>
      <c r="DB126" s="207"/>
      <c r="DC126" s="207"/>
      <c r="DD126" s="207"/>
    </row>
    <row r="127">
      <c r="A127" s="204"/>
      <c r="B127" s="205"/>
      <c r="C127" s="204"/>
      <c r="D127" s="206"/>
      <c r="E127" s="207"/>
      <c r="F127" s="207"/>
      <c r="G127" s="207"/>
      <c r="H127" s="208"/>
      <c r="I127" s="208"/>
      <c r="J127" s="208"/>
      <c r="K127" s="208"/>
      <c r="L127" s="208"/>
      <c r="M127" s="208"/>
      <c r="N127" s="208"/>
      <c r="O127" s="208"/>
      <c r="P127" s="208"/>
      <c r="Q127" s="208"/>
      <c r="R127" s="208"/>
      <c r="S127" s="208"/>
      <c r="T127" s="207"/>
      <c r="U127" s="207"/>
      <c r="V127" s="207"/>
      <c r="W127" s="207"/>
      <c r="X127" s="207"/>
      <c r="Y127" s="207"/>
      <c r="Z127" s="209"/>
      <c r="AA127" s="209"/>
      <c r="AB127" s="209"/>
      <c r="AC127" s="209"/>
      <c r="AD127" s="209"/>
      <c r="AE127" s="209"/>
      <c r="AF127" s="209"/>
      <c r="AG127" s="209"/>
      <c r="AH127" s="209"/>
      <c r="AI127" s="209"/>
      <c r="AJ127" s="209"/>
      <c r="AK127" s="209"/>
      <c r="AL127" s="209"/>
      <c r="AM127" s="209"/>
      <c r="AN127" s="207"/>
      <c r="AO127" s="207"/>
      <c r="AP127" s="207"/>
      <c r="AQ127" s="207"/>
      <c r="AR127" s="207"/>
      <c r="AS127" s="207"/>
      <c r="AT127" s="207"/>
      <c r="AU127" s="207"/>
      <c r="AV127" s="207"/>
      <c r="AW127" s="207"/>
      <c r="AX127" s="207"/>
      <c r="AY127" s="207"/>
      <c r="AZ127" s="207"/>
      <c r="BA127" s="207"/>
      <c r="BB127" s="207"/>
      <c r="BC127" s="207"/>
      <c r="BD127" s="207"/>
      <c r="BE127" s="207"/>
      <c r="BF127" s="207"/>
      <c r="BG127" s="207"/>
      <c r="BH127" s="207"/>
      <c r="BI127" s="207"/>
      <c r="BJ127" s="207"/>
      <c r="BK127" s="207"/>
      <c r="BL127" s="207"/>
      <c r="BM127" s="207"/>
      <c r="BN127" s="207"/>
      <c r="BO127" s="207"/>
      <c r="BP127" s="207"/>
      <c r="BQ127" s="207"/>
      <c r="BR127" s="207"/>
      <c r="BS127" s="207"/>
      <c r="BT127" s="207"/>
      <c r="BU127" s="207"/>
      <c r="BV127" s="207"/>
      <c r="BW127" s="207"/>
      <c r="BX127" s="207"/>
      <c r="BY127" s="207"/>
      <c r="BZ127" s="207"/>
      <c r="CA127" s="207"/>
      <c r="CB127" s="207"/>
      <c r="CC127" s="207"/>
      <c r="CD127" s="207"/>
      <c r="CE127" s="207"/>
      <c r="CF127" s="207"/>
      <c r="CG127" s="207"/>
      <c r="CH127" s="207"/>
      <c r="CI127" s="207"/>
      <c r="CJ127" s="207"/>
      <c r="CK127" s="207"/>
      <c r="CL127" s="207"/>
      <c r="CM127" s="207"/>
      <c r="CN127" s="207"/>
      <c r="CO127" s="207"/>
      <c r="CP127" s="207"/>
      <c r="CQ127" s="207"/>
      <c r="CR127" s="207"/>
      <c r="CS127" s="207"/>
      <c r="CT127" s="207"/>
      <c r="CU127" s="207"/>
      <c r="CV127" s="207"/>
      <c r="CW127" s="207"/>
      <c r="CX127" s="207"/>
      <c r="CY127" s="207"/>
      <c r="CZ127" s="207"/>
      <c r="DA127" s="207"/>
      <c r="DB127" s="207"/>
      <c r="DC127" s="207"/>
      <c r="DD127" s="207"/>
    </row>
    <row r="128">
      <c r="A128" s="204"/>
      <c r="B128" s="205"/>
      <c r="C128" s="204"/>
      <c r="D128" s="206"/>
      <c r="E128" s="207"/>
      <c r="F128" s="207"/>
      <c r="G128" s="207"/>
      <c r="H128" s="208"/>
      <c r="I128" s="208"/>
      <c r="J128" s="208"/>
      <c r="K128" s="208"/>
      <c r="L128" s="208"/>
      <c r="M128" s="208"/>
      <c r="N128" s="208"/>
      <c r="O128" s="208"/>
      <c r="P128" s="208"/>
      <c r="Q128" s="208"/>
      <c r="R128" s="208"/>
      <c r="S128" s="208"/>
      <c r="T128" s="207"/>
      <c r="U128" s="207"/>
      <c r="V128" s="207"/>
      <c r="W128" s="207"/>
      <c r="X128" s="207"/>
      <c r="Y128" s="207"/>
      <c r="Z128" s="209"/>
      <c r="AA128" s="209"/>
      <c r="AB128" s="209"/>
      <c r="AC128" s="209"/>
      <c r="AD128" s="209"/>
      <c r="AE128" s="209"/>
      <c r="AF128" s="209"/>
      <c r="AG128" s="209"/>
      <c r="AH128" s="209"/>
      <c r="AI128" s="209"/>
      <c r="AJ128" s="209"/>
      <c r="AK128" s="209"/>
      <c r="AL128" s="209"/>
      <c r="AM128" s="209"/>
      <c r="AN128" s="207"/>
      <c r="AO128" s="207"/>
      <c r="AP128" s="207"/>
      <c r="AQ128" s="207"/>
      <c r="AR128" s="207"/>
      <c r="AS128" s="207"/>
      <c r="AT128" s="207"/>
      <c r="AU128" s="207"/>
      <c r="AV128" s="207"/>
      <c r="AW128" s="207"/>
      <c r="AX128" s="207"/>
      <c r="AY128" s="207"/>
      <c r="AZ128" s="207"/>
      <c r="BA128" s="207"/>
      <c r="BB128" s="207"/>
      <c r="BC128" s="207"/>
      <c r="BD128" s="207"/>
      <c r="BE128" s="207"/>
      <c r="BF128" s="207"/>
      <c r="BG128" s="207"/>
      <c r="BH128" s="207"/>
      <c r="BI128" s="207"/>
      <c r="BJ128" s="207"/>
      <c r="BK128" s="207"/>
      <c r="BL128" s="207"/>
      <c r="BM128" s="207"/>
      <c r="BN128" s="207"/>
      <c r="BO128" s="207"/>
      <c r="BP128" s="207"/>
      <c r="BQ128" s="207"/>
      <c r="BR128" s="207"/>
      <c r="BS128" s="207"/>
      <c r="BT128" s="207"/>
      <c r="BU128" s="207"/>
      <c r="BV128" s="207"/>
      <c r="BW128" s="207"/>
      <c r="BX128" s="207"/>
      <c r="BY128" s="207"/>
      <c r="BZ128" s="207"/>
      <c r="CA128" s="207"/>
      <c r="CB128" s="207"/>
      <c r="CC128" s="207"/>
      <c r="CD128" s="207"/>
      <c r="CE128" s="207"/>
      <c r="CF128" s="207"/>
      <c r="CG128" s="207"/>
      <c r="CH128" s="207"/>
      <c r="CI128" s="207"/>
      <c r="CJ128" s="207"/>
      <c r="CK128" s="207"/>
      <c r="CL128" s="207"/>
      <c r="CM128" s="207"/>
      <c r="CN128" s="207"/>
      <c r="CO128" s="207"/>
      <c r="CP128" s="207"/>
      <c r="CQ128" s="207"/>
      <c r="CR128" s="207"/>
      <c r="CS128" s="207"/>
      <c r="CT128" s="207"/>
      <c r="CU128" s="207"/>
      <c r="CV128" s="207"/>
      <c r="CW128" s="207"/>
      <c r="CX128" s="207"/>
      <c r="CY128" s="207"/>
      <c r="CZ128" s="207"/>
      <c r="DA128" s="207"/>
      <c r="DB128" s="207"/>
      <c r="DC128" s="207"/>
      <c r="DD128" s="207"/>
    </row>
    <row r="129">
      <c r="A129" s="204"/>
      <c r="B129" s="205"/>
      <c r="C129" s="204"/>
      <c r="D129" s="206"/>
      <c r="E129" s="207"/>
      <c r="F129" s="207"/>
      <c r="G129" s="207"/>
      <c r="H129" s="208"/>
      <c r="I129" s="208"/>
      <c r="J129" s="208"/>
      <c r="K129" s="208"/>
      <c r="L129" s="208"/>
      <c r="M129" s="208"/>
      <c r="N129" s="208"/>
      <c r="O129" s="208"/>
      <c r="P129" s="208"/>
      <c r="Q129" s="208"/>
      <c r="R129" s="208"/>
      <c r="S129" s="208"/>
      <c r="T129" s="207"/>
      <c r="U129" s="207"/>
      <c r="V129" s="207"/>
      <c r="W129" s="207"/>
      <c r="X129" s="207"/>
      <c r="Y129" s="207"/>
      <c r="Z129" s="209"/>
      <c r="AA129" s="209"/>
      <c r="AB129" s="209"/>
      <c r="AC129" s="209"/>
      <c r="AD129" s="209"/>
      <c r="AE129" s="209"/>
      <c r="AF129" s="209"/>
      <c r="AG129" s="209"/>
      <c r="AH129" s="209"/>
      <c r="AI129" s="209"/>
      <c r="AJ129" s="209"/>
      <c r="AK129" s="209"/>
      <c r="AL129" s="209"/>
      <c r="AM129" s="209"/>
      <c r="AN129" s="207"/>
      <c r="AO129" s="207"/>
      <c r="AP129" s="207"/>
      <c r="AQ129" s="207"/>
      <c r="AR129" s="207"/>
      <c r="AS129" s="207"/>
      <c r="AT129" s="207"/>
      <c r="AU129" s="207"/>
      <c r="AV129" s="207"/>
      <c r="AW129" s="207"/>
      <c r="AX129" s="207"/>
      <c r="AY129" s="207"/>
      <c r="AZ129" s="207"/>
      <c r="BA129" s="207"/>
      <c r="BB129" s="207"/>
      <c r="BC129" s="207"/>
      <c r="BD129" s="207"/>
      <c r="BE129" s="207"/>
      <c r="BF129" s="207"/>
      <c r="BG129" s="207"/>
      <c r="BH129" s="207"/>
      <c r="BI129" s="207"/>
      <c r="BJ129" s="207"/>
      <c r="BK129" s="207"/>
      <c r="BL129" s="207"/>
      <c r="BM129" s="207"/>
      <c r="BN129" s="207"/>
      <c r="BO129" s="207"/>
      <c r="BP129" s="207"/>
      <c r="BQ129" s="207"/>
      <c r="BR129" s="207"/>
      <c r="BS129" s="207"/>
      <c r="BT129" s="207"/>
      <c r="BU129" s="207"/>
      <c r="BV129" s="207"/>
      <c r="BW129" s="207"/>
      <c r="BX129" s="207"/>
      <c r="BY129" s="207"/>
      <c r="BZ129" s="207"/>
      <c r="CA129" s="207"/>
      <c r="CB129" s="207"/>
      <c r="CC129" s="207"/>
      <c r="CD129" s="207"/>
      <c r="CE129" s="207"/>
      <c r="CF129" s="207"/>
      <c r="CG129" s="207"/>
      <c r="CH129" s="207"/>
      <c r="CI129" s="207"/>
      <c r="CJ129" s="207"/>
      <c r="CK129" s="207"/>
      <c r="CL129" s="207"/>
      <c r="CM129" s="207"/>
      <c r="CN129" s="207"/>
      <c r="CO129" s="207"/>
      <c r="CP129" s="207"/>
      <c r="CQ129" s="207"/>
      <c r="CR129" s="207"/>
      <c r="CS129" s="207"/>
      <c r="CT129" s="207"/>
      <c r="CU129" s="207"/>
      <c r="CV129" s="207"/>
      <c r="CW129" s="207"/>
      <c r="CX129" s="207"/>
      <c r="CY129" s="207"/>
      <c r="CZ129" s="207"/>
      <c r="DA129" s="207"/>
      <c r="DB129" s="207"/>
      <c r="DC129" s="207"/>
      <c r="DD129" s="207"/>
    </row>
    <row r="130">
      <c r="A130" s="204"/>
      <c r="B130" s="205"/>
      <c r="C130" s="204"/>
      <c r="D130" s="206"/>
      <c r="E130" s="207"/>
      <c r="F130" s="207"/>
      <c r="G130" s="207"/>
      <c r="H130" s="208"/>
      <c r="I130" s="208"/>
      <c r="J130" s="208"/>
      <c r="K130" s="208"/>
      <c r="L130" s="208"/>
      <c r="M130" s="208"/>
      <c r="N130" s="208"/>
      <c r="O130" s="208"/>
      <c r="P130" s="208"/>
      <c r="Q130" s="208"/>
      <c r="R130" s="208"/>
      <c r="S130" s="208"/>
      <c r="T130" s="207"/>
      <c r="U130" s="207"/>
      <c r="V130" s="207"/>
      <c r="W130" s="207"/>
      <c r="X130" s="207"/>
      <c r="Y130" s="207"/>
      <c r="Z130" s="209"/>
      <c r="AA130" s="209"/>
      <c r="AB130" s="209"/>
      <c r="AC130" s="209"/>
      <c r="AD130" s="209"/>
      <c r="AE130" s="209"/>
      <c r="AF130" s="209"/>
      <c r="AG130" s="209"/>
      <c r="AH130" s="209"/>
      <c r="AI130" s="209"/>
      <c r="AJ130" s="209"/>
      <c r="AK130" s="209"/>
      <c r="AL130" s="209"/>
      <c r="AM130" s="209"/>
      <c r="AN130" s="207"/>
      <c r="AO130" s="207"/>
      <c r="AP130" s="207"/>
      <c r="AQ130" s="207"/>
      <c r="AR130" s="207"/>
      <c r="AS130" s="207"/>
      <c r="AT130" s="207"/>
      <c r="AU130" s="207"/>
      <c r="AV130" s="207"/>
      <c r="AW130" s="207"/>
      <c r="AX130" s="207"/>
      <c r="AY130" s="207"/>
      <c r="AZ130" s="207"/>
      <c r="BA130" s="207"/>
      <c r="BB130" s="207"/>
      <c r="BC130" s="207"/>
      <c r="BD130" s="207"/>
      <c r="BE130" s="207"/>
      <c r="BF130" s="207"/>
      <c r="BG130" s="207"/>
      <c r="BH130" s="207"/>
      <c r="BI130" s="207"/>
      <c r="BJ130" s="207"/>
      <c r="BK130" s="207"/>
      <c r="BL130" s="207"/>
      <c r="BM130" s="207"/>
      <c r="BN130" s="207"/>
      <c r="BO130" s="207"/>
      <c r="BP130" s="207"/>
      <c r="BQ130" s="207"/>
      <c r="BR130" s="207"/>
      <c r="BS130" s="207"/>
      <c r="BT130" s="207"/>
      <c r="BU130" s="207"/>
      <c r="BV130" s="207"/>
      <c r="BW130" s="207"/>
      <c r="BX130" s="207"/>
      <c r="BY130" s="207"/>
      <c r="BZ130" s="207"/>
      <c r="CA130" s="207"/>
      <c r="CB130" s="207"/>
      <c r="CC130" s="207"/>
      <c r="CD130" s="207"/>
      <c r="CE130" s="207"/>
      <c r="CF130" s="207"/>
      <c r="CG130" s="207"/>
      <c r="CH130" s="207"/>
      <c r="CI130" s="207"/>
      <c r="CJ130" s="207"/>
      <c r="CK130" s="207"/>
      <c r="CL130" s="207"/>
      <c r="CM130" s="207"/>
      <c r="CN130" s="207"/>
      <c r="CO130" s="207"/>
      <c r="CP130" s="207"/>
      <c r="CQ130" s="207"/>
      <c r="CR130" s="207"/>
      <c r="CS130" s="207"/>
      <c r="CT130" s="207"/>
      <c r="CU130" s="207"/>
      <c r="CV130" s="207"/>
      <c r="CW130" s="207"/>
      <c r="CX130" s="207"/>
      <c r="CY130" s="207"/>
      <c r="CZ130" s="207"/>
      <c r="DA130" s="207"/>
      <c r="DB130" s="207"/>
      <c r="DC130" s="207"/>
      <c r="DD130" s="207"/>
    </row>
    <row r="131">
      <c r="A131" s="204"/>
      <c r="B131" s="205"/>
      <c r="C131" s="204"/>
      <c r="D131" s="206"/>
      <c r="E131" s="207"/>
      <c r="F131" s="207"/>
      <c r="G131" s="207"/>
      <c r="H131" s="208"/>
      <c r="I131" s="208"/>
      <c r="J131" s="208"/>
      <c r="K131" s="208"/>
      <c r="L131" s="208"/>
      <c r="M131" s="208"/>
      <c r="N131" s="208"/>
      <c r="O131" s="208"/>
      <c r="P131" s="208"/>
      <c r="Q131" s="208"/>
      <c r="R131" s="208"/>
      <c r="S131" s="208"/>
      <c r="T131" s="207"/>
      <c r="U131" s="207"/>
      <c r="V131" s="207"/>
      <c r="W131" s="207"/>
      <c r="X131" s="207"/>
      <c r="Y131" s="207"/>
      <c r="Z131" s="209"/>
      <c r="AA131" s="209"/>
      <c r="AB131" s="209"/>
      <c r="AC131" s="209"/>
      <c r="AD131" s="209"/>
      <c r="AE131" s="209"/>
      <c r="AF131" s="209"/>
      <c r="AG131" s="209"/>
      <c r="AH131" s="209"/>
      <c r="AI131" s="209"/>
      <c r="AJ131" s="209"/>
      <c r="AK131" s="209"/>
      <c r="AL131" s="209"/>
      <c r="AM131" s="209"/>
      <c r="AN131" s="207"/>
      <c r="AO131" s="207"/>
      <c r="AP131" s="207"/>
      <c r="AQ131" s="207"/>
      <c r="AR131" s="207"/>
      <c r="AS131" s="207"/>
      <c r="AT131" s="207"/>
      <c r="AU131" s="207"/>
      <c r="AV131" s="207"/>
      <c r="AW131" s="207"/>
      <c r="AX131" s="207"/>
      <c r="AY131" s="207"/>
      <c r="AZ131" s="207"/>
      <c r="BA131" s="207"/>
      <c r="BB131" s="207"/>
      <c r="BC131" s="207"/>
      <c r="BD131" s="207"/>
      <c r="BE131" s="207"/>
      <c r="BF131" s="207"/>
      <c r="BG131" s="207"/>
      <c r="BH131" s="207"/>
      <c r="BI131" s="207"/>
      <c r="BJ131" s="207"/>
      <c r="BK131" s="207"/>
      <c r="BL131" s="207"/>
      <c r="BM131" s="207"/>
      <c r="BN131" s="207"/>
      <c r="BO131" s="207"/>
      <c r="BP131" s="207"/>
      <c r="BQ131" s="207"/>
      <c r="BR131" s="207"/>
      <c r="BS131" s="207"/>
      <c r="BT131" s="207"/>
      <c r="BU131" s="207"/>
      <c r="BV131" s="207"/>
      <c r="BW131" s="207"/>
      <c r="BX131" s="207"/>
      <c r="BY131" s="207"/>
      <c r="BZ131" s="207"/>
      <c r="CA131" s="207"/>
      <c r="CB131" s="207"/>
      <c r="CC131" s="207"/>
      <c r="CD131" s="207"/>
      <c r="CE131" s="207"/>
      <c r="CF131" s="207"/>
      <c r="CG131" s="207"/>
      <c r="CH131" s="207"/>
      <c r="CI131" s="207"/>
      <c r="CJ131" s="207"/>
      <c r="CK131" s="207"/>
      <c r="CL131" s="207"/>
      <c r="CM131" s="207"/>
      <c r="CN131" s="207"/>
      <c r="CO131" s="207"/>
      <c r="CP131" s="207"/>
      <c r="CQ131" s="207"/>
      <c r="CR131" s="207"/>
      <c r="CS131" s="207"/>
      <c r="CT131" s="207"/>
      <c r="CU131" s="207"/>
      <c r="CV131" s="207"/>
      <c r="CW131" s="207"/>
      <c r="CX131" s="207"/>
      <c r="CY131" s="207"/>
      <c r="CZ131" s="207"/>
      <c r="DA131" s="207"/>
      <c r="DB131" s="207"/>
      <c r="DC131" s="207"/>
      <c r="DD131" s="207"/>
    </row>
    <row r="132">
      <c r="A132" s="204"/>
      <c r="B132" s="205"/>
      <c r="C132" s="204"/>
      <c r="D132" s="206"/>
      <c r="E132" s="207"/>
      <c r="F132" s="207"/>
      <c r="G132" s="207"/>
      <c r="H132" s="208"/>
      <c r="I132" s="208"/>
      <c r="J132" s="208"/>
      <c r="K132" s="208"/>
      <c r="L132" s="208"/>
      <c r="M132" s="208"/>
      <c r="N132" s="208"/>
      <c r="O132" s="208"/>
      <c r="P132" s="208"/>
      <c r="Q132" s="208"/>
      <c r="R132" s="208"/>
      <c r="S132" s="208"/>
      <c r="T132" s="207"/>
      <c r="U132" s="207"/>
      <c r="V132" s="207"/>
      <c r="W132" s="207"/>
      <c r="X132" s="207"/>
      <c r="Y132" s="207"/>
      <c r="Z132" s="209"/>
      <c r="AA132" s="209"/>
      <c r="AB132" s="209"/>
      <c r="AC132" s="209"/>
      <c r="AD132" s="209"/>
      <c r="AE132" s="209"/>
      <c r="AF132" s="209"/>
      <c r="AG132" s="209"/>
      <c r="AH132" s="209"/>
      <c r="AI132" s="209"/>
      <c r="AJ132" s="209"/>
      <c r="AK132" s="209"/>
      <c r="AL132" s="209"/>
      <c r="AM132" s="209"/>
      <c r="AN132" s="207"/>
      <c r="AO132" s="207"/>
      <c r="AP132" s="207"/>
      <c r="AQ132" s="207"/>
      <c r="AR132" s="207"/>
      <c r="AS132" s="207"/>
      <c r="AT132" s="207"/>
      <c r="AU132" s="207"/>
      <c r="AV132" s="207"/>
      <c r="AW132" s="207"/>
      <c r="AX132" s="207"/>
      <c r="AY132" s="207"/>
      <c r="AZ132" s="207"/>
      <c r="BA132" s="207"/>
      <c r="BB132" s="207"/>
      <c r="BC132" s="207"/>
      <c r="BD132" s="207"/>
      <c r="BE132" s="207"/>
      <c r="BF132" s="207"/>
      <c r="BG132" s="207"/>
      <c r="BH132" s="207"/>
      <c r="BI132" s="207"/>
      <c r="BJ132" s="207"/>
      <c r="BK132" s="207"/>
      <c r="BL132" s="207"/>
      <c r="BM132" s="207"/>
      <c r="BN132" s="207"/>
      <c r="BO132" s="207"/>
      <c r="BP132" s="207"/>
      <c r="BQ132" s="207"/>
      <c r="BR132" s="207"/>
      <c r="BS132" s="207"/>
      <c r="BT132" s="207"/>
      <c r="BU132" s="207"/>
      <c r="BV132" s="207"/>
      <c r="BW132" s="207"/>
      <c r="BX132" s="207"/>
      <c r="BY132" s="207"/>
      <c r="BZ132" s="207"/>
      <c r="CA132" s="207"/>
      <c r="CB132" s="207"/>
      <c r="CC132" s="207"/>
      <c r="CD132" s="207"/>
      <c r="CE132" s="207"/>
      <c r="CF132" s="207"/>
      <c r="CG132" s="207"/>
      <c r="CH132" s="207"/>
      <c r="CI132" s="207"/>
      <c r="CJ132" s="207"/>
      <c r="CK132" s="207"/>
      <c r="CL132" s="207"/>
      <c r="CM132" s="207"/>
      <c r="CN132" s="207"/>
      <c r="CO132" s="207"/>
      <c r="CP132" s="207"/>
      <c r="CQ132" s="207"/>
      <c r="CR132" s="207"/>
      <c r="CS132" s="207"/>
      <c r="CT132" s="207"/>
      <c r="CU132" s="207"/>
      <c r="CV132" s="207"/>
      <c r="CW132" s="207"/>
      <c r="CX132" s="207"/>
      <c r="CY132" s="207"/>
      <c r="CZ132" s="207"/>
      <c r="DA132" s="207"/>
      <c r="DB132" s="207"/>
      <c r="DC132" s="207"/>
      <c r="DD132" s="207"/>
    </row>
    <row r="133">
      <c r="A133" s="204"/>
      <c r="B133" s="205"/>
      <c r="C133" s="204"/>
      <c r="D133" s="206"/>
      <c r="E133" s="207"/>
      <c r="F133" s="207"/>
      <c r="G133" s="207"/>
      <c r="H133" s="208"/>
      <c r="I133" s="208"/>
      <c r="J133" s="208"/>
      <c r="K133" s="208"/>
      <c r="L133" s="208"/>
      <c r="M133" s="208"/>
      <c r="N133" s="208"/>
      <c r="O133" s="208"/>
      <c r="P133" s="208"/>
      <c r="Q133" s="208"/>
      <c r="R133" s="208"/>
      <c r="S133" s="208"/>
      <c r="T133" s="207"/>
      <c r="U133" s="207"/>
      <c r="V133" s="207"/>
      <c r="W133" s="207"/>
      <c r="X133" s="207"/>
      <c r="Y133" s="207"/>
      <c r="Z133" s="209"/>
      <c r="AA133" s="209"/>
      <c r="AB133" s="209"/>
      <c r="AC133" s="209"/>
      <c r="AD133" s="209"/>
      <c r="AE133" s="209"/>
      <c r="AF133" s="209"/>
      <c r="AG133" s="209"/>
      <c r="AH133" s="209"/>
      <c r="AI133" s="209"/>
      <c r="AJ133" s="209"/>
      <c r="AK133" s="209"/>
      <c r="AL133" s="209"/>
      <c r="AM133" s="209"/>
      <c r="AN133" s="207"/>
      <c r="AO133" s="207"/>
      <c r="AP133" s="207"/>
      <c r="AQ133" s="207"/>
      <c r="AR133" s="207"/>
      <c r="AS133" s="207"/>
      <c r="AT133" s="207"/>
      <c r="AU133" s="207"/>
      <c r="AV133" s="207"/>
      <c r="AW133" s="207"/>
      <c r="AX133" s="207"/>
      <c r="AY133" s="207"/>
      <c r="AZ133" s="207"/>
      <c r="BA133" s="207"/>
      <c r="BB133" s="207"/>
      <c r="BC133" s="207"/>
      <c r="BD133" s="207"/>
      <c r="BE133" s="207"/>
      <c r="BF133" s="207"/>
      <c r="BG133" s="207"/>
      <c r="BH133" s="207"/>
      <c r="BI133" s="207"/>
      <c r="BJ133" s="207"/>
      <c r="BK133" s="207"/>
      <c r="BL133" s="207"/>
      <c r="BM133" s="207"/>
      <c r="BN133" s="207"/>
      <c r="BO133" s="207"/>
      <c r="BP133" s="207"/>
      <c r="BQ133" s="207"/>
      <c r="BR133" s="207"/>
      <c r="BS133" s="207"/>
      <c r="BT133" s="207"/>
      <c r="BU133" s="207"/>
      <c r="BV133" s="207"/>
      <c r="BW133" s="207"/>
      <c r="BX133" s="207"/>
      <c r="BY133" s="207"/>
      <c r="BZ133" s="207"/>
      <c r="CA133" s="207"/>
      <c r="CB133" s="207"/>
      <c r="CC133" s="207"/>
      <c r="CD133" s="207"/>
      <c r="CE133" s="207"/>
      <c r="CF133" s="207"/>
      <c r="CG133" s="207"/>
      <c r="CH133" s="207"/>
      <c r="CI133" s="207"/>
      <c r="CJ133" s="207"/>
      <c r="CK133" s="207"/>
      <c r="CL133" s="207"/>
      <c r="CM133" s="207"/>
      <c r="CN133" s="207"/>
      <c r="CO133" s="207"/>
      <c r="CP133" s="207"/>
      <c r="CQ133" s="207"/>
      <c r="CR133" s="207"/>
      <c r="CS133" s="207"/>
      <c r="CT133" s="207"/>
      <c r="CU133" s="207"/>
      <c r="CV133" s="207"/>
      <c r="CW133" s="207"/>
      <c r="CX133" s="207"/>
      <c r="CY133" s="207"/>
      <c r="CZ133" s="207"/>
      <c r="DA133" s="207"/>
      <c r="DB133" s="207"/>
      <c r="DC133" s="207"/>
      <c r="DD133" s="207"/>
    </row>
    <row r="134">
      <c r="A134" s="204"/>
      <c r="B134" s="205"/>
      <c r="C134" s="204"/>
      <c r="D134" s="206"/>
      <c r="E134" s="207"/>
      <c r="F134" s="207"/>
      <c r="G134" s="207"/>
      <c r="H134" s="208"/>
      <c r="I134" s="208"/>
      <c r="J134" s="208"/>
      <c r="K134" s="208"/>
      <c r="L134" s="208"/>
      <c r="M134" s="208"/>
      <c r="N134" s="208"/>
      <c r="O134" s="208"/>
      <c r="P134" s="208"/>
      <c r="Q134" s="208"/>
      <c r="R134" s="208"/>
      <c r="S134" s="208"/>
      <c r="T134" s="207"/>
      <c r="U134" s="207"/>
      <c r="V134" s="207"/>
      <c r="W134" s="207"/>
      <c r="X134" s="207"/>
      <c r="Y134" s="207"/>
      <c r="Z134" s="209"/>
      <c r="AA134" s="209"/>
      <c r="AB134" s="209"/>
      <c r="AC134" s="209"/>
      <c r="AD134" s="209"/>
      <c r="AE134" s="209"/>
      <c r="AF134" s="209"/>
      <c r="AG134" s="209"/>
      <c r="AH134" s="209"/>
      <c r="AI134" s="209"/>
      <c r="AJ134" s="209"/>
      <c r="AK134" s="209"/>
      <c r="AL134" s="209"/>
      <c r="AM134" s="209"/>
      <c r="AN134" s="207"/>
      <c r="AO134" s="207"/>
      <c r="AP134" s="207"/>
      <c r="AQ134" s="207"/>
      <c r="AR134" s="207"/>
      <c r="AS134" s="207"/>
      <c r="AT134" s="207"/>
      <c r="AU134" s="207"/>
      <c r="AV134" s="207"/>
      <c r="AW134" s="207"/>
      <c r="AX134" s="207"/>
      <c r="AY134" s="207"/>
      <c r="AZ134" s="207"/>
      <c r="BA134" s="207"/>
      <c r="BB134" s="207"/>
      <c r="BC134" s="207"/>
      <c r="BD134" s="207"/>
      <c r="BE134" s="207"/>
      <c r="BF134" s="207"/>
      <c r="BG134" s="207"/>
      <c r="BH134" s="207"/>
      <c r="BI134" s="207"/>
      <c r="BJ134" s="207"/>
      <c r="BK134" s="207"/>
      <c r="BL134" s="207"/>
      <c r="BM134" s="207"/>
      <c r="BN134" s="207"/>
      <c r="BO134" s="207"/>
      <c r="BP134" s="207"/>
      <c r="BQ134" s="207"/>
      <c r="BR134" s="207"/>
      <c r="BS134" s="207"/>
      <c r="BT134" s="207"/>
      <c r="BU134" s="207"/>
      <c r="BV134" s="207"/>
      <c r="BW134" s="207"/>
      <c r="BX134" s="207"/>
      <c r="BY134" s="207"/>
      <c r="BZ134" s="207"/>
      <c r="CA134" s="207"/>
      <c r="CB134" s="207"/>
      <c r="CC134" s="207"/>
      <c r="CD134" s="207"/>
      <c r="CE134" s="207"/>
      <c r="CF134" s="207"/>
      <c r="CG134" s="207"/>
      <c r="CH134" s="207"/>
      <c r="CI134" s="207"/>
      <c r="CJ134" s="207"/>
      <c r="CK134" s="207"/>
      <c r="CL134" s="207"/>
      <c r="CM134" s="207"/>
      <c r="CN134" s="207"/>
      <c r="CO134" s="207"/>
      <c r="CP134" s="207"/>
      <c r="CQ134" s="207"/>
      <c r="CR134" s="207"/>
      <c r="CS134" s="207"/>
      <c r="CT134" s="207"/>
      <c r="CU134" s="207"/>
      <c r="CV134" s="207"/>
      <c r="CW134" s="207"/>
      <c r="CX134" s="207"/>
      <c r="CY134" s="207"/>
      <c r="CZ134" s="207"/>
      <c r="DA134" s="207"/>
      <c r="DB134" s="207"/>
      <c r="DC134" s="207"/>
      <c r="DD134" s="207"/>
    </row>
    <row r="135">
      <c r="A135" s="204"/>
      <c r="B135" s="205"/>
      <c r="C135" s="204"/>
      <c r="D135" s="206"/>
      <c r="E135" s="207"/>
      <c r="F135" s="207"/>
      <c r="G135" s="207"/>
      <c r="H135" s="208"/>
      <c r="I135" s="208"/>
      <c r="J135" s="208"/>
      <c r="K135" s="208"/>
      <c r="L135" s="208"/>
      <c r="M135" s="208"/>
      <c r="N135" s="208"/>
      <c r="O135" s="208"/>
      <c r="P135" s="208"/>
      <c r="Q135" s="208"/>
      <c r="R135" s="208"/>
      <c r="S135" s="208"/>
      <c r="T135" s="207"/>
      <c r="U135" s="207"/>
      <c r="V135" s="207"/>
      <c r="W135" s="207"/>
      <c r="X135" s="207"/>
      <c r="Y135" s="207"/>
      <c r="Z135" s="209"/>
      <c r="AA135" s="209"/>
      <c r="AB135" s="209"/>
      <c r="AC135" s="209"/>
      <c r="AD135" s="209"/>
      <c r="AE135" s="209"/>
      <c r="AF135" s="209"/>
      <c r="AG135" s="209"/>
      <c r="AH135" s="209"/>
      <c r="AI135" s="209"/>
      <c r="AJ135" s="209"/>
      <c r="AK135" s="209"/>
      <c r="AL135" s="209"/>
      <c r="AM135" s="209"/>
      <c r="AN135" s="207"/>
      <c r="AO135" s="207"/>
      <c r="AP135" s="207"/>
      <c r="AQ135" s="207"/>
      <c r="AR135" s="207"/>
      <c r="AS135" s="207"/>
      <c r="AT135" s="207"/>
      <c r="AU135" s="207"/>
      <c r="AV135" s="207"/>
      <c r="AW135" s="207"/>
      <c r="AX135" s="207"/>
      <c r="AY135" s="207"/>
      <c r="AZ135" s="207"/>
      <c r="BA135" s="207"/>
      <c r="BB135" s="207"/>
      <c r="BC135" s="207"/>
      <c r="BD135" s="207"/>
      <c r="BE135" s="207"/>
      <c r="BF135" s="207"/>
      <c r="BG135" s="207"/>
      <c r="BH135" s="207"/>
      <c r="BI135" s="207"/>
      <c r="BJ135" s="207"/>
      <c r="BK135" s="207"/>
      <c r="BL135" s="207"/>
      <c r="BM135" s="207"/>
      <c r="BN135" s="207"/>
      <c r="BO135" s="207"/>
      <c r="BP135" s="207"/>
      <c r="BQ135" s="207"/>
      <c r="BR135" s="207"/>
      <c r="BS135" s="207"/>
      <c r="BT135" s="207"/>
      <c r="BU135" s="207"/>
      <c r="BV135" s="207"/>
      <c r="BW135" s="207"/>
      <c r="BX135" s="207"/>
      <c r="BY135" s="207"/>
      <c r="BZ135" s="207"/>
      <c r="CA135" s="207"/>
      <c r="CB135" s="207"/>
      <c r="CC135" s="207"/>
      <c r="CD135" s="207"/>
      <c r="CE135" s="207"/>
      <c r="CF135" s="207"/>
      <c r="CG135" s="207"/>
      <c r="CH135" s="207"/>
      <c r="CI135" s="207"/>
      <c r="CJ135" s="207"/>
      <c r="CK135" s="207"/>
      <c r="CL135" s="207"/>
      <c r="CM135" s="207"/>
      <c r="CN135" s="207"/>
      <c r="CO135" s="207"/>
      <c r="CP135" s="207"/>
      <c r="CQ135" s="207"/>
      <c r="CR135" s="207"/>
      <c r="CS135" s="207"/>
      <c r="CT135" s="207"/>
      <c r="CU135" s="207"/>
      <c r="CV135" s="207"/>
      <c r="CW135" s="207"/>
      <c r="CX135" s="207"/>
      <c r="CY135" s="207"/>
      <c r="CZ135" s="207"/>
      <c r="DA135" s="207"/>
      <c r="DB135" s="207"/>
      <c r="DC135" s="207"/>
      <c r="DD135" s="207"/>
    </row>
    <row r="136">
      <c r="A136" s="204"/>
      <c r="B136" s="205"/>
      <c r="C136" s="204"/>
      <c r="D136" s="206"/>
      <c r="E136" s="207"/>
      <c r="F136" s="207"/>
      <c r="G136" s="207"/>
      <c r="H136" s="208"/>
      <c r="I136" s="208"/>
      <c r="J136" s="208"/>
      <c r="K136" s="208"/>
      <c r="L136" s="208"/>
      <c r="M136" s="208"/>
      <c r="N136" s="208"/>
      <c r="O136" s="208"/>
      <c r="P136" s="208"/>
      <c r="Q136" s="208"/>
      <c r="R136" s="208"/>
      <c r="S136" s="208"/>
      <c r="T136" s="207"/>
      <c r="U136" s="207"/>
      <c r="V136" s="207"/>
      <c r="W136" s="207"/>
      <c r="X136" s="207"/>
      <c r="Y136" s="207"/>
      <c r="Z136" s="209"/>
      <c r="AA136" s="209"/>
      <c r="AB136" s="209"/>
      <c r="AC136" s="209"/>
      <c r="AD136" s="209"/>
      <c r="AE136" s="209"/>
      <c r="AF136" s="209"/>
      <c r="AG136" s="209"/>
      <c r="AH136" s="209"/>
      <c r="AI136" s="209"/>
      <c r="AJ136" s="209"/>
      <c r="AK136" s="209"/>
      <c r="AL136" s="209"/>
      <c r="AM136" s="209"/>
      <c r="AN136" s="207"/>
      <c r="AO136" s="207"/>
      <c r="AP136" s="207"/>
      <c r="AQ136" s="207"/>
      <c r="AR136" s="207"/>
      <c r="AS136" s="207"/>
      <c r="AT136" s="207"/>
      <c r="AU136" s="207"/>
      <c r="AV136" s="207"/>
      <c r="AW136" s="207"/>
      <c r="AX136" s="207"/>
      <c r="AY136" s="207"/>
      <c r="AZ136" s="207"/>
      <c r="BA136" s="207"/>
      <c r="BB136" s="207"/>
      <c r="BC136" s="207"/>
      <c r="BD136" s="207"/>
      <c r="BE136" s="207"/>
      <c r="BF136" s="207"/>
      <c r="BG136" s="207"/>
      <c r="BH136" s="207"/>
      <c r="BI136" s="207"/>
      <c r="BJ136" s="207"/>
      <c r="BK136" s="207"/>
      <c r="BL136" s="207"/>
      <c r="BM136" s="207"/>
      <c r="BN136" s="207"/>
      <c r="BO136" s="207"/>
      <c r="BP136" s="207"/>
      <c r="BQ136" s="207"/>
      <c r="BR136" s="207"/>
      <c r="BS136" s="207"/>
      <c r="BT136" s="207"/>
      <c r="BU136" s="207"/>
      <c r="BV136" s="207"/>
      <c r="BW136" s="207"/>
      <c r="BX136" s="207"/>
      <c r="BY136" s="207"/>
      <c r="BZ136" s="207"/>
      <c r="CA136" s="207"/>
      <c r="CB136" s="207"/>
      <c r="CC136" s="207"/>
      <c r="CD136" s="207"/>
      <c r="CE136" s="207"/>
      <c r="CF136" s="207"/>
      <c r="CG136" s="207"/>
      <c r="CH136" s="207"/>
      <c r="CI136" s="207"/>
      <c r="CJ136" s="207"/>
      <c r="CK136" s="207"/>
      <c r="CL136" s="207"/>
      <c r="CM136" s="207"/>
      <c r="CN136" s="207"/>
      <c r="CO136" s="207"/>
      <c r="CP136" s="207"/>
      <c r="CQ136" s="207"/>
      <c r="CR136" s="207"/>
      <c r="CS136" s="207"/>
      <c r="CT136" s="207"/>
      <c r="CU136" s="207"/>
      <c r="CV136" s="207"/>
      <c r="CW136" s="207"/>
      <c r="CX136" s="207"/>
      <c r="CY136" s="207"/>
      <c r="CZ136" s="207"/>
      <c r="DA136" s="207"/>
      <c r="DB136" s="207"/>
      <c r="DC136" s="207"/>
      <c r="DD136" s="207"/>
    </row>
    <row r="137">
      <c r="A137" s="204"/>
      <c r="B137" s="205"/>
      <c r="C137" s="204"/>
      <c r="D137" s="206"/>
      <c r="E137" s="207"/>
      <c r="F137" s="207"/>
      <c r="G137" s="207"/>
      <c r="H137" s="208"/>
      <c r="I137" s="208"/>
      <c r="J137" s="208"/>
      <c r="K137" s="208"/>
      <c r="L137" s="208"/>
      <c r="M137" s="208"/>
      <c r="N137" s="208"/>
      <c r="O137" s="208"/>
      <c r="P137" s="208"/>
      <c r="Q137" s="208"/>
      <c r="R137" s="208"/>
      <c r="S137" s="208"/>
      <c r="T137" s="207"/>
      <c r="U137" s="207"/>
      <c r="V137" s="207"/>
      <c r="W137" s="207"/>
      <c r="X137" s="207"/>
      <c r="Y137" s="207"/>
      <c r="Z137" s="209"/>
      <c r="AA137" s="209"/>
      <c r="AB137" s="209"/>
      <c r="AC137" s="209"/>
      <c r="AD137" s="209"/>
      <c r="AE137" s="209"/>
      <c r="AF137" s="209"/>
      <c r="AG137" s="209"/>
      <c r="AH137" s="209"/>
      <c r="AI137" s="209"/>
      <c r="AJ137" s="209"/>
      <c r="AK137" s="209"/>
      <c r="AL137" s="209"/>
      <c r="AM137" s="209"/>
      <c r="AN137" s="207"/>
      <c r="AO137" s="207"/>
      <c r="AP137" s="207"/>
      <c r="AQ137" s="207"/>
      <c r="AR137" s="207"/>
      <c r="AS137" s="207"/>
      <c r="AT137" s="207"/>
      <c r="AU137" s="207"/>
      <c r="AV137" s="207"/>
      <c r="AW137" s="207"/>
      <c r="AX137" s="207"/>
      <c r="AY137" s="207"/>
      <c r="AZ137" s="207"/>
      <c r="BA137" s="207"/>
      <c r="BB137" s="207"/>
      <c r="BC137" s="207"/>
      <c r="BD137" s="207"/>
      <c r="BE137" s="207"/>
      <c r="BF137" s="207"/>
      <c r="BG137" s="207"/>
      <c r="BH137" s="207"/>
      <c r="BI137" s="207"/>
      <c r="BJ137" s="207"/>
      <c r="BK137" s="207"/>
      <c r="BL137" s="207"/>
      <c r="BM137" s="207"/>
      <c r="BN137" s="207"/>
      <c r="BO137" s="207"/>
      <c r="BP137" s="207"/>
      <c r="BQ137" s="207"/>
      <c r="BR137" s="207"/>
      <c r="BS137" s="207"/>
      <c r="BT137" s="207"/>
      <c r="BU137" s="207"/>
      <c r="BV137" s="207"/>
      <c r="BW137" s="207"/>
      <c r="BX137" s="207"/>
      <c r="BY137" s="207"/>
      <c r="BZ137" s="207"/>
      <c r="CA137" s="207"/>
      <c r="CB137" s="207"/>
      <c r="CC137" s="207"/>
      <c r="CD137" s="207"/>
      <c r="CE137" s="207"/>
      <c r="CF137" s="207"/>
      <c r="CG137" s="207"/>
      <c r="CH137" s="207"/>
      <c r="CI137" s="207"/>
      <c r="CJ137" s="207"/>
      <c r="CK137" s="207"/>
      <c r="CL137" s="207"/>
      <c r="CM137" s="207"/>
      <c r="CN137" s="207"/>
      <c r="CO137" s="207"/>
      <c r="CP137" s="207"/>
      <c r="CQ137" s="207"/>
      <c r="CR137" s="207"/>
      <c r="CS137" s="207"/>
      <c r="CT137" s="207"/>
      <c r="CU137" s="207"/>
      <c r="CV137" s="207"/>
      <c r="CW137" s="207"/>
      <c r="CX137" s="207"/>
      <c r="CY137" s="207"/>
      <c r="CZ137" s="207"/>
      <c r="DA137" s="207"/>
      <c r="DB137" s="207"/>
      <c r="DC137" s="207"/>
      <c r="DD137" s="207"/>
    </row>
    <row r="138">
      <c r="A138" s="204"/>
      <c r="B138" s="205"/>
      <c r="C138" s="204"/>
      <c r="D138" s="206"/>
      <c r="E138" s="207"/>
      <c r="F138" s="207"/>
      <c r="G138" s="207"/>
      <c r="H138" s="208"/>
      <c r="I138" s="208"/>
      <c r="J138" s="208"/>
      <c r="K138" s="208"/>
      <c r="L138" s="208"/>
      <c r="M138" s="208"/>
      <c r="N138" s="208"/>
      <c r="O138" s="208"/>
      <c r="P138" s="208"/>
      <c r="Q138" s="208"/>
      <c r="R138" s="208"/>
      <c r="S138" s="208"/>
      <c r="T138" s="207"/>
      <c r="U138" s="207"/>
      <c r="V138" s="207"/>
      <c r="W138" s="207"/>
      <c r="X138" s="207"/>
      <c r="Y138" s="207"/>
      <c r="Z138" s="209"/>
      <c r="AA138" s="209"/>
      <c r="AB138" s="209"/>
      <c r="AC138" s="209"/>
      <c r="AD138" s="209"/>
      <c r="AE138" s="209"/>
      <c r="AF138" s="209"/>
      <c r="AG138" s="209"/>
      <c r="AH138" s="209"/>
      <c r="AI138" s="209"/>
      <c r="AJ138" s="209"/>
      <c r="AK138" s="209"/>
      <c r="AL138" s="209"/>
      <c r="AM138" s="209"/>
      <c r="AN138" s="207"/>
      <c r="AO138" s="207"/>
      <c r="AP138" s="207"/>
      <c r="AQ138" s="207"/>
      <c r="AR138" s="207"/>
      <c r="AS138" s="207"/>
      <c r="AT138" s="207"/>
      <c r="AU138" s="207"/>
      <c r="AV138" s="207"/>
      <c r="AW138" s="207"/>
      <c r="AX138" s="207"/>
      <c r="AY138" s="207"/>
      <c r="AZ138" s="207"/>
      <c r="BA138" s="207"/>
      <c r="BB138" s="207"/>
      <c r="BC138" s="207"/>
      <c r="BD138" s="207"/>
      <c r="BE138" s="207"/>
      <c r="BF138" s="207"/>
      <c r="BG138" s="207"/>
      <c r="BH138" s="207"/>
      <c r="BI138" s="207"/>
      <c r="BJ138" s="207"/>
      <c r="BK138" s="207"/>
      <c r="BL138" s="207"/>
      <c r="BM138" s="207"/>
      <c r="BN138" s="207"/>
      <c r="BO138" s="207"/>
      <c r="BP138" s="207"/>
      <c r="BQ138" s="207"/>
      <c r="BR138" s="207"/>
      <c r="BS138" s="207"/>
      <c r="BT138" s="207"/>
      <c r="BU138" s="207"/>
      <c r="BV138" s="207"/>
      <c r="BW138" s="207"/>
      <c r="BX138" s="207"/>
      <c r="BY138" s="207"/>
      <c r="BZ138" s="207"/>
      <c r="CA138" s="207"/>
      <c r="CB138" s="207"/>
      <c r="CC138" s="207"/>
      <c r="CD138" s="207"/>
      <c r="CE138" s="207"/>
      <c r="CF138" s="207"/>
      <c r="CG138" s="207"/>
      <c r="CH138" s="207"/>
      <c r="CI138" s="207"/>
      <c r="CJ138" s="207"/>
      <c r="CK138" s="207"/>
      <c r="CL138" s="207"/>
      <c r="CM138" s="207"/>
      <c r="CN138" s="207"/>
      <c r="CO138" s="207"/>
      <c r="CP138" s="207"/>
      <c r="CQ138" s="207"/>
      <c r="CR138" s="207"/>
      <c r="CS138" s="207"/>
      <c r="CT138" s="207"/>
      <c r="CU138" s="207"/>
      <c r="CV138" s="207"/>
      <c r="CW138" s="207"/>
      <c r="CX138" s="207"/>
      <c r="CY138" s="207"/>
      <c r="CZ138" s="207"/>
      <c r="DA138" s="207"/>
      <c r="DB138" s="207"/>
      <c r="DC138" s="207"/>
      <c r="DD138" s="207"/>
    </row>
    <row r="139">
      <c r="A139" s="204"/>
      <c r="B139" s="205"/>
      <c r="C139" s="204"/>
      <c r="D139" s="206"/>
      <c r="E139" s="207"/>
      <c r="F139" s="207"/>
      <c r="G139" s="207"/>
      <c r="H139" s="208"/>
      <c r="I139" s="208"/>
      <c r="J139" s="208"/>
      <c r="K139" s="208"/>
      <c r="L139" s="208"/>
      <c r="M139" s="208"/>
      <c r="N139" s="208"/>
      <c r="O139" s="208"/>
      <c r="P139" s="208"/>
      <c r="Q139" s="208"/>
      <c r="R139" s="208"/>
      <c r="S139" s="208"/>
      <c r="T139" s="207"/>
      <c r="U139" s="207"/>
      <c r="V139" s="207"/>
      <c r="W139" s="207"/>
      <c r="X139" s="207"/>
      <c r="Y139" s="207"/>
      <c r="Z139" s="209"/>
      <c r="AA139" s="209"/>
      <c r="AB139" s="209"/>
      <c r="AC139" s="209"/>
      <c r="AD139" s="209"/>
      <c r="AE139" s="209"/>
      <c r="AF139" s="209"/>
      <c r="AG139" s="209"/>
      <c r="AH139" s="209"/>
      <c r="AI139" s="209"/>
      <c r="AJ139" s="209"/>
      <c r="AK139" s="209"/>
      <c r="AL139" s="209"/>
      <c r="AM139" s="209"/>
      <c r="AN139" s="207"/>
      <c r="AO139" s="207"/>
      <c r="AP139" s="207"/>
      <c r="AQ139" s="207"/>
      <c r="AR139" s="207"/>
      <c r="AS139" s="207"/>
      <c r="AT139" s="207"/>
      <c r="AU139" s="207"/>
      <c r="AV139" s="207"/>
      <c r="AW139" s="207"/>
      <c r="AX139" s="207"/>
      <c r="AY139" s="207"/>
      <c r="AZ139" s="207"/>
      <c r="BA139" s="207"/>
      <c r="BB139" s="207"/>
      <c r="BC139" s="207"/>
      <c r="BD139" s="207"/>
      <c r="BE139" s="207"/>
      <c r="BF139" s="207"/>
      <c r="BG139" s="207"/>
      <c r="BH139" s="207"/>
      <c r="BI139" s="207"/>
      <c r="BJ139" s="207"/>
      <c r="BK139" s="207"/>
      <c r="BL139" s="207"/>
      <c r="BM139" s="207"/>
      <c r="BN139" s="207"/>
      <c r="BO139" s="207"/>
      <c r="BP139" s="207"/>
      <c r="BQ139" s="207"/>
      <c r="BR139" s="207"/>
      <c r="BS139" s="207"/>
      <c r="BT139" s="207"/>
      <c r="BU139" s="207"/>
      <c r="BV139" s="207"/>
      <c r="BW139" s="207"/>
      <c r="BX139" s="207"/>
      <c r="BY139" s="207"/>
      <c r="BZ139" s="207"/>
      <c r="CA139" s="207"/>
      <c r="CB139" s="207"/>
      <c r="CC139" s="207"/>
      <c r="CD139" s="207"/>
      <c r="CE139" s="207"/>
      <c r="CF139" s="207"/>
      <c r="CG139" s="207"/>
      <c r="CH139" s="207"/>
      <c r="CI139" s="207"/>
      <c r="CJ139" s="207"/>
      <c r="CK139" s="207"/>
      <c r="CL139" s="207"/>
      <c r="CM139" s="207"/>
      <c r="CN139" s="207"/>
      <c r="CO139" s="207"/>
      <c r="CP139" s="207"/>
      <c r="CQ139" s="207"/>
      <c r="CR139" s="207"/>
      <c r="CS139" s="207"/>
      <c r="CT139" s="207"/>
      <c r="CU139" s="207"/>
      <c r="CV139" s="207"/>
      <c r="CW139" s="207"/>
      <c r="CX139" s="207"/>
      <c r="CY139" s="207"/>
      <c r="CZ139" s="207"/>
      <c r="DA139" s="207"/>
      <c r="DB139" s="207"/>
      <c r="DC139" s="207"/>
      <c r="DD139" s="207"/>
    </row>
    <row r="140">
      <c r="A140" s="204"/>
      <c r="B140" s="205"/>
      <c r="C140" s="204"/>
      <c r="D140" s="206"/>
      <c r="E140" s="207"/>
      <c r="F140" s="207"/>
      <c r="G140" s="207"/>
      <c r="H140" s="208"/>
      <c r="I140" s="208"/>
      <c r="J140" s="208"/>
      <c r="K140" s="208"/>
      <c r="L140" s="208"/>
      <c r="M140" s="208"/>
      <c r="N140" s="208"/>
      <c r="O140" s="208"/>
      <c r="P140" s="208"/>
      <c r="Q140" s="208"/>
      <c r="R140" s="208"/>
      <c r="S140" s="208"/>
      <c r="T140" s="207"/>
      <c r="U140" s="207"/>
      <c r="V140" s="207"/>
      <c r="W140" s="207"/>
      <c r="X140" s="207"/>
      <c r="Y140" s="207"/>
      <c r="Z140" s="209"/>
      <c r="AA140" s="209"/>
      <c r="AB140" s="209"/>
      <c r="AC140" s="209"/>
      <c r="AD140" s="209"/>
      <c r="AE140" s="209"/>
      <c r="AF140" s="209"/>
      <c r="AG140" s="209"/>
      <c r="AH140" s="209"/>
      <c r="AI140" s="209"/>
      <c r="AJ140" s="209"/>
      <c r="AK140" s="209"/>
      <c r="AL140" s="209"/>
      <c r="AM140" s="209"/>
      <c r="AN140" s="207"/>
      <c r="AO140" s="207"/>
      <c r="AP140" s="207"/>
      <c r="AQ140" s="207"/>
      <c r="AR140" s="207"/>
      <c r="AS140" s="207"/>
      <c r="AT140" s="207"/>
      <c r="AU140" s="207"/>
      <c r="AV140" s="207"/>
      <c r="AW140" s="207"/>
      <c r="AX140" s="207"/>
      <c r="AY140" s="207"/>
      <c r="AZ140" s="207"/>
      <c r="BA140" s="207"/>
      <c r="BB140" s="207"/>
      <c r="BC140" s="207"/>
      <c r="BD140" s="207"/>
      <c r="BE140" s="207"/>
      <c r="BF140" s="207"/>
      <c r="BG140" s="207"/>
      <c r="BH140" s="207"/>
      <c r="BI140" s="207"/>
      <c r="BJ140" s="207"/>
      <c r="BK140" s="207"/>
      <c r="BL140" s="207"/>
      <c r="BM140" s="207"/>
      <c r="BN140" s="207"/>
      <c r="BO140" s="207"/>
      <c r="BP140" s="207"/>
      <c r="BQ140" s="207"/>
      <c r="BR140" s="207"/>
      <c r="BS140" s="207"/>
      <c r="BT140" s="207"/>
      <c r="BU140" s="207"/>
      <c r="BV140" s="207"/>
      <c r="BW140" s="207"/>
      <c r="BX140" s="207"/>
      <c r="BY140" s="207"/>
      <c r="BZ140" s="207"/>
      <c r="CA140" s="207"/>
      <c r="CB140" s="207"/>
      <c r="CC140" s="207"/>
      <c r="CD140" s="207"/>
      <c r="CE140" s="207"/>
      <c r="CF140" s="207"/>
      <c r="CG140" s="207"/>
      <c r="CH140" s="207"/>
      <c r="CI140" s="207"/>
      <c r="CJ140" s="207"/>
      <c r="CK140" s="207"/>
      <c r="CL140" s="207"/>
      <c r="CM140" s="207"/>
      <c r="CN140" s="207"/>
      <c r="CO140" s="207"/>
      <c r="CP140" s="207"/>
      <c r="CQ140" s="207"/>
      <c r="CR140" s="207"/>
      <c r="CS140" s="207"/>
      <c r="CT140" s="207"/>
      <c r="CU140" s="207"/>
      <c r="CV140" s="207"/>
      <c r="CW140" s="207"/>
      <c r="CX140" s="207"/>
      <c r="CY140" s="207"/>
      <c r="CZ140" s="207"/>
      <c r="DA140" s="207"/>
      <c r="DB140" s="207"/>
      <c r="DC140" s="207"/>
      <c r="DD140" s="207"/>
    </row>
    <row r="141">
      <c r="A141" s="204"/>
      <c r="B141" s="205"/>
      <c r="C141" s="204"/>
      <c r="D141" s="206"/>
      <c r="E141" s="207"/>
      <c r="F141" s="207"/>
      <c r="G141" s="207"/>
      <c r="H141" s="208"/>
      <c r="I141" s="208"/>
      <c r="J141" s="208"/>
      <c r="K141" s="208"/>
      <c r="L141" s="208"/>
      <c r="M141" s="208"/>
      <c r="N141" s="208"/>
      <c r="O141" s="208"/>
      <c r="P141" s="208"/>
      <c r="Q141" s="208"/>
      <c r="R141" s="208"/>
      <c r="S141" s="208"/>
      <c r="T141" s="207"/>
      <c r="U141" s="207"/>
      <c r="V141" s="207"/>
      <c r="W141" s="207"/>
      <c r="X141" s="207"/>
      <c r="Y141" s="207"/>
      <c r="Z141" s="209"/>
      <c r="AA141" s="209"/>
      <c r="AB141" s="209"/>
      <c r="AC141" s="209"/>
      <c r="AD141" s="209"/>
      <c r="AE141" s="209"/>
      <c r="AF141" s="209"/>
      <c r="AG141" s="209"/>
      <c r="AH141" s="209"/>
      <c r="AI141" s="209"/>
      <c r="AJ141" s="209"/>
      <c r="AK141" s="209"/>
      <c r="AL141" s="209"/>
      <c r="AM141" s="209"/>
      <c r="AN141" s="207"/>
      <c r="AO141" s="207"/>
      <c r="AP141" s="207"/>
      <c r="AQ141" s="207"/>
      <c r="AR141" s="207"/>
      <c r="AS141" s="207"/>
      <c r="AT141" s="207"/>
      <c r="AU141" s="207"/>
      <c r="AV141" s="207"/>
      <c r="AW141" s="207"/>
      <c r="AX141" s="207"/>
      <c r="AY141" s="207"/>
      <c r="AZ141" s="207"/>
      <c r="BA141" s="207"/>
      <c r="BB141" s="207"/>
      <c r="BC141" s="207"/>
      <c r="BD141" s="207"/>
      <c r="BE141" s="207"/>
      <c r="BF141" s="207"/>
      <c r="BG141" s="207"/>
      <c r="BH141" s="207"/>
      <c r="BI141" s="207"/>
      <c r="BJ141" s="207"/>
      <c r="BK141" s="207"/>
      <c r="BL141" s="207"/>
      <c r="BM141" s="207"/>
      <c r="BN141" s="207"/>
      <c r="BO141" s="207"/>
      <c r="BP141" s="207"/>
      <c r="BQ141" s="207"/>
      <c r="BR141" s="207"/>
      <c r="BS141" s="207"/>
      <c r="BT141" s="207"/>
      <c r="BU141" s="207"/>
      <c r="BV141" s="207"/>
      <c r="BW141" s="207"/>
      <c r="BX141" s="207"/>
      <c r="BY141" s="207"/>
      <c r="BZ141" s="207"/>
      <c r="CA141" s="207"/>
      <c r="CB141" s="207"/>
      <c r="CC141" s="207"/>
      <c r="CD141" s="207"/>
      <c r="CE141" s="207"/>
      <c r="CF141" s="207"/>
      <c r="CG141" s="207"/>
      <c r="CH141" s="207"/>
      <c r="CI141" s="207"/>
      <c r="CJ141" s="207"/>
      <c r="CK141" s="207"/>
      <c r="CL141" s="207"/>
      <c r="CM141" s="207"/>
      <c r="CN141" s="207"/>
      <c r="CO141" s="207"/>
      <c r="CP141" s="207"/>
      <c r="CQ141" s="207"/>
      <c r="CR141" s="207"/>
      <c r="CS141" s="207"/>
      <c r="CT141" s="207"/>
      <c r="CU141" s="207"/>
      <c r="CV141" s="207"/>
      <c r="CW141" s="207"/>
      <c r="CX141" s="207"/>
      <c r="CY141" s="207"/>
      <c r="CZ141" s="207"/>
      <c r="DA141" s="207"/>
      <c r="DB141" s="207"/>
      <c r="DC141" s="207"/>
      <c r="DD141" s="207"/>
    </row>
    <row r="142">
      <c r="A142" s="204"/>
      <c r="B142" s="205"/>
      <c r="C142" s="204"/>
      <c r="D142" s="206"/>
      <c r="E142" s="207"/>
      <c r="F142" s="207"/>
      <c r="G142" s="207"/>
      <c r="H142" s="208"/>
      <c r="I142" s="208"/>
      <c r="J142" s="208"/>
      <c r="K142" s="208"/>
      <c r="L142" s="208"/>
      <c r="M142" s="208"/>
      <c r="N142" s="208"/>
      <c r="O142" s="208"/>
      <c r="P142" s="208"/>
      <c r="Q142" s="208"/>
      <c r="R142" s="208"/>
      <c r="S142" s="208"/>
      <c r="T142" s="207"/>
      <c r="U142" s="207"/>
      <c r="V142" s="207"/>
      <c r="W142" s="207"/>
      <c r="X142" s="207"/>
      <c r="Y142" s="207"/>
      <c r="Z142" s="209"/>
      <c r="AA142" s="209"/>
      <c r="AB142" s="209"/>
      <c r="AC142" s="209"/>
      <c r="AD142" s="209"/>
      <c r="AE142" s="209"/>
      <c r="AF142" s="209"/>
      <c r="AG142" s="209"/>
      <c r="AH142" s="209"/>
      <c r="AI142" s="209"/>
      <c r="AJ142" s="209"/>
      <c r="AK142" s="209"/>
      <c r="AL142" s="209"/>
      <c r="AM142" s="209"/>
      <c r="AN142" s="207"/>
      <c r="AO142" s="207"/>
      <c r="AP142" s="207"/>
      <c r="AQ142" s="207"/>
      <c r="AR142" s="207"/>
      <c r="AS142" s="207"/>
      <c r="AT142" s="207"/>
      <c r="AU142" s="207"/>
      <c r="AV142" s="207"/>
      <c r="AW142" s="207"/>
      <c r="AX142" s="207"/>
      <c r="AY142" s="207"/>
      <c r="AZ142" s="207"/>
      <c r="BA142" s="207"/>
      <c r="BB142" s="207"/>
      <c r="BC142" s="207"/>
      <c r="BD142" s="207"/>
      <c r="BE142" s="207"/>
      <c r="BF142" s="207"/>
      <c r="BG142" s="207"/>
      <c r="BH142" s="207"/>
      <c r="BI142" s="207"/>
      <c r="BJ142" s="207"/>
      <c r="BK142" s="207"/>
      <c r="BL142" s="207"/>
      <c r="BM142" s="207"/>
      <c r="BN142" s="207"/>
      <c r="BO142" s="207"/>
      <c r="BP142" s="207"/>
      <c r="BQ142" s="207"/>
      <c r="BR142" s="207"/>
      <c r="BS142" s="207"/>
      <c r="BT142" s="207"/>
      <c r="BU142" s="207"/>
      <c r="BV142" s="207"/>
      <c r="BW142" s="207"/>
      <c r="BX142" s="207"/>
      <c r="BY142" s="207"/>
      <c r="BZ142" s="207"/>
      <c r="CA142" s="207"/>
      <c r="CB142" s="207"/>
      <c r="CC142" s="207"/>
      <c r="CD142" s="207"/>
      <c r="CE142" s="207"/>
      <c r="CF142" s="207"/>
      <c r="CG142" s="207"/>
      <c r="CH142" s="207"/>
      <c r="CI142" s="207"/>
      <c r="CJ142" s="207"/>
      <c r="CK142" s="207"/>
      <c r="CL142" s="207"/>
      <c r="CM142" s="207"/>
      <c r="CN142" s="207"/>
      <c r="CO142" s="207"/>
      <c r="CP142" s="207"/>
      <c r="CQ142" s="207"/>
      <c r="CR142" s="207"/>
      <c r="CS142" s="207"/>
      <c r="CT142" s="207"/>
      <c r="CU142" s="207"/>
      <c r="CV142" s="207"/>
      <c r="CW142" s="207"/>
      <c r="CX142" s="207"/>
      <c r="CY142" s="207"/>
      <c r="CZ142" s="207"/>
      <c r="DA142" s="207"/>
      <c r="DB142" s="207"/>
      <c r="DC142" s="207"/>
      <c r="DD142" s="207"/>
    </row>
    <row r="143">
      <c r="A143" s="204"/>
      <c r="B143" s="205"/>
      <c r="C143" s="204"/>
      <c r="D143" s="206"/>
      <c r="E143" s="207"/>
      <c r="F143" s="207"/>
      <c r="G143" s="207"/>
      <c r="H143" s="208"/>
      <c r="I143" s="208"/>
      <c r="J143" s="208"/>
      <c r="K143" s="208"/>
      <c r="L143" s="208"/>
      <c r="M143" s="208"/>
      <c r="N143" s="208"/>
      <c r="O143" s="208"/>
      <c r="P143" s="208"/>
      <c r="Q143" s="208"/>
      <c r="R143" s="208"/>
      <c r="S143" s="208"/>
      <c r="T143" s="207"/>
      <c r="U143" s="207"/>
      <c r="V143" s="207"/>
      <c r="W143" s="207"/>
      <c r="X143" s="207"/>
      <c r="Y143" s="207"/>
      <c r="Z143" s="209"/>
      <c r="AA143" s="209"/>
      <c r="AB143" s="209"/>
      <c r="AC143" s="209"/>
      <c r="AD143" s="209"/>
      <c r="AE143" s="209"/>
      <c r="AF143" s="209"/>
      <c r="AG143" s="209"/>
      <c r="AH143" s="209"/>
      <c r="AI143" s="209"/>
      <c r="AJ143" s="209"/>
      <c r="AK143" s="209"/>
      <c r="AL143" s="209"/>
      <c r="AM143" s="209"/>
      <c r="AN143" s="207"/>
      <c r="AO143" s="207"/>
      <c r="AP143" s="207"/>
      <c r="AQ143" s="207"/>
      <c r="AR143" s="207"/>
      <c r="AS143" s="207"/>
      <c r="AT143" s="207"/>
      <c r="AU143" s="207"/>
      <c r="AV143" s="207"/>
      <c r="AW143" s="207"/>
      <c r="AX143" s="207"/>
      <c r="AY143" s="207"/>
      <c r="AZ143" s="207"/>
      <c r="BA143" s="207"/>
      <c r="BB143" s="207"/>
      <c r="BC143" s="207"/>
      <c r="BD143" s="207"/>
      <c r="BE143" s="207"/>
      <c r="BF143" s="207"/>
      <c r="BG143" s="207"/>
      <c r="BH143" s="207"/>
      <c r="BI143" s="207"/>
      <c r="BJ143" s="207"/>
      <c r="BK143" s="207"/>
      <c r="BL143" s="207"/>
      <c r="BM143" s="207"/>
      <c r="BN143" s="207"/>
      <c r="BO143" s="207"/>
      <c r="BP143" s="207"/>
      <c r="BQ143" s="207"/>
      <c r="BR143" s="207"/>
      <c r="BS143" s="207"/>
      <c r="BT143" s="207"/>
      <c r="BU143" s="207"/>
      <c r="BV143" s="207"/>
      <c r="BW143" s="207"/>
      <c r="BX143" s="207"/>
      <c r="BY143" s="207"/>
      <c r="BZ143" s="207"/>
      <c r="CA143" s="207"/>
      <c r="CB143" s="207"/>
      <c r="CC143" s="207"/>
      <c r="CD143" s="207"/>
      <c r="CE143" s="207"/>
      <c r="CF143" s="207"/>
      <c r="CG143" s="207"/>
      <c r="CH143" s="207"/>
      <c r="CI143" s="207"/>
      <c r="CJ143" s="207"/>
      <c r="CK143" s="207"/>
      <c r="CL143" s="207"/>
      <c r="CM143" s="207"/>
      <c r="CN143" s="207"/>
      <c r="CO143" s="207"/>
      <c r="CP143" s="207"/>
      <c r="CQ143" s="207"/>
      <c r="CR143" s="207"/>
      <c r="CS143" s="207"/>
      <c r="CT143" s="207"/>
      <c r="CU143" s="207"/>
      <c r="CV143" s="207"/>
      <c r="CW143" s="207"/>
      <c r="CX143" s="207"/>
      <c r="CY143" s="207"/>
      <c r="CZ143" s="207"/>
      <c r="DA143" s="207"/>
      <c r="DB143" s="207"/>
      <c r="DC143" s="207"/>
      <c r="DD143" s="207"/>
    </row>
    <row r="144">
      <c r="A144" s="204"/>
      <c r="B144" s="205"/>
      <c r="C144" s="204"/>
      <c r="D144" s="206"/>
      <c r="E144" s="207"/>
      <c r="F144" s="207"/>
      <c r="G144" s="207"/>
      <c r="H144" s="208"/>
      <c r="I144" s="208"/>
      <c r="J144" s="208"/>
      <c r="K144" s="208"/>
      <c r="L144" s="208"/>
      <c r="M144" s="208"/>
      <c r="N144" s="208"/>
      <c r="O144" s="208"/>
      <c r="P144" s="208"/>
      <c r="Q144" s="208"/>
      <c r="R144" s="208"/>
      <c r="S144" s="208"/>
      <c r="T144" s="207"/>
      <c r="U144" s="207"/>
      <c r="V144" s="207"/>
      <c r="W144" s="207"/>
      <c r="X144" s="207"/>
      <c r="Y144" s="207"/>
      <c r="Z144" s="209"/>
      <c r="AA144" s="209"/>
      <c r="AB144" s="209"/>
      <c r="AC144" s="209"/>
      <c r="AD144" s="209"/>
      <c r="AE144" s="209"/>
      <c r="AF144" s="209"/>
      <c r="AG144" s="209"/>
      <c r="AH144" s="209"/>
      <c r="AI144" s="209"/>
      <c r="AJ144" s="209"/>
      <c r="AK144" s="209"/>
      <c r="AL144" s="209"/>
      <c r="AM144" s="209"/>
      <c r="AN144" s="207"/>
      <c r="AO144" s="207"/>
      <c r="AP144" s="207"/>
      <c r="AQ144" s="207"/>
      <c r="AR144" s="207"/>
      <c r="AS144" s="207"/>
      <c r="AT144" s="207"/>
      <c r="AU144" s="207"/>
      <c r="AV144" s="207"/>
      <c r="AW144" s="207"/>
      <c r="AX144" s="207"/>
      <c r="AY144" s="207"/>
      <c r="AZ144" s="207"/>
      <c r="BA144" s="207"/>
      <c r="BB144" s="207"/>
      <c r="BC144" s="207"/>
      <c r="BD144" s="207"/>
      <c r="BE144" s="207"/>
      <c r="BF144" s="207"/>
      <c r="BG144" s="207"/>
      <c r="BH144" s="207"/>
      <c r="BI144" s="207"/>
      <c r="BJ144" s="207"/>
      <c r="BK144" s="207"/>
      <c r="BL144" s="207"/>
      <c r="BM144" s="207"/>
      <c r="BN144" s="207"/>
      <c r="BO144" s="207"/>
      <c r="BP144" s="207"/>
      <c r="BQ144" s="207"/>
      <c r="BR144" s="207"/>
      <c r="BS144" s="207"/>
      <c r="BT144" s="207"/>
      <c r="BU144" s="207"/>
      <c r="BV144" s="207"/>
      <c r="BW144" s="207"/>
      <c r="BX144" s="207"/>
      <c r="BY144" s="207"/>
      <c r="BZ144" s="207"/>
      <c r="CA144" s="207"/>
      <c r="CB144" s="207"/>
      <c r="CC144" s="207"/>
      <c r="CD144" s="207"/>
      <c r="CE144" s="207"/>
      <c r="CF144" s="207"/>
      <c r="CG144" s="207"/>
      <c r="CH144" s="207"/>
      <c r="CI144" s="207"/>
      <c r="CJ144" s="207"/>
      <c r="CK144" s="207"/>
      <c r="CL144" s="207"/>
      <c r="CM144" s="207"/>
      <c r="CN144" s="207"/>
      <c r="CO144" s="207"/>
      <c r="CP144" s="207"/>
      <c r="CQ144" s="207"/>
      <c r="CR144" s="207"/>
      <c r="CS144" s="207"/>
      <c r="CT144" s="207"/>
      <c r="CU144" s="207"/>
      <c r="CV144" s="207"/>
      <c r="CW144" s="207"/>
      <c r="CX144" s="207"/>
      <c r="CY144" s="207"/>
      <c r="CZ144" s="207"/>
      <c r="DA144" s="207"/>
      <c r="DB144" s="207"/>
      <c r="DC144" s="207"/>
      <c r="DD144" s="207"/>
    </row>
    <row r="145">
      <c r="A145" s="204"/>
      <c r="B145" s="205"/>
      <c r="C145" s="204"/>
      <c r="D145" s="206"/>
      <c r="E145" s="207"/>
      <c r="F145" s="207"/>
      <c r="G145" s="207"/>
      <c r="H145" s="208"/>
      <c r="I145" s="208"/>
      <c r="J145" s="208"/>
      <c r="K145" s="208"/>
      <c r="L145" s="208"/>
      <c r="M145" s="208"/>
      <c r="N145" s="208"/>
      <c r="O145" s="208"/>
      <c r="P145" s="208"/>
      <c r="Q145" s="208"/>
      <c r="R145" s="208"/>
      <c r="S145" s="208"/>
      <c r="T145" s="207"/>
      <c r="U145" s="207"/>
      <c r="V145" s="207"/>
      <c r="W145" s="207"/>
      <c r="X145" s="207"/>
      <c r="Y145" s="207"/>
      <c r="Z145" s="209"/>
      <c r="AA145" s="209"/>
      <c r="AB145" s="209"/>
      <c r="AC145" s="209"/>
      <c r="AD145" s="209"/>
      <c r="AE145" s="209"/>
      <c r="AF145" s="209"/>
      <c r="AG145" s="209"/>
      <c r="AH145" s="209"/>
      <c r="AI145" s="209"/>
      <c r="AJ145" s="209"/>
      <c r="AK145" s="209"/>
      <c r="AL145" s="209"/>
      <c r="AM145" s="209"/>
      <c r="AN145" s="207"/>
      <c r="AO145" s="207"/>
      <c r="AP145" s="207"/>
      <c r="AQ145" s="207"/>
      <c r="AR145" s="207"/>
      <c r="AS145" s="207"/>
      <c r="AT145" s="207"/>
      <c r="AU145" s="207"/>
      <c r="AV145" s="207"/>
      <c r="AW145" s="207"/>
      <c r="AX145" s="207"/>
      <c r="AY145" s="207"/>
      <c r="AZ145" s="207"/>
      <c r="BA145" s="207"/>
      <c r="BB145" s="207"/>
      <c r="BC145" s="207"/>
      <c r="BD145" s="207"/>
      <c r="BE145" s="207"/>
      <c r="BF145" s="207"/>
      <c r="BG145" s="207"/>
      <c r="BH145" s="207"/>
      <c r="BI145" s="207"/>
      <c r="BJ145" s="207"/>
      <c r="BK145" s="207"/>
      <c r="BL145" s="207"/>
      <c r="BM145" s="207"/>
      <c r="BN145" s="207"/>
      <c r="BO145" s="207"/>
      <c r="BP145" s="207"/>
      <c r="BQ145" s="207"/>
      <c r="BR145" s="207"/>
      <c r="BS145" s="207"/>
      <c r="BT145" s="207"/>
      <c r="BU145" s="207"/>
      <c r="BV145" s="207"/>
      <c r="BW145" s="207"/>
      <c r="BX145" s="207"/>
      <c r="BY145" s="207"/>
      <c r="BZ145" s="207"/>
      <c r="CA145" s="207"/>
      <c r="CB145" s="207"/>
      <c r="CC145" s="207"/>
      <c r="CD145" s="207"/>
      <c r="CE145" s="207"/>
      <c r="CF145" s="207"/>
      <c r="CG145" s="207"/>
      <c r="CH145" s="207"/>
      <c r="CI145" s="207"/>
      <c r="CJ145" s="207"/>
      <c r="CK145" s="207"/>
      <c r="CL145" s="207"/>
      <c r="CM145" s="207"/>
      <c r="CN145" s="207"/>
      <c r="CO145" s="207"/>
      <c r="CP145" s="207"/>
      <c r="CQ145" s="207"/>
      <c r="CR145" s="207"/>
      <c r="CS145" s="207"/>
      <c r="CT145" s="207"/>
      <c r="CU145" s="207"/>
      <c r="CV145" s="207"/>
      <c r="CW145" s="207"/>
      <c r="CX145" s="207"/>
      <c r="CY145" s="207"/>
      <c r="CZ145" s="207"/>
      <c r="DA145" s="207"/>
      <c r="DB145" s="207"/>
      <c r="DC145" s="207"/>
      <c r="DD145" s="207"/>
    </row>
    <row r="146">
      <c r="A146" s="204"/>
      <c r="B146" s="205"/>
      <c r="C146" s="204"/>
      <c r="D146" s="206"/>
      <c r="E146" s="207"/>
      <c r="F146" s="207"/>
      <c r="G146" s="207"/>
      <c r="H146" s="208"/>
      <c r="I146" s="208"/>
      <c r="J146" s="208"/>
      <c r="K146" s="208"/>
      <c r="L146" s="208"/>
      <c r="M146" s="208"/>
      <c r="N146" s="208"/>
      <c r="O146" s="208"/>
      <c r="P146" s="208"/>
      <c r="Q146" s="208"/>
      <c r="R146" s="208"/>
      <c r="S146" s="208"/>
      <c r="T146" s="207"/>
      <c r="U146" s="207"/>
      <c r="V146" s="207"/>
      <c r="W146" s="207"/>
      <c r="X146" s="207"/>
      <c r="Y146" s="207"/>
      <c r="Z146" s="209"/>
      <c r="AA146" s="209"/>
      <c r="AB146" s="209"/>
      <c r="AC146" s="209"/>
      <c r="AD146" s="209"/>
      <c r="AE146" s="209"/>
      <c r="AF146" s="209"/>
      <c r="AG146" s="209"/>
      <c r="AH146" s="209"/>
      <c r="AI146" s="209"/>
      <c r="AJ146" s="209"/>
      <c r="AK146" s="209"/>
      <c r="AL146" s="209"/>
      <c r="AM146" s="209"/>
      <c r="AN146" s="207"/>
      <c r="AO146" s="207"/>
      <c r="AP146" s="207"/>
      <c r="AQ146" s="207"/>
      <c r="AR146" s="207"/>
      <c r="AS146" s="207"/>
      <c r="AT146" s="207"/>
      <c r="AU146" s="207"/>
      <c r="AV146" s="207"/>
      <c r="AW146" s="207"/>
      <c r="AX146" s="207"/>
      <c r="AY146" s="207"/>
      <c r="AZ146" s="207"/>
      <c r="BA146" s="207"/>
      <c r="BB146" s="207"/>
      <c r="BC146" s="207"/>
      <c r="BD146" s="207"/>
      <c r="BE146" s="207"/>
      <c r="BF146" s="207"/>
      <c r="BG146" s="207"/>
      <c r="BH146" s="207"/>
      <c r="BI146" s="207"/>
      <c r="BJ146" s="207"/>
      <c r="BK146" s="207"/>
      <c r="BL146" s="207"/>
      <c r="BM146" s="207"/>
      <c r="BN146" s="207"/>
      <c r="BO146" s="207"/>
      <c r="BP146" s="207"/>
      <c r="BQ146" s="207"/>
      <c r="BR146" s="207"/>
      <c r="BS146" s="207"/>
      <c r="BT146" s="207"/>
      <c r="BU146" s="207"/>
      <c r="BV146" s="207"/>
      <c r="BW146" s="207"/>
      <c r="BX146" s="207"/>
      <c r="BY146" s="207"/>
      <c r="BZ146" s="207"/>
      <c r="CA146" s="207"/>
      <c r="CB146" s="207"/>
      <c r="CC146" s="207"/>
      <c r="CD146" s="207"/>
      <c r="CE146" s="207"/>
      <c r="CF146" s="207"/>
      <c r="CG146" s="207"/>
      <c r="CH146" s="207"/>
      <c r="CI146" s="207"/>
      <c r="CJ146" s="207"/>
      <c r="CK146" s="207"/>
      <c r="CL146" s="207"/>
      <c r="CM146" s="207"/>
      <c r="CN146" s="207"/>
      <c r="CO146" s="207"/>
      <c r="CP146" s="207"/>
      <c r="CQ146" s="207"/>
      <c r="CR146" s="207"/>
      <c r="CS146" s="207"/>
      <c r="CT146" s="207"/>
      <c r="CU146" s="207"/>
      <c r="CV146" s="207"/>
      <c r="CW146" s="207"/>
      <c r="CX146" s="207"/>
      <c r="CY146" s="207"/>
      <c r="CZ146" s="207"/>
      <c r="DA146" s="207"/>
      <c r="DB146" s="207"/>
      <c r="DC146" s="207"/>
      <c r="DD146" s="207"/>
    </row>
    <row r="147">
      <c r="A147" s="204"/>
      <c r="B147" s="205"/>
      <c r="C147" s="204"/>
      <c r="D147" s="206"/>
      <c r="E147" s="207"/>
      <c r="F147" s="207"/>
      <c r="G147" s="207"/>
      <c r="H147" s="208"/>
      <c r="I147" s="208"/>
      <c r="J147" s="208"/>
      <c r="K147" s="208"/>
      <c r="L147" s="208"/>
      <c r="M147" s="208"/>
      <c r="N147" s="208"/>
      <c r="O147" s="208"/>
      <c r="P147" s="208"/>
      <c r="Q147" s="208"/>
      <c r="R147" s="208"/>
      <c r="S147" s="208"/>
      <c r="T147" s="207"/>
      <c r="U147" s="207"/>
      <c r="V147" s="207"/>
      <c r="W147" s="207"/>
      <c r="X147" s="207"/>
      <c r="Y147" s="207"/>
      <c r="Z147" s="209"/>
      <c r="AA147" s="209"/>
      <c r="AB147" s="209"/>
      <c r="AC147" s="209"/>
      <c r="AD147" s="209"/>
      <c r="AE147" s="209"/>
      <c r="AF147" s="209"/>
      <c r="AG147" s="209"/>
      <c r="AH147" s="209"/>
      <c r="AI147" s="209"/>
      <c r="AJ147" s="209"/>
      <c r="AK147" s="209"/>
      <c r="AL147" s="209"/>
      <c r="AM147" s="209"/>
      <c r="AN147" s="207"/>
      <c r="AO147" s="207"/>
      <c r="AP147" s="207"/>
      <c r="AQ147" s="207"/>
      <c r="AR147" s="207"/>
      <c r="AS147" s="207"/>
      <c r="AT147" s="207"/>
      <c r="AU147" s="207"/>
      <c r="AV147" s="207"/>
      <c r="AW147" s="207"/>
      <c r="AX147" s="207"/>
      <c r="AY147" s="207"/>
      <c r="AZ147" s="207"/>
      <c r="BA147" s="207"/>
      <c r="BB147" s="207"/>
      <c r="BC147" s="207"/>
      <c r="BD147" s="207"/>
      <c r="BE147" s="207"/>
      <c r="BF147" s="207"/>
      <c r="BG147" s="207"/>
      <c r="BH147" s="207"/>
      <c r="BI147" s="207"/>
      <c r="BJ147" s="207"/>
      <c r="BK147" s="207"/>
      <c r="BL147" s="207"/>
      <c r="BM147" s="207"/>
      <c r="BN147" s="207"/>
      <c r="BO147" s="207"/>
      <c r="BP147" s="207"/>
      <c r="BQ147" s="207"/>
      <c r="BR147" s="207"/>
      <c r="BS147" s="207"/>
      <c r="BT147" s="207"/>
      <c r="BU147" s="207"/>
      <c r="BV147" s="207"/>
      <c r="BW147" s="207"/>
      <c r="BX147" s="207"/>
      <c r="BY147" s="207"/>
      <c r="BZ147" s="207"/>
      <c r="CA147" s="207"/>
      <c r="CB147" s="207"/>
      <c r="CC147" s="207"/>
      <c r="CD147" s="207"/>
      <c r="CE147" s="207"/>
      <c r="CF147" s="207"/>
      <c r="CG147" s="207"/>
      <c r="CH147" s="207"/>
      <c r="CI147" s="207"/>
      <c r="CJ147" s="207"/>
      <c r="CK147" s="207"/>
      <c r="CL147" s="207"/>
      <c r="CM147" s="207"/>
      <c r="CN147" s="207"/>
      <c r="CO147" s="207"/>
      <c r="CP147" s="207"/>
      <c r="CQ147" s="207"/>
      <c r="CR147" s="207"/>
      <c r="CS147" s="207"/>
      <c r="CT147" s="207"/>
      <c r="CU147" s="207"/>
      <c r="CV147" s="207"/>
      <c r="CW147" s="207"/>
      <c r="CX147" s="207"/>
      <c r="CY147" s="207"/>
      <c r="CZ147" s="207"/>
      <c r="DA147" s="207"/>
      <c r="DB147" s="207"/>
      <c r="DC147" s="207"/>
      <c r="DD147" s="207"/>
    </row>
    <row r="148">
      <c r="A148" s="204"/>
      <c r="B148" s="205"/>
      <c r="C148" s="204"/>
      <c r="D148" s="206"/>
      <c r="E148" s="207"/>
      <c r="F148" s="207"/>
      <c r="G148" s="207"/>
      <c r="H148" s="208"/>
      <c r="I148" s="208"/>
      <c r="J148" s="208"/>
      <c r="K148" s="208"/>
      <c r="L148" s="208"/>
      <c r="M148" s="208"/>
      <c r="N148" s="208"/>
      <c r="O148" s="208"/>
      <c r="P148" s="208"/>
      <c r="Q148" s="208"/>
      <c r="R148" s="208"/>
      <c r="S148" s="208"/>
      <c r="T148" s="207"/>
      <c r="U148" s="207"/>
      <c r="V148" s="207"/>
      <c r="W148" s="207"/>
      <c r="X148" s="207"/>
      <c r="Y148" s="207"/>
      <c r="Z148" s="209"/>
      <c r="AA148" s="209"/>
      <c r="AB148" s="209"/>
      <c r="AC148" s="209"/>
      <c r="AD148" s="209"/>
      <c r="AE148" s="209"/>
      <c r="AF148" s="209"/>
      <c r="AG148" s="209"/>
      <c r="AH148" s="209"/>
      <c r="AI148" s="209"/>
      <c r="AJ148" s="209"/>
      <c r="AK148" s="209"/>
      <c r="AL148" s="209"/>
      <c r="AM148" s="209"/>
      <c r="AN148" s="207"/>
      <c r="AO148" s="207"/>
      <c r="AP148" s="207"/>
      <c r="AQ148" s="207"/>
      <c r="AR148" s="207"/>
      <c r="AS148" s="207"/>
      <c r="AT148" s="207"/>
      <c r="AU148" s="207"/>
      <c r="AV148" s="207"/>
      <c r="AW148" s="207"/>
      <c r="AX148" s="207"/>
      <c r="AY148" s="207"/>
      <c r="AZ148" s="207"/>
      <c r="BA148" s="207"/>
      <c r="BB148" s="207"/>
      <c r="BC148" s="207"/>
      <c r="BD148" s="207"/>
      <c r="BE148" s="207"/>
      <c r="BF148" s="207"/>
      <c r="BG148" s="207"/>
      <c r="BH148" s="207"/>
      <c r="BI148" s="207"/>
      <c r="BJ148" s="207"/>
      <c r="BK148" s="207"/>
      <c r="BL148" s="207"/>
      <c r="BM148" s="207"/>
      <c r="BN148" s="207"/>
      <c r="BO148" s="207"/>
      <c r="BP148" s="207"/>
      <c r="BQ148" s="207"/>
      <c r="BR148" s="207"/>
      <c r="BS148" s="207"/>
      <c r="BT148" s="207"/>
      <c r="BU148" s="207"/>
      <c r="BV148" s="207"/>
      <c r="BW148" s="207"/>
      <c r="BX148" s="207"/>
      <c r="BY148" s="207"/>
      <c r="BZ148" s="207"/>
      <c r="CA148" s="207"/>
      <c r="CB148" s="207"/>
      <c r="CC148" s="207"/>
      <c r="CD148" s="207"/>
      <c r="CE148" s="207"/>
      <c r="CF148" s="207"/>
      <c r="CG148" s="207"/>
      <c r="CH148" s="207"/>
      <c r="CI148" s="207"/>
      <c r="CJ148" s="207"/>
      <c r="CK148" s="207"/>
      <c r="CL148" s="207"/>
      <c r="CM148" s="207"/>
      <c r="CN148" s="207"/>
      <c r="CO148" s="207"/>
      <c r="CP148" s="207"/>
      <c r="CQ148" s="207"/>
      <c r="CR148" s="207"/>
      <c r="CS148" s="207"/>
      <c r="CT148" s="207"/>
      <c r="CU148" s="207"/>
      <c r="CV148" s="207"/>
      <c r="CW148" s="207"/>
      <c r="CX148" s="207"/>
      <c r="CY148" s="207"/>
      <c r="CZ148" s="207"/>
      <c r="DA148" s="207"/>
      <c r="DB148" s="207"/>
      <c r="DC148" s="207"/>
      <c r="DD148" s="207"/>
    </row>
    <row r="149">
      <c r="A149" s="204"/>
      <c r="B149" s="205"/>
      <c r="C149" s="204"/>
      <c r="D149" s="206"/>
      <c r="E149" s="207"/>
      <c r="F149" s="207"/>
      <c r="G149" s="207"/>
      <c r="H149" s="208"/>
      <c r="I149" s="208"/>
      <c r="J149" s="208"/>
      <c r="K149" s="208"/>
      <c r="L149" s="208"/>
      <c r="M149" s="208"/>
      <c r="N149" s="208"/>
      <c r="O149" s="208"/>
      <c r="P149" s="208"/>
      <c r="Q149" s="208"/>
      <c r="R149" s="208"/>
      <c r="S149" s="208"/>
      <c r="T149" s="207"/>
      <c r="U149" s="207"/>
      <c r="V149" s="207"/>
      <c r="W149" s="207"/>
      <c r="X149" s="207"/>
      <c r="Y149" s="207"/>
      <c r="Z149" s="209"/>
      <c r="AA149" s="209"/>
      <c r="AB149" s="209"/>
      <c r="AC149" s="209"/>
      <c r="AD149" s="209"/>
      <c r="AE149" s="209"/>
      <c r="AF149" s="209"/>
      <c r="AG149" s="209"/>
      <c r="AH149" s="209"/>
      <c r="AI149" s="209"/>
      <c r="AJ149" s="209"/>
      <c r="AK149" s="209"/>
      <c r="AL149" s="209"/>
      <c r="AM149" s="209"/>
      <c r="AN149" s="207"/>
      <c r="AO149" s="207"/>
      <c r="AP149" s="207"/>
      <c r="AQ149" s="207"/>
      <c r="AR149" s="207"/>
      <c r="AS149" s="207"/>
      <c r="AT149" s="207"/>
      <c r="AU149" s="207"/>
      <c r="AV149" s="207"/>
      <c r="AW149" s="207"/>
      <c r="AX149" s="207"/>
      <c r="AY149" s="207"/>
      <c r="AZ149" s="207"/>
      <c r="BA149" s="207"/>
      <c r="BB149" s="207"/>
      <c r="BC149" s="207"/>
      <c r="BD149" s="207"/>
      <c r="BE149" s="207"/>
      <c r="BF149" s="207"/>
      <c r="BG149" s="207"/>
      <c r="BH149" s="207"/>
      <c r="BI149" s="207"/>
      <c r="BJ149" s="207"/>
      <c r="BK149" s="207"/>
      <c r="BL149" s="207"/>
      <c r="BM149" s="207"/>
      <c r="BN149" s="207"/>
      <c r="BO149" s="207"/>
      <c r="BP149" s="207"/>
      <c r="BQ149" s="207"/>
      <c r="BR149" s="207"/>
      <c r="BS149" s="207"/>
      <c r="BT149" s="207"/>
      <c r="BU149" s="207"/>
      <c r="BV149" s="207"/>
      <c r="BW149" s="207"/>
      <c r="BX149" s="207"/>
      <c r="BY149" s="207"/>
      <c r="BZ149" s="207"/>
      <c r="CA149" s="207"/>
      <c r="CB149" s="207"/>
      <c r="CC149" s="207"/>
      <c r="CD149" s="207"/>
      <c r="CE149" s="207"/>
      <c r="CF149" s="207"/>
      <c r="CG149" s="207"/>
      <c r="CH149" s="207"/>
      <c r="CI149" s="207"/>
      <c r="CJ149" s="207"/>
      <c r="CK149" s="207"/>
      <c r="CL149" s="207"/>
      <c r="CM149" s="207"/>
      <c r="CN149" s="207"/>
      <c r="CO149" s="207"/>
      <c r="CP149" s="207"/>
      <c r="CQ149" s="207"/>
      <c r="CR149" s="207"/>
      <c r="CS149" s="207"/>
      <c r="CT149" s="207"/>
      <c r="CU149" s="207"/>
      <c r="CV149" s="207"/>
      <c r="CW149" s="207"/>
      <c r="CX149" s="207"/>
      <c r="CY149" s="207"/>
      <c r="CZ149" s="207"/>
      <c r="DA149" s="207"/>
      <c r="DB149" s="207"/>
      <c r="DC149" s="207"/>
      <c r="DD149" s="207"/>
    </row>
    <row r="150">
      <c r="A150" s="204"/>
      <c r="B150" s="205"/>
      <c r="C150" s="204"/>
      <c r="D150" s="206"/>
      <c r="E150" s="207"/>
      <c r="F150" s="207"/>
      <c r="G150" s="207"/>
      <c r="H150" s="208"/>
      <c r="I150" s="208"/>
      <c r="J150" s="208"/>
      <c r="K150" s="208"/>
      <c r="L150" s="208"/>
      <c r="M150" s="208"/>
      <c r="N150" s="208"/>
      <c r="O150" s="208"/>
      <c r="P150" s="208"/>
      <c r="Q150" s="208"/>
      <c r="R150" s="208"/>
      <c r="S150" s="208"/>
      <c r="T150" s="207"/>
      <c r="U150" s="207"/>
      <c r="V150" s="207"/>
      <c r="W150" s="207"/>
      <c r="X150" s="207"/>
      <c r="Y150" s="207"/>
      <c r="Z150" s="209"/>
      <c r="AA150" s="209"/>
      <c r="AB150" s="209"/>
      <c r="AC150" s="209"/>
      <c r="AD150" s="209"/>
      <c r="AE150" s="209"/>
      <c r="AF150" s="209"/>
      <c r="AG150" s="209"/>
      <c r="AH150" s="209"/>
      <c r="AI150" s="209"/>
      <c r="AJ150" s="209"/>
      <c r="AK150" s="209"/>
      <c r="AL150" s="209"/>
      <c r="AM150" s="209"/>
      <c r="AN150" s="207"/>
      <c r="AO150" s="207"/>
      <c r="AP150" s="207"/>
      <c r="AQ150" s="207"/>
      <c r="AR150" s="207"/>
      <c r="AS150" s="207"/>
      <c r="AT150" s="207"/>
      <c r="AU150" s="207"/>
      <c r="AV150" s="207"/>
      <c r="AW150" s="207"/>
      <c r="AX150" s="207"/>
      <c r="AY150" s="207"/>
      <c r="AZ150" s="207"/>
      <c r="BA150" s="207"/>
      <c r="BB150" s="207"/>
      <c r="BC150" s="207"/>
      <c r="BD150" s="207"/>
      <c r="BE150" s="207"/>
      <c r="BF150" s="207"/>
      <c r="BG150" s="207"/>
      <c r="BH150" s="207"/>
      <c r="BI150" s="207"/>
      <c r="BJ150" s="207"/>
      <c r="BK150" s="207"/>
      <c r="BL150" s="207"/>
      <c r="BM150" s="207"/>
      <c r="BN150" s="207"/>
      <c r="BO150" s="207"/>
      <c r="BP150" s="207"/>
      <c r="BQ150" s="207"/>
      <c r="BR150" s="207"/>
      <c r="BS150" s="207"/>
      <c r="BT150" s="207"/>
      <c r="BU150" s="207"/>
      <c r="BV150" s="207"/>
      <c r="BW150" s="207"/>
      <c r="BX150" s="207"/>
      <c r="BY150" s="207"/>
      <c r="BZ150" s="207"/>
      <c r="CA150" s="207"/>
      <c r="CB150" s="207"/>
      <c r="CC150" s="207"/>
      <c r="CD150" s="207"/>
      <c r="CE150" s="207"/>
      <c r="CF150" s="207"/>
      <c r="CG150" s="207"/>
      <c r="CH150" s="207"/>
      <c r="CI150" s="207"/>
      <c r="CJ150" s="207"/>
      <c r="CK150" s="207"/>
      <c r="CL150" s="207"/>
      <c r="CM150" s="207"/>
      <c r="CN150" s="207"/>
      <c r="CO150" s="207"/>
      <c r="CP150" s="207"/>
      <c r="CQ150" s="207"/>
      <c r="CR150" s="207"/>
      <c r="CS150" s="207"/>
      <c r="CT150" s="207"/>
      <c r="CU150" s="207"/>
      <c r="CV150" s="207"/>
      <c r="CW150" s="207"/>
      <c r="CX150" s="207"/>
      <c r="CY150" s="207"/>
      <c r="CZ150" s="207"/>
      <c r="DA150" s="207"/>
      <c r="DB150" s="207"/>
      <c r="DC150" s="207"/>
      <c r="DD150" s="207"/>
    </row>
    <row r="151">
      <c r="A151" s="204"/>
      <c r="B151" s="205"/>
      <c r="C151" s="204"/>
      <c r="D151" s="206"/>
      <c r="E151" s="207"/>
      <c r="F151" s="207"/>
      <c r="G151" s="207"/>
      <c r="H151" s="208"/>
      <c r="I151" s="208"/>
      <c r="J151" s="208"/>
      <c r="K151" s="208"/>
      <c r="L151" s="208"/>
      <c r="M151" s="208"/>
      <c r="N151" s="208"/>
      <c r="O151" s="208"/>
      <c r="P151" s="208"/>
      <c r="Q151" s="208"/>
      <c r="R151" s="208"/>
      <c r="S151" s="208"/>
      <c r="T151" s="207"/>
      <c r="U151" s="207"/>
      <c r="V151" s="207"/>
      <c r="W151" s="207"/>
      <c r="X151" s="207"/>
      <c r="Y151" s="207"/>
      <c r="Z151" s="209"/>
      <c r="AA151" s="209"/>
      <c r="AB151" s="209"/>
      <c r="AC151" s="209"/>
      <c r="AD151" s="209"/>
      <c r="AE151" s="209"/>
      <c r="AF151" s="209"/>
      <c r="AG151" s="209"/>
      <c r="AH151" s="209"/>
      <c r="AI151" s="209"/>
      <c r="AJ151" s="209"/>
      <c r="AK151" s="209"/>
      <c r="AL151" s="209"/>
      <c r="AM151" s="209"/>
      <c r="AN151" s="207"/>
      <c r="AO151" s="207"/>
      <c r="AP151" s="207"/>
      <c r="AQ151" s="207"/>
      <c r="AR151" s="207"/>
      <c r="AS151" s="207"/>
      <c r="AT151" s="207"/>
      <c r="AU151" s="207"/>
      <c r="AV151" s="207"/>
      <c r="AW151" s="207"/>
      <c r="AX151" s="207"/>
      <c r="AY151" s="207"/>
      <c r="AZ151" s="207"/>
      <c r="BA151" s="207"/>
      <c r="BB151" s="207"/>
      <c r="BC151" s="207"/>
      <c r="BD151" s="207"/>
      <c r="BE151" s="207"/>
      <c r="BF151" s="207"/>
      <c r="BG151" s="207"/>
      <c r="BH151" s="207"/>
      <c r="BI151" s="207"/>
      <c r="BJ151" s="207"/>
      <c r="BK151" s="207"/>
      <c r="BL151" s="207"/>
      <c r="BM151" s="207"/>
      <c r="BN151" s="207"/>
      <c r="BO151" s="207"/>
      <c r="BP151" s="207"/>
      <c r="BQ151" s="207"/>
      <c r="BR151" s="207"/>
      <c r="BS151" s="207"/>
      <c r="BT151" s="207"/>
      <c r="BU151" s="207"/>
      <c r="BV151" s="207"/>
      <c r="BW151" s="207"/>
      <c r="BX151" s="207"/>
      <c r="BY151" s="207"/>
      <c r="BZ151" s="207"/>
      <c r="CA151" s="207"/>
      <c r="CB151" s="207"/>
      <c r="CC151" s="207"/>
      <c r="CD151" s="207"/>
      <c r="CE151" s="207"/>
      <c r="CF151" s="207"/>
      <c r="CG151" s="207"/>
      <c r="CH151" s="207"/>
      <c r="CI151" s="207"/>
      <c r="CJ151" s="207"/>
      <c r="CK151" s="207"/>
      <c r="CL151" s="207"/>
      <c r="CM151" s="207"/>
      <c r="CN151" s="207"/>
      <c r="CO151" s="207"/>
      <c r="CP151" s="207"/>
      <c r="CQ151" s="207"/>
      <c r="CR151" s="207"/>
      <c r="CS151" s="207"/>
      <c r="CT151" s="207"/>
      <c r="CU151" s="207"/>
      <c r="CV151" s="207"/>
      <c r="CW151" s="207"/>
      <c r="CX151" s="207"/>
      <c r="CY151" s="207"/>
      <c r="CZ151" s="207"/>
      <c r="DA151" s="207"/>
      <c r="DB151" s="207"/>
      <c r="DC151" s="207"/>
      <c r="DD151" s="207"/>
    </row>
    <row r="152">
      <c r="A152" s="204"/>
      <c r="B152" s="205"/>
      <c r="C152" s="204"/>
      <c r="D152" s="206"/>
      <c r="E152" s="207"/>
      <c r="F152" s="207"/>
      <c r="G152" s="207"/>
      <c r="H152" s="208"/>
      <c r="I152" s="208"/>
      <c r="J152" s="208"/>
      <c r="K152" s="208"/>
      <c r="L152" s="208"/>
      <c r="M152" s="208"/>
      <c r="N152" s="208"/>
      <c r="O152" s="208"/>
      <c r="P152" s="208"/>
      <c r="Q152" s="208"/>
      <c r="R152" s="208"/>
      <c r="S152" s="208"/>
      <c r="T152" s="207"/>
      <c r="U152" s="207"/>
      <c r="V152" s="207"/>
      <c r="W152" s="207"/>
      <c r="X152" s="207"/>
      <c r="Y152" s="207"/>
      <c r="Z152" s="209"/>
      <c r="AA152" s="209"/>
      <c r="AB152" s="209"/>
      <c r="AC152" s="209"/>
      <c r="AD152" s="209"/>
      <c r="AE152" s="209"/>
      <c r="AF152" s="209"/>
      <c r="AG152" s="209"/>
      <c r="AH152" s="209"/>
      <c r="AI152" s="209"/>
      <c r="AJ152" s="209"/>
      <c r="AK152" s="209"/>
      <c r="AL152" s="209"/>
      <c r="AM152" s="209"/>
      <c r="AN152" s="207"/>
      <c r="AO152" s="207"/>
      <c r="AP152" s="207"/>
      <c r="AQ152" s="207"/>
      <c r="AR152" s="207"/>
      <c r="AS152" s="207"/>
      <c r="AT152" s="207"/>
      <c r="AU152" s="207"/>
      <c r="AV152" s="207"/>
      <c r="AW152" s="207"/>
      <c r="AX152" s="207"/>
      <c r="AY152" s="207"/>
      <c r="AZ152" s="207"/>
      <c r="BA152" s="207"/>
      <c r="BB152" s="207"/>
      <c r="BC152" s="207"/>
      <c r="BD152" s="207"/>
      <c r="BE152" s="207"/>
      <c r="BF152" s="207"/>
      <c r="BG152" s="207"/>
      <c r="BH152" s="207"/>
      <c r="BI152" s="207"/>
      <c r="BJ152" s="207"/>
      <c r="BK152" s="207"/>
      <c r="BL152" s="207"/>
      <c r="BM152" s="207"/>
      <c r="BN152" s="207"/>
      <c r="BO152" s="207"/>
      <c r="BP152" s="207"/>
      <c r="BQ152" s="207"/>
      <c r="BR152" s="207"/>
      <c r="BS152" s="207"/>
      <c r="BT152" s="207"/>
      <c r="BU152" s="207"/>
      <c r="BV152" s="207"/>
      <c r="BW152" s="207"/>
      <c r="BX152" s="207"/>
      <c r="BY152" s="207"/>
      <c r="BZ152" s="207"/>
      <c r="CA152" s="207"/>
      <c r="CB152" s="207"/>
      <c r="CC152" s="207"/>
      <c r="CD152" s="207"/>
      <c r="CE152" s="207"/>
      <c r="CF152" s="207"/>
      <c r="CG152" s="207"/>
      <c r="CH152" s="207"/>
      <c r="CI152" s="207"/>
      <c r="CJ152" s="207"/>
      <c r="CK152" s="207"/>
      <c r="CL152" s="207"/>
      <c r="CM152" s="207"/>
      <c r="CN152" s="207"/>
      <c r="CO152" s="207"/>
      <c r="CP152" s="207"/>
      <c r="CQ152" s="207"/>
      <c r="CR152" s="207"/>
      <c r="CS152" s="207"/>
      <c r="CT152" s="207"/>
      <c r="CU152" s="207"/>
      <c r="CV152" s="207"/>
      <c r="CW152" s="207"/>
      <c r="CX152" s="207"/>
      <c r="CY152" s="207"/>
      <c r="CZ152" s="207"/>
      <c r="DA152" s="207"/>
      <c r="DB152" s="207"/>
      <c r="DC152" s="207"/>
      <c r="DD152" s="207"/>
    </row>
    <row r="153">
      <c r="A153" s="204"/>
      <c r="B153" s="205"/>
      <c r="C153" s="204"/>
      <c r="D153" s="206"/>
      <c r="E153" s="207"/>
      <c r="F153" s="207"/>
      <c r="G153" s="207"/>
      <c r="H153" s="208"/>
      <c r="I153" s="208"/>
      <c r="J153" s="208"/>
      <c r="K153" s="208"/>
      <c r="L153" s="208"/>
      <c r="M153" s="208"/>
      <c r="N153" s="208"/>
      <c r="O153" s="208"/>
      <c r="P153" s="208"/>
      <c r="Q153" s="208"/>
      <c r="R153" s="208"/>
      <c r="S153" s="208"/>
      <c r="T153" s="207"/>
      <c r="U153" s="207"/>
      <c r="V153" s="207"/>
      <c r="W153" s="207"/>
      <c r="X153" s="207"/>
      <c r="Y153" s="207"/>
      <c r="Z153" s="209"/>
      <c r="AA153" s="209"/>
      <c r="AB153" s="209"/>
      <c r="AC153" s="209"/>
      <c r="AD153" s="209"/>
      <c r="AE153" s="209"/>
      <c r="AF153" s="209"/>
      <c r="AG153" s="209"/>
      <c r="AH153" s="209"/>
      <c r="AI153" s="209"/>
      <c r="AJ153" s="209"/>
      <c r="AK153" s="209"/>
      <c r="AL153" s="209"/>
      <c r="AM153" s="209"/>
      <c r="AN153" s="207"/>
      <c r="AO153" s="207"/>
      <c r="AP153" s="207"/>
      <c r="AQ153" s="207"/>
      <c r="AR153" s="207"/>
      <c r="AS153" s="207"/>
      <c r="AT153" s="207"/>
      <c r="AU153" s="207"/>
      <c r="AV153" s="207"/>
      <c r="AW153" s="207"/>
      <c r="AX153" s="207"/>
      <c r="AY153" s="207"/>
      <c r="AZ153" s="207"/>
      <c r="BA153" s="207"/>
      <c r="BB153" s="207"/>
      <c r="BC153" s="207"/>
      <c r="BD153" s="207"/>
      <c r="BE153" s="207"/>
      <c r="BF153" s="207"/>
      <c r="BG153" s="207"/>
      <c r="BH153" s="207"/>
      <c r="BI153" s="207"/>
      <c r="BJ153" s="207"/>
      <c r="BK153" s="207"/>
      <c r="BL153" s="207"/>
      <c r="BM153" s="207"/>
      <c r="BN153" s="207"/>
      <c r="BO153" s="207"/>
      <c r="BP153" s="207"/>
      <c r="BQ153" s="207"/>
      <c r="BR153" s="207"/>
      <c r="BS153" s="207"/>
      <c r="BT153" s="207"/>
      <c r="BU153" s="207"/>
      <c r="BV153" s="207"/>
      <c r="BW153" s="207"/>
      <c r="BX153" s="207"/>
      <c r="BY153" s="207"/>
      <c r="BZ153" s="207"/>
      <c r="CA153" s="207"/>
      <c r="CB153" s="207"/>
      <c r="CC153" s="207"/>
      <c r="CD153" s="207"/>
      <c r="CE153" s="207"/>
      <c r="CF153" s="207"/>
      <c r="CG153" s="207"/>
      <c r="CH153" s="207"/>
      <c r="CI153" s="207"/>
      <c r="CJ153" s="207"/>
      <c r="CK153" s="207"/>
      <c r="CL153" s="207"/>
      <c r="CM153" s="207"/>
      <c r="CN153" s="207"/>
      <c r="CO153" s="207"/>
      <c r="CP153" s="207"/>
      <c r="CQ153" s="207"/>
      <c r="CR153" s="207"/>
      <c r="CS153" s="207"/>
      <c r="CT153" s="207"/>
      <c r="CU153" s="207"/>
      <c r="CV153" s="207"/>
      <c r="CW153" s="207"/>
      <c r="CX153" s="207"/>
      <c r="CY153" s="207"/>
      <c r="CZ153" s="207"/>
      <c r="DA153" s="207"/>
      <c r="DB153" s="207"/>
      <c r="DC153" s="207"/>
      <c r="DD153" s="207"/>
    </row>
    <row r="154">
      <c r="A154" s="204"/>
      <c r="B154" s="205"/>
      <c r="C154" s="204"/>
      <c r="D154" s="206"/>
      <c r="E154" s="207"/>
      <c r="F154" s="207"/>
      <c r="G154" s="207"/>
      <c r="H154" s="208"/>
      <c r="I154" s="208"/>
      <c r="J154" s="208"/>
      <c r="K154" s="208"/>
      <c r="L154" s="208"/>
      <c r="M154" s="208"/>
      <c r="N154" s="208"/>
      <c r="O154" s="208"/>
      <c r="P154" s="208"/>
      <c r="Q154" s="208"/>
      <c r="R154" s="208"/>
      <c r="S154" s="208"/>
      <c r="T154" s="207"/>
      <c r="U154" s="207"/>
      <c r="V154" s="207"/>
      <c r="W154" s="207"/>
      <c r="X154" s="207"/>
      <c r="Y154" s="207"/>
      <c r="Z154" s="209"/>
      <c r="AA154" s="209"/>
      <c r="AB154" s="209"/>
      <c r="AC154" s="209"/>
      <c r="AD154" s="209"/>
      <c r="AE154" s="209"/>
      <c r="AF154" s="209"/>
      <c r="AG154" s="209"/>
      <c r="AH154" s="209"/>
      <c r="AI154" s="209"/>
      <c r="AJ154" s="209"/>
      <c r="AK154" s="209"/>
      <c r="AL154" s="209"/>
      <c r="AM154" s="209"/>
      <c r="AN154" s="207"/>
      <c r="AO154" s="207"/>
      <c r="AP154" s="207"/>
      <c r="AQ154" s="207"/>
      <c r="AR154" s="207"/>
      <c r="AS154" s="207"/>
      <c r="AT154" s="207"/>
      <c r="AU154" s="207"/>
      <c r="AV154" s="207"/>
      <c r="AW154" s="207"/>
      <c r="AX154" s="207"/>
      <c r="AY154" s="207"/>
      <c r="AZ154" s="207"/>
      <c r="BA154" s="207"/>
      <c r="BB154" s="207"/>
      <c r="BC154" s="207"/>
      <c r="BD154" s="207"/>
      <c r="BE154" s="207"/>
      <c r="BF154" s="207"/>
      <c r="BG154" s="207"/>
      <c r="BH154" s="207"/>
      <c r="BI154" s="207"/>
      <c r="BJ154" s="207"/>
      <c r="BK154" s="207"/>
      <c r="BL154" s="207"/>
      <c r="BM154" s="207"/>
      <c r="BN154" s="207"/>
      <c r="BO154" s="207"/>
      <c r="BP154" s="207"/>
      <c r="BQ154" s="207"/>
      <c r="BR154" s="207"/>
      <c r="BS154" s="207"/>
      <c r="BT154" s="207"/>
      <c r="BU154" s="207"/>
      <c r="BV154" s="207"/>
      <c r="BW154" s="207"/>
      <c r="BX154" s="207"/>
      <c r="BY154" s="207"/>
      <c r="BZ154" s="207"/>
      <c r="CA154" s="207"/>
      <c r="CB154" s="207"/>
      <c r="CC154" s="207"/>
      <c r="CD154" s="207"/>
      <c r="CE154" s="207"/>
      <c r="CF154" s="207"/>
      <c r="CG154" s="207"/>
      <c r="CH154" s="207"/>
      <c r="CI154" s="207"/>
      <c r="CJ154" s="207"/>
      <c r="CK154" s="207"/>
      <c r="CL154" s="207"/>
      <c r="CM154" s="207"/>
      <c r="CN154" s="207"/>
      <c r="CO154" s="207"/>
      <c r="CP154" s="207"/>
      <c r="CQ154" s="207"/>
      <c r="CR154" s="207"/>
      <c r="CS154" s="207"/>
      <c r="CT154" s="207"/>
      <c r="CU154" s="207"/>
      <c r="CV154" s="207"/>
      <c r="CW154" s="207"/>
      <c r="CX154" s="207"/>
      <c r="CY154" s="207"/>
      <c r="CZ154" s="207"/>
      <c r="DA154" s="207"/>
      <c r="DB154" s="207"/>
      <c r="DC154" s="207"/>
      <c r="DD154" s="207"/>
    </row>
    <row r="155">
      <c r="A155" s="204"/>
      <c r="B155" s="205"/>
      <c r="C155" s="204"/>
      <c r="D155" s="206"/>
      <c r="E155" s="207"/>
      <c r="F155" s="207"/>
      <c r="G155" s="207"/>
      <c r="H155" s="208"/>
      <c r="I155" s="208"/>
      <c r="J155" s="208"/>
      <c r="K155" s="208"/>
      <c r="L155" s="208"/>
      <c r="M155" s="208"/>
      <c r="N155" s="208"/>
      <c r="O155" s="208"/>
      <c r="P155" s="208"/>
      <c r="Q155" s="208"/>
      <c r="R155" s="208"/>
      <c r="S155" s="208"/>
      <c r="T155" s="207"/>
      <c r="U155" s="207"/>
      <c r="V155" s="207"/>
      <c r="W155" s="207"/>
      <c r="X155" s="207"/>
      <c r="Y155" s="207"/>
      <c r="Z155" s="209"/>
      <c r="AA155" s="209"/>
      <c r="AB155" s="209"/>
      <c r="AC155" s="209"/>
      <c r="AD155" s="209"/>
      <c r="AE155" s="209"/>
      <c r="AF155" s="209"/>
      <c r="AG155" s="209"/>
      <c r="AH155" s="209"/>
      <c r="AI155" s="209"/>
      <c r="AJ155" s="209"/>
      <c r="AK155" s="209"/>
      <c r="AL155" s="209"/>
      <c r="AM155" s="209"/>
      <c r="AN155" s="207"/>
      <c r="AO155" s="207"/>
      <c r="AP155" s="207"/>
      <c r="AQ155" s="207"/>
      <c r="AR155" s="207"/>
      <c r="AS155" s="207"/>
      <c r="AT155" s="207"/>
      <c r="AU155" s="207"/>
      <c r="AV155" s="207"/>
      <c r="AW155" s="207"/>
      <c r="AX155" s="207"/>
      <c r="AY155" s="207"/>
      <c r="AZ155" s="207"/>
      <c r="BA155" s="207"/>
      <c r="BB155" s="207"/>
      <c r="BC155" s="207"/>
      <c r="BD155" s="207"/>
      <c r="BE155" s="207"/>
      <c r="BF155" s="207"/>
      <c r="BG155" s="207"/>
      <c r="BH155" s="207"/>
      <c r="BI155" s="207"/>
      <c r="BJ155" s="207"/>
      <c r="BK155" s="207"/>
      <c r="BL155" s="207"/>
      <c r="BM155" s="207"/>
      <c r="BN155" s="207"/>
      <c r="BO155" s="207"/>
      <c r="BP155" s="207"/>
      <c r="BQ155" s="207"/>
      <c r="BR155" s="207"/>
      <c r="BS155" s="207"/>
      <c r="BT155" s="207"/>
      <c r="BU155" s="207"/>
      <c r="BV155" s="207"/>
      <c r="BW155" s="207"/>
      <c r="BX155" s="207"/>
      <c r="BY155" s="207"/>
      <c r="BZ155" s="207"/>
      <c r="CA155" s="207"/>
      <c r="CB155" s="207"/>
      <c r="CC155" s="207"/>
      <c r="CD155" s="207"/>
      <c r="CE155" s="207"/>
      <c r="CF155" s="207"/>
      <c r="CG155" s="207"/>
      <c r="CH155" s="207"/>
      <c r="CI155" s="207"/>
      <c r="CJ155" s="207"/>
      <c r="CK155" s="207"/>
      <c r="CL155" s="207"/>
      <c r="CM155" s="207"/>
      <c r="CN155" s="207"/>
      <c r="CO155" s="207"/>
      <c r="CP155" s="207"/>
      <c r="CQ155" s="207"/>
      <c r="CR155" s="207"/>
      <c r="CS155" s="207"/>
      <c r="CT155" s="207"/>
      <c r="CU155" s="207"/>
      <c r="CV155" s="207"/>
      <c r="CW155" s="207"/>
      <c r="CX155" s="207"/>
      <c r="CY155" s="207"/>
      <c r="CZ155" s="207"/>
      <c r="DA155" s="207"/>
      <c r="DB155" s="207"/>
      <c r="DC155" s="207"/>
      <c r="DD155" s="207"/>
    </row>
    <row r="156">
      <c r="A156" s="204"/>
      <c r="B156" s="205"/>
      <c r="C156" s="204"/>
      <c r="D156" s="206"/>
      <c r="E156" s="207"/>
      <c r="F156" s="207"/>
      <c r="G156" s="207"/>
      <c r="H156" s="208"/>
      <c r="I156" s="208"/>
      <c r="J156" s="208"/>
      <c r="K156" s="208"/>
      <c r="L156" s="208"/>
      <c r="M156" s="208"/>
      <c r="N156" s="208"/>
      <c r="O156" s="208"/>
      <c r="P156" s="208"/>
      <c r="Q156" s="208"/>
      <c r="R156" s="208"/>
      <c r="S156" s="208"/>
      <c r="T156" s="207"/>
      <c r="U156" s="207"/>
      <c r="V156" s="207"/>
      <c r="W156" s="207"/>
      <c r="X156" s="207"/>
      <c r="Y156" s="207"/>
      <c r="Z156" s="209"/>
      <c r="AA156" s="209"/>
      <c r="AB156" s="209"/>
      <c r="AC156" s="209"/>
      <c r="AD156" s="209"/>
      <c r="AE156" s="209"/>
      <c r="AF156" s="209"/>
      <c r="AG156" s="209"/>
      <c r="AH156" s="209"/>
      <c r="AI156" s="209"/>
      <c r="AJ156" s="209"/>
      <c r="AK156" s="209"/>
      <c r="AL156" s="209"/>
      <c r="AM156" s="209"/>
      <c r="AN156" s="207"/>
      <c r="AO156" s="207"/>
      <c r="AP156" s="207"/>
      <c r="AQ156" s="207"/>
      <c r="AR156" s="207"/>
      <c r="AS156" s="207"/>
      <c r="AT156" s="207"/>
      <c r="AU156" s="207"/>
      <c r="AV156" s="207"/>
      <c r="AW156" s="207"/>
      <c r="AX156" s="207"/>
      <c r="AY156" s="207"/>
      <c r="AZ156" s="207"/>
      <c r="BA156" s="207"/>
      <c r="BB156" s="207"/>
      <c r="BC156" s="207"/>
      <c r="BD156" s="207"/>
      <c r="BE156" s="207"/>
      <c r="BF156" s="207"/>
      <c r="BG156" s="207"/>
      <c r="BH156" s="207"/>
      <c r="BI156" s="207"/>
      <c r="BJ156" s="207"/>
      <c r="BK156" s="207"/>
      <c r="BL156" s="207"/>
      <c r="BM156" s="207"/>
      <c r="BN156" s="207"/>
      <c r="BO156" s="207"/>
      <c r="BP156" s="207"/>
      <c r="BQ156" s="207"/>
      <c r="BR156" s="207"/>
      <c r="BS156" s="207"/>
      <c r="BT156" s="207"/>
      <c r="BU156" s="207"/>
      <c r="BV156" s="207"/>
      <c r="BW156" s="207"/>
      <c r="BX156" s="207"/>
      <c r="BY156" s="207"/>
      <c r="BZ156" s="207"/>
      <c r="CA156" s="207"/>
      <c r="CB156" s="207"/>
      <c r="CC156" s="207"/>
      <c r="CD156" s="207"/>
      <c r="CE156" s="207"/>
      <c r="CF156" s="207"/>
      <c r="CG156" s="207"/>
      <c r="CH156" s="207"/>
      <c r="CI156" s="207"/>
      <c r="CJ156" s="207"/>
      <c r="CK156" s="207"/>
      <c r="CL156" s="207"/>
      <c r="CM156" s="207"/>
      <c r="CN156" s="207"/>
      <c r="CO156" s="207"/>
      <c r="CP156" s="207"/>
      <c r="CQ156" s="207"/>
      <c r="CR156" s="207"/>
      <c r="CS156" s="207"/>
      <c r="CT156" s="207"/>
      <c r="CU156" s="207"/>
      <c r="CV156" s="207"/>
      <c r="CW156" s="207"/>
      <c r="CX156" s="207"/>
      <c r="CY156" s="207"/>
      <c r="CZ156" s="207"/>
      <c r="DA156" s="207"/>
      <c r="DB156" s="207"/>
      <c r="DC156" s="207"/>
      <c r="DD156" s="207"/>
    </row>
    <row r="157">
      <c r="A157" s="204"/>
      <c r="B157" s="205"/>
      <c r="C157" s="204"/>
      <c r="D157" s="206"/>
      <c r="E157" s="207"/>
      <c r="F157" s="207"/>
      <c r="G157" s="207"/>
      <c r="H157" s="208"/>
      <c r="I157" s="208"/>
      <c r="J157" s="208"/>
      <c r="K157" s="208"/>
      <c r="L157" s="208"/>
      <c r="M157" s="208"/>
      <c r="N157" s="208"/>
      <c r="O157" s="208"/>
      <c r="P157" s="208"/>
      <c r="Q157" s="208"/>
      <c r="R157" s="208"/>
      <c r="S157" s="208"/>
      <c r="T157" s="207"/>
      <c r="U157" s="207"/>
      <c r="V157" s="207"/>
      <c r="W157" s="207"/>
      <c r="X157" s="207"/>
      <c r="Y157" s="207"/>
      <c r="Z157" s="209"/>
      <c r="AA157" s="209"/>
      <c r="AB157" s="209"/>
      <c r="AC157" s="209"/>
      <c r="AD157" s="209"/>
      <c r="AE157" s="209"/>
      <c r="AF157" s="209"/>
      <c r="AG157" s="209"/>
      <c r="AH157" s="209"/>
      <c r="AI157" s="209"/>
      <c r="AJ157" s="209"/>
      <c r="AK157" s="209"/>
      <c r="AL157" s="209"/>
      <c r="AM157" s="209"/>
      <c r="AN157" s="207"/>
      <c r="AO157" s="207"/>
      <c r="AP157" s="207"/>
      <c r="AQ157" s="207"/>
      <c r="AR157" s="207"/>
      <c r="AS157" s="207"/>
      <c r="AT157" s="207"/>
      <c r="AU157" s="207"/>
      <c r="AV157" s="207"/>
      <c r="AW157" s="207"/>
      <c r="AX157" s="207"/>
      <c r="AY157" s="207"/>
      <c r="AZ157" s="207"/>
      <c r="BA157" s="207"/>
      <c r="BB157" s="207"/>
      <c r="BC157" s="207"/>
      <c r="BD157" s="207"/>
      <c r="BE157" s="207"/>
      <c r="BF157" s="207"/>
      <c r="BG157" s="207"/>
      <c r="BH157" s="207"/>
      <c r="BI157" s="207"/>
      <c r="BJ157" s="207"/>
      <c r="BK157" s="207"/>
      <c r="BL157" s="207"/>
      <c r="BM157" s="207"/>
      <c r="BN157" s="207"/>
      <c r="BO157" s="207"/>
      <c r="BP157" s="207"/>
      <c r="BQ157" s="207"/>
      <c r="BR157" s="207"/>
      <c r="BS157" s="207"/>
      <c r="BT157" s="207"/>
      <c r="BU157" s="207"/>
      <c r="BV157" s="207"/>
      <c r="BW157" s="207"/>
      <c r="BX157" s="207"/>
      <c r="BY157" s="207"/>
      <c r="BZ157" s="207"/>
      <c r="CA157" s="207"/>
      <c r="CB157" s="207"/>
      <c r="CC157" s="207"/>
      <c r="CD157" s="207"/>
      <c r="CE157" s="207"/>
      <c r="CF157" s="207"/>
      <c r="CG157" s="207"/>
      <c r="CH157" s="207"/>
      <c r="CI157" s="207"/>
      <c r="CJ157" s="207"/>
      <c r="CK157" s="207"/>
      <c r="CL157" s="207"/>
      <c r="CM157" s="207"/>
      <c r="CN157" s="207"/>
      <c r="CO157" s="207"/>
      <c r="CP157" s="207"/>
      <c r="CQ157" s="207"/>
      <c r="CR157" s="207"/>
      <c r="CS157" s="207"/>
      <c r="CT157" s="207"/>
      <c r="CU157" s="207"/>
      <c r="CV157" s="207"/>
      <c r="CW157" s="207"/>
      <c r="CX157" s="207"/>
      <c r="CY157" s="207"/>
      <c r="CZ157" s="207"/>
      <c r="DA157" s="207"/>
      <c r="DB157" s="207"/>
      <c r="DC157" s="207"/>
      <c r="DD157" s="207"/>
    </row>
    <row r="158">
      <c r="A158" s="204"/>
      <c r="B158" s="205"/>
      <c r="C158" s="204"/>
      <c r="D158" s="206"/>
      <c r="E158" s="207"/>
      <c r="F158" s="207"/>
      <c r="G158" s="207"/>
      <c r="H158" s="208"/>
      <c r="I158" s="208"/>
      <c r="J158" s="208"/>
      <c r="K158" s="208"/>
      <c r="L158" s="208"/>
      <c r="M158" s="208"/>
      <c r="N158" s="208"/>
      <c r="O158" s="208"/>
      <c r="P158" s="208"/>
      <c r="Q158" s="208"/>
      <c r="R158" s="208"/>
      <c r="S158" s="208"/>
      <c r="T158" s="207"/>
      <c r="U158" s="207"/>
      <c r="V158" s="207"/>
      <c r="W158" s="207"/>
      <c r="X158" s="207"/>
      <c r="Y158" s="207"/>
      <c r="Z158" s="209"/>
      <c r="AA158" s="209"/>
      <c r="AB158" s="209"/>
      <c r="AC158" s="209"/>
      <c r="AD158" s="209"/>
      <c r="AE158" s="209"/>
      <c r="AF158" s="209"/>
      <c r="AG158" s="209"/>
      <c r="AH158" s="209"/>
      <c r="AI158" s="209"/>
      <c r="AJ158" s="209"/>
      <c r="AK158" s="209"/>
      <c r="AL158" s="209"/>
      <c r="AM158" s="209"/>
      <c r="AN158" s="207"/>
      <c r="AO158" s="207"/>
      <c r="AP158" s="207"/>
      <c r="AQ158" s="207"/>
      <c r="AR158" s="207"/>
      <c r="AS158" s="207"/>
      <c r="AT158" s="207"/>
      <c r="AU158" s="207"/>
      <c r="AV158" s="207"/>
      <c r="AW158" s="207"/>
      <c r="AX158" s="207"/>
      <c r="AY158" s="207"/>
      <c r="AZ158" s="207"/>
      <c r="BA158" s="207"/>
      <c r="BB158" s="207"/>
      <c r="BC158" s="207"/>
      <c r="BD158" s="207"/>
      <c r="BE158" s="207"/>
      <c r="BF158" s="207"/>
      <c r="BG158" s="207"/>
      <c r="BH158" s="207"/>
      <c r="BI158" s="207"/>
      <c r="BJ158" s="207"/>
      <c r="BK158" s="207"/>
      <c r="BL158" s="207"/>
      <c r="BM158" s="207"/>
      <c r="BN158" s="207"/>
      <c r="BO158" s="207"/>
      <c r="BP158" s="207"/>
      <c r="BQ158" s="207"/>
      <c r="BR158" s="207"/>
      <c r="BS158" s="207"/>
      <c r="BT158" s="207"/>
      <c r="BU158" s="207"/>
      <c r="BV158" s="207"/>
      <c r="BW158" s="207"/>
      <c r="BX158" s="207"/>
      <c r="BY158" s="207"/>
      <c r="BZ158" s="207"/>
      <c r="CA158" s="207"/>
      <c r="CB158" s="207"/>
      <c r="CC158" s="207"/>
      <c r="CD158" s="207"/>
      <c r="CE158" s="207"/>
      <c r="CF158" s="207"/>
      <c r="CG158" s="207"/>
      <c r="CH158" s="207"/>
      <c r="CI158" s="207"/>
      <c r="CJ158" s="207"/>
      <c r="CK158" s="207"/>
      <c r="CL158" s="207"/>
      <c r="CM158" s="207"/>
      <c r="CN158" s="207"/>
      <c r="CO158" s="207"/>
      <c r="CP158" s="207"/>
      <c r="CQ158" s="207"/>
      <c r="CR158" s="207"/>
      <c r="CS158" s="207"/>
      <c r="CT158" s="207"/>
      <c r="CU158" s="207"/>
      <c r="CV158" s="207"/>
      <c r="CW158" s="207"/>
      <c r="CX158" s="207"/>
      <c r="CY158" s="207"/>
      <c r="CZ158" s="207"/>
      <c r="DA158" s="207"/>
      <c r="DB158" s="207"/>
      <c r="DC158" s="207"/>
      <c r="DD158" s="207"/>
    </row>
    <row r="159">
      <c r="A159" s="204"/>
      <c r="B159" s="205"/>
      <c r="C159" s="204"/>
      <c r="D159" s="206"/>
      <c r="E159" s="207"/>
      <c r="F159" s="207"/>
      <c r="G159" s="207"/>
      <c r="H159" s="208"/>
      <c r="I159" s="208"/>
      <c r="J159" s="208"/>
      <c r="K159" s="208"/>
      <c r="L159" s="208"/>
      <c r="M159" s="208"/>
      <c r="N159" s="208"/>
      <c r="O159" s="208"/>
      <c r="P159" s="208"/>
      <c r="Q159" s="208"/>
      <c r="R159" s="208"/>
      <c r="S159" s="208"/>
      <c r="T159" s="207"/>
      <c r="U159" s="207"/>
      <c r="V159" s="207"/>
      <c r="W159" s="207"/>
      <c r="X159" s="207"/>
      <c r="Y159" s="207"/>
      <c r="Z159" s="209"/>
      <c r="AA159" s="209"/>
      <c r="AB159" s="209"/>
      <c r="AC159" s="209"/>
      <c r="AD159" s="209"/>
      <c r="AE159" s="209"/>
      <c r="AF159" s="209"/>
      <c r="AG159" s="209"/>
      <c r="AH159" s="209"/>
      <c r="AI159" s="209"/>
      <c r="AJ159" s="209"/>
      <c r="AK159" s="209"/>
      <c r="AL159" s="209"/>
      <c r="AM159" s="209"/>
      <c r="AN159" s="207"/>
      <c r="AO159" s="207"/>
      <c r="AP159" s="207"/>
      <c r="AQ159" s="207"/>
      <c r="AR159" s="207"/>
      <c r="AS159" s="207"/>
      <c r="AT159" s="207"/>
      <c r="AU159" s="207"/>
      <c r="AV159" s="207"/>
      <c r="AW159" s="207"/>
      <c r="AX159" s="207"/>
      <c r="AY159" s="207"/>
      <c r="AZ159" s="207"/>
      <c r="BA159" s="207"/>
      <c r="BB159" s="207"/>
      <c r="BC159" s="207"/>
      <c r="BD159" s="207"/>
      <c r="BE159" s="207"/>
      <c r="BF159" s="207"/>
      <c r="BG159" s="207"/>
      <c r="BH159" s="207"/>
      <c r="BI159" s="207"/>
      <c r="BJ159" s="207"/>
      <c r="BK159" s="207"/>
      <c r="BL159" s="207"/>
      <c r="BM159" s="207"/>
      <c r="BN159" s="207"/>
      <c r="BO159" s="207"/>
      <c r="BP159" s="207"/>
      <c r="BQ159" s="207"/>
      <c r="BR159" s="207"/>
      <c r="BS159" s="207"/>
      <c r="BT159" s="207"/>
      <c r="BU159" s="207"/>
      <c r="BV159" s="207"/>
      <c r="BW159" s="207"/>
      <c r="BX159" s="207"/>
      <c r="BY159" s="207"/>
      <c r="BZ159" s="207"/>
      <c r="CA159" s="207"/>
      <c r="CB159" s="207"/>
      <c r="CC159" s="207"/>
      <c r="CD159" s="207"/>
      <c r="CE159" s="207"/>
      <c r="CF159" s="207"/>
      <c r="CG159" s="207"/>
      <c r="CH159" s="207"/>
      <c r="CI159" s="207"/>
      <c r="CJ159" s="207"/>
      <c r="CK159" s="207"/>
      <c r="CL159" s="207"/>
      <c r="CM159" s="207"/>
      <c r="CN159" s="207"/>
      <c r="CO159" s="207"/>
      <c r="CP159" s="207"/>
      <c r="CQ159" s="207"/>
      <c r="CR159" s="207"/>
      <c r="CS159" s="207"/>
      <c r="CT159" s="207"/>
      <c r="CU159" s="207"/>
      <c r="CV159" s="207"/>
      <c r="CW159" s="207"/>
      <c r="CX159" s="207"/>
      <c r="CY159" s="207"/>
      <c r="CZ159" s="207"/>
      <c r="DA159" s="207"/>
      <c r="DB159" s="207"/>
      <c r="DC159" s="207"/>
      <c r="DD159" s="207"/>
    </row>
    <row r="160">
      <c r="A160" s="204"/>
      <c r="B160" s="205"/>
      <c r="C160" s="204"/>
      <c r="D160" s="206"/>
      <c r="E160" s="207"/>
      <c r="F160" s="207"/>
      <c r="G160" s="207"/>
      <c r="H160" s="208"/>
      <c r="I160" s="208"/>
      <c r="J160" s="208"/>
      <c r="K160" s="208"/>
      <c r="L160" s="208"/>
      <c r="M160" s="208"/>
      <c r="N160" s="208"/>
      <c r="O160" s="208"/>
      <c r="P160" s="208"/>
      <c r="Q160" s="208"/>
      <c r="R160" s="208"/>
      <c r="S160" s="208"/>
      <c r="T160" s="207"/>
      <c r="U160" s="207"/>
      <c r="V160" s="207"/>
      <c r="W160" s="207"/>
      <c r="X160" s="207"/>
      <c r="Y160" s="207"/>
      <c r="Z160" s="209"/>
      <c r="AA160" s="209"/>
      <c r="AB160" s="209"/>
      <c r="AC160" s="209"/>
      <c r="AD160" s="209"/>
      <c r="AE160" s="209"/>
      <c r="AF160" s="209"/>
      <c r="AG160" s="209"/>
      <c r="AH160" s="209"/>
      <c r="AI160" s="209"/>
      <c r="AJ160" s="209"/>
      <c r="AK160" s="209"/>
      <c r="AL160" s="209"/>
      <c r="AM160" s="209"/>
      <c r="AN160" s="207"/>
      <c r="AO160" s="207"/>
      <c r="AP160" s="207"/>
      <c r="AQ160" s="207"/>
      <c r="AR160" s="207"/>
      <c r="AS160" s="207"/>
      <c r="AT160" s="207"/>
      <c r="AU160" s="207"/>
      <c r="AV160" s="207"/>
      <c r="AW160" s="207"/>
      <c r="AX160" s="207"/>
      <c r="AY160" s="207"/>
      <c r="AZ160" s="207"/>
      <c r="BA160" s="207"/>
      <c r="BB160" s="207"/>
      <c r="BC160" s="207"/>
      <c r="BD160" s="207"/>
      <c r="BE160" s="207"/>
      <c r="BF160" s="207"/>
      <c r="BG160" s="207"/>
      <c r="BH160" s="207"/>
      <c r="BI160" s="207"/>
      <c r="BJ160" s="207"/>
      <c r="BK160" s="207"/>
      <c r="BL160" s="207"/>
      <c r="BM160" s="207"/>
      <c r="BN160" s="207"/>
      <c r="BO160" s="207"/>
      <c r="BP160" s="207"/>
      <c r="BQ160" s="207"/>
      <c r="BR160" s="207"/>
      <c r="BS160" s="207"/>
      <c r="BT160" s="207"/>
      <c r="BU160" s="207"/>
      <c r="BV160" s="207"/>
      <c r="BW160" s="207"/>
      <c r="BX160" s="207"/>
      <c r="BY160" s="207"/>
      <c r="BZ160" s="207"/>
      <c r="CA160" s="207"/>
      <c r="CB160" s="207"/>
      <c r="CC160" s="207"/>
      <c r="CD160" s="207"/>
      <c r="CE160" s="207"/>
      <c r="CF160" s="207"/>
      <c r="CG160" s="207"/>
      <c r="CH160" s="207"/>
      <c r="CI160" s="207"/>
      <c r="CJ160" s="207"/>
      <c r="CK160" s="207"/>
      <c r="CL160" s="207"/>
      <c r="CM160" s="207"/>
      <c r="CN160" s="207"/>
      <c r="CO160" s="207"/>
      <c r="CP160" s="207"/>
      <c r="CQ160" s="207"/>
      <c r="CR160" s="207"/>
      <c r="CS160" s="207"/>
      <c r="CT160" s="207"/>
      <c r="CU160" s="207"/>
      <c r="CV160" s="207"/>
      <c r="CW160" s="207"/>
      <c r="CX160" s="207"/>
      <c r="CY160" s="207"/>
      <c r="CZ160" s="207"/>
      <c r="DA160" s="207"/>
      <c r="DB160" s="207"/>
      <c r="DC160" s="207"/>
      <c r="DD160" s="207"/>
    </row>
    <row r="161">
      <c r="A161" s="204"/>
      <c r="B161" s="205"/>
      <c r="C161" s="204"/>
      <c r="D161" s="206"/>
      <c r="E161" s="207"/>
      <c r="F161" s="207"/>
      <c r="G161" s="207"/>
      <c r="H161" s="208"/>
      <c r="I161" s="208"/>
      <c r="J161" s="208"/>
      <c r="K161" s="208"/>
      <c r="L161" s="208"/>
      <c r="M161" s="208"/>
      <c r="N161" s="208"/>
      <c r="O161" s="208"/>
      <c r="P161" s="208"/>
      <c r="Q161" s="208"/>
      <c r="R161" s="208"/>
      <c r="S161" s="208"/>
      <c r="T161" s="207"/>
      <c r="U161" s="207"/>
      <c r="V161" s="207"/>
      <c r="W161" s="207"/>
      <c r="X161" s="207"/>
      <c r="Y161" s="207"/>
      <c r="Z161" s="209"/>
      <c r="AA161" s="209"/>
      <c r="AB161" s="209"/>
      <c r="AC161" s="209"/>
      <c r="AD161" s="209"/>
      <c r="AE161" s="209"/>
      <c r="AF161" s="209"/>
      <c r="AG161" s="209"/>
      <c r="AH161" s="209"/>
      <c r="AI161" s="209"/>
      <c r="AJ161" s="209"/>
      <c r="AK161" s="209"/>
      <c r="AL161" s="209"/>
      <c r="AM161" s="209"/>
      <c r="AN161" s="207"/>
      <c r="AO161" s="207"/>
      <c r="AP161" s="207"/>
      <c r="AQ161" s="207"/>
      <c r="AR161" s="207"/>
      <c r="AS161" s="207"/>
      <c r="AT161" s="207"/>
      <c r="AU161" s="207"/>
      <c r="AV161" s="207"/>
      <c r="AW161" s="207"/>
      <c r="AX161" s="207"/>
      <c r="AY161" s="207"/>
      <c r="AZ161" s="207"/>
      <c r="BA161" s="207"/>
      <c r="BB161" s="207"/>
      <c r="BC161" s="207"/>
      <c r="BD161" s="207"/>
      <c r="BE161" s="207"/>
      <c r="BF161" s="207"/>
      <c r="BG161" s="207"/>
      <c r="BH161" s="207"/>
      <c r="BI161" s="207"/>
      <c r="BJ161" s="207"/>
      <c r="BK161" s="207"/>
      <c r="BL161" s="207"/>
      <c r="BM161" s="207"/>
      <c r="BN161" s="207"/>
      <c r="BO161" s="207"/>
      <c r="BP161" s="207"/>
      <c r="BQ161" s="207"/>
      <c r="BR161" s="207"/>
      <c r="BS161" s="207"/>
      <c r="BT161" s="207"/>
      <c r="BU161" s="207"/>
      <c r="BV161" s="207"/>
      <c r="BW161" s="207"/>
      <c r="BX161" s="207"/>
      <c r="BY161" s="207"/>
      <c r="BZ161" s="207"/>
      <c r="CA161" s="207"/>
      <c r="CB161" s="207"/>
      <c r="CC161" s="207"/>
      <c r="CD161" s="207"/>
      <c r="CE161" s="207"/>
      <c r="CF161" s="207"/>
      <c r="CG161" s="207"/>
      <c r="CH161" s="207"/>
      <c r="CI161" s="207"/>
      <c r="CJ161" s="207"/>
      <c r="CK161" s="207"/>
      <c r="CL161" s="207"/>
      <c r="CM161" s="207"/>
      <c r="CN161" s="207"/>
      <c r="CO161" s="207"/>
      <c r="CP161" s="207"/>
      <c r="CQ161" s="207"/>
      <c r="CR161" s="207"/>
      <c r="CS161" s="207"/>
      <c r="CT161" s="207"/>
      <c r="CU161" s="207"/>
      <c r="CV161" s="207"/>
      <c r="CW161" s="207"/>
      <c r="CX161" s="207"/>
      <c r="CY161" s="207"/>
      <c r="CZ161" s="207"/>
      <c r="DA161" s="207"/>
      <c r="DB161" s="207"/>
      <c r="DC161" s="207"/>
      <c r="DD161" s="207"/>
    </row>
    <row r="162">
      <c r="A162" s="204"/>
      <c r="B162" s="205"/>
      <c r="C162" s="204"/>
      <c r="D162" s="206"/>
      <c r="E162" s="207"/>
      <c r="F162" s="207"/>
      <c r="G162" s="207"/>
      <c r="H162" s="208"/>
      <c r="I162" s="208"/>
      <c r="J162" s="208"/>
      <c r="K162" s="208"/>
      <c r="L162" s="208"/>
      <c r="M162" s="208"/>
      <c r="N162" s="208"/>
      <c r="O162" s="208"/>
      <c r="P162" s="208"/>
      <c r="Q162" s="208"/>
      <c r="R162" s="208"/>
      <c r="S162" s="208"/>
      <c r="T162" s="207"/>
      <c r="U162" s="207"/>
      <c r="V162" s="207"/>
      <c r="W162" s="207"/>
      <c r="X162" s="207"/>
      <c r="Y162" s="207"/>
      <c r="Z162" s="209"/>
      <c r="AA162" s="209"/>
      <c r="AB162" s="209"/>
      <c r="AC162" s="209"/>
      <c r="AD162" s="209"/>
      <c r="AE162" s="209"/>
      <c r="AF162" s="209"/>
      <c r="AG162" s="209"/>
      <c r="AH162" s="209"/>
      <c r="AI162" s="209"/>
      <c r="AJ162" s="209"/>
      <c r="AK162" s="209"/>
      <c r="AL162" s="209"/>
      <c r="AM162" s="209"/>
      <c r="AN162" s="207"/>
      <c r="AO162" s="207"/>
      <c r="AP162" s="207"/>
      <c r="AQ162" s="207"/>
      <c r="AR162" s="207"/>
      <c r="AS162" s="207"/>
      <c r="AT162" s="207"/>
      <c r="AU162" s="207"/>
      <c r="AV162" s="207"/>
      <c r="AW162" s="207"/>
      <c r="AX162" s="207"/>
      <c r="AY162" s="207"/>
      <c r="AZ162" s="207"/>
      <c r="BA162" s="207"/>
      <c r="BB162" s="207"/>
      <c r="BC162" s="207"/>
      <c r="BD162" s="207"/>
      <c r="BE162" s="207"/>
      <c r="BF162" s="207"/>
      <c r="BG162" s="207"/>
      <c r="BH162" s="207"/>
      <c r="BI162" s="207"/>
      <c r="BJ162" s="207"/>
      <c r="BK162" s="207"/>
      <c r="BL162" s="207"/>
      <c r="BM162" s="207"/>
      <c r="BN162" s="207"/>
      <c r="BO162" s="207"/>
      <c r="BP162" s="207"/>
      <c r="BQ162" s="207"/>
      <c r="BR162" s="207"/>
      <c r="BS162" s="207"/>
      <c r="BT162" s="207"/>
      <c r="BU162" s="207"/>
      <c r="BV162" s="207"/>
      <c r="BW162" s="207"/>
      <c r="BX162" s="207"/>
      <c r="BY162" s="207"/>
      <c r="BZ162" s="207"/>
      <c r="CA162" s="207"/>
      <c r="CB162" s="207"/>
      <c r="CC162" s="207"/>
      <c r="CD162" s="207"/>
      <c r="CE162" s="207"/>
      <c r="CF162" s="207"/>
      <c r="CG162" s="207"/>
      <c r="CH162" s="207"/>
      <c r="CI162" s="207"/>
      <c r="CJ162" s="207"/>
      <c r="CK162" s="207"/>
      <c r="CL162" s="207"/>
      <c r="CM162" s="207"/>
      <c r="CN162" s="207"/>
      <c r="CO162" s="207"/>
      <c r="CP162" s="207"/>
      <c r="CQ162" s="207"/>
      <c r="CR162" s="207"/>
      <c r="CS162" s="207"/>
      <c r="CT162" s="207"/>
      <c r="CU162" s="207"/>
      <c r="CV162" s="207"/>
      <c r="CW162" s="207"/>
      <c r="CX162" s="207"/>
      <c r="CY162" s="207"/>
      <c r="CZ162" s="207"/>
      <c r="DA162" s="207"/>
      <c r="DB162" s="207"/>
      <c r="DC162" s="207"/>
      <c r="DD162" s="207"/>
    </row>
    <row r="163">
      <c r="A163" s="204"/>
      <c r="B163" s="205"/>
      <c r="C163" s="204"/>
      <c r="D163" s="206"/>
      <c r="E163" s="207"/>
      <c r="F163" s="207"/>
      <c r="G163" s="207"/>
      <c r="H163" s="208"/>
      <c r="I163" s="208"/>
      <c r="J163" s="208"/>
      <c r="K163" s="208"/>
      <c r="L163" s="208"/>
      <c r="M163" s="208"/>
      <c r="N163" s="208"/>
      <c r="O163" s="208"/>
      <c r="P163" s="208"/>
      <c r="Q163" s="208"/>
      <c r="R163" s="208"/>
      <c r="S163" s="208"/>
      <c r="T163" s="207"/>
      <c r="U163" s="207"/>
      <c r="V163" s="207"/>
      <c r="W163" s="207"/>
      <c r="X163" s="207"/>
      <c r="Y163" s="207"/>
      <c r="Z163" s="209"/>
      <c r="AA163" s="209"/>
      <c r="AB163" s="209"/>
      <c r="AC163" s="209"/>
      <c r="AD163" s="209"/>
      <c r="AE163" s="209"/>
      <c r="AF163" s="209"/>
      <c r="AG163" s="209"/>
      <c r="AH163" s="209"/>
      <c r="AI163" s="209"/>
      <c r="AJ163" s="209"/>
      <c r="AK163" s="209"/>
      <c r="AL163" s="209"/>
      <c r="AM163" s="209"/>
      <c r="AN163" s="207"/>
      <c r="AO163" s="207"/>
      <c r="AP163" s="207"/>
      <c r="AQ163" s="207"/>
      <c r="AR163" s="207"/>
      <c r="AS163" s="207"/>
      <c r="AT163" s="207"/>
      <c r="AU163" s="207"/>
      <c r="AV163" s="207"/>
      <c r="AW163" s="207"/>
      <c r="AX163" s="207"/>
      <c r="AY163" s="207"/>
      <c r="AZ163" s="207"/>
      <c r="BA163" s="207"/>
      <c r="BB163" s="207"/>
      <c r="BC163" s="207"/>
      <c r="BD163" s="207"/>
      <c r="BE163" s="207"/>
      <c r="BF163" s="207"/>
      <c r="BG163" s="207"/>
      <c r="BH163" s="207"/>
      <c r="BI163" s="207"/>
      <c r="BJ163" s="207"/>
      <c r="BK163" s="207"/>
      <c r="BL163" s="207"/>
      <c r="BM163" s="207"/>
      <c r="BN163" s="207"/>
      <c r="BO163" s="207"/>
      <c r="BP163" s="207"/>
      <c r="BQ163" s="207"/>
      <c r="BR163" s="207"/>
      <c r="BS163" s="207"/>
      <c r="BT163" s="207"/>
      <c r="BU163" s="207"/>
      <c r="BV163" s="207"/>
      <c r="BW163" s="207"/>
      <c r="BX163" s="207"/>
      <c r="BY163" s="207"/>
      <c r="BZ163" s="207"/>
      <c r="CA163" s="207"/>
      <c r="CB163" s="207"/>
      <c r="CC163" s="207"/>
      <c r="CD163" s="207"/>
      <c r="CE163" s="207"/>
      <c r="CF163" s="207"/>
      <c r="CG163" s="207"/>
      <c r="CH163" s="207"/>
      <c r="CI163" s="207"/>
      <c r="CJ163" s="207"/>
      <c r="CK163" s="207"/>
      <c r="CL163" s="207"/>
      <c r="CM163" s="207"/>
      <c r="CN163" s="207"/>
      <c r="CO163" s="207"/>
      <c r="CP163" s="207"/>
      <c r="CQ163" s="207"/>
      <c r="CR163" s="207"/>
      <c r="CS163" s="207"/>
      <c r="CT163" s="207"/>
      <c r="CU163" s="207"/>
      <c r="CV163" s="207"/>
      <c r="CW163" s="207"/>
      <c r="CX163" s="207"/>
      <c r="CY163" s="207"/>
      <c r="CZ163" s="207"/>
      <c r="DA163" s="207"/>
      <c r="DB163" s="207"/>
      <c r="DC163" s="207"/>
      <c r="DD163" s="207"/>
    </row>
    <row r="164">
      <c r="A164" s="204"/>
      <c r="B164" s="205"/>
      <c r="C164" s="204"/>
      <c r="D164" s="206"/>
      <c r="E164" s="207"/>
      <c r="F164" s="207"/>
      <c r="G164" s="207"/>
      <c r="H164" s="208"/>
      <c r="I164" s="208"/>
      <c r="J164" s="208"/>
      <c r="K164" s="208"/>
      <c r="L164" s="208"/>
      <c r="M164" s="208"/>
      <c r="N164" s="208"/>
      <c r="O164" s="208"/>
      <c r="P164" s="208"/>
      <c r="Q164" s="208"/>
      <c r="R164" s="208"/>
      <c r="S164" s="208"/>
      <c r="T164" s="207"/>
      <c r="U164" s="207"/>
      <c r="V164" s="207"/>
      <c r="W164" s="207"/>
      <c r="X164" s="207"/>
      <c r="Y164" s="207"/>
      <c r="Z164" s="209"/>
      <c r="AA164" s="209"/>
      <c r="AB164" s="209"/>
      <c r="AC164" s="209"/>
      <c r="AD164" s="209"/>
      <c r="AE164" s="209"/>
      <c r="AF164" s="209"/>
      <c r="AG164" s="209"/>
      <c r="AH164" s="209"/>
      <c r="AI164" s="209"/>
      <c r="AJ164" s="209"/>
      <c r="AK164" s="209"/>
      <c r="AL164" s="209"/>
      <c r="AM164" s="209"/>
      <c r="AN164" s="207"/>
      <c r="AO164" s="207"/>
      <c r="AP164" s="207"/>
      <c r="AQ164" s="207"/>
      <c r="AR164" s="207"/>
      <c r="AS164" s="207"/>
      <c r="AT164" s="207"/>
      <c r="AU164" s="207"/>
      <c r="AV164" s="207"/>
      <c r="AW164" s="207"/>
      <c r="AX164" s="207"/>
      <c r="AY164" s="207"/>
      <c r="AZ164" s="207"/>
      <c r="BA164" s="207"/>
      <c r="BB164" s="207"/>
      <c r="BC164" s="207"/>
      <c r="BD164" s="207"/>
      <c r="BE164" s="207"/>
      <c r="BF164" s="207"/>
      <c r="BG164" s="207"/>
      <c r="BH164" s="207"/>
      <c r="BI164" s="207"/>
      <c r="BJ164" s="207"/>
      <c r="BK164" s="207"/>
      <c r="BL164" s="207"/>
      <c r="BM164" s="207"/>
      <c r="BN164" s="207"/>
      <c r="BO164" s="207"/>
      <c r="BP164" s="207"/>
      <c r="BQ164" s="207"/>
      <c r="BR164" s="207"/>
      <c r="BS164" s="207"/>
      <c r="BT164" s="207"/>
      <c r="BU164" s="207"/>
      <c r="BV164" s="207"/>
      <c r="BW164" s="207"/>
      <c r="BX164" s="207"/>
      <c r="BY164" s="207"/>
      <c r="BZ164" s="207"/>
      <c r="CA164" s="207"/>
      <c r="CB164" s="207"/>
      <c r="CC164" s="207"/>
      <c r="CD164" s="207"/>
      <c r="CE164" s="207"/>
      <c r="CF164" s="207"/>
      <c r="CG164" s="207"/>
      <c r="CH164" s="207"/>
      <c r="CI164" s="207"/>
      <c r="CJ164" s="207"/>
      <c r="CK164" s="207"/>
      <c r="CL164" s="207"/>
      <c r="CM164" s="207"/>
      <c r="CN164" s="207"/>
      <c r="CO164" s="207"/>
      <c r="CP164" s="207"/>
      <c r="CQ164" s="207"/>
      <c r="CR164" s="207"/>
      <c r="CS164" s="207"/>
      <c r="CT164" s="207"/>
      <c r="CU164" s="207"/>
      <c r="CV164" s="207"/>
      <c r="CW164" s="207"/>
      <c r="CX164" s="207"/>
      <c r="CY164" s="207"/>
      <c r="CZ164" s="207"/>
      <c r="DA164" s="207"/>
      <c r="DB164" s="207"/>
      <c r="DC164" s="207"/>
      <c r="DD164" s="207"/>
    </row>
    <row r="165">
      <c r="A165" s="204"/>
      <c r="B165" s="205"/>
      <c r="C165" s="204"/>
      <c r="D165" s="206"/>
      <c r="E165" s="207"/>
      <c r="F165" s="207"/>
      <c r="G165" s="207"/>
      <c r="H165" s="208"/>
      <c r="I165" s="208"/>
      <c r="J165" s="208"/>
      <c r="K165" s="208"/>
      <c r="L165" s="208"/>
      <c r="M165" s="208"/>
      <c r="N165" s="208"/>
      <c r="O165" s="208"/>
      <c r="P165" s="208"/>
      <c r="Q165" s="208"/>
      <c r="R165" s="208"/>
      <c r="S165" s="208"/>
      <c r="T165" s="207"/>
      <c r="U165" s="207"/>
      <c r="V165" s="207"/>
      <c r="W165" s="207"/>
      <c r="X165" s="207"/>
      <c r="Y165" s="207"/>
      <c r="Z165" s="209"/>
      <c r="AA165" s="209"/>
      <c r="AB165" s="209"/>
      <c r="AC165" s="209"/>
      <c r="AD165" s="209"/>
      <c r="AE165" s="209"/>
      <c r="AF165" s="209"/>
      <c r="AG165" s="209"/>
      <c r="AH165" s="209"/>
      <c r="AI165" s="209"/>
      <c r="AJ165" s="209"/>
      <c r="AK165" s="209"/>
      <c r="AL165" s="209"/>
      <c r="AM165" s="209"/>
      <c r="AN165" s="207"/>
      <c r="AO165" s="207"/>
      <c r="AP165" s="207"/>
      <c r="AQ165" s="207"/>
      <c r="AR165" s="207"/>
      <c r="AS165" s="207"/>
      <c r="AT165" s="207"/>
      <c r="AU165" s="207"/>
      <c r="AV165" s="207"/>
      <c r="AW165" s="207"/>
      <c r="AX165" s="207"/>
      <c r="AY165" s="207"/>
      <c r="AZ165" s="207"/>
      <c r="BA165" s="207"/>
      <c r="BB165" s="207"/>
      <c r="BC165" s="207"/>
      <c r="BD165" s="207"/>
      <c r="BE165" s="207"/>
      <c r="BF165" s="207"/>
      <c r="BG165" s="207"/>
      <c r="BH165" s="207"/>
      <c r="BI165" s="207"/>
      <c r="BJ165" s="207"/>
      <c r="BK165" s="207"/>
      <c r="BL165" s="207"/>
      <c r="BM165" s="207"/>
      <c r="BN165" s="207"/>
      <c r="BO165" s="207"/>
      <c r="BP165" s="207"/>
      <c r="BQ165" s="207"/>
      <c r="BR165" s="207"/>
      <c r="BS165" s="207"/>
      <c r="BT165" s="207"/>
      <c r="BU165" s="207"/>
      <c r="BV165" s="207"/>
      <c r="BW165" s="207"/>
      <c r="BX165" s="207"/>
      <c r="BY165" s="207"/>
      <c r="BZ165" s="207"/>
      <c r="CA165" s="207"/>
      <c r="CB165" s="207"/>
      <c r="CC165" s="207"/>
      <c r="CD165" s="207"/>
      <c r="CE165" s="207"/>
      <c r="CF165" s="207"/>
      <c r="CG165" s="207"/>
      <c r="CH165" s="207"/>
      <c r="CI165" s="207"/>
      <c r="CJ165" s="207"/>
      <c r="CK165" s="207"/>
      <c r="CL165" s="207"/>
      <c r="CM165" s="207"/>
      <c r="CN165" s="207"/>
      <c r="CO165" s="207"/>
      <c r="CP165" s="207"/>
      <c r="CQ165" s="207"/>
      <c r="CR165" s="207"/>
      <c r="CS165" s="207"/>
      <c r="CT165" s="207"/>
      <c r="CU165" s="207"/>
      <c r="CV165" s="207"/>
      <c r="CW165" s="207"/>
      <c r="CX165" s="207"/>
      <c r="CY165" s="207"/>
      <c r="CZ165" s="207"/>
      <c r="DA165" s="207"/>
      <c r="DB165" s="207"/>
      <c r="DC165" s="207"/>
      <c r="DD165" s="207"/>
    </row>
    <row r="166">
      <c r="A166" s="204"/>
      <c r="B166" s="205"/>
      <c r="C166" s="204"/>
      <c r="D166" s="206"/>
      <c r="E166" s="207"/>
      <c r="F166" s="207"/>
      <c r="G166" s="207"/>
      <c r="H166" s="208"/>
      <c r="I166" s="208"/>
      <c r="J166" s="208"/>
      <c r="K166" s="208"/>
      <c r="L166" s="208"/>
      <c r="M166" s="208"/>
      <c r="N166" s="208"/>
      <c r="O166" s="208"/>
      <c r="P166" s="208"/>
      <c r="Q166" s="208"/>
      <c r="R166" s="208"/>
      <c r="S166" s="208"/>
      <c r="T166" s="207"/>
      <c r="U166" s="207"/>
      <c r="V166" s="207"/>
      <c r="W166" s="207"/>
      <c r="X166" s="207"/>
      <c r="Y166" s="207"/>
      <c r="Z166" s="209"/>
      <c r="AA166" s="209"/>
      <c r="AB166" s="209"/>
      <c r="AC166" s="209"/>
      <c r="AD166" s="209"/>
      <c r="AE166" s="209"/>
      <c r="AF166" s="209"/>
      <c r="AG166" s="209"/>
      <c r="AH166" s="209"/>
      <c r="AI166" s="209"/>
      <c r="AJ166" s="209"/>
      <c r="AK166" s="209"/>
      <c r="AL166" s="209"/>
      <c r="AM166" s="209"/>
      <c r="AN166" s="207"/>
      <c r="AO166" s="207"/>
      <c r="AP166" s="207"/>
      <c r="AQ166" s="207"/>
      <c r="AR166" s="207"/>
      <c r="AS166" s="207"/>
      <c r="AT166" s="207"/>
      <c r="AU166" s="207"/>
      <c r="AV166" s="207"/>
      <c r="AW166" s="207"/>
      <c r="AX166" s="207"/>
      <c r="AY166" s="207"/>
      <c r="AZ166" s="207"/>
      <c r="BA166" s="207"/>
      <c r="BB166" s="207"/>
      <c r="BC166" s="207"/>
      <c r="BD166" s="207"/>
      <c r="BE166" s="207"/>
      <c r="BF166" s="207"/>
      <c r="BG166" s="207"/>
      <c r="BH166" s="207"/>
      <c r="BI166" s="207"/>
      <c r="BJ166" s="207"/>
      <c r="BK166" s="207"/>
      <c r="BL166" s="207"/>
      <c r="BM166" s="207"/>
      <c r="BN166" s="207"/>
      <c r="BO166" s="207"/>
      <c r="BP166" s="207"/>
      <c r="BQ166" s="207"/>
      <c r="BR166" s="207"/>
      <c r="BS166" s="207"/>
      <c r="BT166" s="207"/>
      <c r="BU166" s="207"/>
      <c r="BV166" s="207"/>
      <c r="BW166" s="207"/>
      <c r="BX166" s="207"/>
      <c r="BY166" s="207"/>
      <c r="BZ166" s="207"/>
      <c r="CA166" s="207"/>
      <c r="CB166" s="207"/>
      <c r="CC166" s="207"/>
      <c r="CD166" s="207"/>
      <c r="CE166" s="207"/>
      <c r="CF166" s="207"/>
      <c r="CG166" s="207"/>
      <c r="CH166" s="207"/>
      <c r="CI166" s="207"/>
      <c r="CJ166" s="207"/>
      <c r="CK166" s="207"/>
      <c r="CL166" s="207"/>
      <c r="CM166" s="207"/>
      <c r="CN166" s="207"/>
      <c r="CO166" s="207"/>
      <c r="CP166" s="207"/>
      <c r="CQ166" s="207"/>
      <c r="CR166" s="207"/>
      <c r="CS166" s="207"/>
      <c r="CT166" s="207"/>
      <c r="CU166" s="207"/>
      <c r="CV166" s="207"/>
      <c r="CW166" s="207"/>
      <c r="CX166" s="207"/>
      <c r="CY166" s="207"/>
      <c r="CZ166" s="207"/>
      <c r="DA166" s="207"/>
      <c r="DB166" s="207"/>
      <c r="DC166" s="207"/>
      <c r="DD166" s="207"/>
    </row>
    <row r="167">
      <c r="A167" s="204"/>
      <c r="B167" s="205"/>
      <c r="C167" s="204"/>
      <c r="D167" s="206"/>
      <c r="E167" s="207"/>
      <c r="F167" s="207"/>
      <c r="G167" s="207"/>
      <c r="H167" s="208"/>
      <c r="I167" s="208"/>
      <c r="J167" s="208"/>
      <c r="K167" s="208"/>
      <c r="L167" s="208"/>
      <c r="M167" s="208"/>
      <c r="N167" s="208"/>
      <c r="O167" s="208"/>
      <c r="P167" s="208"/>
      <c r="Q167" s="208"/>
      <c r="R167" s="208"/>
      <c r="S167" s="208"/>
      <c r="T167" s="207"/>
      <c r="U167" s="207"/>
      <c r="V167" s="207"/>
      <c r="W167" s="207"/>
      <c r="X167" s="207"/>
      <c r="Y167" s="207"/>
      <c r="Z167" s="209"/>
      <c r="AA167" s="209"/>
      <c r="AB167" s="209"/>
      <c r="AC167" s="209"/>
      <c r="AD167" s="209"/>
      <c r="AE167" s="209"/>
      <c r="AF167" s="209"/>
      <c r="AG167" s="209"/>
      <c r="AH167" s="209"/>
      <c r="AI167" s="209"/>
      <c r="AJ167" s="209"/>
      <c r="AK167" s="209"/>
      <c r="AL167" s="209"/>
      <c r="AM167" s="209"/>
      <c r="AN167" s="207"/>
      <c r="AO167" s="207"/>
      <c r="AP167" s="207"/>
      <c r="AQ167" s="207"/>
      <c r="AR167" s="207"/>
      <c r="AS167" s="207"/>
      <c r="AT167" s="207"/>
      <c r="AU167" s="207"/>
      <c r="AV167" s="207"/>
      <c r="AW167" s="207"/>
      <c r="AX167" s="207"/>
      <c r="AY167" s="207"/>
      <c r="AZ167" s="207"/>
      <c r="BA167" s="207"/>
      <c r="BB167" s="207"/>
      <c r="BC167" s="207"/>
      <c r="BD167" s="207"/>
      <c r="BE167" s="207"/>
      <c r="BF167" s="207"/>
      <c r="BG167" s="207"/>
      <c r="BH167" s="207"/>
      <c r="BI167" s="207"/>
      <c r="BJ167" s="207"/>
      <c r="BK167" s="207"/>
      <c r="BL167" s="207"/>
      <c r="BM167" s="207"/>
      <c r="BN167" s="207"/>
      <c r="BO167" s="207"/>
      <c r="BP167" s="207"/>
      <c r="BQ167" s="207"/>
      <c r="BR167" s="207"/>
      <c r="BS167" s="207"/>
      <c r="BT167" s="207"/>
      <c r="BU167" s="207"/>
      <c r="BV167" s="207"/>
      <c r="BW167" s="207"/>
      <c r="BX167" s="207"/>
      <c r="BY167" s="207"/>
      <c r="BZ167" s="207"/>
      <c r="CA167" s="207"/>
      <c r="CB167" s="207"/>
      <c r="CC167" s="207"/>
      <c r="CD167" s="207"/>
      <c r="CE167" s="207"/>
      <c r="CF167" s="207"/>
      <c r="CG167" s="207"/>
      <c r="CH167" s="207"/>
      <c r="CI167" s="207"/>
      <c r="CJ167" s="207"/>
      <c r="CK167" s="207"/>
      <c r="CL167" s="207"/>
      <c r="CM167" s="207"/>
      <c r="CN167" s="207"/>
      <c r="CO167" s="207"/>
      <c r="CP167" s="207"/>
      <c r="CQ167" s="207"/>
      <c r="CR167" s="207"/>
      <c r="CS167" s="207"/>
      <c r="CT167" s="207"/>
      <c r="CU167" s="207"/>
      <c r="CV167" s="207"/>
      <c r="CW167" s="207"/>
      <c r="CX167" s="207"/>
      <c r="CY167" s="207"/>
      <c r="CZ167" s="207"/>
      <c r="DA167" s="207"/>
      <c r="DB167" s="207"/>
      <c r="DC167" s="207"/>
      <c r="DD167" s="207"/>
    </row>
    <row r="168">
      <c r="A168" s="204"/>
      <c r="B168" s="205"/>
      <c r="C168" s="204"/>
      <c r="D168" s="206"/>
      <c r="E168" s="207"/>
      <c r="F168" s="207"/>
      <c r="G168" s="207"/>
      <c r="H168" s="208"/>
      <c r="I168" s="208"/>
      <c r="J168" s="208"/>
      <c r="K168" s="208"/>
      <c r="L168" s="208"/>
      <c r="M168" s="208"/>
      <c r="N168" s="208"/>
      <c r="O168" s="208"/>
      <c r="P168" s="208"/>
      <c r="Q168" s="208"/>
      <c r="R168" s="208"/>
      <c r="S168" s="208"/>
      <c r="T168" s="207"/>
      <c r="U168" s="207"/>
      <c r="V168" s="207"/>
      <c r="W168" s="207"/>
      <c r="X168" s="207"/>
      <c r="Y168" s="207"/>
      <c r="Z168" s="209"/>
      <c r="AA168" s="209"/>
      <c r="AB168" s="209"/>
      <c r="AC168" s="209"/>
      <c r="AD168" s="209"/>
      <c r="AE168" s="209"/>
      <c r="AF168" s="209"/>
      <c r="AG168" s="209"/>
      <c r="AH168" s="209"/>
      <c r="AI168" s="209"/>
      <c r="AJ168" s="209"/>
      <c r="AK168" s="209"/>
      <c r="AL168" s="209"/>
      <c r="AM168" s="209"/>
      <c r="AN168" s="207"/>
      <c r="AO168" s="207"/>
      <c r="AP168" s="207"/>
      <c r="AQ168" s="207"/>
      <c r="AR168" s="207"/>
      <c r="AS168" s="207"/>
      <c r="AT168" s="207"/>
      <c r="AU168" s="207"/>
      <c r="AV168" s="207"/>
      <c r="AW168" s="207"/>
      <c r="AX168" s="207"/>
      <c r="AY168" s="207"/>
      <c r="AZ168" s="207"/>
      <c r="BA168" s="207"/>
      <c r="BB168" s="207"/>
      <c r="BC168" s="207"/>
      <c r="BD168" s="207"/>
      <c r="BE168" s="207"/>
      <c r="BF168" s="207"/>
      <c r="BG168" s="207"/>
      <c r="BH168" s="207"/>
      <c r="BI168" s="207"/>
      <c r="BJ168" s="207"/>
      <c r="BK168" s="207"/>
      <c r="BL168" s="207"/>
      <c r="BM168" s="207"/>
      <c r="BN168" s="207"/>
      <c r="BO168" s="207"/>
      <c r="BP168" s="207"/>
      <c r="BQ168" s="207"/>
      <c r="BR168" s="207"/>
      <c r="BS168" s="207"/>
      <c r="BT168" s="207"/>
      <c r="BU168" s="207"/>
      <c r="BV168" s="207"/>
      <c r="BW168" s="207"/>
      <c r="BX168" s="207"/>
      <c r="BY168" s="207"/>
      <c r="BZ168" s="207"/>
      <c r="CA168" s="207"/>
      <c r="CB168" s="207"/>
      <c r="CC168" s="207"/>
      <c r="CD168" s="207"/>
      <c r="CE168" s="207"/>
      <c r="CF168" s="207"/>
      <c r="CG168" s="207"/>
      <c r="CH168" s="207"/>
      <c r="CI168" s="207"/>
      <c r="CJ168" s="207"/>
      <c r="CK168" s="207"/>
      <c r="CL168" s="207"/>
      <c r="CM168" s="207"/>
      <c r="CN168" s="207"/>
      <c r="CO168" s="207"/>
      <c r="CP168" s="207"/>
      <c r="CQ168" s="207"/>
      <c r="CR168" s="207"/>
      <c r="CS168" s="207"/>
      <c r="CT168" s="207"/>
      <c r="CU168" s="207"/>
      <c r="CV168" s="207"/>
      <c r="CW168" s="207"/>
      <c r="CX168" s="207"/>
      <c r="CY168" s="207"/>
      <c r="CZ168" s="207"/>
      <c r="DA168" s="207"/>
      <c r="DB168" s="207"/>
      <c r="DC168" s="207"/>
      <c r="DD168" s="207"/>
    </row>
    <row r="169">
      <c r="A169" s="204"/>
      <c r="B169" s="205"/>
      <c r="C169" s="204"/>
      <c r="D169" s="206"/>
      <c r="E169" s="207"/>
      <c r="F169" s="207"/>
      <c r="G169" s="207"/>
      <c r="H169" s="208"/>
      <c r="I169" s="208"/>
      <c r="J169" s="208"/>
      <c r="K169" s="208"/>
      <c r="L169" s="208"/>
      <c r="M169" s="208"/>
      <c r="N169" s="208"/>
      <c r="O169" s="208"/>
      <c r="P169" s="208"/>
      <c r="Q169" s="208"/>
      <c r="R169" s="208"/>
      <c r="S169" s="208"/>
      <c r="T169" s="207"/>
      <c r="U169" s="207"/>
      <c r="V169" s="207"/>
      <c r="W169" s="207"/>
      <c r="X169" s="207"/>
      <c r="Y169" s="207"/>
      <c r="Z169" s="209"/>
      <c r="AA169" s="209"/>
      <c r="AB169" s="209"/>
      <c r="AC169" s="209"/>
      <c r="AD169" s="209"/>
      <c r="AE169" s="209"/>
      <c r="AF169" s="209"/>
      <c r="AG169" s="209"/>
      <c r="AH169" s="209"/>
      <c r="AI169" s="209"/>
      <c r="AJ169" s="209"/>
      <c r="AK169" s="209"/>
      <c r="AL169" s="209"/>
      <c r="AM169" s="209"/>
      <c r="AN169" s="207"/>
      <c r="AO169" s="207"/>
      <c r="AP169" s="207"/>
      <c r="AQ169" s="207"/>
      <c r="AR169" s="207"/>
      <c r="AS169" s="207"/>
      <c r="AT169" s="207"/>
      <c r="AU169" s="207"/>
      <c r="AV169" s="207"/>
      <c r="AW169" s="207"/>
      <c r="AX169" s="207"/>
      <c r="AY169" s="207"/>
      <c r="AZ169" s="207"/>
      <c r="BA169" s="207"/>
      <c r="BB169" s="207"/>
      <c r="BC169" s="207"/>
      <c r="BD169" s="207"/>
      <c r="BE169" s="207"/>
      <c r="BF169" s="207"/>
      <c r="BG169" s="207"/>
      <c r="BH169" s="207"/>
      <c r="BI169" s="207"/>
      <c r="BJ169" s="207"/>
      <c r="BK169" s="207"/>
      <c r="BL169" s="207"/>
      <c r="BM169" s="207"/>
      <c r="BN169" s="207"/>
      <c r="BO169" s="207"/>
      <c r="BP169" s="207"/>
      <c r="BQ169" s="207"/>
      <c r="BR169" s="207"/>
      <c r="BS169" s="207"/>
      <c r="BT169" s="207"/>
      <c r="BU169" s="207"/>
      <c r="BV169" s="207"/>
      <c r="BW169" s="207"/>
      <c r="BX169" s="207"/>
      <c r="BY169" s="207"/>
      <c r="BZ169" s="207"/>
      <c r="CA169" s="207"/>
      <c r="CB169" s="207"/>
      <c r="CC169" s="207"/>
      <c r="CD169" s="207"/>
      <c r="CE169" s="207"/>
      <c r="CF169" s="207"/>
      <c r="CG169" s="207"/>
      <c r="CH169" s="207"/>
      <c r="CI169" s="207"/>
      <c r="CJ169" s="207"/>
      <c r="CK169" s="207"/>
      <c r="CL169" s="207"/>
      <c r="CM169" s="207"/>
      <c r="CN169" s="207"/>
      <c r="CO169" s="207"/>
      <c r="CP169" s="207"/>
      <c r="CQ169" s="207"/>
      <c r="CR169" s="207"/>
      <c r="CS169" s="207"/>
      <c r="CT169" s="207"/>
      <c r="CU169" s="207"/>
      <c r="CV169" s="207"/>
      <c r="CW169" s="207"/>
      <c r="CX169" s="207"/>
      <c r="CY169" s="207"/>
      <c r="CZ169" s="207"/>
      <c r="DA169" s="207"/>
      <c r="DB169" s="207"/>
      <c r="DC169" s="207"/>
      <c r="DD169" s="207"/>
    </row>
    <row r="170">
      <c r="A170" s="204"/>
      <c r="B170" s="205"/>
      <c r="C170" s="204"/>
      <c r="D170" s="206"/>
      <c r="E170" s="207"/>
      <c r="F170" s="207"/>
      <c r="G170" s="207"/>
      <c r="H170" s="208"/>
      <c r="I170" s="208"/>
      <c r="J170" s="208"/>
      <c r="K170" s="208"/>
      <c r="L170" s="208"/>
      <c r="M170" s="208"/>
      <c r="N170" s="208"/>
      <c r="O170" s="208"/>
      <c r="P170" s="208"/>
      <c r="Q170" s="208"/>
      <c r="R170" s="208"/>
      <c r="S170" s="208"/>
      <c r="T170" s="207"/>
      <c r="U170" s="207"/>
      <c r="V170" s="207"/>
      <c r="W170" s="207"/>
      <c r="X170" s="207"/>
      <c r="Y170" s="207"/>
      <c r="Z170" s="209"/>
      <c r="AA170" s="209"/>
      <c r="AB170" s="209"/>
      <c r="AC170" s="209"/>
      <c r="AD170" s="209"/>
      <c r="AE170" s="209"/>
      <c r="AF170" s="209"/>
      <c r="AG170" s="209"/>
      <c r="AH170" s="209"/>
      <c r="AI170" s="209"/>
      <c r="AJ170" s="209"/>
      <c r="AK170" s="209"/>
      <c r="AL170" s="209"/>
      <c r="AM170" s="209"/>
      <c r="AN170" s="207"/>
      <c r="AO170" s="207"/>
      <c r="AP170" s="207"/>
      <c r="AQ170" s="207"/>
      <c r="AR170" s="207"/>
      <c r="AS170" s="207"/>
      <c r="AT170" s="207"/>
      <c r="AU170" s="207"/>
      <c r="AV170" s="207"/>
      <c r="AW170" s="207"/>
      <c r="AX170" s="207"/>
      <c r="AY170" s="207"/>
      <c r="AZ170" s="207"/>
      <c r="BA170" s="207"/>
      <c r="BB170" s="207"/>
      <c r="BC170" s="207"/>
      <c r="BD170" s="207"/>
      <c r="BE170" s="207"/>
      <c r="BF170" s="207"/>
      <c r="BG170" s="207"/>
      <c r="BH170" s="207"/>
      <c r="BI170" s="207"/>
      <c r="BJ170" s="207"/>
      <c r="BK170" s="207"/>
      <c r="BL170" s="207"/>
      <c r="BM170" s="207"/>
      <c r="BN170" s="207"/>
      <c r="BO170" s="207"/>
      <c r="BP170" s="207"/>
      <c r="BQ170" s="207"/>
      <c r="BR170" s="207"/>
      <c r="BS170" s="207"/>
      <c r="BT170" s="207"/>
      <c r="BU170" s="207"/>
      <c r="BV170" s="207"/>
      <c r="BW170" s="207"/>
      <c r="BX170" s="207"/>
      <c r="BY170" s="207"/>
      <c r="BZ170" s="207"/>
      <c r="CA170" s="207"/>
      <c r="CB170" s="207"/>
      <c r="CC170" s="207"/>
      <c r="CD170" s="207"/>
      <c r="CE170" s="207"/>
      <c r="CF170" s="207"/>
      <c r="CG170" s="207"/>
      <c r="CH170" s="207"/>
      <c r="CI170" s="207"/>
      <c r="CJ170" s="207"/>
      <c r="CK170" s="207"/>
      <c r="CL170" s="207"/>
      <c r="CM170" s="207"/>
      <c r="CN170" s="207"/>
      <c r="CO170" s="207"/>
      <c r="CP170" s="207"/>
      <c r="CQ170" s="207"/>
      <c r="CR170" s="207"/>
      <c r="CS170" s="207"/>
      <c r="CT170" s="207"/>
      <c r="CU170" s="207"/>
      <c r="CV170" s="207"/>
      <c r="CW170" s="207"/>
      <c r="CX170" s="207"/>
      <c r="CY170" s="207"/>
      <c r="CZ170" s="207"/>
      <c r="DA170" s="207"/>
      <c r="DB170" s="207"/>
      <c r="DC170" s="207"/>
      <c r="DD170" s="207"/>
    </row>
    <row r="171">
      <c r="A171" s="204"/>
      <c r="B171" s="205"/>
      <c r="C171" s="204"/>
      <c r="D171" s="206"/>
      <c r="E171" s="207"/>
      <c r="F171" s="207"/>
      <c r="G171" s="207"/>
      <c r="H171" s="208"/>
      <c r="I171" s="208"/>
      <c r="J171" s="208"/>
      <c r="K171" s="208"/>
      <c r="L171" s="208"/>
      <c r="M171" s="208"/>
      <c r="N171" s="208"/>
      <c r="O171" s="208"/>
      <c r="P171" s="208"/>
      <c r="Q171" s="208"/>
      <c r="R171" s="208"/>
      <c r="S171" s="208"/>
      <c r="T171" s="207"/>
      <c r="U171" s="207"/>
      <c r="V171" s="207"/>
      <c r="W171" s="207"/>
      <c r="X171" s="207"/>
      <c r="Y171" s="207"/>
      <c r="Z171" s="209"/>
      <c r="AA171" s="209"/>
      <c r="AB171" s="209"/>
      <c r="AC171" s="209"/>
      <c r="AD171" s="209"/>
      <c r="AE171" s="209"/>
      <c r="AF171" s="209"/>
      <c r="AG171" s="209"/>
      <c r="AH171" s="209"/>
      <c r="AI171" s="209"/>
      <c r="AJ171" s="209"/>
      <c r="AK171" s="209"/>
      <c r="AL171" s="209"/>
      <c r="AM171" s="209"/>
      <c r="AN171" s="207"/>
      <c r="AO171" s="207"/>
      <c r="AP171" s="207"/>
      <c r="AQ171" s="207"/>
      <c r="AR171" s="207"/>
      <c r="AS171" s="207"/>
      <c r="AT171" s="207"/>
      <c r="AU171" s="207"/>
      <c r="AV171" s="207"/>
      <c r="AW171" s="207"/>
      <c r="AX171" s="207"/>
      <c r="AY171" s="207"/>
      <c r="AZ171" s="207"/>
      <c r="BA171" s="207"/>
      <c r="BB171" s="207"/>
      <c r="BC171" s="207"/>
      <c r="BD171" s="207"/>
      <c r="BE171" s="207"/>
      <c r="BF171" s="207"/>
      <c r="BG171" s="207"/>
      <c r="BH171" s="207"/>
      <c r="BI171" s="207"/>
      <c r="BJ171" s="207"/>
      <c r="BK171" s="207"/>
      <c r="BL171" s="207"/>
      <c r="BM171" s="207"/>
      <c r="BN171" s="207"/>
      <c r="BO171" s="207"/>
      <c r="BP171" s="207"/>
      <c r="BQ171" s="207"/>
      <c r="BR171" s="207"/>
      <c r="BS171" s="207"/>
      <c r="BT171" s="207"/>
      <c r="BU171" s="207"/>
      <c r="BV171" s="207"/>
      <c r="BW171" s="207"/>
      <c r="BX171" s="207"/>
      <c r="BY171" s="207"/>
      <c r="BZ171" s="207"/>
      <c r="CA171" s="207"/>
      <c r="CB171" s="207"/>
      <c r="CC171" s="207"/>
      <c r="CD171" s="207"/>
      <c r="CE171" s="207"/>
      <c r="CF171" s="207"/>
      <c r="CG171" s="207"/>
      <c r="CH171" s="207"/>
      <c r="CI171" s="207"/>
      <c r="CJ171" s="207"/>
      <c r="CK171" s="207"/>
      <c r="CL171" s="207"/>
      <c r="CM171" s="207"/>
      <c r="CN171" s="207"/>
      <c r="CO171" s="207"/>
      <c r="CP171" s="207"/>
      <c r="CQ171" s="207"/>
      <c r="CR171" s="207"/>
      <c r="CS171" s="207"/>
      <c r="CT171" s="207"/>
      <c r="CU171" s="207"/>
      <c r="CV171" s="207"/>
      <c r="CW171" s="207"/>
      <c r="CX171" s="207"/>
      <c r="CY171" s="207"/>
      <c r="CZ171" s="207"/>
      <c r="DA171" s="207"/>
      <c r="DB171" s="207"/>
      <c r="DC171" s="207"/>
      <c r="DD171" s="207"/>
    </row>
    <row r="172">
      <c r="A172" s="204"/>
      <c r="B172" s="205"/>
      <c r="C172" s="204"/>
      <c r="D172" s="206"/>
      <c r="E172" s="207"/>
      <c r="F172" s="207"/>
      <c r="G172" s="207"/>
      <c r="H172" s="208"/>
      <c r="I172" s="208"/>
      <c r="J172" s="208"/>
      <c r="K172" s="208"/>
      <c r="L172" s="208"/>
      <c r="M172" s="208"/>
      <c r="N172" s="208"/>
      <c r="O172" s="208"/>
      <c r="P172" s="208"/>
      <c r="Q172" s="208"/>
      <c r="R172" s="208"/>
      <c r="S172" s="208"/>
      <c r="T172" s="207"/>
      <c r="U172" s="207"/>
      <c r="V172" s="207"/>
      <c r="W172" s="207"/>
      <c r="X172" s="207"/>
      <c r="Y172" s="207"/>
      <c r="Z172" s="209"/>
      <c r="AA172" s="209"/>
      <c r="AB172" s="209"/>
      <c r="AC172" s="209"/>
      <c r="AD172" s="209"/>
      <c r="AE172" s="209"/>
      <c r="AF172" s="209"/>
      <c r="AG172" s="209"/>
      <c r="AH172" s="209"/>
      <c r="AI172" s="209"/>
      <c r="AJ172" s="209"/>
      <c r="AK172" s="209"/>
      <c r="AL172" s="209"/>
      <c r="AM172" s="209"/>
      <c r="AN172" s="207"/>
      <c r="AO172" s="207"/>
      <c r="AP172" s="207"/>
      <c r="AQ172" s="207"/>
      <c r="AR172" s="207"/>
      <c r="AS172" s="207"/>
      <c r="AT172" s="207"/>
      <c r="AU172" s="207"/>
      <c r="AV172" s="207"/>
      <c r="AW172" s="207"/>
      <c r="AX172" s="207"/>
      <c r="AY172" s="207"/>
      <c r="AZ172" s="207"/>
      <c r="BA172" s="207"/>
      <c r="BB172" s="207"/>
      <c r="BC172" s="207"/>
      <c r="BD172" s="207"/>
      <c r="BE172" s="207"/>
      <c r="BF172" s="207"/>
      <c r="BG172" s="207"/>
      <c r="BH172" s="207"/>
      <c r="BI172" s="207"/>
      <c r="BJ172" s="207"/>
      <c r="BK172" s="207"/>
      <c r="BL172" s="207"/>
      <c r="BM172" s="207"/>
      <c r="BN172" s="207"/>
      <c r="BO172" s="207"/>
      <c r="BP172" s="207"/>
      <c r="BQ172" s="207"/>
      <c r="BR172" s="207"/>
      <c r="BS172" s="207"/>
      <c r="BT172" s="207"/>
      <c r="BU172" s="207"/>
      <c r="BV172" s="207"/>
      <c r="BW172" s="207"/>
      <c r="BX172" s="207"/>
      <c r="BY172" s="207"/>
      <c r="BZ172" s="207"/>
      <c r="CA172" s="207"/>
      <c r="CB172" s="207"/>
      <c r="CC172" s="207"/>
      <c r="CD172" s="207"/>
      <c r="CE172" s="207"/>
      <c r="CF172" s="207"/>
      <c r="CG172" s="207"/>
      <c r="CH172" s="207"/>
      <c r="CI172" s="207"/>
      <c r="CJ172" s="207"/>
      <c r="CK172" s="207"/>
      <c r="CL172" s="207"/>
      <c r="CM172" s="207"/>
      <c r="CN172" s="207"/>
      <c r="CO172" s="207"/>
      <c r="CP172" s="207"/>
      <c r="CQ172" s="207"/>
      <c r="CR172" s="207"/>
      <c r="CS172" s="207"/>
      <c r="CT172" s="207"/>
      <c r="CU172" s="207"/>
      <c r="CV172" s="207"/>
      <c r="CW172" s="207"/>
      <c r="CX172" s="207"/>
      <c r="CY172" s="207"/>
      <c r="CZ172" s="207"/>
      <c r="DA172" s="207"/>
      <c r="DB172" s="207"/>
      <c r="DC172" s="207"/>
      <c r="DD172" s="207"/>
    </row>
    <row r="173">
      <c r="A173" s="204"/>
      <c r="B173" s="205"/>
      <c r="C173" s="204"/>
      <c r="D173" s="206"/>
      <c r="E173" s="207"/>
      <c r="F173" s="207"/>
      <c r="G173" s="207"/>
      <c r="H173" s="208"/>
      <c r="I173" s="208"/>
      <c r="J173" s="208"/>
      <c r="K173" s="208"/>
      <c r="L173" s="208"/>
      <c r="M173" s="208"/>
      <c r="N173" s="208"/>
      <c r="O173" s="208"/>
      <c r="P173" s="208"/>
      <c r="Q173" s="208"/>
      <c r="R173" s="208"/>
      <c r="S173" s="208"/>
      <c r="T173" s="207"/>
      <c r="U173" s="207"/>
      <c r="V173" s="207"/>
      <c r="W173" s="207"/>
      <c r="X173" s="207"/>
      <c r="Y173" s="207"/>
      <c r="Z173" s="209"/>
      <c r="AA173" s="209"/>
      <c r="AB173" s="209"/>
      <c r="AC173" s="209"/>
      <c r="AD173" s="209"/>
      <c r="AE173" s="209"/>
      <c r="AF173" s="209"/>
      <c r="AG173" s="209"/>
      <c r="AH173" s="209"/>
      <c r="AI173" s="209"/>
      <c r="AJ173" s="209"/>
      <c r="AK173" s="209"/>
      <c r="AL173" s="209"/>
      <c r="AM173" s="209"/>
      <c r="AN173" s="207"/>
      <c r="AO173" s="207"/>
      <c r="AP173" s="207"/>
      <c r="AQ173" s="207"/>
      <c r="AR173" s="207"/>
      <c r="AS173" s="207"/>
      <c r="AT173" s="207"/>
      <c r="AU173" s="207"/>
      <c r="AV173" s="207"/>
      <c r="AW173" s="207"/>
      <c r="AX173" s="207"/>
      <c r="AY173" s="207"/>
      <c r="AZ173" s="207"/>
      <c r="BA173" s="207"/>
      <c r="BB173" s="207"/>
      <c r="BC173" s="207"/>
      <c r="BD173" s="207"/>
      <c r="BE173" s="207"/>
      <c r="BF173" s="207"/>
      <c r="BG173" s="207"/>
      <c r="BH173" s="207"/>
      <c r="BI173" s="207"/>
      <c r="BJ173" s="207"/>
      <c r="BK173" s="207"/>
      <c r="BL173" s="207"/>
      <c r="BM173" s="207"/>
      <c r="BN173" s="207"/>
      <c r="BO173" s="207"/>
      <c r="BP173" s="207"/>
      <c r="BQ173" s="207"/>
      <c r="BR173" s="207"/>
      <c r="BS173" s="207"/>
      <c r="BT173" s="207"/>
      <c r="BU173" s="207"/>
      <c r="BV173" s="207"/>
      <c r="BW173" s="207"/>
      <c r="BX173" s="207"/>
      <c r="BY173" s="207"/>
      <c r="BZ173" s="207"/>
      <c r="CA173" s="207"/>
      <c r="CB173" s="207"/>
      <c r="CC173" s="207"/>
      <c r="CD173" s="207"/>
      <c r="CE173" s="207"/>
      <c r="CF173" s="207"/>
      <c r="CG173" s="207"/>
      <c r="CH173" s="207"/>
      <c r="CI173" s="207"/>
      <c r="CJ173" s="207"/>
      <c r="CK173" s="207"/>
      <c r="CL173" s="207"/>
      <c r="CM173" s="207"/>
      <c r="CN173" s="207"/>
      <c r="CO173" s="207"/>
      <c r="CP173" s="207"/>
      <c r="CQ173" s="207"/>
      <c r="CR173" s="207"/>
      <c r="CS173" s="207"/>
      <c r="CT173" s="207"/>
      <c r="CU173" s="207"/>
      <c r="CV173" s="207"/>
      <c r="CW173" s="207"/>
      <c r="CX173" s="207"/>
      <c r="CY173" s="207"/>
      <c r="CZ173" s="207"/>
      <c r="DA173" s="207"/>
      <c r="DB173" s="207"/>
      <c r="DC173" s="207"/>
      <c r="DD173" s="207"/>
    </row>
    <row r="174">
      <c r="A174" s="204"/>
      <c r="B174" s="205"/>
      <c r="C174" s="204"/>
      <c r="D174" s="206"/>
      <c r="E174" s="207"/>
      <c r="F174" s="207"/>
      <c r="G174" s="207"/>
      <c r="H174" s="208"/>
      <c r="I174" s="208"/>
      <c r="J174" s="208"/>
      <c r="K174" s="208"/>
      <c r="L174" s="208"/>
      <c r="M174" s="208"/>
      <c r="N174" s="208"/>
      <c r="O174" s="208"/>
      <c r="P174" s="208"/>
      <c r="Q174" s="208"/>
      <c r="R174" s="208"/>
      <c r="S174" s="208"/>
      <c r="T174" s="207"/>
      <c r="U174" s="207"/>
      <c r="V174" s="207"/>
      <c r="W174" s="207"/>
      <c r="X174" s="207"/>
      <c r="Y174" s="207"/>
      <c r="Z174" s="209"/>
      <c r="AA174" s="209"/>
      <c r="AB174" s="209"/>
      <c r="AC174" s="209"/>
      <c r="AD174" s="209"/>
      <c r="AE174" s="209"/>
      <c r="AF174" s="209"/>
      <c r="AG174" s="209"/>
      <c r="AH174" s="209"/>
      <c r="AI174" s="209"/>
      <c r="AJ174" s="209"/>
      <c r="AK174" s="209"/>
      <c r="AL174" s="209"/>
      <c r="AM174" s="209"/>
      <c r="AN174" s="207"/>
      <c r="AO174" s="207"/>
      <c r="AP174" s="207"/>
      <c r="AQ174" s="207"/>
      <c r="AR174" s="207"/>
      <c r="AS174" s="207"/>
      <c r="AT174" s="207"/>
      <c r="AU174" s="207"/>
      <c r="AV174" s="207"/>
      <c r="AW174" s="207"/>
      <c r="AX174" s="207"/>
      <c r="AY174" s="207"/>
      <c r="AZ174" s="207"/>
      <c r="BA174" s="207"/>
      <c r="BB174" s="207"/>
      <c r="BC174" s="207"/>
      <c r="BD174" s="207"/>
      <c r="BE174" s="207"/>
      <c r="BF174" s="207"/>
      <c r="BG174" s="207"/>
      <c r="BH174" s="207"/>
      <c r="BI174" s="207"/>
      <c r="BJ174" s="207"/>
      <c r="BK174" s="207"/>
      <c r="BL174" s="207"/>
      <c r="BM174" s="207"/>
      <c r="BN174" s="207"/>
      <c r="BO174" s="207"/>
      <c r="BP174" s="207"/>
      <c r="BQ174" s="207"/>
      <c r="BR174" s="207"/>
      <c r="BS174" s="207"/>
      <c r="BT174" s="207"/>
      <c r="BU174" s="207"/>
      <c r="BV174" s="207"/>
      <c r="BW174" s="207"/>
      <c r="BX174" s="207"/>
      <c r="BY174" s="207"/>
      <c r="BZ174" s="207"/>
      <c r="CA174" s="207"/>
      <c r="CB174" s="207"/>
      <c r="CC174" s="207"/>
      <c r="CD174" s="207"/>
      <c r="CE174" s="207"/>
      <c r="CF174" s="207"/>
      <c r="CG174" s="207"/>
      <c r="CH174" s="207"/>
      <c r="CI174" s="207"/>
      <c r="CJ174" s="207"/>
      <c r="CK174" s="207"/>
      <c r="CL174" s="207"/>
      <c r="CM174" s="207"/>
      <c r="CN174" s="207"/>
      <c r="CO174" s="207"/>
      <c r="CP174" s="207"/>
      <c r="CQ174" s="207"/>
      <c r="CR174" s="207"/>
      <c r="CS174" s="207"/>
      <c r="CT174" s="207"/>
      <c r="CU174" s="207"/>
      <c r="CV174" s="207"/>
      <c r="CW174" s="207"/>
      <c r="CX174" s="207"/>
      <c r="CY174" s="207"/>
      <c r="CZ174" s="207"/>
      <c r="DA174" s="207"/>
      <c r="DB174" s="207"/>
      <c r="DC174" s="207"/>
      <c r="DD174" s="207"/>
    </row>
    <row r="175">
      <c r="A175" s="204"/>
      <c r="B175" s="205"/>
      <c r="C175" s="204"/>
      <c r="D175" s="206"/>
      <c r="E175" s="207"/>
      <c r="F175" s="207"/>
      <c r="G175" s="207"/>
      <c r="H175" s="208"/>
      <c r="I175" s="208"/>
      <c r="J175" s="208"/>
      <c r="K175" s="208"/>
      <c r="L175" s="208"/>
      <c r="M175" s="208"/>
      <c r="N175" s="208"/>
      <c r="O175" s="208"/>
      <c r="P175" s="208"/>
      <c r="Q175" s="208"/>
      <c r="R175" s="208"/>
      <c r="S175" s="208"/>
      <c r="T175" s="207"/>
      <c r="U175" s="207"/>
      <c r="V175" s="207"/>
      <c r="W175" s="207"/>
      <c r="X175" s="207"/>
      <c r="Y175" s="207"/>
      <c r="Z175" s="209"/>
      <c r="AA175" s="209"/>
      <c r="AB175" s="209"/>
      <c r="AC175" s="209"/>
      <c r="AD175" s="209"/>
      <c r="AE175" s="209"/>
      <c r="AF175" s="209"/>
      <c r="AG175" s="209"/>
      <c r="AH175" s="209"/>
      <c r="AI175" s="209"/>
      <c r="AJ175" s="209"/>
      <c r="AK175" s="209"/>
      <c r="AL175" s="209"/>
      <c r="AM175" s="209"/>
      <c r="AN175" s="207"/>
      <c r="AO175" s="207"/>
      <c r="AP175" s="207"/>
      <c r="AQ175" s="207"/>
      <c r="AR175" s="207"/>
      <c r="AS175" s="207"/>
      <c r="AT175" s="207"/>
      <c r="AU175" s="207"/>
      <c r="AV175" s="207"/>
      <c r="AW175" s="207"/>
      <c r="AX175" s="207"/>
      <c r="AY175" s="207"/>
      <c r="AZ175" s="207"/>
      <c r="BA175" s="207"/>
      <c r="BB175" s="207"/>
      <c r="BC175" s="207"/>
      <c r="BD175" s="207"/>
      <c r="BE175" s="207"/>
      <c r="BF175" s="207"/>
      <c r="BG175" s="207"/>
      <c r="BH175" s="207"/>
      <c r="BI175" s="207"/>
      <c r="BJ175" s="207"/>
      <c r="BK175" s="207"/>
      <c r="BL175" s="207"/>
      <c r="BM175" s="207"/>
      <c r="BN175" s="207"/>
      <c r="BO175" s="207"/>
      <c r="BP175" s="207"/>
      <c r="BQ175" s="207"/>
      <c r="BR175" s="207"/>
      <c r="BS175" s="207"/>
      <c r="BT175" s="207"/>
      <c r="BU175" s="207"/>
      <c r="BV175" s="207"/>
      <c r="BW175" s="207"/>
      <c r="BX175" s="207"/>
      <c r="BY175" s="207"/>
      <c r="BZ175" s="207"/>
      <c r="CA175" s="207"/>
      <c r="CB175" s="207"/>
      <c r="CC175" s="207"/>
      <c r="CD175" s="207"/>
      <c r="CE175" s="207"/>
      <c r="CF175" s="207"/>
      <c r="CG175" s="207"/>
      <c r="CH175" s="207"/>
      <c r="CI175" s="207"/>
      <c r="CJ175" s="207"/>
      <c r="CK175" s="207"/>
      <c r="CL175" s="207"/>
      <c r="CM175" s="207"/>
      <c r="CN175" s="207"/>
      <c r="CO175" s="207"/>
      <c r="CP175" s="207"/>
      <c r="CQ175" s="207"/>
      <c r="CR175" s="207"/>
      <c r="CS175" s="207"/>
      <c r="CT175" s="207"/>
      <c r="CU175" s="207"/>
      <c r="CV175" s="207"/>
      <c r="CW175" s="207"/>
      <c r="CX175" s="207"/>
      <c r="CY175" s="207"/>
      <c r="CZ175" s="207"/>
      <c r="DA175" s="207"/>
      <c r="DB175" s="207"/>
      <c r="DC175" s="207"/>
      <c r="DD175" s="207"/>
    </row>
    <row r="176">
      <c r="A176" s="204"/>
      <c r="B176" s="205"/>
      <c r="C176" s="204"/>
      <c r="D176" s="206"/>
      <c r="E176" s="207"/>
      <c r="F176" s="207"/>
      <c r="G176" s="207"/>
      <c r="H176" s="208"/>
      <c r="I176" s="208"/>
      <c r="J176" s="208"/>
      <c r="K176" s="208"/>
      <c r="L176" s="208"/>
      <c r="M176" s="208"/>
      <c r="N176" s="208"/>
      <c r="O176" s="208"/>
      <c r="P176" s="208"/>
      <c r="Q176" s="208"/>
      <c r="R176" s="208"/>
      <c r="S176" s="208"/>
      <c r="T176" s="207"/>
      <c r="U176" s="207"/>
      <c r="V176" s="207"/>
      <c r="W176" s="207"/>
      <c r="X176" s="207"/>
      <c r="Y176" s="207"/>
      <c r="Z176" s="209"/>
      <c r="AA176" s="209"/>
      <c r="AB176" s="209"/>
      <c r="AC176" s="209"/>
      <c r="AD176" s="209"/>
      <c r="AE176" s="209"/>
      <c r="AF176" s="209"/>
      <c r="AG176" s="209"/>
      <c r="AH176" s="209"/>
      <c r="AI176" s="209"/>
      <c r="AJ176" s="209"/>
      <c r="AK176" s="209"/>
      <c r="AL176" s="209"/>
      <c r="AM176" s="209"/>
      <c r="AN176" s="207"/>
      <c r="AO176" s="207"/>
      <c r="AP176" s="207"/>
      <c r="AQ176" s="207"/>
      <c r="AR176" s="207"/>
      <c r="AS176" s="207"/>
      <c r="AT176" s="207"/>
      <c r="AU176" s="207"/>
      <c r="AV176" s="207"/>
      <c r="AW176" s="207"/>
      <c r="AX176" s="207"/>
      <c r="AY176" s="207"/>
      <c r="AZ176" s="207"/>
      <c r="BA176" s="207"/>
      <c r="BB176" s="207"/>
      <c r="BC176" s="207"/>
      <c r="BD176" s="207"/>
      <c r="BE176" s="207"/>
      <c r="BF176" s="207"/>
      <c r="BG176" s="207"/>
      <c r="BH176" s="207"/>
      <c r="BI176" s="207"/>
      <c r="BJ176" s="207"/>
      <c r="BK176" s="207"/>
      <c r="BL176" s="207"/>
      <c r="BM176" s="207"/>
      <c r="BN176" s="207"/>
      <c r="BO176" s="207"/>
      <c r="BP176" s="207"/>
      <c r="BQ176" s="207"/>
      <c r="BR176" s="207"/>
      <c r="BS176" s="207"/>
      <c r="BT176" s="207"/>
      <c r="BU176" s="207"/>
      <c r="BV176" s="207"/>
      <c r="BW176" s="207"/>
      <c r="BX176" s="207"/>
      <c r="BY176" s="207"/>
      <c r="BZ176" s="207"/>
      <c r="CA176" s="207"/>
      <c r="CB176" s="207"/>
      <c r="CC176" s="207"/>
      <c r="CD176" s="207"/>
      <c r="CE176" s="207"/>
      <c r="CF176" s="207"/>
      <c r="CG176" s="207"/>
      <c r="CH176" s="207"/>
      <c r="CI176" s="207"/>
      <c r="CJ176" s="207"/>
      <c r="CK176" s="207"/>
      <c r="CL176" s="207"/>
      <c r="CM176" s="207"/>
      <c r="CN176" s="207"/>
      <c r="CO176" s="207"/>
      <c r="CP176" s="207"/>
      <c r="CQ176" s="207"/>
      <c r="CR176" s="207"/>
      <c r="CS176" s="207"/>
      <c r="CT176" s="207"/>
      <c r="CU176" s="207"/>
      <c r="CV176" s="207"/>
      <c r="CW176" s="207"/>
      <c r="CX176" s="207"/>
      <c r="CY176" s="207"/>
      <c r="CZ176" s="207"/>
      <c r="DA176" s="207"/>
      <c r="DB176" s="207"/>
      <c r="DC176" s="207"/>
      <c r="DD176" s="207"/>
    </row>
    <row r="177">
      <c r="A177" s="204"/>
      <c r="B177" s="205"/>
      <c r="C177" s="204"/>
      <c r="D177" s="206"/>
      <c r="E177" s="207"/>
      <c r="F177" s="207"/>
      <c r="G177" s="207"/>
      <c r="H177" s="208"/>
      <c r="I177" s="208"/>
      <c r="J177" s="208"/>
      <c r="K177" s="208"/>
      <c r="L177" s="208"/>
      <c r="M177" s="208"/>
      <c r="N177" s="208"/>
      <c r="O177" s="208"/>
      <c r="P177" s="208"/>
      <c r="Q177" s="208"/>
      <c r="R177" s="208"/>
      <c r="S177" s="208"/>
      <c r="T177" s="207"/>
      <c r="U177" s="207"/>
      <c r="V177" s="207"/>
      <c r="W177" s="207"/>
      <c r="X177" s="207"/>
      <c r="Y177" s="207"/>
      <c r="Z177" s="209"/>
      <c r="AA177" s="209"/>
      <c r="AB177" s="209"/>
      <c r="AC177" s="209"/>
      <c r="AD177" s="209"/>
      <c r="AE177" s="209"/>
      <c r="AF177" s="209"/>
      <c r="AG177" s="209"/>
      <c r="AH177" s="209"/>
      <c r="AI177" s="209"/>
      <c r="AJ177" s="209"/>
      <c r="AK177" s="209"/>
      <c r="AL177" s="209"/>
      <c r="AM177" s="209"/>
      <c r="AN177" s="207"/>
      <c r="AO177" s="207"/>
      <c r="AP177" s="207"/>
      <c r="AQ177" s="207"/>
      <c r="AR177" s="207"/>
      <c r="AS177" s="207"/>
      <c r="AT177" s="207"/>
      <c r="AU177" s="207"/>
      <c r="AV177" s="207"/>
      <c r="AW177" s="207"/>
      <c r="AX177" s="207"/>
      <c r="AY177" s="207"/>
      <c r="AZ177" s="207"/>
      <c r="BA177" s="207"/>
      <c r="BB177" s="207"/>
      <c r="BC177" s="207"/>
      <c r="BD177" s="207"/>
      <c r="BE177" s="207"/>
      <c r="BF177" s="207"/>
      <c r="BG177" s="207"/>
      <c r="BH177" s="207"/>
      <c r="BI177" s="207"/>
      <c r="BJ177" s="207"/>
      <c r="BK177" s="207"/>
      <c r="BL177" s="207"/>
      <c r="BM177" s="207"/>
      <c r="BN177" s="207"/>
      <c r="BO177" s="207"/>
      <c r="BP177" s="207"/>
      <c r="BQ177" s="207"/>
      <c r="BR177" s="207"/>
      <c r="BS177" s="207"/>
      <c r="BT177" s="207"/>
      <c r="BU177" s="207"/>
      <c r="BV177" s="207"/>
      <c r="BW177" s="207"/>
      <c r="BX177" s="207"/>
      <c r="BY177" s="207"/>
      <c r="BZ177" s="207"/>
      <c r="CA177" s="207"/>
      <c r="CB177" s="207"/>
      <c r="CC177" s="207"/>
      <c r="CD177" s="207"/>
      <c r="CE177" s="207"/>
      <c r="CF177" s="207"/>
      <c r="CG177" s="207"/>
      <c r="CH177" s="207"/>
      <c r="CI177" s="207"/>
      <c r="CJ177" s="207"/>
      <c r="CK177" s="207"/>
      <c r="CL177" s="207"/>
      <c r="CM177" s="207"/>
      <c r="CN177" s="207"/>
      <c r="CO177" s="207"/>
      <c r="CP177" s="207"/>
      <c r="CQ177" s="207"/>
      <c r="CR177" s="207"/>
      <c r="CS177" s="207"/>
      <c r="CT177" s="207"/>
      <c r="CU177" s="207"/>
      <c r="CV177" s="207"/>
      <c r="CW177" s="207"/>
      <c r="CX177" s="207"/>
      <c r="CY177" s="207"/>
      <c r="CZ177" s="207"/>
      <c r="DA177" s="207"/>
      <c r="DB177" s="207"/>
      <c r="DC177" s="207"/>
      <c r="DD177" s="207"/>
    </row>
    <row r="178">
      <c r="A178" s="204"/>
      <c r="B178" s="205"/>
      <c r="C178" s="204"/>
      <c r="D178" s="206"/>
      <c r="E178" s="207"/>
      <c r="F178" s="207"/>
      <c r="G178" s="207"/>
      <c r="H178" s="208"/>
      <c r="I178" s="208"/>
      <c r="J178" s="208"/>
      <c r="K178" s="208"/>
      <c r="L178" s="208"/>
      <c r="M178" s="208"/>
      <c r="N178" s="208"/>
      <c r="O178" s="208"/>
      <c r="P178" s="208"/>
      <c r="Q178" s="208"/>
      <c r="R178" s="208"/>
      <c r="S178" s="208"/>
      <c r="T178" s="207"/>
      <c r="U178" s="207"/>
      <c r="V178" s="207"/>
      <c r="W178" s="207"/>
      <c r="X178" s="207"/>
      <c r="Y178" s="207"/>
      <c r="Z178" s="209"/>
      <c r="AA178" s="209"/>
      <c r="AB178" s="209"/>
      <c r="AC178" s="209"/>
      <c r="AD178" s="209"/>
      <c r="AE178" s="209"/>
      <c r="AF178" s="209"/>
      <c r="AG178" s="209"/>
      <c r="AH178" s="209"/>
      <c r="AI178" s="209"/>
      <c r="AJ178" s="209"/>
      <c r="AK178" s="209"/>
      <c r="AL178" s="209"/>
      <c r="AM178" s="209"/>
      <c r="AN178" s="207"/>
      <c r="AO178" s="207"/>
      <c r="AP178" s="207"/>
      <c r="AQ178" s="207"/>
      <c r="AR178" s="207"/>
      <c r="AS178" s="207"/>
      <c r="AT178" s="207"/>
      <c r="AU178" s="207"/>
      <c r="AV178" s="207"/>
      <c r="AW178" s="207"/>
      <c r="AX178" s="207"/>
      <c r="AY178" s="207"/>
      <c r="AZ178" s="207"/>
      <c r="BA178" s="207"/>
      <c r="BB178" s="207"/>
      <c r="BC178" s="207"/>
      <c r="BD178" s="207"/>
      <c r="BE178" s="207"/>
      <c r="BF178" s="207"/>
      <c r="BG178" s="207"/>
      <c r="BH178" s="207"/>
      <c r="BI178" s="207"/>
      <c r="BJ178" s="207"/>
      <c r="BK178" s="207"/>
      <c r="BL178" s="207"/>
      <c r="BM178" s="207"/>
      <c r="BN178" s="207"/>
      <c r="BO178" s="207"/>
      <c r="BP178" s="207"/>
      <c r="BQ178" s="207"/>
      <c r="BR178" s="207"/>
      <c r="BS178" s="207"/>
      <c r="BT178" s="207"/>
      <c r="BU178" s="207"/>
      <c r="BV178" s="207"/>
      <c r="BW178" s="207"/>
      <c r="BX178" s="207"/>
      <c r="BY178" s="207"/>
      <c r="BZ178" s="207"/>
      <c r="CA178" s="207"/>
      <c r="CB178" s="207"/>
      <c r="CC178" s="207"/>
      <c r="CD178" s="207"/>
      <c r="CE178" s="207"/>
      <c r="CF178" s="207"/>
      <c r="CG178" s="207"/>
      <c r="CH178" s="207"/>
      <c r="CI178" s="207"/>
      <c r="CJ178" s="207"/>
      <c r="CK178" s="207"/>
      <c r="CL178" s="207"/>
      <c r="CM178" s="207"/>
      <c r="CN178" s="207"/>
      <c r="CO178" s="207"/>
      <c r="CP178" s="207"/>
      <c r="CQ178" s="207"/>
      <c r="CR178" s="207"/>
      <c r="CS178" s="207"/>
      <c r="CT178" s="207"/>
      <c r="CU178" s="207"/>
      <c r="CV178" s="207"/>
      <c r="CW178" s="207"/>
      <c r="CX178" s="207"/>
      <c r="CY178" s="207"/>
      <c r="CZ178" s="207"/>
      <c r="DA178" s="207"/>
      <c r="DB178" s="207"/>
      <c r="DC178" s="207"/>
      <c r="DD178" s="207"/>
    </row>
    <row r="179">
      <c r="A179" s="204"/>
      <c r="B179" s="205"/>
      <c r="C179" s="204"/>
      <c r="D179" s="206"/>
      <c r="E179" s="207"/>
      <c r="F179" s="207"/>
      <c r="G179" s="207"/>
      <c r="H179" s="208"/>
      <c r="I179" s="208"/>
      <c r="J179" s="208"/>
      <c r="K179" s="208"/>
      <c r="L179" s="208"/>
      <c r="M179" s="208"/>
      <c r="N179" s="208"/>
      <c r="O179" s="208"/>
      <c r="P179" s="208"/>
      <c r="Q179" s="208"/>
      <c r="R179" s="208"/>
      <c r="S179" s="208"/>
      <c r="T179" s="207"/>
      <c r="U179" s="207"/>
      <c r="V179" s="207"/>
      <c r="W179" s="207"/>
      <c r="X179" s="207"/>
      <c r="Y179" s="207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7"/>
      <c r="AO179" s="207"/>
      <c r="AP179" s="207"/>
      <c r="AQ179" s="207"/>
      <c r="AR179" s="207"/>
      <c r="AS179" s="207"/>
      <c r="AT179" s="207"/>
      <c r="AU179" s="207"/>
      <c r="AV179" s="207"/>
      <c r="AW179" s="207"/>
      <c r="AX179" s="207"/>
      <c r="AY179" s="207"/>
      <c r="AZ179" s="207"/>
      <c r="BA179" s="207"/>
      <c r="BB179" s="207"/>
      <c r="BC179" s="207"/>
      <c r="BD179" s="207"/>
      <c r="BE179" s="207"/>
      <c r="BF179" s="207"/>
      <c r="BG179" s="207"/>
      <c r="BH179" s="207"/>
      <c r="BI179" s="207"/>
      <c r="BJ179" s="207"/>
      <c r="BK179" s="207"/>
      <c r="BL179" s="207"/>
      <c r="BM179" s="207"/>
      <c r="BN179" s="207"/>
      <c r="BO179" s="207"/>
      <c r="BP179" s="207"/>
      <c r="BQ179" s="207"/>
      <c r="BR179" s="207"/>
      <c r="BS179" s="207"/>
      <c r="BT179" s="207"/>
      <c r="BU179" s="207"/>
      <c r="BV179" s="207"/>
      <c r="BW179" s="207"/>
      <c r="BX179" s="207"/>
      <c r="BY179" s="207"/>
      <c r="BZ179" s="207"/>
      <c r="CA179" s="207"/>
      <c r="CB179" s="207"/>
      <c r="CC179" s="207"/>
      <c r="CD179" s="207"/>
      <c r="CE179" s="207"/>
      <c r="CF179" s="207"/>
      <c r="CG179" s="207"/>
      <c r="CH179" s="207"/>
      <c r="CI179" s="207"/>
      <c r="CJ179" s="207"/>
      <c r="CK179" s="207"/>
      <c r="CL179" s="207"/>
      <c r="CM179" s="207"/>
      <c r="CN179" s="207"/>
      <c r="CO179" s="207"/>
      <c r="CP179" s="207"/>
      <c r="CQ179" s="207"/>
      <c r="CR179" s="207"/>
      <c r="CS179" s="207"/>
      <c r="CT179" s="207"/>
      <c r="CU179" s="207"/>
      <c r="CV179" s="207"/>
      <c r="CW179" s="207"/>
      <c r="CX179" s="207"/>
      <c r="CY179" s="207"/>
      <c r="CZ179" s="207"/>
      <c r="DA179" s="207"/>
      <c r="DB179" s="207"/>
      <c r="DC179" s="207"/>
      <c r="DD179" s="207"/>
    </row>
    <row r="180">
      <c r="A180" s="204"/>
      <c r="B180" s="205"/>
      <c r="C180" s="204"/>
      <c r="D180" s="206"/>
      <c r="E180" s="207"/>
      <c r="F180" s="207"/>
      <c r="G180" s="207"/>
      <c r="H180" s="208"/>
      <c r="I180" s="208"/>
      <c r="J180" s="208"/>
      <c r="K180" s="208"/>
      <c r="L180" s="208"/>
      <c r="M180" s="208"/>
      <c r="N180" s="208"/>
      <c r="O180" s="208"/>
      <c r="P180" s="208"/>
      <c r="Q180" s="208"/>
      <c r="R180" s="208"/>
      <c r="S180" s="208"/>
      <c r="T180" s="207"/>
      <c r="U180" s="207"/>
      <c r="V180" s="207"/>
      <c r="W180" s="207"/>
      <c r="X180" s="207"/>
      <c r="Y180" s="207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  <c r="AK180" s="209"/>
      <c r="AL180" s="209"/>
      <c r="AM180" s="209"/>
      <c r="AN180" s="207"/>
      <c r="AO180" s="207"/>
      <c r="AP180" s="207"/>
      <c r="AQ180" s="207"/>
      <c r="AR180" s="207"/>
      <c r="AS180" s="207"/>
      <c r="AT180" s="207"/>
      <c r="AU180" s="207"/>
      <c r="AV180" s="207"/>
      <c r="AW180" s="207"/>
      <c r="AX180" s="207"/>
      <c r="AY180" s="207"/>
      <c r="AZ180" s="207"/>
      <c r="BA180" s="207"/>
      <c r="BB180" s="207"/>
      <c r="BC180" s="207"/>
      <c r="BD180" s="207"/>
      <c r="BE180" s="207"/>
      <c r="BF180" s="207"/>
      <c r="BG180" s="207"/>
      <c r="BH180" s="207"/>
      <c r="BI180" s="207"/>
      <c r="BJ180" s="207"/>
      <c r="BK180" s="207"/>
      <c r="BL180" s="207"/>
      <c r="BM180" s="207"/>
      <c r="BN180" s="207"/>
      <c r="BO180" s="207"/>
      <c r="BP180" s="207"/>
      <c r="BQ180" s="207"/>
      <c r="BR180" s="207"/>
      <c r="BS180" s="207"/>
      <c r="BT180" s="207"/>
      <c r="BU180" s="207"/>
      <c r="BV180" s="207"/>
      <c r="BW180" s="207"/>
      <c r="BX180" s="207"/>
      <c r="BY180" s="207"/>
      <c r="BZ180" s="207"/>
      <c r="CA180" s="207"/>
      <c r="CB180" s="207"/>
      <c r="CC180" s="207"/>
      <c r="CD180" s="207"/>
      <c r="CE180" s="207"/>
      <c r="CF180" s="207"/>
      <c r="CG180" s="207"/>
      <c r="CH180" s="207"/>
      <c r="CI180" s="207"/>
      <c r="CJ180" s="207"/>
      <c r="CK180" s="207"/>
      <c r="CL180" s="207"/>
      <c r="CM180" s="207"/>
      <c r="CN180" s="207"/>
      <c r="CO180" s="207"/>
      <c r="CP180" s="207"/>
      <c r="CQ180" s="207"/>
      <c r="CR180" s="207"/>
      <c r="CS180" s="207"/>
      <c r="CT180" s="207"/>
      <c r="CU180" s="207"/>
      <c r="CV180" s="207"/>
      <c r="CW180" s="207"/>
      <c r="CX180" s="207"/>
      <c r="CY180" s="207"/>
      <c r="CZ180" s="207"/>
      <c r="DA180" s="207"/>
      <c r="DB180" s="207"/>
      <c r="DC180" s="207"/>
      <c r="DD180" s="207"/>
    </row>
    <row r="181">
      <c r="A181" s="204"/>
      <c r="B181" s="205"/>
      <c r="C181" s="204"/>
      <c r="D181" s="206"/>
      <c r="E181" s="207"/>
      <c r="F181" s="207"/>
      <c r="G181" s="207"/>
      <c r="H181" s="208"/>
      <c r="I181" s="208"/>
      <c r="J181" s="208"/>
      <c r="K181" s="208"/>
      <c r="L181" s="208"/>
      <c r="M181" s="208"/>
      <c r="N181" s="208"/>
      <c r="O181" s="208"/>
      <c r="P181" s="208"/>
      <c r="Q181" s="208"/>
      <c r="R181" s="208"/>
      <c r="S181" s="208"/>
      <c r="T181" s="207"/>
      <c r="U181" s="207"/>
      <c r="V181" s="207"/>
      <c r="W181" s="207"/>
      <c r="X181" s="207"/>
      <c r="Y181" s="207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7"/>
      <c r="AO181" s="207"/>
      <c r="AP181" s="207"/>
      <c r="AQ181" s="207"/>
      <c r="AR181" s="207"/>
      <c r="AS181" s="207"/>
      <c r="AT181" s="207"/>
      <c r="AU181" s="207"/>
      <c r="AV181" s="207"/>
      <c r="AW181" s="207"/>
      <c r="AX181" s="207"/>
      <c r="AY181" s="207"/>
      <c r="AZ181" s="207"/>
      <c r="BA181" s="207"/>
      <c r="BB181" s="207"/>
      <c r="BC181" s="207"/>
      <c r="BD181" s="207"/>
      <c r="BE181" s="207"/>
      <c r="BF181" s="207"/>
      <c r="BG181" s="207"/>
      <c r="BH181" s="207"/>
      <c r="BI181" s="207"/>
      <c r="BJ181" s="207"/>
      <c r="BK181" s="207"/>
      <c r="BL181" s="207"/>
      <c r="BM181" s="207"/>
      <c r="BN181" s="207"/>
      <c r="BO181" s="207"/>
      <c r="BP181" s="207"/>
      <c r="BQ181" s="207"/>
      <c r="BR181" s="207"/>
      <c r="BS181" s="207"/>
      <c r="BT181" s="207"/>
      <c r="BU181" s="207"/>
      <c r="BV181" s="207"/>
      <c r="BW181" s="207"/>
      <c r="BX181" s="207"/>
      <c r="BY181" s="207"/>
      <c r="BZ181" s="207"/>
      <c r="CA181" s="207"/>
      <c r="CB181" s="207"/>
      <c r="CC181" s="207"/>
      <c r="CD181" s="207"/>
      <c r="CE181" s="207"/>
      <c r="CF181" s="207"/>
      <c r="CG181" s="207"/>
      <c r="CH181" s="207"/>
      <c r="CI181" s="207"/>
      <c r="CJ181" s="207"/>
      <c r="CK181" s="207"/>
      <c r="CL181" s="207"/>
      <c r="CM181" s="207"/>
      <c r="CN181" s="207"/>
      <c r="CO181" s="207"/>
      <c r="CP181" s="207"/>
      <c r="CQ181" s="207"/>
      <c r="CR181" s="207"/>
      <c r="CS181" s="207"/>
      <c r="CT181" s="207"/>
      <c r="CU181" s="207"/>
      <c r="CV181" s="207"/>
      <c r="CW181" s="207"/>
      <c r="CX181" s="207"/>
      <c r="CY181" s="207"/>
      <c r="CZ181" s="207"/>
      <c r="DA181" s="207"/>
      <c r="DB181" s="207"/>
      <c r="DC181" s="207"/>
      <c r="DD181" s="207"/>
    </row>
    <row r="182">
      <c r="A182" s="204"/>
      <c r="B182" s="205"/>
      <c r="C182" s="204"/>
      <c r="D182" s="206"/>
      <c r="E182" s="207"/>
      <c r="F182" s="207"/>
      <c r="G182" s="207"/>
      <c r="H182" s="208"/>
      <c r="I182" s="208"/>
      <c r="J182" s="208"/>
      <c r="K182" s="208"/>
      <c r="L182" s="208"/>
      <c r="M182" s="208"/>
      <c r="N182" s="208"/>
      <c r="O182" s="208"/>
      <c r="P182" s="208"/>
      <c r="Q182" s="208"/>
      <c r="R182" s="208"/>
      <c r="S182" s="208"/>
      <c r="T182" s="207"/>
      <c r="U182" s="207"/>
      <c r="V182" s="207"/>
      <c r="W182" s="207"/>
      <c r="X182" s="207"/>
      <c r="Y182" s="207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  <c r="AK182" s="209"/>
      <c r="AL182" s="209"/>
      <c r="AM182" s="209"/>
      <c r="AN182" s="207"/>
      <c r="AO182" s="207"/>
      <c r="AP182" s="207"/>
      <c r="AQ182" s="207"/>
      <c r="AR182" s="207"/>
      <c r="AS182" s="207"/>
      <c r="AT182" s="207"/>
      <c r="AU182" s="207"/>
      <c r="AV182" s="207"/>
      <c r="AW182" s="207"/>
      <c r="AX182" s="207"/>
      <c r="AY182" s="207"/>
      <c r="AZ182" s="207"/>
      <c r="BA182" s="207"/>
      <c r="BB182" s="207"/>
      <c r="BC182" s="207"/>
      <c r="BD182" s="207"/>
      <c r="BE182" s="207"/>
      <c r="BF182" s="207"/>
      <c r="BG182" s="207"/>
      <c r="BH182" s="207"/>
      <c r="BI182" s="207"/>
      <c r="BJ182" s="207"/>
      <c r="BK182" s="207"/>
      <c r="BL182" s="207"/>
      <c r="BM182" s="207"/>
      <c r="BN182" s="207"/>
      <c r="BO182" s="207"/>
      <c r="BP182" s="207"/>
      <c r="BQ182" s="207"/>
      <c r="BR182" s="207"/>
      <c r="BS182" s="207"/>
      <c r="BT182" s="207"/>
      <c r="BU182" s="207"/>
      <c r="BV182" s="207"/>
      <c r="BW182" s="207"/>
      <c r="BX182" s="207"/>
      <c r="BY182" s="207"/>
      <c r="BZ182" s="207"/>
      <c r="CA182" s="207"/>
      <c r="CB182" s="207"/>
      <c r="CC182" s="207"/>
      <c r="CD182" s="207"/>
      <c r="CE182" s="207"/>
      <c r="CF182" s="207"/>
      <c r="CG182" s="207"/>
      <c r="CH182" s="207"/>
      <c r="CI182" s="207"/>
      <c r="CJ182" s="207"/>
      <c r="CK182" s="207"/>
      <c r="CL182" s="207"/>
      <c r="CM182" s="207"/>
      <c r="CN182" s="207"/>
      <c r="CO182" s="207"/>
      <c r="CP182" s="207"/>
      <c r="CQ182" s="207"/>
      <c r="CR182" s="207"/>
      <c r="CS182" s="207"/>
      <c r="CT182" s="207"/>
      <c r="CU182" s="207"/>
      <c r="CV182" s="207"/>
      <c r="CW182" s="207"/>
      <c r="CX182" s="207"/>
      <c r="CY182" s="207"/>
      <c r="CZ182" s="207"/>
      <c r="DA182" s="207"/>
      <c r="DB182" s="207"/>
      <c r="DC182" s="207"/>
      <c r="DD182" s="207"/>
    </row>
    <row r="183">
      <c r="A183" s="204"/>
      <c r="B183" s="205"/>
      <c r="C183" s="204"/>
      <c r="D183" s="206"/>
      <c r="E183" s="207"/>
      <c r="F183" s="207"/>
      <c r="G183" s="207"/>
      <c r="H183" s="208"/>
      <c r="I183" s="208"/>
      <c r="J183" s="208"/>
      <c r="K183" s="208"/>
      <c r="L183" s="208"/>
      <c r="M183" s="208"/>
      <c r="N183" s="208"/>
      <c r="O183" s="208"/>
      <c r="P183" s="208"/>
      <c r="Q183" s="208"/>
      <c r="R183" s="208"/>
      <c r="S183" s="208"/>
      <c r="T183" s="207"/>
      <c r="U183" s="207"/>
      <c r="V183" s="207"/>
      <c r="W183" s="207"/>
      <c r="X183" s="207"/>
      <c r="Y183" s="207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  <c r="AK183" s="209"/>
      <c r="AL183" s="209"/>
      <c r="AM183" s="209"/>
      <c r="AN183" s="207"/>
      <c r="AO183" s="207"/>
      <c r="AP183" s="207"/>
      <c r="AQ183" s="207"/>
      <c r="AR183" s="207"/>
      <c r="AS183" s="207"/>
      <c r="AT183" s="207"/>
      <c r="AU183" s="207"/>
      <c r="AV183" s="207"/>
      <c r="AW183" s="207"/>
      <c r="AX183" s="207"/>
      <c r="AY183" s="207"/>
      <c r="AZ183" s="207"/>
      <c r="BA183" s="207"/>
      <c r="BB183" s="207"/>
      <c r="BC183" s="207"/>
      <c r="BD183" s="207"/>
      <c r="BE183" s="207"/>
      <c r="BF183" s="207"/>
      <c r="BG183" s="207"/>
      <c r="BH183" s="207"/>
      <c r="BI183" s="207"/>
      <c r="BJ183" s="207"/>
      <c r="BK183" s="207"/>
      <c r="BL183" s="207"/>
      <c r="BM183" s="207"/>
      <c r="BN183" s="207"/>
      <c r="BO183" s="207"/>
      <c r="BP183" s="207"/>
      <c r="BQ183" s="207"/>
      <c r="BR183" s="207"/>
      <c r="BS183" s="207"/>
      <c r="BT183" s="207"/>
      <c r="BU183" s="207"/>
      <c r="BV183" s="207"/>
      <c r="BW183" s="207"/>
      <c r="BX183" s="207"/>
      <c r="BY183" s="207"/>
      <c r="BZ183" s="207"/>
      <c r="CA183" s="207"/>
      <c r="CB183" s="207"/>
      <c r="CC183" s="207"/>
      <c r="CD183" s="207"/>
      <c r="CE183" s="207"/>
      <c r="CF183" s="207"/>
      <c r="CG183" s="207"/>
      <c r="CH183" s="207"/>
      <c r="CI183" s="207"/>
      <c r="CJ183" s="207"/>
      <c r="CK183" s="207"/>
      <c r="CL183" s="207"/>
      <c r="CM183" s="207"/>
      <c r="CN183" s="207"/>
      <c r="CO183" s="207"/>
      <c r="CP183" s="207"/>
      <c r="CQ183" s="207"/>
      <c r="CR183" s="207"/>
      <c r="CS183" s="207"/>
      <c r="CT183" s="207"/>
      <c r="CU183" s="207"/>
      <c r="CV183" s="207"/>
      <c r="CW183" s="207"/>
      <c r="CX183" s="207"/>
      <c r="CY183" s="207"/>
      <c r="CZ183" s="207"/>
      <c r="DA183" s="207"/>
      <c r="DB183" s="207"/>
      <c r="DC183" s="207"/>
      <c r="DD183" s="207"/>
    </row>
    <row r="184">
      <c r="A184" s="204"/>
      <c r="B184" s="205"/>
      <c r="C184" s="204"/>
      <c r="D184" s="206"/>
      <c r="E184" s="207"/>
      <c r="F184" s="207"/>
      <c r="G184" s="207"/>
      <c r="H184" s="208"/>
      <c r="I184" s="208"/>
      <c r="J184" s="208"/>
      <c r="K184" s="208"/>
      <c r="L184" s="208"/>
      <c r="M184" s="208"/>
      <c r="N184" s="208"/>
      <c r="O184" s="208"/>
      <c r="P184" s="208"/>
      <c r="Q184" s="208"/>
      <c r="R184" s="208"/>
      <c r="S184" s="208"/>
      <c r="T184" s="207"/>
      <c r="U184" s="207"/>
      <c r="V184" s="207"/>
      <c r="W184" s="207"/>
      <c r="X184" s="207"/>
      <c r="Y184" s="207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7"/>
      <c r="AO184" s="207"/>
      <c r="AP184" s="207"/>
      <c r="AQ184" s="207"/>
      <c r="AR184" s="207"/>
      <c r="AS184" s="207"/>
      <c r="AT184" s="207"/>
      <c r="AU184" s="207"/>
      <c r="AV184" s="207"/>
      <c r="AW184" s="207"/>
      <c r="AX184" s="207"/>
      <c r="AY184" s="207"/>
      <c r="AZ184" s="207"/>
      <c r="BA184" s="207"/>
      <c r="BB184" s="207"/>
      <c r="BC184" s="207"/>
      <c r="BD184" s="207"/>
      <c r="BE184" s="207"/>
      <c r="BF184" s="207"/>
      <c r="BG184" s="207"/>
      <c r="BH184" s="207"/>
      <c r="BI184" s="207"/>
      <c r="BJ184" s="207"/>
      <c r="BK184" s="207"/>
      <c r="BL184" s="207"/>
      <c r="BM184" s="207"/>
      <c r="BN184" s="207"/>
      <c r="BO184" s="207"/>
      <c r="BP184" s="207"/>
      <c r="BQ184" s="207"/>
      <c r="BR184" s="207"/>
      <c r="BS184" s="207"/>
      <c r="BT184" s="207"/>
      <c r="BU184" s="207"/>
      <c r="BV184" s="207"/>
      <c r="BW184" s="207"/>
      <c r="BX184" s="207"/>
      <c r="BY184" s="207"/>
      <c r="BZ184" s="207"/>
      <c r="CA184" s="207"/>
      <c r="CB184" s="207"/>
      <c r="CC184" s="207"/>
      <c r="CD184" s="207"/>
      <c r="CE184" s="207"/>
      <c r="CF184" s="207"/>
      <c r="CG184" s="207"/>
      <c r="CH184" s="207"/>
      <c r="CI184" s="207"/>
      <c r="CJ184" s="207"/>
      <c r="CK184" s="207"/>
      <c r="CL184" s="207"/>
      <c r="CM184" s="207"/>
      <c r="CN184" s="207"/>
      <c r="CO184" s="207"/>
      <c r="CP184" s="207"/>
      <c r="CQ184" s="207"/>
      <c r="CR184" s="207"/>
      <c r="CS184" s="207"/>
      <c r="CT184" s="207"/>
      <c r="CU184" s="207"/>
      <c r="CV184" s="207"/>
      <c r="CW184" s="207"/>
      <c r="CX184" s="207"/>
      <c r="CY184" s="207"/>
      <c r="CZ184" s="207"/>
      <c r="DA184" s="207"/>
      <c r="DB184" s="207"/>
      <c r="DC184" s="207"/>
      <c r="DD184" s="207"/>
    </row>
    <row r="185">
      <c r="A185" s="204"/>
      <c r="B185" s="205"/>
      <c r="C185" s="204"/>
      <c r="D185" s="206"/>
      <c r="E185" s="207"/>
      <c r="F185" s="207"/>
      <c r="G185" s="207"/>
      <c r="H185" s="208"/>
      <c r="I185" s="208"/>
      <c r="J185" s="208"/>
      <c r="K185" s="208"/>
      <c r="L185" s="208"/>
      <c r="M185" s="208"/>
      <c r="N185" s="208"/>
      <c r="O185" s="208"/>
      <c r="P185" s="208"/>
      <c r="Q185" s="208"/>
      <c r="R185" s="208"/>
      <c r="S185" s="208"/>
      <c r="T185" s="207"/>
      <c r="U185" s="207"/>
      <c r="V185" s="207"/>
      <c r="W185" s="207"/>
      <c r="X185" s="207"/>
      <c r="Y185" s="207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209"/>
      <c r="AN185" s="207"/>
      <c r="AO185" s="207"/>
      <c r="AP185" s="207"/>
      <c r="AQ185" s="207"/>
      <c r="AR185" s="207"/>
      <c r="AS185" s="207"/>
      <c r="AT185" s="207"/>
      <c r="AU185" s="207"/>
      <c r="AV185" s="207"/>
      <c r="AW185" s="207"/>
      <c r="AX185" s="207"/>
      <c r="AY185" s="207"/>
      <c r="AZ185" s="207"/>
      <c r="BA185" s="207"/>
      <c r="BB185" s="207"/>
      <c r="BC185" s="207"/>
      <c r="BD185" s="207"/>
      <c r="BE185" s="207"/>
      <c r="BF185" s="207"/>
      <c r="BG185" s="207"/>
      <c r="BH185" s="207"/>
      <c r="BI185" s="207"/>
      <c r="BJ185" s="207"/>
      <c r="BK185" s="207"/>
      <c r="BL185" s="207"/>
      <c r="BM185" s="207"/>
      <c r="BN185" s="207"/>
      <c r="BO185" s="207"/>
      <c r="BP185" s="207"/>
      <c r="BQ185" s="207"/>
      <c r="BR185" s="207"/>
      <c r="BS185" s="207"/>
      <c r="BT185" s="207"/>
      <c r="BU185" s="207"/>
      <c r="BV185" s="207"/>
      <c r="BW185" s="207"/>
      <c r="BX185" s="207"/>
      <c r="BY185" s="207"/>
      <c r="BZ185" s="207"/>
      <c r="CA185" s="207"/>
      <c r="CB185" s="207"/>
      <c r="CC185" s="207"/>
      <c r="CD185" s="207"/>
      <c r="CE185" s="207"/>
      <c r="CF185" s="207"/>
      <c r="CG185" s="207"/>
      <c r="CH185" s="207"/>
      <c r="CI185" s="207"/>
      <c r="CJ185" s="207"/>
      <c r="CK185" s="207"/>
      <c r="CL185" s="207"/>
      <c r="CM185" s="207"/>
      <c r="CN185" s="207"/>
      <c r="CO185" s="207"/>
      <c r="CP185" s="207"/>
      <c r="CQ185" s="207"/>
      <c r="CR185" s="207"/>
      <c r="CS185" s="207"/>
      <c r="CT185" s="207"/>
      <c r="CU185" s="207"/>
      <c r="CV185" s="207"/>
      <c r="CW185" s="207"/>
      <c r="CX185" s="207"/>
      <c r="CY185" s="207"/>
      <c r="CZ185" s="207"/>
      <c r="DA185" s="207"/>
      <c r="DB185" s="207"/>
      <c r="DC185" s="207"/>
      <c r="DD185" s="207"/>
    </row>
    <row r="186">
      <c r="A186" s="204"/>
      <c r="B186" s="205"/>
      <c r="C186" s="204"/>
      <c r="D186" s="206"/>
      <c r="E186" s="207"/>
      <c r="F186" s="207"/>
      <c r="G186" s="207"/>
      <c r="H186" s="208"/>
      <c r="I186" s="208"/>
      <c r="J186" s="208"/>
      <c r="K186" s="208"/>
      <c r="L186" s="208"/>
      <c r="M186" s="208"/>
      <c r="N186" s="208"/>
      <c r="O186" s="208"/>
      <c r="P186" s="208"/>
      <c r="Q186" s="208"/>
      <c r="R186" s="208"/>
      <c r="S186" s="208"/>
      <c r="T186" s="207"/>
      <c r="U186" s="207"/>
      <c r="V186" s="207"/>
      <c r="W186" s="207"/>
      <c r="X186" s="207"/>
      <c r="Y186" s="207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7"/>
      <c r="AO186" s="207"/>
      <c r="AP186" s="207"/>
      <c r="AQ186" s="207"/>
      <c r="AR186" s="207"/>
      <c r="AS186" s="207"/>
      <c r="AT186" s="207"/>
      <c r="AU186" s="207"/>
      <c r="AV186" s="207"/>
      <c r="AW186" s="207"/>
      <c r="AX186" s="207"/>
      <c r="AY186" s="207"/>
      <c r="AZ186" s="207"/>
      <c r="BA186" s="207"/>
      <c r="BB186" s="207"/>
      <c r="BC186" s="207"/>
      <c r="BD186" s="207"/>
      <c r="BE186" s="207"/>
      <c r="BF186" s="207"/>
      <c r="BG186" s="207"/>
      <c r="BH186" s="207"/>
      <c r="BI186" s="207"/>
      <c r="BJ186" s="207"/>
      <c r="BK186" s="207"/>
      <c r="BL186" s="207"/>
      <c r="BM186" s="207"/>
      <c r="BN186" s="207"/>
      <c r="BO186" s="207"/>
      <c r="BP186" s="207"/>
      <c r="BQ186" s="207"/>
      <c r="BR186" s="207"/>
      <c r="BS186" s="207"/>
      <c r="BT186" s="207"/>
      <c r="BU186" s="207"/>
      <c r="BV186" s="207"/>
      <c r="BW186" s="207"/>
      <c r="BX186" s="207"/>
      <c r="BY186" s="207"/>
      <c r="BZ186" s="207"/>
      <c r="CA186" s="207"/>
      <c r="CB186" s="207"/>
      <c r="CC186" s="207"/>
      <c r="CD186" s="207"/>
      <c r="CE186" s="207"/>
      <c r="CF186" s="207"/>
      <c r="CG186" s="207"/>
      <c r="CH186" s="207"/>
      <c r="CI186" s="207"/>
      <c r="CJ186" s="207"/>
      <c r="CK186" s="207"/>
      <c r="CL186" s="207"/>
      <c r="CM186" s="207"/>
      <c r="CN186" s="207"/>
      <c r="CO186" s="207"/>
      <c r="CP186" s="207"/>
      <c r="CQ186" s="207"/>
      <c r="CR186" s="207"/>
      <c r="CS186" s="207"/>
      <c r="CT186" s="207"/>
      <c r="CU186" s="207"/>
      <c r="CV186" s="207"/>
      <c r="CW186" s="207"/>
      <c r="CX186" s="207"/>
      <c r="CY186" s="207"/>
      <c r="CZ186" s="207"/>
      <c r="DA186" s="207"/>
      <c r="DB186" s="207"/>
      <c r="DC186" s="207"/>
      <c r="DD186" s="207"/>
    </row>
    <row r="187">
      <c r="A187" s="204"/>
      <c r="B187" s="205"/>
      <c r="C187" s="204"/>
      <c r="D187" s="206"/>
      <c r="E187" s="207"/>
      <c r="F187" s="207"/>
      <c r="G187" s="207"/>
      <c r="H187" s="208"/>
      <c r="I187" s="208"/>
      <c r="J187" s="208"/>
      <c r="K187" s="208"/>
      <c r="L187" s="208"/>
      <c r="M187" s="208"/>
      <c r="N187" s="208"/>
      <c r="O187" s="208"/>
      <c r="P187" s="208"/>
      <c r="Q187" s="208"/>
      <c r="R187" s="208"/>
      <c r="S187" s="208"/>
      <c r="T187" s="207"/>
      <c r="U187" s="207"/>
      <c r="V187" s="207"/>
      <c r="W187" s="207"/>
      <c r="X187" s="207"/>
      <c r="Y187" s="207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7"/>
      <c r="AO187" s="207"/>
      <c r="AP187" s="207"/>
      <c r="AQ187" s="207"/>
      <c r="AR187" s="207"/>
      <c r="AS187" s="207"/>
      <c r="AT187" s="207"/>
      <c r="AU187" s="207"/>
      <c r="AV187" s="207"/>
      <c r="AW187" s="207"/>
      <c r="AX187" s="207"/>
      <c r="AY187" s="207"/>
      <c r="AZ187" s="207"/>
      <c r="BA187" s="207"/>
      <c r="BB187" s="207"/>
      <c r="BC187" s="207"/>
      <c r="BD187" s="207"/>
      <c r="BE187" s="207"/>
      <c r="BF187" s="207"/>
      <c r="BG187" s="207"/>
      <c r="BH187" s="207"/>
      <c r="BI187" s="207"/>
      <c r="BJ187" s="207"/>
      <c r="BK187" s="207"/>
      <c r="BL187" s="207"/>
      <c r="BM187" s="207"/>
      <c r="BN187" s="207"/>
      <c r="BO187" s="207"/>
      <c r="BP187" s="207"/>
      <c r="BQ187" s="207"/>
      <c r="BR187" s="207"/>
      <c r="BS187" s="207"/>
      <c r="BT187" s="207"/>
      <c r="BU187" s="207"/>
      <c r="BV187" s="207"/>
      <c r="BW187" s="207"/>
      <c r="BX187" s="207"/>
      <c r="BY187" s="207"/>
      <c r="BZ187" s="207"/>
      <c r="CA187" s="207"/>
      <c r="CB187" s="207"/>
      <c r="CC187" s="207"/>
      <c r="CD187" s="207"/>
      <c r="CE187" s="207"/>
      <c r="CF187" s="207"/>
      <c r="CG187" s="207"/>
      <c r="CH187" s="207"/>
      <c r="CI187" s="207"/>
      <c r="CJ187" s="207"/>
      <c r="CK187" s="207"/>
      <c r="CL187" s="207"/>
      <c r="CM187" s="207"/>
      <c r="CN187" s="207"/>
      <c r="CO187" s="207"/>
      <c r="CP187" s="207"/>
      <c r="CQ187" s="207"/>
      <c r="CR187" s="207"/>
      <c r="CS187" s="207"/>
      <c r="CT187" s="207"/>
      <c r="CU187" s="207"/>
      <c r="CV187" s="207"/>
      <c r="CW187" s="207"/>
      <c r="CX187" s="207"/>
      <c r="CY187" s="207"/>
      <c r="CZ187" s="207"/>
      <c r="DA187" s="207"/>
      <c r="DB187" s="207"/>
      <c r="DC187" s="207"/>
      <c r="DD187" s="207"/>
    </row>
    <row r="188">
      <c r="A188" s="204"/>
      <c r="B188" s="205"/>
      <c r="C188" s="204"/>
      <c r="D188" s="206"/>
      <c r="E188" s="207"/>
      <c r="F188" s="207"/>
      <c r="G188" s="207"/>
      <c r="H188" s="208"/>
      <c r="I188" s="208"/>
      <c r="J188" s="208"/>
      <c r="K188" s="208"/>
      <c r="L188" s="208"/>
      <c r="M188" s="208"/>
      <c r="N188" s="208"/>
      <c r="O188" s="208"/>
      <c r="P188" s="208"/>
      <c r="Q188" s="208"/>
      <c r="R188" s="208"/>
      <c r="S188" s="208"/>
      <c r="T188" s="207"/>
      <c r="U188" s="207"/>
      <c r="V188" s="207"/>
      <c r="W188" s="207"/>
      <c r="X188" s="207"/>
      <c r="Y188" s="207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  <c r="AK188" s="209"/>
      <c r="AL188" s="209"/>
      <c r="AM188" s="209"/>
      <c r="AN188" s="207"/>
      <c r="AO188" s="207"/>
      <c r="AP188" s="207"/>
      <c r="AQ188" s="207"/>
      <c r="AR188" s="207"/>
      <c r="AS188" s="207"/>
      <c r="AT188" s="207"/>
      <c r="AU188" s="207"/>
      <c r="AV188" s="207"/>
      <c r="AW188" s="207"/>
      <c r="AX188" s="207"/>
      <c r="AY188" s="207"/>
      <c r="AZ188" s="207"/>
      <c r="BA188" s="207"/>
      <c r="BB188" s="207"/>
      <c r="BC188" s="207"/>
      <c r="BD188" s="207"/>
      <c r="BE188" s="207"/>
      <c r="BF188" s="207"/>
      <c r="BG188" s="207"/>
      <c r="BH188" s="207"/>
      <c r="BI188" s="207"/>
      <c r="BJ188" s="207"/>
      <c r="BK188" s="207"/>
      <c r="BL188" s="207"/>
      <c r="BM188" s="207"/>
      <c r="BN188" s="207"/>
      <c r="BO188" s="207"/>
      <c r="BP188" s="207"/>
      <c r="BQ188" s="207"/>
      <c r="BR188" s="207"/>
      <c r="BS188" s="207"/>
      <c r="BT188" s="207"/>
      <c r="BU188" s="207"/>
      <c r="BV188" s="207"/>
      <c r="BW188" s="207"/>
      <c r="BX188" s="207"/>
      <c r="BY188" s="207"/>
      <c r="BZ188" s="207"/>
      <c r="CA188" s="207"/>
      <c r="CB188" s="207"/>
      <c r="CC188" s="207"/>
      <c r="CD188" s="207"/>
      <c r="CE188" s="207"/>
      <c r="CF188" s="207"/>
      <c r="CG188" s="207"/>
      <c r="CH188" s="207"/>
      <c r="CI188" s="207"/>
      <c r="CJ188" s="207"/>
      <c r="CK188" s="207"/>
      <c r="CL188" s="207"/>
      <c r="CM188" s="207"/>
      <c r="CN188" s="207"/>
      <c r="CO188" s="207"/>
      <c r="CP188" s="207"/>
      <c r="CQ188" s="207"/>
      <c r="CR188" s="207"/>
      <c r="CS188" s="207"/>
      <c r="CT188" s="207"/>
      <c r="CU188" s="207"/>
      <c r="CV188" s="207"/>
      <c r="CW188" s="207"/>
      <c r="CX188" s="207"/>
      <c r="CY188" s="207"/>
      <c r="CZ188" s="207"/>
      <c r="DA188" s="207"/>
      <c r="DB188" s="207"/>
      <c r="DC188" s="207"/>
      <c r="DD188" s="207"/>
    </row>
    <row r="189">
      <c r="A189" s="204"/>
      <c r="B189" s="205"/>
      <c r="C189" s="204"/>
      <c r="D189" s="206"/>
      <c r="E189" s="207"/>
      <c r="F189" s="207"/>
      <c r="G189" s="207"/>
      <c r="H189" s="208"/>
      <c r="I189" s="208"/>
      <c r="J189" s="208"/>
      <c r="K189" s="208"/>
      <c r="L189" s="208"/>
      <c r="M189" s="208"/>
      <c r="N189" s="208"/>
      <c r="O189" s="208"/>
      <c r="P189" s="208"/>
      <c r="Q189" s="208"/>
      <c r="R189" s="208"/>
      <c r="S189" s="208"/>
      <c r="T189" s="207"/>
      <c r="U189" s="207"/>
      <c r="V189" s="207"/>
      <c r="W189" s="207"/>
      <c r="X189" s="207"/>
      <c r="Y189" s="207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  <c r="AK189" s="209"/>
      <c r="AL189" s="209"/>
      <c r="AM189" s="209"/>
      <c r="AN189" s="207"/>
      <c r="AO189" s="207"/>
      <c r="AP189" s="207"/>
      <c r="AQ189" s="207"/>
      <c r="AR189" s="207"/>
      <c r="AS189" s="207"/>
      <c r="AT189" s="207"/>
      <c r="AU189" s="207"/>
      <c r="AV189" s="207"/>
      <c r="AW189" s="207"/>
      <c r="AX189" s="207"/>
      <c r="AY189" s="207"/>
      <c r="AZ189" s="207"/>
      <c r="BA189" s="207"/>
      <c r="BB189" s="207"/>
      <c r="BC189" s="207"/>
      <c r="BD189" s="207"/>
      <c r="BE189" s="207"/>
      <c r="BF189" s="207"/>
      <c r="BG189" s="207"/>
      <c r="BH189" s="207"/>
      <c r="BI189" s="207"/>
      <c r="BJ189" s="207"/>
      <c r="BK189" s="207"/>
      <c r="BL189" s="207"/>
      <c r="BM189" s="207"/>
      <c r="BN189" s="207"/>
      <c r="BO189" s="207"/>
      <c r="BP189" s="207"/>
      <c r="BQ189" s="207"/>
      <c r="BR189" s="207"/>
      <c r="BS189" s="207"/>
      <c r="BT189" s="207"/>
      <c r="BU189" s="207"/>
      <c r="BV189" s="207"/>
      <c r="BW189" s="207"/>
      <c r="BX189" s="207"/>
      <c r="BY189" s="207"/>
      <c r="BZ189" s="207"/>
      <c r="CA189" s="207"/>
      <c r="CB189" s="207"/>
      <c r="CC189" s="207"/>
      <c r="CD189" s="207"/>
      <c r="CE189" s="207"/>
      <c r="CF189" s="207"/>
      <c r="CG189" s="207"/>
      <c r="CH189" s="207"/>
      <c r="CI189" s="207"/>
      <c r="CJ189" s="207"/>
      <c r="CK189" s="207"/>
      <c r="CL189" s="207"/>
      <c r="CM189" s="207"/>
      <c r="CN189" s="207"/>
      <c r="CO189" s="207"/>
      <c r="CP189" s="207"/>
      <c r="CQ189" s="207"/>
      <c r="CR189" s="207"/>
      <c r="CS189" s="207"/>
      <c r="CT189" s="207"/>
      <c r="CU189" s="207"/>
      <c r="CV189" s="207"/>
      <c r="CW189" s="207"/>
      <c r="CX189" s="207"/>
      <c r="CY189" s="207"/>
      <c r="CZ189" s="207"/>
      <c r="DA189" s="207"/>
      <c r="DB189" s="207"/>
      <c r="DC189" s="207"/>
      <c r="DD189" s="207"/>
    </row>
    <row r="190">
      <c r="A190" s="204"/>
      <c r="B190" s="205"/>
      <c r="C190" s="204"/>
      <c r="D190" s="206"/>
      <c r="E190" s="207"/>
      <c r="F190" s="207"/>
      <c r="G190" s="207"/>
      <c r="H190" s="208"/>
      <c r="I190" s="208"/>
      <c r="J190" s="208"/>
      <c r="K190" s="208"/>
      <c r="L190" s="208"/>
      <c r="M190" s="208"/>
      <c r="N190" s="208"/>
      <c r="O190" s="208"/>
      <c r="P190" s="208"/>
      <c r="Q190" s="208"/>
      <c r="R190" s="208"/>
      <c r="S190" s="208"/>
      <c r="T190" s="207"/>
      <c r="U190" s="207"/>
      <c r="V190" s="207"/>
      <c r="W190" s="207"/>
      <c r="X190" s="207"/>
      <c r="Y190" s="207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07"/>
      <c r="AO190" s="207"/>
      <c r="AP190" s="207"/>
      <c r="AQ190" s="207"/>
      <c r="AR190" s="207"/>
      <c r="AS190" s="207"/>
      <c r="AT190" s="207"/>
      <c r="AU190" s="207"/>
      <c r="AV190" s="207"/>
      <c r="AW190" s="207"/>
      <c r="AX190" s="207"/>
      <c r="AY190" s="207"/>
      <c r="AZ190" s="207"/>
      <c r="BA190" s="207"/>
      <c r="BB190" s="207"/>
      <c r="BC190" s="207"/>
      <c r="BD190" s="207"/>
      <c r="BE190" s="207"/>
      <c r="BF190" s="207"/>
      <c r="BG190" s="207"/>
      <c r="BH190" s="207"/>
      <c r="BI190" s="207"/>
      <c r="BJ190" s="207"/>
      <c r="BK190" s="207"/>
      <c r="BL190" s="207"/>
      <c r="BM190" s="207"/>
      <c r="BN190" s="207"/>
      <c r="BO190" s="207"/>
      <c r="BP190" s="207"/>
      <c r="BQ190" s="207"/>
      <c r="BR190" s="207"/>
      <c r="BS190" s="207"/>
      <c r="BT190" s="207"/>
      <c r="BU190" s="207"/>
      <c r="BV190" s="207"/>
      <c r="BW190" s="207"/>
      <c r="BX190" s="207"/>
      <c r="BY190" s="207"/>
      <c r="BZ190" s="207"/>
      <c r="CA190" s="207"/>
      <c r="CB190" s="207"/>
      <c r="CC190" s="207"/>
      <c r="CD190" s="207"/>
      <c r="CE190" s="207"/>
      <c r="CF190" s="207"/>
      <c r="CG190" s="207"/>
      <c r="CH190" s="207"/>
      <c r="CI190" s="207"/>
      <c r="CJ190" s="207"/>
      <c r="CK190" s="207"/>
      <c r="CL190" s="207"/>
      <c r="CM190" s="207"/>
      <c r="CN190" s="207"/>
      <c r="CO190" s="207"/>
      <c r="CP190" s="207"/>
      <c r="CQ190" s="207"/>
      <c r="CR190" s="207"/>
      <c r="CS190" s="207"/>
      <c r="CT190" s="207"/>
      <c r="CU190" s="207"/>
      <c r="CV190" s="207"/>
      <c r="CW190" s="207"/>
      <c r="CX190" s="207"/>
      <c r="CY190" s="207"/>
      <c r="CZ190" s="207"/>
      <c r="DA190" s="207"/>
      <c r="DB190" s="207"/>
      <c r="DC190" s="207"/>
      <c r="DD190" s="207"/>
    </row>
    <row r="191">
      <c r="A191" s="204"/>
      <c r="B191" s="205"/>
      <c r="C191" s="204"/>
      <c r="D191" s="206"/>
      <c r="E191" s="207"/>
      <c r="F191" s="207"/>
      <c r="G191" s="207"/>
      <c r="H191" s="208"/>
      <c r="I191" s="208"/>
      <c r="J191" s="208"/>
      <c r="K191" s="208"/>
      <c r="L191" s="208"/>
      <c r="M191" s="208"/>
      <c r="N191" s="208"/>
      <c r="O191" s="208"/>
      <c r="P191" s="208"/>
      <c r="Q191" s="208"/>
      <c r="R191" s="208"/>
      <c r="S191" s="208"/>
      <c r="T191" s="207"/>
      <c r="U191" s="207"/>
      <c r="V191" s="207"/>
      <c r="W191" s="207"/>
      <c r="X191" s="207"/>
      <c r="Y191" s="207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7"/>
      <c r="AO191" s="207"/>
      <c r="AP191" s="207"/>
      <c r="AQ191" s="207"/>
      <c r="AR191" s="207"/>
      <c r="AS191" s="207"/>
      <c r="AT191" s="207"/>
      <c r="AU191" s="207"/>
      <c r="AV191" s="207"/>
      <c r="AW191" s="207"/>
      <c r="AX191" s="207"/>
      <c r="AY191" s="207"/>
      <c r="AZ191" s="207"/>
      <c r="BA191" s="207"/>
      <c r="BB191" s="207"/>
      <c r="BC191" s="207"/>
      <c r="BD191" s="207"/>
      <c r="BE191" s="207"/>
      <c r="BF191" s="207"/>
      <c r="BG191" s="207"/>
      <c r="BH191" s="207"/>
      <c r="BI191" s="207"/>
      <c r="BJ191" s="207"/>
      <c r="BK191" s="207"/>
      <c r="BL191" s="207"/>
      <c r="BM191" s="207"/>
      <c r="BN191" s="207"/>
      <c r="BO191" s="207"/>
      <c r="BP191" s="207"/>
      <c r="BQ191" s="207"/>
      <c r="BR191" s="207"/>
      <c r="BS191" s="207"/>
      <c r="BT191" s="207"/>
      <c r="BU191" s="207"/>
      <c r="BV191" s="207"/>
      <c r="BW191" s="207"/>
      <c r="BX191" s="207"/>
      <c r="BY191" s="207"/>
      <c r="BZ191" s="207"/>
      <c r="CA191" s="207"/>
      <c r="CB191" s="207"/>
      <c r="CC191" s="207"/>
      <c r="CD191" s="207"/>
      <c r="CE191" s="207"/>
      <c r="CF191" s="207"/>
      <c r="CG191" s="207"/>
      <c r="CH191" s="207"/>
      <c r="CI191" s="207"/>
      <c r="CJ191" s="207"/>
      <c r="CK191" s="207"/>
      <c r="CL191" s="207"/>
      <c r="CM191" s="207"/>
      <c r="CN191" s="207"/>
      <c r="CO191" s="207"/>
      <c r="CP191" s="207"/>
      <c r="CQ191" s="207"/>
      <c r="CR191" s="207"/>
      <c r="CS191" s="207"/>
      <c r="CT191" s="207"/>
      <c r="CU191" s="207"/>
      <c r="CV191" s="207"/>
      <c r="CW191" s="207"/>
      <c r="CX191" s="207"/>
      <c r="CY191" s="207"/>
      <c r="CZ191" s="207"/>
      <c r="DA191" s="207"/>
      <c r="DB191" s="207"/>
      <c r="DC191" s="207"/>
      <c r="DD191" s="207"/>
    </row>
    <row r="192">
      <c r="A192" s="204"/>
      <c r="B192" s="205"/>
      <c r="C192" s="204"/>
      <c r="D192" s="206"/>
      <c r="E192" s="207"/>
      <c r="F192" s="207"/>
      <c r="G192" s="207"/>
      <c r="H192" s="208"/>
      <c r="I192" s="208"/>
      <c r="J192" s="208"/>
      <c r="K192" s="208"/>
      <c r="L192" s="208"/>
      <c r="M192" s="208"/>
      <c r="N192" s="208"/>
      <c r="O192" s="208"/>
      <c r="P192" s="208"/>
      <c r="Q192" s="208"/>
      <c r="R192" s="208"/>
      <c r="S192" s="208"/>
      <c r="T192" s="207"/>
      <c r="U192" s="207"/>
      <c r="V192" s="207"/>
      <c r="W192" s="207"/>
      <c r="X192" s="207"/>
      <c r="Y192" s="207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  <c r="AK192" s="209"/>
      <c r="AL192" s="209"/>
      <c r="AM192" s="209"/>
      <c r="AN192" s="207"/>
      <c r="AO192" s="207"/>
      <c r="AP192" s="207"/>
      <c r="AQ192" s="207"/>
      <c r="AR192" s="207"/>
      <c r="AS192" s="207"/>
      <c r="AT192" s="207"/>
      <c r="AU192" s="207"/>
      <c r="AV192" s="207"/>
      <c r="AW192" s="207"/>
      <c r="AX192" s="207"/>
      <c r="AY192" s="207"/>
      <c r="AZ192" s="207"/>
      <c r="BA192" s="207"/>
      <c r="BB192" s="207"/>
      <c r="BC192" s="207"/>
      <c r="BD192" s="207"/>
      <c r="BE192" s="207"/>
      <c r="BF192" s="207"/>
      <c r="BG192" s="207"/>
      <c r="BH192" s="207"/>
      <c r="BI192" s="207"/>
      <c r="BJ192" s="207"/>
      <c r="BK192" s="207"/>
      <c r="BL192" s="207"/>
      <c r="BM192" s="207"/>
      <c r="BN192" s="207"/>
      <c r="BO192" s="207"/>
      <c r="BP192" s="207"/>
      <c r="BQ192" s="207"/>
      <c r="BR192" s="207"/>
      <c r="BS192" s="207"/>
      <c r="BT192" s="207"/>
      <c r="BU192" s="207"/>
      <c r="BV192" s="207"/>
      <c r="BW192" s="207"/>
      <c r="BX192" s="207"/>
      <c r="BY192" s="207"/>
      <c r="BZ192" s="207"/>
      <c r="CA192" s="207"/>
      <c r="CB192" s="207"/>
      <c r="CC192" s="207"/>
      <c r="CD192" s="207"/>
      <c r="CE192" s="207"/>
      <c r="CF192" s="207"/>
      <c r="CG192" s="207"/>
      <c r="CH192" s="207"/>
      <c r="CI192" s="207"/>
      <c r="CJ192" s="207"/>
      <c r="CK192" s="207"/>
      <c r="CL192" s="207"/>
      <c r="CM192" s="207"/>
      <c r="CN192" s="207"/>
      <c r="CO192" s="207"/>
      <c r="CP192" s="207"/>
      <c r="CQ192" s="207"/>
      <c r="CR192" s="207"/>
      <c r="CS192" s="207"/>
      <c r="CT192" s="207"/>
      <c r="CU192" s="207"/>
      <c r="CV192" s="207"/>
      <c r="CW192" s="207"/>
      <c r="CX192" s="207"/>
      <c r="CY192" s="207"/>
      <c r="CZ192" s="207"/>
      <c r="DA192" s="207"/>
      <c r="DB192" s="207"/>
      <c r="DC192" s="207"/>
      <c r="DD192" s="207"/>
    </row>
    <row r="193">
      <c r="A193" s="204"/>
      <c r="B193" s="205"/>
      <c r="C193" s="204"/>
      <c r="D193" s="206"/>
      <c r="E193" s="207"/>
      <c r="F193" s="207"/>
      <c r="G193" s="207"/>
      <c r="H193" s="208"/>
      <c r="I193" s="208"/>
      <c r="J193" s="208"/>
      <c r="K193" s="208"/>
      <c r="L193" s="208"/>
      <c r="M193" s="208"/>
      <c r="N193" s="208"/>
      <c r="O193" s="208"/>
      <c r="P193" s="208"/>
      <c r="Q193" s="208"/>
      <c r="R193" s="208"/>
      <c r="S193" s="208"/>
      <c r="T193" s="207"/>
      <c r="U193" s="207"/>
      <c r="V193" s="207"/>
      <c r="W193" s="207"/>
      <c r="X193" s="207"/>
      <c r="Y193" s="207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7"/>
      <c r="AO193" s="207"/>
      <c r="AP193" s="207"/>
      <c r="AQ193" s="207"/>
      <c r="AR193" s="207"/>
      <c r="AS193" s="207"/>
      <c r="AT193" s="207"/>
      <c r="AU193" s="207"/>
      <c r="AV193" s="207"/>
      <c r="AW193" s="207"/>
      <c r="AX193" s="207"/>
      <c r="AY193" s="207"/>
      <c r="AZ193" s="207"/>
      <c r="BA193" s="207"/>
      <c r="BB193" s="207"/>
      <c r="BC193" s="207"/>
      <c r="BD193" s="207"/>
      <c r="BE193" s="207"/>
      <c r="BF193" s="207"/>
      <c r="BG193" s="207"/>
      <c r="BH193" s="207"/>
      <c r="BI193" s="207"/>
      <c r="BJ193" s="207"/>
      <c r="BK193" s="207"/>
      <c r="BL193" s="207"/>
      <c r="BM193" s="207"/>
      <c r="BN193" s="207"/>
      <c r="BO193" s="207"/>
      <c r="BP193" s="207"/>
      <c r="BQ193" s="207"/>
      <c r="BR193" s="207"/>
      <c r="BS193" s="207"/>
      <c r="BT193" s="207"/>
      <c r="BU193" s="207"/>
      <c r="BV193" s="207"/>
      <c r="BW193" s="207"/>
      <c r="BX193" s="207"/>
      <c r="BY193" s="207"/>
      <c r="BZ193" s="207"/>
      <c r="CA193" s="207"/>
      <c r="CB193" s="207"/>
      <c r="CC193" s="207"/>
      <c r="CD193" s="207"/>
      <c r="CE193" s="207"/>
      <c r="CF193" s="207"/>
      <c r="CG193" s="207"/>
      <c r="CH193" s="207"/>
      <c r="CI193" s="207"/>
      <c r="CJ193" s="207"/>
      <c r="CK193" s="207"/>
      <c r="CL193" s="207"/>
      <c r="CM193" s="207"/>
      <c r="CN193" s="207"/>
      <c r="CO193" s="207"/>
      <c r="CP193" s="207"/>
      <c r="CQ193" s="207"/>
      <c r="CR193" s="207"/>
      <c r="CS193" s="207"/>
      <c r="CT193" s="207"/>
      <c r="CU193" s="207"/>
      <c r="CV193" s="207"/>
      <c r="CW193" s="207"/>
      <c r="CX193" s="207"/>
      <c r="CY193" s="207"/>
      <c r="CZ193" s="207"/>
      <c r="DA193" s="207"/>
      <c r="DB193" s="207"/>
      <c r="DC193" s="207"/>
      <c r="DD193" s="207"/>
    </row>
    <row r="194">
      <c r="A194" s="204"/>
      <c r="B194" s="205"/>
      <c r="C194" s="204"/>
      <c r="D194" s="206"/>
      <c r="E194" s="207"/>
      <c r="F194" s="207"/>
      <c r="G194" s="207"/>
      <c r="H194" s="208"/>
      <c r="I194" s="208"/>
      <c r="J194" s="208"/>
      <c r="K194" s="208"/>
      <c r="L194" s="208"/>
      <c r="M194" s="208"/>
      <c r="N194" s="208"/>
      <c r="O194" s="208"/>
      <c r="P194" s="208"/>
      <c r="Q194" s="208"/>
      <c r="R194" s="208"/>
      <c r="S194" s="208"/>
      <c r="T194" s="207"/>
      <c r="U194" s="207"/>
      <c r="V194" s="207"/>
      <c r="W194" s="207"/>
      <c r="X194" s="207"/>
      <c r="Y194" s="207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7"/>
      <c r="AO194" s="207"/>
      <c r="AP194" s="207"/>
      <c r="AQ194" s="207"/>
      <c r="AR194" s="207"/>
      <c r="AS194" s="207"/>
      <c r="AT194" s="207"/>
      <c r="AU194" s="207"/>
      <c r="AV194" s="207"/>
      <c r="AW194" s="207"/>
      <c r="AX194" s="207"/>
      <c r="AY194" s="207"/>
      <c r="AZ194" s="207"/>
      <c r="BA194" s="207"/>
      <c r="BB194" s="207"/>
      <c r="BC194" s="207"/>
      <c r="BD194" s="207"/>
      <c r="BE194" s="207"/>
      <c r="BF194" s="207"/>
      <c r="BG194" s="207"/>
      <c r="BH194" s="207"/>
      <c r="BI194" s="207"/>
      <c r="BJ194" s="207"/>
      <c r="BK194" s="207"/>
      <c r="BL194" s="207"/>
      <c r="BM194" s="207"/>
      <c r="BN194" s="207"/>
      <c r="BO194" s="207"/>
      <c r="BP194" s="207"/>
      <c r="BQ194" s="207"/>
      <c r="BR194" s="207"/>
      <c r="BS194" s="207"/>
      <c r="BT194" s="207"/>
      <c r="BU194" s="207"/>
      <c r="BV194" s="207"/>
      <c r="BW194" s="207"/>
      <c r="BX194" s="207"/>
      <c r="BY194" s="207"/>
      <c r="BZ194" s="207"/>
      <c r="CA194" s="207"/>
      <c r="CB194" s="207"/>
      <c r="CC194" s="207"/>
      <c r="CD194" s="207"/>
      <c r="CE194" s="207"/>
      <c r="CF194" s="207"/>
      <c r="CG194" s="207"/>
      <c r="CH194" s="207"/>
      <c r="CI194" s="207"/>
      <c r="CJ194" s="207"/>
      <c r="CK194" s="207"/>
      <c r="CL194" s="207"/>
      <c r="CM194" s="207"/>
      <c r="CN194" s="207"/>
      <c r="CO194" s="207"/>
      <c r="CP194" s="207"/>
      <c r="CQ194" s="207"/>
      <c r="CR194" s="207"/>
      <c r="CS194" s="207"/>
      <c r="CT194" s="207"/>
      <c r="CU194" s="207"/>
      <c r="CV194" s="207"/>
      <c r="CW194" s="207"/>
      <c r="CX194" s="207"/>
      <c r="CY194" s="207"/>
      <c r="CZ194" s="207"/>
      <c r="DA194" s="207"/>
      <c r="DB194" s="207"/>
      <c r="DC194" s="207"/>
      <c r="DD194" s="207"/>
    </row>
    <row r="195">
      <c r="A195" s="204"/>
      <c r="B195" s="205"/>
      <c r="C195" s="204"/>
      <c r="D195" s="206"/>
      <c r="E195" s="207"/>
      <c r="F195" s="207"/>
      <c r="G195" s="207"/>
      <c r="H195" s="208"/>
      <c r="I195" s="208"/>
      <c r="J195" s="208"/>
      <c r="K195" s="208"/>
      <c r="L195" s="208"/>
      <c r="M195" s="208"/>
      <c r="N195" s="208"/>
      <c r="O195" s="208"/>
      <c r="P195" s="208"/>
      <c r="Q195" s="208"/>
      <c r="R195" s="208"/>
      <c r="S195" s="208"/>
      <c r="T195" s="207"/>
      <c r="U195" s="207"/>
      <c r="V195" s="207"/>
      <c r="W195" s="207"/>
      <c r="X195" s="207"/>
      <c r="Y195" s="207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7"/>
      <c r="AO195" s="207"/>
      <c r="AP195" s="207"/>
      <c r="AQ195" s="207"/>
      <c r="AR195" s="207"/>
      <c r="AS195" s="207"/>
      <c r="AT195" s="207"/>
      <c r="AU195" s="207"/>
      <c r="AV195" s="207"/>
      <c r="AW195" s="207"/>
      <c r="AX195" s="207"/>
      <c r="AY195" s="207"/>
      <c r="AZ195" s="207"/>
      <c r="BA195" s="207"/>
      <c r="BB195" s="207"/>
      <c r="BC195" s="207"/>
      <c r="BD195" s="207"/>
      <c r="BE195" s="207"/>
      <c r="BF195" s="207"/>
      <c r="BG195" s="207"/>
      <c r="BH195" s="207"/>
      <c r="BI195" s="207"/>
      <c r="BJ195" s="207"/>
      <c r="BK195" s="207"/>
      <c r="BL195" s="207"/>
      <c r="BM195" s="207"/>
      <c r="BN195" s="207"/>
      <c r="BO195" s="207"/>
      <c r="BP195" s="207"/>
      <c r="BQ195" s="207"/>
      <c r="BR195" s="207"/>
      <c r="BS195" s="207"/>
      <c r="BT195" s="207"/>
      <c r="BU195" s="207"/>
      <c r="BV195" s="207"/>
      <c r="BW195" s="207"/>
      <c r="BX195" s="207"/>
      <c r="BY195" s="207"/>
      <c r="BZ195" s="207"/>
      <c r="CA195" s="207"/>
      <c r="CB195" s="207"/>
      <c r="CC195" s="207"/>
      <c r="CD195" s="207"/>
      <c r="CE195" s="207"/>
      <c r="CF195" s="207"/>
      <c r="CG195" s="207"/>
      <c r="CH195" s="207"/>
      <c r="CI195" s="207"/>
      <c r="CJ195" s="207"/>
      <c r="CK195" s="207"/>
      <c r="CL195" s="207"/>
      <c r="CM195" s="207"/>
      <c r="CN195" s="207"/>
      <c r="CO195" s="207"/>
      <c r="CP195" s="207"/>
      <c r="CQ195" s="207"/>
      <c r="CR195" s="207"/>
      <c r="CS195" s="207"/>
      <c r="CT195" s="207"/>
      <c r="CU195" s="207"/>
      <c r="CV195" s="207"/>
      <c r="CW195" s="207"/>
      <c r="CX195" s="207"/>
      <c r="CY195" s="207"/>
      <c r="CZ195" s="207"/>
      <c r="DA195" s="207"/>
      <c r="DB195" s="207"/>
      <c r="DC195" s="207"/>
      <c r="DD195" s="207"/>
    </row>
    <row r="196">
      <c r="A196" s="204"/>
      <c r="B196" s="205"/>
      <c r="C196" s="204"/>
      <c r="D196" s="206"/>
      <c r="E196" s="207"/>
      <c r="F196" s="207"/>
      <c r="G196" s="207"/>
      <c r="H196" s="208"/>
      <c r="I196" s="208"/>
      <c r="J196" s="208"/>
      <c r="K196" s="208"/>
      <c r="L196" s="208"/>
      <c r="M196" s="208"/>
      <c r="N196" s="208"/>
      <c r="O196" s="208"/>
      <c r="P196" s="208"/>
      <c r="Q196" s="208"/>
      <c r="R196" s="208"/>
      <c r="S196" s="208"/>
      <c r="T196" s="207"/>
      <c r="U196" s="207"/>
      <c r="V196" s="207"/>
      <c r="W196" s="207"/>
      <c r="X196" s="207"/>
      <c r="Y196" s="207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7"/>
      <c r="AO196" s="207"/>
      <c r="AP196" s="207"/>
      <c r="AQ196" s="207"/>
      <c r="AR196" s="207"/>
      <c r="AS196" s="207"/>
      <c r="AT196" s="207"/>
      <c r="AU196" s="207"/>
      <c r="AV196" s="207"/>
      <c r="AW196" s="207"/>
      <c r="AX196" s="207"/>
      <c r="AY196" s="207"/>
      <c r="AZ196" s="207"/>
      <c r="BA196" s="207"/>
      <c r="BB196" s="207"/>
      <c r="BC196" s="207"/>
      <c r="BD196" s="207"/>
      <c r="BE196" s="207"/>
      <c r="BF196" s="207"/>
      <c r="BG196" s="207"/>
      <c r="BH196" s="207"/>
      <c r="BI196" s="207"/>
      <c r="BJ196" s="207"/>
      <c r="BK196" s="207"/>
      <c r="BL196" s="207"/>
      <c r="BM196" s="207"/>
      <c r="BN196" s="207"/>
      <c r="BO196" s="207"/>
      <c r="BP196" s="207"/>
      <c r="BQ196" s="207"/>
      <c r="BR196" s="207"/>
      <c r="BS196" s="207"/>
      <c r="BT196" s="207"/>
      <c r="BU196" s="207"/>
      <c r="BV196" s="207"/>
      <c r="BW196" s="207"/>
      <c r="BX196" s="207"/>
      <c r="BY196" s="207"/>
      <c r="BZ196" s="207"/>
      <c r="CA196" s="207"/>
      <c r="CB196" s="207"/>
      <c r="CC196" s="207"/>
      <c r="CD196" s="207"/>
      <c r="CE196" s="207"/>
      <c r="CF196" s="207"/>
      <c r="CG196" s="207"/>
      <c r="CH196" s="207"/>
      <c r="CI196" s="207"/>
      <c r="CJ196" s="207"/>
      <c r="CK196" s="207"/>
      <c r="CL196" s="207"/>
      <c r="CM196" s="207"/>
      <c r="CN196" s="207"/>
      <c r="CO196" s="207"/>
      <c r="CP196" s="207"/>
      <c r="CQ196" s="207"/>
      <c r="CR196" s="207"/>
      <c r="CS196" s="207"/>
      <c r="CT196" s="207"/>
      <c r="CU196" s="207"/>
      <c r="CV196" s="207"/>
      <c r="CW196" s="207"/>
      <c r="CX196" s="207"/>
      <c r="CY196" s="207"/>
      <c r="CZ196" s="207"/>
      <c r="DA196" s="207"/>
      <c r="DB196" s="207"/>
      <c r="DC196" s="207"/>
      <c r="DD196" s="207"/>
    </row>
    <row r="197">
      <c r="A197" s="204"/>
      <c r="B197" s="205"/>
      <c r="C197" s="204"/>
      <c r="D197" s="206"/>
      <c r="E197" s="207"/>
      <c r="F197" s="207"/>
      <c r="G197" s="207"/>
      <c r="H197" s="208"/>
      <c r="I197" s="208"/>
      <c r="J197" s="208"/>
      <c r="K197" s="208"/>
      <c r="L197" s="208"/>
      <c r="M197" s="208"/>
      <c r="N197" s="208"/>
      <c r="O197" s="208"/>
      <c r="P197" s="208"/>
      <c r="Q197" s="208"/>
      <c r="R197" s="208"/>
      <c r="S197" s="208"/>
      <c r="T197" s="207"/>
      <c r="U197" s="207"/>
      <c r="V197" s="207"/>
      <c r="W197" s="207"/>
      <c r="X197" s="207"/>
      <c r="Y197" s="207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09"/>
      <c r="AM197" s="209"/>
      <c r="AN197" s="207"/>
      <c r="AO197" s="207"/>
      <c r="AP197" s="207"/>
      <c r="AQ197" s="207"/>
      <c r="AR197" s="207"/>
      <c r="AS197" s="207"/>
      <c r="AT197" s="207"/>
      <c r="AU197" s="207"/>
      <c r="AV197" s="207"/>
      <c r="AW197" s="207"/>
      <c r="AX197" s="207"/>
      <c r="AY197" s="207"/>
      <c r="AZ197" s="207"/>
      <c r="BA197" s="207"/>
      <c r="BB197" s="207"/>
      <c r="BC197" s="207"/>
      <c r="BD197" s="207"/>
      <c r="BE197" s="207"/>
      <c r="BF197" s="207"/>
      <c r="BG197" s="207"/>
      <c r="BH197" s="207"/>
      <c r="BI197" s="207"/>
      <c r="BJ197" s="207"/>
      <c r="BK197" s="207"/>
      <c r="BL197" s="207"/>
      <c r="BM197" s="207"/>
      <c r="BN197" s="207"/>
      <c r="BO197" s="207"/>
      <c r="BP197" s="207"/>
      <c r="BQ197" s="207"/>
      <c r="BR197" s="207"/>
      <c r="BS197" s="207"/>
      <c r="BT197" s="207"/>
      <c r="BU197" s="207"/>
      <c r="BV197" s="207"/>
      <c r="BW197" s="207"/>
      <c r="BX197" s="207"/>
      <c r="BY197" s="207"/>
      <c r="BZ197" s="207"/>
      <c r="CA197" s="207"/>
      <c r="CB197" s="207"/>
      <c r="CC197" s="207"/>
      <c r="CD197" s="207"/>
      <c r="CE197" s="207"/>
      <c r="CF197" s="207"/>
      <c r="CG197" s="207"/>
      <c r="CH197" s="207"/>
      <c r="CI197" s="207"/>
      <c r="CJ197" s="207"/>
      <c r="CK197" s="207"/>
      <c r="CL197" s="207"/>
      <c r="CM197" s="207"/>
      <c r="CN197" s="207"/>
      <c r="CO197" s="207"/>
      <c r="CP197" s="207"/>
      <c r="CQ197" s="207"/>
      <c r="CR197" s="207"/>
      <c r="CS197" s="207"/>
      <c r="CT197" s="207"/>
      <c r="CU197" s="207"/>
      <c r="CV197" s="207"/>
      <c r="CW197" s="207"/>
      <c r="CX197" s="207"/>
      <c r="CY197" s="207"/>
      <c r="CZ197" s="207"/>
      <c r="DA197" s="207"/>
      <c r="DB197" s="207"/>
      <c r="DC197" s="207"/>
      <c r="DD197" s="207"/>
    </row>
    <row r="198">
      <c r="A198" s="204"/>
      <c r="B198" s="205"/>
      <c r="C198" s="204"/>
      <c r="D198" s="206"/>
      <c r="E198" s="207"/>
      <c r="F198" s="207"/>
      <c r="G198" s="207"/>
      <c r="H198" s="208"/>
      <c r="I198" s="208"/>
      <c r="J198" s="208"/>
      <c r="K198" s="208"/>
      <c r="L198" s="208"/>
      <c r="M198" s="208"/>
      <c r="N198" s="208"/>
      <c r="O198" s="208"/>
      <c r="P198" s="208"/>
      <c r="Q198" s="208"/>
      <c r="R198" s="208"/>
      <c r="S198" s="208"/>
      <c r="T198" s="207"/>
      <c r="U198" s="207"/>
      <c r="V198" s="207"/>
      <c r="W198" s="207"/>
      <c r="X198" s="207"/>
      <c r="Y198" s="207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7"/>
      <c r="AO198" s="207"/>
      <c r="AP198" s="207"/>
      <c r="AQ198" s="207"/>
      <c r="AR198" s="207"/>
      <c r="AS198" s="207"/>
      <c r="AT198" s="207"/>
      <c r="AU198" s="207"/>
      <c r="AV198" s="207"/>
      <c r="AW198" s="207"/>
      <c r="AX198" s="207"/>
      <c r="AY198" s="207"/>
      <c r="AZ198" s="207"/>
      <c r="BA198" s="207"/>
      <c r="BB198" s="207"/>
      <c r="BC198" s="207"/>
      <c r="BD198" s="207"/>
      <c r="BE198" s="207"/>
      <c r="BF198" s="207"/>
      <c r="BG198" s="207"/>
      <c r="BH198" s="207"/>
      <c r="BI198" s="207"/>
      <c r="BJ198" s="207"/>
      <c r="BK198" s="207"/>
      <c r="BL198" s="207"/>
      <c r="BM198" s="207"/>
      <c r="BN198" s="207"/>
      <c r="BO198" s="207"/>
      <c r="BP198" s="207"/>
      <c r="BQ198" s="207"/>
      <c r="BR198" s="207"/>
      <c r="BS198" s="207"/>
      <c r="BT198" s="207"/>
      <c r="BU198" s="207"/>
      <c r="BV198" s="207"/>
      <c r="BW198" s="207"/>
      <c r="BX198" s="207"/>
      <c r="BY198" s="207"/>
      <c r="BZ198" s="207"/>
      <c r="CA198" s="207"/>
      <c r="CB198" s="207"/>
      <c r="CC198" s="207"/>
      <c r="CD198" s="207"/>
      <c r="CE198" s="207"/>
      <c r="CF198" s="207"/>
      <c r="CG198" s="207"/>
      <c r="CH198" s="207"/>
      <c r="CI198" s="207"/>
      <c r="CJ198" s="207"/>
      <c r="CK198" s="207"/>
      <c r="CL198" s="207"/>
      <c r="CM198" s="207"/>
      <c r="CN198" s="207"/>
      <c r="CO198" s="207"/>
      <c r="CP198" s="207"/>
      <c r="CQ198" s="207"/>
      <c r="CR198" s="207"/>
      <c r="CS198" s="207"/>
      <c r="CT198" s="207"/>
      <c r="CU198" s="207"/>
      <c r="CV198" s="207"/>
      <c r="CW198" s="207"/>
      <c r="CX198" s="207"/>
      <c r="CY198" s="207"/>
      <c r="CZ198" s="207"/>
      <c r="DA198" s="207"/>
      <c r="DB198" s="207"/>
      <c r="DC198" s="207"/>
      <c r="DD198" s="207"/>
    </row>
    <row r="199">
      <c r="A199" s="204"/>
      <c r="B199" s="205"/>
      <c r="C199" s="204"/>
      <c r="D199" s="206"/>
      <c r="E199" s="207"/>
      <c r="F199" s="207"/>
      <c r="G199" s="207"/>
      <c r="H199" s="208"/>
      <c r="I199" s="208"/>
      <c r="J199" s="208"/>
      <c r="K199" s="208"/>
      <c r="L199" s="208"/>
      <c r="M199" s="208"/>
      <c r="N199" s="208"/>
      <c r="O199" s="208"/>
      <c r="P199" s="208"/>
      <c r="Q199" s="208"/>
      <c r="R199" s="208"/>
      <c r="S199" s="208"/>
      <c r="T199" s="207"/>
      <c r="U199" s="207"/>
      <c r="V199" s="207"/>
      <c r="W199" s="207"/>
      <c r="X199" s="207"/>
      <c r="Y199" s="207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7"/>
      <c r="AO199" s="207"/>
      <c r="AP199" s="207"/>
      <c r="AQ199" s="207"/>
      <c r="AR199" s="207"/>
      <c r="AS199" s="207"/>
      <c r="AT199" s="207"/>
      <c r="AU199" s="207"/>
      <c r="AV199" s="207"/>
      <c r="AW199" s="207"/>
      <c r="AX199" s="207"/>
      <c r="AY199" s="207"/>
      <c r="AZ199" s="207"/>
      <c r="BA199" s="207"/>
      <c r="BB199" s="207"/>
      <c r="BC199" s="207"/>
      <c r="BD199" s="207"/>
      <c r="BE199" s="207"/>
      <c r="BF199" s="207"/>
      <c r="BG199" s="207"/>
      <c r="BH199" s="207"/>
      <c r="BI199" s="207"/>
      <c r="BJ199" s="207"/>
      <c r="BK199" s="207"/>
      <c r="BL199" s="207"/>
      <c r="BM199" s="207"/>
      <c r="BN199" s="207"/>
      <c r="BO199" s="207"/>
      <c r="BP199" s="207"/>
      <c r="BQ199" s="207"/>
      <c r="BR199" s="207"/>
      <c r="BS199" s="207"/>
      <c r="BT199" s="207"/>
      <c r="BU199" s="207"/>
      <c r="BV199" s="207"/>
      <c r="BW199" s="207"/>
      <c r="BX199" s="207"/>
      <c r="BY199" s="207"/>
      <c r="BZ199" s="207"/>
      <c r="CA199" s="207"/>
      <c r="CB199" s="207"/>
      <c r="CC199" s="207"/>
      <c r="CD199" s="207"/>
      <c r="CE199" s="207"/>
      <c r="CF199" s="207"/>
      <c r="CG199" s="207"/>
      <c r="CH199" s="207"/>
      <c r="CI199" s="207"/>
      <c r="CJ199" s="207"/>
      <c r="CK199" s="207"/>
      <c r="CL199" s="207"/>
      <c r="CM199" s="207"/>
      <c r="CN199" s="207"/>
      <c r="CO199" s="207"/>
      <c r="CP199" s="207"/>
      <c r="CQ199" s="207"/>
      <c r="CR199" s="207"/>
      <c r="CS199" s="207"/>
      <c r="CT199" s="207"/>
      <c r="CU199" s="207"/>
      <c r="CV199" s="207"/>
      <c r="CW199" s="207"/>
      <c r="CX199" s="207"/>
      <c r="CY199" s="207"/>
      <c r="CZ199" s="207"/>
      <c r="DA199" s="207"/>
      <c r="DB199" s="207"/>
      <c r="DC199" s="207"/>
      <c r="DD199" s="207"/>
    </row>
    <row r="200">
      <c r="A200" s="204"/>
      <c r="B200" s="205"/>
      <c r="C200" s="204"/>
      <c r="D200" s="206"/>
      <c r="E200" s="207"/>
      <c r="F200" s="207"/>
      <c r="G200" s="207"/>
      <c r="H200" s="208"/>
      <c r="I200" s="208"/>
      <c r="J200" s="208"/>
      <c r="K200" s="208"/>
      <c r="L200" s="208"/>
      <c r="M200" s="208"/>
      <c r="N200" s="208"/>
      <c r="O200" s="208"/>
      <c r="P200" s="208"/>
      <c r="Q200" s="208"/>
      <c r="R200" s="208"/>
      <c r="S200" s="208"/>
      <c r="T200" s="207"/>
      <c r="U200" s="207"/>
      <c r="V200" s="207"/>
      <c r="W200" s="207"/>
      <c r="X200" s="207"/>
      <c r="Y200" s="207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7"/>
      <c r="AO200" s="207"/>
      <c r="AP200" s="207"/>
      <c r="AQ200" s="207"/>
      <c r="AR200" s="207"/>
      <c r="AS200" s="207"/>
      <c r="AT200" s="207"/>
      <c r="AU200" s="207"/>
      <c r="AV200" s="207"/>
      <c r="AW200" s="207"/>
      <c r="AX200" s="207"/>
      <c r="AY200" s="207"/>
      <c r="AZ200" s="207"/>
      <c r="BA200" s="207"/>
      <c r="BB200" s="207"/>
      <c r="BC200" s="207"/>
      <c r="BD200" s="207"/>
      <c r="BE200" s="207"/>
      <c r="BF200" s="207"/>
      <c r="BG200" s="207"/>
      <c r="BH200" s="207"/>
      <c r="BI200" s="207"/>
      <c r="BJ200" s="207"/>
      <c r="BK200" s="207"/>
      <c r="BL200" s="207"/>
      <c r="BM200" s="207"/>
      <c r="BN200" s="207"/>
      <c r="BO200" s="207"/>
      <c r="BP200" s="207"/>
      <c r="BQ200" s="207"/>
      <c r="BR200" s="207"/>
      <c r="BS200" s="207"/>
      <c r="BT200" s="207"/>
      <c r="BU200" s="207"/>
      <c r="BV200" s="207"/>
      <c r="BW200" s="207"/>
      <c r="BX200" s="207"/>
      <c r="BY200" s="207"/>
      <c r="BZ200" s="207"/>
      <c r="CA200" s="207"/>
      <c r="CB200" s="207"/>
      <c r="CC200" s="207"/>
      <c r="CD200" s="207"/>
      <c r="CE200" s="207"/>
      <c r="CF200" s="207"/>
      <c r="CG200" s="207"/>
      <c r="CH200" s="207"/>
      <c r="CI200" s="207"/>
      <c r="CJ200" s="207"/>
      <c r="CK200" s="207"/>
      <c r="CL200" s="207"/>
      <c r="CM200" s="207"/>
      <c r="CN200" s="207"/>
      <c r="CO200" s="207"/>
      <c r="CP200" s="207"/>
      <c r="CQ200" s="207"/>
      <c r="CR200" s="207"/>
      <c r="CS200" s="207"/>
      <c r="CT200" s="207"/>
      <c r="CU200" s="207"/>
      <c r="CV200" s="207"/>
      <c r="CW200" s="207"/>
      <c r="CX200" s="207"/>
      <c r="CY200" s="207"/>
      <c r="CZ200" s="207"/>
      <c r="DA200" s="207"/>
      <c r="DB200" s="207"/>
      <c r="DC200" s="207"/>
      <c r="DD200" s="207"/>
    </row>
    <row r="201">
      <c r="A201" s="204"/>
      <c r="B201" s="205"/>
      <c r="C201" s="204"/>
      <c r="D201" s="206"/>
      <c r="E201" s="207"/>
      <c r="F201" s="207"/>
      <c r="G201" s="207"/>
      <c r="H201" s="208"/>
      <c r="I201" s="208"/>
      <c r="J201" s="208"/>
      <c r="K201" s="208"/>
      <c r="L201" s="208"/>
      <c r="M201" s="208"/>
      <c r="N201" s="208"/>
      <c r="O201" s="208"/>
      <c r="P201" s="208"/>
      <c r="Q201" s="208"/>
      <c r="R201" s="208"/>
      <c r="S201" s="208"/>
      <c r="T201" s="207"/>
      <c r="U201" s="207"/>
      <c r="V201" s="207"/>
      <c r="W201" s="207"/>
      <c r="X201" s="207"/>
      <c r="Y201" s="207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09"/>
      <c r="AK201" s="209"/>
      <c r="AL201" s="209"/>
      <c r="AM201" s="209"/>
      <c r="AN201" s="207"/>
      <c r="AO201" s="207"/>
      <c r="AP201" s="207"/>
      <c r="AQ201" s="207"/>
      <c r="AR201" s="207"/>
      <c r="AS201" s="207"/>
      <c r="AT201" s="207"/>
      <c r="AU201" s="207"/>
      <c r="AV201" s="207"/>
      <c r="AW201" s="207"/>
      <c r="AX201" s="207"/>
      <c r="AY201" s="207"/>
      <c r="AZ201" s="207"/>
      <c r="BA201" s="207"/>
      <c r="BB201" s="207"/>
      <c r="BC201" s="207"/>
      <c r="BD201" s="207"/>
      <c r="BE201" s="207"/>
      <c r="BF201" s="207"/>
      <c r="BG201" s="207"/>
      <c r="BH201" s="207"/>
      <c r="BI201" s="207"/>
      <c r="BJ201" s="207"/>
      <c r="BK201" s="207"/>
      <c r="BL201" s="207"/>
      <c r="BM201" s="207"/>
      <c r="BN201" s="207"/>
      <c r="BO201" s="207"/>
      <c r="BP201" s="207"/>
      <c r="BQ201" s="207"/>
      <c r="BR201" s="207"/>
      <c r="BS201" s="207"/>
      <c r="BT201" s="207"/>
      <c r="BU201" s="207"/>
      <c r="BV201" s="207"/>
      <c r="BW201" s="207"/>
      <c r="BX201" s="207"/>
      <c r="BY201" s="207"/>
      <c r="BZ201" s="207"/>
      <c r="CA201" s="207"/>
      <c r="CB201" s="207"/>
      <c r="CC201" s="207"/>
      <c r="CD201" s="207"/>
      <c r="CE201" s="207"/>
      <c r="CF201" s="207"/>
      <c r="CG201" s="207"/>
      <c r="CH201" s="207"/>
      <c r="CI201" s="207"/>
      <c r="CJ201" s="207"/>
      <c r="CK201" s="207"/>
      <c r="CL201" s="207"/>
      <c r="CM201" s="207"/>
      <c r="CN201" s="207"/>
      <c r="CO201" s="207"/>
      <c r="CP201" s="207"/>
      <c r="CQ201" s="207"/>
      <c r="CR201" s="207"/>
      <c r="CS201" s="207"/>
      <c r="CT201" s="207"/>
      <c r="CU201" s="207"/>
      <c r="CV201" s="207"/>
      <c r="CW201" s="207"/>
      <c r="CX201" s="207"/>
      <c r="CY201" s="207"/>
      <c r="CZ201" s="207"/>
      <c r="DA201" s="207"/>
      <c r="DB201" s="207"/>
      <c r="DC201" s="207"/>
      <c r="DD201" s="207"/>
    </row>
    <row r="202">
      <c r="A202" s="204"/>
      <c r="B202" s="205"/>
      <c r="C202" s="204"/>
      <c r="D202" s="206"/>
      <c r="E202" s="207"/>
      <c r="F202" s="207"/>
      <c r="G202" s="207"/>
      <c r="H202" s="208"/>
      <c r="I202" s="208"/>
      <c r="J202" s="208"/>
      <c r="K202" s="208"/>
      <c r="L202" s="208"/>
      <c r="M202" s="208"/>
      <c r="N202" s="208"/>
      <c r="O202" s="208"/>
      <c r="P202" s="208"/>
      <c r="Q202" s="208"/>
      <c r="R202" s="208"/>
      <c r="S202" s="208"/>
      <c r="T202" s="207"/>
      <c r="U202" s="207"/>
      <c r="V202" s="207"/>
      <c r="W202" s="207"/>
      <c r="X202" s="207"/>
      <c r="Y202" s="207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  <c r="AK202" s="209"/>
      <c r="AL202" s="209"/>
      <c r="AM202" s="209"/>
      <c r="AN202" s="207"/>
      <c r="AO202" s="207"/>
      <c r="AP202" s="207"/>
      <c r="AQ202" s="207"/>
      <c r="AR202" s="207"/>
      <c r="AS202" s="207"/>
      <c r="AT202" s="207"/>
      <c r="AU202" s="207"/>
      <c r="AV202" s="207"/>
      <c r="AW202" s="207"/>
      <c r="AX202" s="207"/>
      <c r="AY202" s="207"/>
      <c r="AZ202" s="207"/>
      <c r="BA202" s="207"/>
      <c r="BB202" s="207"/>
      <c r="BC202" s="207"/>
      <c r="BD202" s="207"/>
      <c r="BE202" s="207"/>
      <c r="BF202" s="207"/>
      <c r="BG202" s="207"/>
      <c r="BH202" s="207"/>
      <c r="BI202" s="207"/>
      <c r="BJ202" s="207"/>
      <c r="BK202" s="207"/>
      <c r="BL202" s="207"/>
      <c r="BM202" s="207"/>
      <c r="BN202" s="207"/>
      <c r="BO202" s="207"/>
      <c r="BP202" s="207"/>
      <c r="BQ202" s="207"/>
      <c r="BR202" s="207"/>
      <c r="BS202" s="207"/>
      <c r="BT202" s="207"/>
      <c r="BU202" s="207"/>
      <c r="BV202" s="207"/>
      <c r="BW202" s="207"/>
      <c r="BX202" s="207"/>
      <c r="BY202" s="207"/>
      <c r="BZ202" s="207"/>
      <c r="CA202" s="207"/>
      <c r="CB202" s="207"/>
      <c r="CC202" s="207"/>
      <c r="CD202" s="207"/>
      <c r="CE202" s="207"/>
      <c r="CF202" s="207"/>
      <c r="CG202" s="207"/>
      <c r="CH202" s="207"/>
      <c r="CI202" s="207"/>
      <c r="CJ202" s="207"/>
      <c r="CK202" s="207"/>
      <c r="CL202" s="207"/>
      <c r="CM202" s="207"/>
      <c r="CN202" s="207"/>
      <c r="CO202" s="207"/>
      <c r="CP202" s="207"/>
      <c r="CQ202" s="207"/>
      <c r="CR202" s="207"/>
      <c r="CS202" s="207"/>
      <c r="CT202" s="207"/>
      <c r="CU202" s="207"/>
      <c r="CV202" s="207"/>
      <c r="CW202" s="207"/>
      <c r="CX202" s="207"/>
      <c r="CY202" s="207"/>
      <c r="CZ202" s="207"/>
      <c r="DA202" s="207"/>
      <c r="DB202" s="207"/>
      <c r="DC202" s="207"/>
      <c r="DD202" s="207"/>
    </row>
    <row r="203">
      <c r="A203" s="204"/>
      <c r="B203" s="205"/>
      <c r="C203" s="204"/>
      <c r="D203" s="206"/>
      <c r="E203" s="207"/>
      <c r="F203" s="207"/>
      <c r="G203" s="207"/>
      <c r="H203" s="208"/>
      <c r="I203" s="208"/>
      <c r="J203" s="208"/>
      <c r="K203" s="208"/>
      <c r="L203" s="208"/>
      <c r="M203" s="208"/>
      <c r="N203" s="208"/>
      <c r="O203" s="208"/>
      <c r="P203" s="208"/>
      <c r="Q203" s="208"/>
      <c r="R203" s="208"/>
      <c r="S203" s="208"/>
      <c r="T203" s="207"/>
      <c r="U203" s="207"/>
      <c r="V203" s="207"/>
      <c r="W203" s="207"/>
      <c r="X203" s="207"/>
      <c r="Y203" s="207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  <c r="AL203" s="209"/>
      <c r="AM203" s="209"/>
      <c r="AN203" s="207"/>
      <c r="AO203" s="207"/>
      <c r="AP203" s="207"/>
      <c r="AQ203" s="207"/>
      <c r="AR203" s="207"/>
      <c r="AS203" s="207"/>
      <c r="AT203" s="207"/>
      <c r="AU203" s="207"/>
      <c r="AV203" s="207"/>
      <c r="AW203" s="207"/>
      <c r="AX203" s="207"/>
      <c r="AY203" s="207"/>
      <c r="AZ203" s="207"/>
      <c r="BA203" s="207"/>
      <c r="BB203" s="207"/>
      <c r="BC203" s="207"/>
      <c r="BD203" s="207"/>
      <c r="BE203" s="207"/>
      <c r="BF203" s="207"/>
      <c r="BG203" s="207"/>
      <c r="BH203" s="207"/>
      <c r="BI203" s="207"/>
      <c r="BJ203" s="207"/>
      <c r="BK203" s="207"/>
      <c r="BL203" s="207"/>
      <c r="BM203" s="207"/>
      <c r="BN203" s="207"/>
      <c r="BO203" s="207"/>
      <c r="BP203" s="207"/>
      <c r="BQ203" s="207"/>
      <c r="BR203" s="207"/>
      <c r="BS203" s="207"/>
      <c r="BT203" s="207"/>
      <c r="BU203" s="207"/>
      <c r="BV203" s="207"/>
      <c r="BW203" s="207"/>
      <c r="BX203" s="207"/>
      <c r="BY203" s="207"/>
      <c r="BZ203" s="207"/>
      <c r="CA203" s="207"/>
      <c r="CB203" s="207"/>
      <c r="CC203" s="207"/>
      <c r="CD203" s="207"/>
      <c r="CE203" s="207"/>
      <c r="CF203" s="207"/>
      <c r="CG203" s="207"/>
      <c r="CH203" s="207"/>
      <c r="CI203" s="207"/>
      <c r="CJ203" s="207"/>
      <c r="CK203" s="207"/>
      <c r="CL203" s="207"/>
      <c r="CM203" s="207"/>
      <c r="CN203" s="207"/>
      <c r="CO203" s="207"/>
      <c r="CP203" s="207"/>
      <c r="CQ203" s="207"/>
      <c r="CR203" s="207"/>
      <c r="CS203" s="207"/>
      <c r="CT203" s="207"/>
      <c r="CU203" s="207"/>
      <c r="CV203" s="207"/>
      <c r="CW203" s="207"/>
      <c r="CX203" s="207"/>
      <c r="CY203" s="207"/>
      <c r="CZ203" s="207"/>
      <c r="DA203" s="207"/>
      <c r="DB203" s="207"/>
      <c r="DC203" s="207"/>
      <c r="DD203" s="207"/>
    </row>
    <row r="204">
      <c r="A204" s="204"/>
      <c r="B204" s="205"/>
      <c r="C204" s="204"/>
      <c r="D204" s="206"/>
      <c r="E204" s="207"/>
      <c r="F204" s="207"/>
      <c r="G204" s="207"/>
      <c r="H204" s="208"/>
      <c r="I204" s="208"/>
      <c r="J204" s="208"/>
      <c r="K204" s="208"/>
      <c r="L204" s="208"/>
      <c r="M204" s="208"/>
      <c r="N204" s="208"/>
      <c r="O204" s="208"/>
      <c r="P204" s="208"/>
      <c r="Q204" s="208"/>
      <c r="R204" s="208"/>
      <c r="S204" s="208"/>
      <c r="T204" s="207"/>
      <c r="U204" s="207"/>
      <c r="V204" s="207"/>
      <c r="W204" s="207"/>
      <c r="X204" s="207"/>
      <c r="Y204" s="207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/>
      <c r="AM204" s="209"/>
      <c r="AN204" s="207"/>
      <c r="AO204" s="207"/>
      <c r="AP204" s="207"/>
      <c r="AQ204" s="207"/>
      <c r="AR204" s="207"/>
      <c r="AS204" s="207"/>
      <c r="AT204" s="207"/>
      <c r="AU204" s="207"/>
      <c r="AV204" s="207"/>
      <c r="AW204" s="207"/>
      <c r="AX204" s="207"/>
      <c r="AY204" s="207"/>
      <c r="AZ204" s="207"/>
      <c r="BA204" s="207"/>
      <c r="BB204" s="207"/>
      <c r="BC204" s="207"/>
      <c r="BD204" s="207"/>
      <c r="BE204" s="207"/>
      <c r="BF204" s="207"/>
      <c r="BG204" s="207"/>
      <c r="BH204" s="207"/>
      <c r="BI204" s="207"/>
      <c r="BJ204" s="207"/>
      <c r="BK204" s="207"/>
      <c r="BL204" s="207"/>
      <c r="BM204" s="207"/>
      <c r="BN204" s="207"/>
      <c r="BO204" s="207"/>
      <c r="BP204" s="207"/>
      <c r="BQ204" s="207"/>
      <c r="BR204" s="207"/>
      <c r="BS204" s="207"/>
      <c r="BT204" s="207"/>
      <c r="BU204" s="207"/>
      <c r="BV204" s="207"/>
      <c r="BW204" s="207"/>
      <c r="BX204" s="207"/>
      <c r="BY204" s="207"/>
      <c r="BZ204" s="207"/>
      <c r="CA204" s="207"/>
      <c r="CB204" s="207"/>
      <c r="CC204" s="207"/>
      <c r="CD204" s="207"/>
      <c r="CE204" s="207"/>
      <c r="CF204" s="207"/>
      <c r="CG204" s="207"/>
      <c r="CH204" s="207"/>
      <c r="CI204" s="207"/>
      <c r="CJ204" s="207"/>
      <c r="CK204" s="207"/>
      <c r="CL204" s="207"/>
      <c r="CM204" s="207"/>
      <c r="CN204" s="207"/>
      <c r="CO204" s="207"/>
      <c r="CP204" s="207"/>
      <c r="CQ204" s="207"/>
      <c r="CR204" s="207"/>
      <c r="CS204" s="207"/>
      <c r="CT204" s="207"/>
      <c r="CU204" s="207"/>
      <c r="CV204" s="207"/>
      <c r="CW204" s="207"/>
      <c r="CX204" s="207"/>
      <c r="CY204" s="207"/>
      <c r="CZ204" s="207"/>
      <c r="DA204" s="207"/>
      <c r="DB204" s="207"/>
      <c r="DC204" s="207"/>
      <c r="DD204" s="207"/>
    </row>
    <row r="205">
      <c r="A205" s="204"/>
      <c r="B205" s="205"/>
      <c r="C205" s="204"/>
      <c r="D205" s="206"/>
      <c r="E205" s="207"/>
      <c r="F205" s="207"/>
      <c r="G205" s="207"/>
      <c r="H205" s="208"/>
      <c r="I205" s="208"/>
      <c r="J205" s="208"/>
      <c r="K205" s="208"/>
      <c r="L205" s="208"/>
      <c r="M205" s="208"/>
      <c r="N205" s="208"/>
      <c r="O205" s="208"/>
      <c r="P205" s="208"/>
      <c r="Q205" s="208"/>
      <c r="R205" s="208"/>
      <c r="S205" s="208"/>
      <c r="T205" s="207"/>
      <c r="U205" s="207"/>
      <c r="V205" s="207"/>
      <c r="W205" s="207"/>
      <c r="X205" s="207"/>
      <c r="Y205" s="207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7"/>
      <c r="AO205" s="207"/>
      <c r="AP205" s="207"/>
      <c r="AQ205" s="207"/>
      <c r="AR205" s="207"/>
      <c r="AS205" s="207"/>
      <c r="AT205" s="207"/>
      <c r="AU205" s="207"/>
      <c r="AV205" s="207"/>
      <c r="AW205" s="207"/>
      <c r="AX205" s="207"/>
      <c r="AY205" s="207"/>
      <c r="AZ205" s="207"/>
      <c r="BA205" s="207"/>
      <c r="BB205" s="207"/>
      <c r="BC205" s="207"/>
      <c r="BD205" s="207"/>
      <c r="BE205" s="207"/>
      <c r="BF205" s="207"/>
      <c r="BG205" s="207"/>
      <c r="BH205" s="207"/>
      <c r="BI205" s="207"/>
      <c r="BJ205" s="207"/>
      <c r="BK205" s="207"/>
      <c r="BL205" s="207"/>
      <c r="BM205" s="207"/>
      <c r="BN205" s="207"/>
      <c r="BO205" s="207"/>
      <c r="BP205" s="207"/>
      <c r="BQ205" s="207"/>
      <c r="BR205" s="207"/>
      <c r="BS205" s="207"/>
      <c r="BT205" s="207"/>
      <c r="BU205" s="207"/>
      <c r="BV205" s="207"/>
      <c r="BW205" s="207"/>
      <c r="BX205" s="207"/>
      <c r="BY205" s="207"/>
      <c r="BZ205" s="207"/>
      <c r="CA205" s="207"/>
      <c r="CB205" s="207"/>
      <c r="CC205" s="207"/>
      <c r="CD205" s="207"/>
      <c r="CE205" s="207"/>
      <c r="CF205" s="207"/>
      <c r="CG205" s="207"/>
      <c r="CH205" s="207"/>
      <c r="CI205" s="207"/>
      <c r="CJ205" s="207"/>
      <c r="CK205" s="207"/>
      <c r="CL205" s="207"/>
      <c r="CM205" s="207"/>
      <c r="CN205" s="207"/>
      <c r="CO205" s="207"/>
      <c r="CP205" s="207"/>
      <c r="CQ205" s="207"/>
      <c r="CR205" s="207"/>
      <c r="CS205" s="207"/>
      <c r="CT205" s="207"/>
      <c r="CU205" s="207"/>
      <c r="CV205" s="207"/>
      <c r="CW205" s="207"/>
      <c r="CX205" s="207"/>
      <c r="CY205" s="207"/>
      <c r="CZ205" s="207"/>
      <c r="DA205" s="207"/>
      <c r="DB205" s="207"/>
      <c r="DC205" s="207"/>
      <c r="DD205" s="207"/>
    </row>
    <row r="206">
      <c r="A206" s="204"/>
      <c r="B206" s="205"/>
      <c r="C206" s="204"/>
      <c r="D206" s="206"/>
      <c r="E206" s="207"/>
      <c r="F206" s="207"/>
      <c r="G206" s="207"/>
      <c r="H206" s="208"/>
      <c r="I206" s="208"/>
      <c r="J206" s="208"/>
      <c r="K206" s="208"/>
      <c r="L206" s="208"/>
      <c r="M206" s="208"/>
      <c r="N206" s="208"/>
      <c r="O206" s="208"/>
      <c r="P206" s="208"/>
      <c r="Q206" s="208"/>
      <c r="R206" s="208"/>
      <c r="S206" s="208"/>
      <c r="T206" s="207"/>
      <c r="U206" s="207"/>
      <c r="V206" s="207"/>
      <c r="W206" s="207"/>
      <c r="X206" s="207"/>
      <c r="Y206" s="207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7"/>
      <c r="AO206" s="207"/>
      <c r="AP206" s="207"/>
      <c r="AQ206" s="207"/>
      <c r="AR206" s="207"/>
      <c r="AS206" s="207"/>
      <c r="AT206" s="207"/>
      <c r="AU206" s="207"/>
      <c r="AV206" s="207"/>
      <c r="AW206" s="207"/>
      <c r="AX206" s="207"/>
      <c r="AY206" s="207"/>
      <c r="AZ206" s="207"/>
      <c r="BA206" s="207"/>
      <c r="BB206" s="207"/>
      <c r="BC206" s="207"/>
      <c r="BD206" s="207"/>
      <c r="BE206" s="207"/>
      <c r="BF206" s="207"/>
      <c r="BG206" s="207"/>
      <c r="BH206" s="207"/>
      <c r="BI206" s="207"/>
      <c r="BJ206" s="207"/>
      <c r="BK206" s="207"/>
      <c r="BL206" s="207"/>
      <c r="BM206" s="207"/>
      <c r="BN206" s="207"/>
      <c r="BO206" s="207"/>
      <c r="BP206" s="207"/>
      <c r="BQ206" s="207"/>
      <c r="BR206" s="207"/>
      <c r="BS206" s="207"/>
      <c r="BT206" s="207"/>
      <c r="BU206" s="207"/>
      <c r="BV206" s="207"/>
      <c r="BW206" s="207"/>
      <c r="BX206" s="207"/>
      <c r="BY206" s="207"/>
      <c r="BZ206" s="207"/>
      <c r="CA206" s="207"/>
      <c r="CB206" s="207"/>
      <c r="CC206" s="207"/>
      <c r="CD206" s="207"/>
      <c r="CE206" s="207"/>
      <c r="CF206" s="207"/>
      <c r="CG206" s="207"/>
      <c r="CH206" s="207"/>
      <c r="CI206" s="207"/>
      <c r="CJ206" s="207"/>
      <c r="CK206" s="207"/>
      <c r="CL206" s="207"/>
      <c r="CM206" s="207"/>
      <c r="CN206" s="207"/>
      <c r="CO206" s="207"/>
      <c r="CP206" s="207"/>
      <c r="CQ206" s="207"/>
      <c r="CR206" s="207"/>
      <c r="CS206" s="207"/>
      <c r="CT206" s="207"/>
      <c r="CU206" s="207"/>
      <c r="CV206" s="207"/>
      <c r="CW206" s="207"/>
      <c r="CX206" s="207"/>
      <c r="CY206" s="207"/>
      <c r="CZ206" s="207"/>
      <c r="DA206" s="207"/>
      <c r="DB206" s="207"/>
      <c r="DC206" s="207"/>
      <c r="DD206" s="207"/>
    </row>
    <row r="207">
      <c r="A207" s="204"/>
      <c r="B207" s="205"/>
      <c r="C207" s="204"/>
      <c r="D207" s="206"/>
      <c r="E207" s="207"/>
      <c r="F207" s="207"/>
      <c r="G207" s="207"/>
      <c r="H207" s="208"/>
      <c r="I207" s="208"/>
      <c r="J207" s="208"/>
      <c r="K207" s="208"/>
      <c r="L207" s="208"/>
      <c r="M207" s="208"/>
      <c r="N207" s="208"/>
      <c r="O207" s="208"/>
      <c r="P207" s="208"/>
      <c r="Q207" s="208"/>
      <c r="R207" s="208"/>
      <c r="S207" s="208"/>
      <c r="T207" s="207"/>
      <c r="U207" s="207"/>
      <c r="V207" s="207"/>
      <c r="W207" s="207"/>
      <c r="X207" s="207"/>
      <c r="Y207" s="207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7"/>
      <c r="AO207" s="207"/>
      <c r="AP207" s="207"/>
      <c r="AQ207" s="207"/>
      <c r="AR207" s="207"/>
      <c r="AS207" s="207"/>
      <c r="AT207" s="207"/>
      <c r="AU207" s="207"/>
      <c r="AV207" s="207"/>
      <c r="AW207" s="207"/>
      <c r="AX207" s="207"/>
      <c r="AY207" s="207"/>
      <c r="AZ207" s="207"/>
      <c r="BA207" s="207"/>
      <c r="BB207" s="207"/>
      <c r="BC207" s="207"/>
      <c r="BD207" s="207"/>
      <c r="BE207" s="207"/>
      <c r="BF207" s="207"/>
      <c r="BG207" s="207"/>
      <c r="BH207" s="207"/>
      <c r="BI207" s="207"/>
      <c r="BJ207" s="207"/>
      <c r="BK207" s="207"/>
      <c r="BL207" s="207"/>
      <c r="BM207" s="207"/>
      <c r="BN207" s="207"/>
      <c r="BO207" s="207"/>
      <c r="BP207" s="207"/>
      <c r="BQ207" s="207"/>
      <c r="BR207" s="207"/>
      <c r="BS207" s="207"/>
      <c r="BT207" s="207"/>
      <c r="BU207" s="207"/>
      <c r="BV207" s="207"/>
      <c r="BW207" s="207"/>
      <c r="BX207" s="207"/>
      <c r="BY207" s="207"/>
      <c r="BZ207" s="207"/>
      <c r="CA207" s="207"/>
      <c r="CB207" s="207"/>
      <c r="CC207" s="207"/>
      <c r="CD207" s="207"/>
      <c r="CE207" s="207"/>
      <c r="CF207" s="207"/>
      <c r="CG207" s="207"/>
      <c r="CH207" s="207"/>
      <c r="CI207" s="207"/>
      <c r="CJ207" s="207"/>
      <c r="CK207" s="207"/>
      <c r="CL207" s="207"/>
      <c r="CM207" s="207"/>
      <c r="CN207" s="207"/>
      <c r="CO207" s="207"/>
      <c r="CP207" s="207"/>
      <c r="CQ207" s="207"/>
      <c r="CR207" s="207"/>
      <c r="CS207" s="207"/>
      <c r="CT207" s="207"/>
      <c r="CU207" s="207"/>
      <c r="CV207" s="207"/>
      <c r="CW207" s="207"/>
      <c r="CX207" s="207"/>
      <c r="CY207" s="207"/>
      <c r="CZ207" s="207"/>
      <c r="DA207" s="207"/>
      <c r="DB207" s="207"/>
      <c r="DC207" s="207"/>
      <c r="DD207" s="207"/>
    </row>
    <row r="208">
      <c r="A208" s="204"/>
      <c r="B208" s="205"/>
      <c r="C208" s="204"/>
      <c r="D208" s="206"/>
      <c r="E208" s="207"/>
      <c r="F208" s="207"/>
      <c r="G208" s="207"/>
      <c r="H208" s="208"/>
      <c r="I208" s="208"/>
      <c r="J208" s="208"/>
      <c r="K208" s="208"/>
      <c r="L208" s="208"/>
      <c r="M208" s="208"/>
      <c r="N208" s="208"/>
      <c r="O208" s="208"/>
      <c r="P208" s="208"/>
      <c r="Q208" s="208"/>
      <c r="R208" s="208"/>
      <c r="S208" s="208"/>
      <c r="T208" s="207"/>
      <c r="U208" s="207"/>
      <c r="V208" s="207"/>
      <c r="W208" s="207"/>
      <c r="X208" s="207"/>
      <c r="Y208" s="207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7"/>
      <c r="AO208" s="207"/>
      <c r="AP208" s="207"/>
      <c r="AQ208" s="207"/>
      <c r="AR208" s="207"/>
      <c r="AS208" s="207"/>
      <c r="AT208" s="207"/>
      <c r="AU208" s="207"/>
      <c r="AV208" s="207"/>
      <c r="AW208" s="207"/>
      <c r="AX208" s="207"/>
      <c r="AY208" s="207"/>
      <c r="AZ208" s="207"/>
      <c r="BA208" s="207"/>
      <c r="BB208" s="207"/>
      <c r="BC208" s="207"/>
      <c r="BD208" s="207"/>
      <c r="BE208" s="207"/>
      <c r="BF208" s="207"/>
      <c r="BG208" s="207"/>
      <c r="BH208" s="207"/>
      <c r="BI208" s="207"/>
      <c r="BJ208" s="207"/>
      <c r="BK208" s="207"/>
      <c r="BL208" s="207"/>
      <c r="BM208" s="207"/>
      <c r="BN208" s="207"/>
      <c r="BO208" s="207"/>
      <c r="BP208" s="207"/>
      <c r="BQ208" s="207"/>
      <c r="BR208" s="207"/>
      <c r="BS208" s="207"/>
      <c r="BT208" s="207"/>
      <c r="BU208" s="207"/>
      <c r="BV208" s="207"/>
      <c r="BW208" s="207"/>
      <c r="BX208" s="207"/>
      <c r="BY208" s="207"/>
      <c r="BZ208" s="207"/>
      <c r="CA208" s="207"/>
      <c r="CB208" s="207"/>
      <c r="CC208" s="207"/>
      <c r="CD208" s="207"/>
      <c r="CE208" s="207"/>
      <c r="CF208" s="207"/>
      <c r="CG208" s="207"/>
      <c r="CH208" s="207"/>
      <c r="CI208" s="207"/>
      <c r="CJ208" s="207"/>
      <c r="CK208" s="207"/>
      <c r="CL208" s="207"/>
      <c r="CM208" s="207"/>
      <c r="CN208" s="207"/>
      <c r="CO208" s="207"/>
      <c r="CP208" s="207"/>
      <c r="CQ208" s="207"/>
      <c r="CR208" s="207"/>
      <c r="CS208" s="207"/>
      <c r="CT208" s="207"/>
      <c r="CU208" s="207"/>
      <c r="CV208" s="207"/>
      <c r="CW208" s="207"/>
      <c r="CX208" s="207"/>
      <c r="CY208" s="207"/>
      <c r="CZ208" s="207"/>
      <c r="DA208" s="207"/>
      <c r="DB208" s="207"/>
      <c r="DC208" s="207"/>
      <c r="DD208" s="207"/>
    </row>
    <row r="209">
      <c r="A209" s="204"/>
      <c r="B209" s="205"/>
      <c r="C209" s="204"/>
      <c r="D209" s="206"/>
      <c r="E209" s="207"/>
      <c r="F209" s="207"/>
      <c r="G209" s="207"/>
      <c r="H209" s="208"/>
      <c r="I209" s="208"/>
      <c r="J209" s="208"/>
      <c r="K209" s="208"/>
      <c r="L209" s="208"/>
      <c r="M209" s="208"/>
      <c r="N209" s="208"/>
      <c r="O209" s="208"/>
      <c r="P209" s="208"/>
      <c r="Q209" s="208"/>
      <c r="R209" s="208"/>
      <c r="S209" s="208"/>
      <c r="T209" s="207"/>
      <c r="U209" s="207"/>
      <c r="V209" s="207"/>
      <c r="W209" s="207"/>
      <c r="X209" s="207"/>
      <c r="Y209" s="207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7"/>
      <c r="AO209" s="207"/>
      <c r="AP209" s="207"/>
      <c r="AQ209" s="207"/>
      <c r="AR209" s="207"/>
      <c r="AS209" s="207"/>
      <c r="AT209" s="207"/>
      <c r="AU209" s="207"/>
      <c r="AV209" s="207"/>
      <c r="AW209" s="207"/>
      <c r="AX209" s="207"/>
      <c r="AY209" s="207"/>
      <c r="AZ209" s="207"/>
      <c r="BA209" s="207"/>
      <c r="BB209" s="207"/>
      <c r="BC209" s="207"/>
      <c r="BD209" s="207"/>
      <c r="BE209" s="207"/>
      <c r="BF209" s="207"/>
      <c r="BG209" s="207"/>
      <c r="BH209" s="207"/>
      <c r="BI209" s="207"/>
      <c r="BJ209" s="207"/>
      <c r="BK209" s="207"/>
      <c r="BL209" s="207"/>
      <c r="BM209" s="207"/>
      <c r="BN209" s="207"/>
      <c r="BO209" s="207"/>
      <c r="BP209" s="207"/>
      <c r="BQ209" s="207"/>
      <c r="BR209" s="207"/>
      <c r="BS209" s="207"/>
      <c r="BT209" s="207"/>
      <c r="BU209" s="207"/>
      <c r="BV209" s="207"/>
      <c r="BW209" s="207"/>
      <c r="BX209" s="207"/>
      <c r="BY209" s="207"/>
      <c r="BZ209" s="207"/>
      <c r="CA209" s="207"/>
      <c r="CB209" s="207"/>
      <c r="CC209" s="207"/>
      <c r="CD209" s="207"/>
      <c r="CE209" s="207"/>
      <c r="CF209" s="207"/>
      <c r="CG209" s="207"/>
      <c r="CH209" s="207"/>
      <c r="CI209" s="207"/>
      <c r="CJ209" s="207"/>
      <c r="CK209" s="207"/>
      <c r="CL209" s="207"/>
      <c r="CM209" s="207"/>
      <c r="CN209" s="207"/>
      <c r="CO209" s="207"/>
      <c r="CP209" s="207"/>
      <c r="CQ209" s="207"/>
      <c r="CR209" s="207"/>
      <c r="CS209" s="207"/>
      <c r="CT209" s="207"/>
      <c r="CU209" s="207"/>
      <c r="CV209" s="207"/>
      <c r="CW209" s="207"/>
      <c r="CX209" s="207"/>
      <c r="CY209" s="207"/>
      <c r="CZ209" s="207"/>
      <c r="DA209" s="207"/>
      <c r="DB209" s="207"/>
      <c r="DC209" s="207"/>
      <c r="DD209" s="207"/>
    </row>
    <row r="210">
      <c r="A210" s="204"/>
      <c r="B210" s="205"/>
      <c r="C210" s="204"/>
      <c r="D210" s="206"/>
      <c r="E210" s="207"/>
      <c r="F210" s="207"/>
      <c r="G210" s="207"/>
      <c r="H210" s="208"/>
      <c r="I210" s="208"/>
      <c r="J210" s="208"/>
      <c r="K210" s="208"/>
      <c r="L210" s="208"/>
      <c r="M210" s="208"/>
      <c r="N210" s="208"/>
      <c r="O210" s="208"/>
      <c r="P210" s="208"/>
      <c r="Q210" s="208"/>
      <c r="R210" s="208"/>
      <c r="S210" s="208"/>
      <c r="T210" s="207"/>
      <c r="U210" s="207"/>
      <c r="V210" s="207"/>
      <c r="W210" s="207"/>
      <c r="X210" s="207"/>
      <c r="Y210" s="207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7"/>
      <c r="AO210" s="207"/>
      <c r="AP210" s="207"/>
      <c r="AQ210" s="207"/>
      <c r="AR210" s="207"/>
      <c r="AS210" s="207"/>
      <c r="AT210" s="207"/>
      <c r="AU210" s="207"/>
      <c r="AV210" s="207"/>
      <c r="AW210" s="207"/>
      <c r="AX210" s="207"/>
      <c r="AY210" s="207"/>
      <c r="AZ210" s="207"/>
      <c r="BA210" s="207"/>
      <c r="BB210" s="207"/>
      <c r="BC210" s="207"/>
      <c r="BD210" s="207"/>
      <c r="BE210" s="207"/>
      <c r="BF210" s="207"/>
      <c r="BG210" s="207"/>
      <c r="BH210" s="207"/>
      <c r="BI210" s="207"/>
      <c r="BJ210" s="207"/>
      <c r="BK210" s="207"/>
      <c r="BL210" s="207"/>
      <c r="BM210" s="207"/>
      <c r="BN210" s="207"/>
      <c r="BO210" s="207"/>
      <c r="BP210" s="207"/>
      <c r="BQ210" s="207"/>
      <c r="BR210" s="207"/>
      <c r="BS210" s="207"/>
      <c r="BT210" s="207"/>
      <c r="BU210" s="207"/>
      <c r="BV210" s="207"/>
      <c r="BW210" s="207"/>
      <c r="BX210" s="207"/>
      <c r="BY210" s="207"/>
      <c r="BZ210" s="207"/>
      <c r="CA210" s="207"/>
      <c r="CB210" s="207"/>
      <c r="CC210" s="207"/>
      <c r="CD210" s="207"/>
      <c r="CE210" s="207"/>
      <c r="CF210" s="207"/>
      <c r="CG210" s="207"/>
      <c r="CH210" s="207"/>
      <c r="CI210" s="207"/>
      <c r="CJ210" s="207"/>
      <c r="CK210" s="207"/>
      <c r="CL210" s="207"/>
      <c r="CM210" s="207"/>
      <c r="CN210" s="207"/>
      <c r="CO210" s="207"/>
      <c r="CP210" s="207"/>
      <c r="CQ210" s="207"/>
      <c r="CR210" s="207"/>
      <c r="CS210" s="207"/>
      <c r="CT210" s="207"/>
      <c r="CU210" s="207"/>
      <c r="CV210" s="207"/>
      <c r="CW210" s="207"/>
      <c r="CX210" s="207"/>
      <c r="CY210" s="207"/>
      <c r="CZ210" s="207"/>
      <c r="DA210" s="207"/>
      <c r="DB210" s="207"/>
      <c r="DC210" s="207"/>
      <c r="DD210" s="207"/>
    </row>
    <row r="211">
      <c r="A211" s="204"/>
      <c r="B211" s="205"/>
      <c r="C211" s="204"/>
      <c r="D211" s="206"/>
      <c r="E211" s="207"/>
      <c r="F211" s="207"/>
      <c r="G211" s="207"/>
      <c r="H211" s="208"/>
      <c r="I211" s="208"/>
      <c r="J211" s="208"/>
      <c r="K211" s="208"/>
      <c r="L211" s="208"/>
      <c r="M211" s="208"/>
      <c r="N211" s="208"/>
      <c r="O211" s="208"/>
      <c r="P211" s="208"/>
      <c r="Q211" s="208"/>
      <c r="R211" s="208"/>
      <c r="S211" s="208"/>
      <c r="T211" s="207"/>
      <c r="U211" s="207"/>
      <c r="V211" s="207"/>
      <c r="W211" s="207"/>
      <c r="X211" s="207"/>
      <c r="Y211" s="207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7"/>
      <c r="AO211" s="207"/>
      <c r="AP211" s="207"/>
      <c r="AQ211" s="207"/>
      <c r="AR211" s="207"/>
      <c r="AS211" s="207"/>
      <c r="AT211" s="207"/>
      <c r="AU211" s="207"/>
      <c r="AV211" s="207"/>
      <c r="AW211" s="207"/>
      <c r="AX211" s="207"/>
      <c r="AY211" s="207"/>
      <c r="AZ211" s="207"/>
      <c r="BA211" s="207"/>
      <c r="BB211" s="207"/>
      <c r="BC211" s="207"/>
      <c r="BD211" s="207"/>
      <c r="BE211" s="207"/>
      <c r="BF211" s="207"/>
      <c r="BG211" s="207"/>
      <c r="BH211" s="207"/>
      <c r="BI211" s="207"/>
      <c r="BJ211" s="207"/>
      <c r="BK211" s="207"/>
      <c r="BL211" s="207"/>
      <c r="BM211" s="207"/>
      <c r="BN211" s="207"/>
      <c r="BO211" s="207"/>
      <c r="BP211" s="207"/>
      <c r="BQ211" s="207"/>
      <c r="BR211" s="207"/>
      <c r="BS211" s="207"/>
      <c r="BT211" s="207"/>
      <c r="BU211" s="207"/>
      <c r="BV211" s="207"/>
      <c r="BW211" s="207"/>
      <c r="BX211" s="207"/>
      <c r="BY211" s="207"/>
      <c r="BZ211" s="207"/>
      <c r="CA211" s="207"/>
      <c r="CB211" s="207"/>
      <c r="CC211" s="207"/>
      <c r="CD211" s="207"/>
      <c r="CE211" s="207"/>
      <c r="CF211" s="207"/>
      <c r="CG211" s="207"/>
      <c r="CH211" s="207"/>
      <c r="CI211" s="207"/>
      <c r="CJ211" s="207"/>
      <c r="CK211" s="207"/>
      <c r="CL211" s="207"/>
      <c r="CM211" s="207"/>
      <c r="CN211" s="207"/>
      <c r="CO211" s="207"/>
      <c r="CP211" s="207"/>
      <c r="CQ211" s="207"/>
      <c r="CR211" s="207"/>
      <c r="CS211" s="207"/>
      <c r="CT211" s="207"/>
      <c r="CU211" s="207"/>
      <c r="CV211" s="207"/>
      <c r="CW211" s="207"/>
      <c r="CX211" s="207"/>
      <c r="CY211" s="207"/>
      <c r="CZ211" s="207"/>
      <c r="DA211" s="207"/>
      <c r="DB211" s="207"/>
      <c r="DC211" s="207"/>
      <c r="DD211" s="207"/>
    </row>
    <row r="212">
      <c r="A212" s="204"/>
      <c r="B212" s="205"/>
      <c r="C212" s="204"/>
      <c r="D212" s="206"/>
      <c r="E212" s="207"/>
      <c r="F212" s="207"/>
      <c r="G212" s="207"/>
      <c r="H212" s="208"/>
      <c r="I212" s="208"/>
      <c r="J212" s="208"/>
      <c r="K212" s="208"/>
      <c r="L212" s="208"/>
      <c r="M212" s="208"/>
      <c r="N212" s="208"/>
      <c r="O212" s="208"/>
      <c r="P212" s="208"/>
      <c r="Q212" s="208"/>
      <c r="R212" s="208"/>
      <c r="S212" s="208"/>
      <c r="T212" s="207"/>
      <c r="U212" s="207"/>
      <c r="V212" s="207"/>
      <c r="W212" s="207"/>
      <c r="X212" s="207"/>
      <c r="Y212" s="207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7"/>
      <c r="AO212" s="207"/>
      <c r="AP212" s="207"/>
      <c r="AQ212" s="207"/>
      <c r="AR212" s="207"/>
      <c r="AS212" s="207"/>
      <c r="AT212" s="207"/>
      <c r="AU212" s="207"/>
      <c r="AV212" s="207"/>
      <c r="AW212" s="207"/>
      <c r="AX212" s="207"/>
      <c r="AY212" s="207"/>
      <c r="AZ212" s="207"/>
      <c r="BA212" s="207"/>
      <c r="BB212" s="207"/>
      <c r="BC212" s="207"/>
      <c r="BD212" s="207"/>
      <c r="BE212" s="207"/>
      <c r="BF212" s="207"/>
      <c r="BG212" s="207"/>
      <c r="BH212" s="207"/>
      <c r="BI212" s="207"/>
      <c r="BJ212" s="207"/>
      <c r="BK212" s="207"/>
      <c r="BL212" s="207"/>
      <c r="BM212" s="207"/>
      <c r="BN212" s="207"/>
      <c r="BO212" s="207"/>
      <c r="BP212" s="207"/>
      <c r="BQ212" s="207"/>
      <c r="BR212" s="207"/>
      <c r="BS212" s="207"/>
      <c r="BT212" s="207"/>
      <c r="BU212" s="207"/>
      <c r="BV212" s="207"/>
      <c r="BW212" s="207"/>
      <c r="BX212" s="207"/>
      <c r="BY212" s="207"/>
      <c r="BZ212" s="207"/>
      <c r="CA212" s="207"/>
      <c r="CB212" s="207"/>
      <c r="CC212" s="207"/>
      <c r="CD212" s="207"/>
      <c r="CE212" s="207"/>
      <c r="CF212" s="207"/>
      <c r="CG212" s="207"/>
      <c r="CH212" s="207"/>
      <c r="CI212" s="207"/>
      <c r="CJ212" s="207"/>
      <c r="CK212" s="207"/>
      <c r="CL212" s="207"/>
      <c r="CM212" s="207"/>
      <c r="CN212" s="207"/>
      <c r="CO212" s="207"/>
      <c r="CP212" s="207"/>
      <c r="CQ212" s="207"/>
      <c r="CR212" s="207"/>
      <c r="CS212" s="207"/>
      <c r="CT212" s="207"/>
      <c r="CU212" s="207"/>
      <c r="CV212" s="207"/>
      <c r="CW212" s="207"/>
      <c r="CX212" s="207"/>
      <c r="CY212" s="207"/>
      <c r="CZ212" s="207"/>
      <c r="DA212" s="207"/>
      <c r="DB212" s="207"/>
      <c r="DC212" s="207"/>
      <c r="DD212" s="207"/>
    </row>
    <row r="213">
      <c r="A213" s="204"/>
      <c r="B213" s="205"/>
      <c r="C213" s="204"/>
      <c r="D213" s="206"/>
      <c r="E213" s="207"/>
      <c r="F213" s="207"/>
      <c r="G213" s="207"/>
      <c r="H213" s="208"/>
      <c r="I213" s="208"/>
      <c r="J213" s="208"/>
      <c r="K213" s="208"/>
      <c r="L213" s="208"/>
      <c r="M213" s="208"/>
      <c r="N213" s="208"/>
      <c r="O213" s="208"/>
      <c r="P213" s="208"/>
      <c r="Q213" s="208"/>
      <c r="R213" s="208"/>
      <c r="S213" s="208"/>
      <c r="T213" s="207"/>
      <c r="U213" s="207"/>
      <c r="V213" s="207"/>
      <c r="W213" s="207"/>
      <c r="X213" s="207"/>
      <c r="Y213" s="207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7"/>
      <c r="AO213" s="207"/>
      <c r="AP213" s="207"/>
      <c r="AQ213" s="207"/>
      <c r="AR213" s="207"/>
      <c r="AS213" s="207"/>
      <c r="AT213" s="207"/>
      <c r="AU213" s="207"/>
      <c r="AV213" s="207"/>
      <c r="AW213" s="207"/>
      <c r="AX213" s="207"/>
      <c r="AY213" s="207"/>
      <c r="AZ213" s="207"/>
      <c r="BA213" s="207"/>
      <c r="BB213" s="207"/>
      <c r="BC213" s="207"/>
      <c r="BD213" s="207"/>
      <c r="BE213" s="207"/>
      <c r="BF213" s="207"/>
      <c r="BG213" s="207"/>
      <c r="BH213" s="207"/>
      <c r="BI213" s="207"/>
      <c r="BJ213" s="207"/>
      <c r="BK213" s="207"/>
      <c r="BL213" s="207"/>
      <c r="BM213" s="207"/>
      <c r="BN213" s="207"/>
      <c r="BO213" s="207"/>
      <c r="BP213" s="207"/>
      <c r="BQ213" s="207"/>
      <c r="BR213" s="207"/>
      <c r="BS213" s="207"/>
      <c r="BT213" s="207"/>
      <c r="BU213" s="207"/>
      <c r="BV213" s="207"/>
      <c r="BW213" s="207"/>
      <c r="BX213" s="207"/>
      <c r="BY213" s="207"/>
      <c r="BZ213" s="207"/>
      <c r="CA213" s="207"/>
      <c r="CB213" s="207"/>
      <c r="CC213" s="207"/>
      <c r="CD213" s="207"/>
      <c r="CE213" s="207"/>
      <c r="CF213" s="207"/>
      <c r="CG213" s="207"/>
      <c r="CH213" s="207"/>
      <c r="CI213" s="207"/>
      <c r="CJ213" s="207"/>
      <c r="CK213" s="207"/>
      <c r="CL213" s="207"/>
      <c r="CM213" s="207"/>
      <c r="CN213" s="207"/>
      <c r="CO213" s="207"/>
      <c r="CP213" s="207"/>
      <c r="CQ213" s="207"/>
      <c r="CR213" s="207"/>
      <c r="CS213" s="207"/>
      <c r="CT213" s="207"/>
      <c r="CU213" s="207"/>
      <c r="CV213" s="207"/>
      <c r="CW213" s="207"/>
      <c r="CX213" s="207"/>
      <c r="CY213" s="207"/>
      <c r="CZ213" s="207"/>
      <c r="DA213" s="207"/>
      <c r="DB213" s="207"/>
      <c r="DC213" s="207"/>
      <c r="DD213" s="207"/>
    </row>
    <row r="214">
      <c r="A214" s="204"/>
      <c r="B214" s="205"/>
      <c r="C214" s="204"/>
      <c r="D214" s="206"/>
      <c r="E214" s="207"/>
      <c r="F214" s="207"/>
      <c r="G214" s="207"/>
      <c r="H214" s="208"/>
      <c r="I214" s="208"/>
      <c r="J214" s="208"/>
      <c r="K214" s="208"/>
      <c r="L214" s="208"/>
      <c r="M214" s="208"/>
      <c r="N214" s="208"/>
      <c r="O214" s="208"/>
      <c r="P214" s="208"/>
      <c r="Q214" s="208"/>
      <c r="R214" s="208"/>
      <c r="S214" s="208"/>
      <c r="T214" s="207"/>
      <c r="U214" s="207"/>
      <c r="V214" s="207"/>
      <c r="W214" s="207"/>
      <c r="X214" s="207"/>
      <c r="Y214" s="207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7"/>
      <c r="AO214" s="207"/>
      <c r="AP214" s="207"/>
      <c r="AQ214" s="207"/>
      <c r="AR214" s="207"/>
      <c r="AS214" s="207"/>
      <c r="AT214" s="207"/>
      <c r="AU214" s="207"/>
      <c r="AV214" s="207"/>
      <c r="AW214" s="207"/>
      <c r="AX214" s="207"/>
      <c r="AY214" s="207"/>
      <c r="AZ214" s="207"/>
      <c r="BA214" s="207"/>
      <c r="BB214" s="207"/>
      <c r="BC214" s="207"/>
      <c r="BD214" s="207"/>
      <c r="BE214" s="207"/>
      <c r="BF214" s="207"/>
      <c r="BG214" s="207"/>
      <c r="BH214" s="207"/>
      <c r="BI214" s="207"/>
      <c r="BJ214" s="207"/>
      <c r="BK214" s="207"/>
      <c r="BL214" s="207"/>
      <c r="BM214" s="207"/>
      <c r="BN214" s="207"/>
      <c r="BO214" s="207"/>
      <c r="BP214" s="207"/>
      <c r="BQ214" s="207"/>
      <c r="BR214" s="207"/>
      <c r="BS214" s="207"/>
      <c r="BT214" s="207"/>
      <c r="BU214" s="207"/>
      <c r="BV214" s="207"/>
      <c r="BW214" s="207"/>
      <c r="BX214" s="207"/>
      <c r="BY214" s="207"/>
      <c r="BZ214" s="207"/>
      <c r="CA214" s="207"/>
      <c r="CB214" s="207"/>
      <c r="CC214" s="207"/>
      <c r="CD214" s="207"/>
      <c r="CE214" s="207"/>
      <c r="CF214" s="207"/>
      <c r="CG214" s="207"/>
      <c r="CH214" s="207"/>
      <c r="CI214" s="207"/>
      <c r="CJ214" s="207"/>
      <c r="CK214" s="207"/>
      <c r="CL214" s="207"/>
      <c r="CM214" s="207"/>
      <c r="CN214" s="207"/>
      <c r="CO214" s="207"/>
      <c r="CP214" s="207"/>
      <c r="CQ214" s="207"/>
      <c r="CR214" s="207"/>
      <c r="CS214" s="207"/>
      <c r="CT214" s="207"/>
      <c r="CU214" s="207"/>
      <c r="CV214" s="207"/>
      <c r="CW214" s="207"/>
      <c r="CX214" s="207"/>
      <c r="CY214" s="207"/>
      <c r="CZ214" s="207"/>
      <c r="DA214" s="207"/>
      <c r="DB214" s="207"/>
      <c r="DC214" s="207"/>
      <c r="DD214" s="207"/>
    </row>
    <row r="215">
      <c r="A215" s="204"/>
      <c r="B215" s="205"/>
      <c r="C215" s="204"/>
      <c r="D215" s="206"/>
      <c r="E215" s="207"/>
      <c r="F215" s="207"/>
      <c r="G215" s="207"/>
      <c r="H215" s="208"/>
      <c r="I215" s="208"/>
      <c r="J215" s="208"/>
      <c r="K215" s="208"/>
      <c r="L215" s="208"/>
      <c r="M215" s="208"/>
      <c r="N215" s="208"/>
      <c r="O215" s="208"/>
      <c r="P215" s="208"/>
      <c r="Q215" s="208"/>
      <c r="R215" s="208"/>
      <c r="S215" s="208"/>
      <c r="T215" s="207"/>
      <c r="U215" s="207"/>
      <c r="V215" s="207"/>
      <c r="W215" s="207"/>
      <c r="X215" s="207"/>
      <c r="Y215" s="207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7"/>
      <c r="AO215" s="207"/>
      <c r="AP215" s="207"/>
      <c r="AQ215" s="207"/>
      <c r="AR215" s="207"/>
      <c r="AS215" s="207"/>
      <c r="AT215" s="207"/>
      <c r="AU215" s="207"/>
      <c r="AV215" s="207"/>
      <c r="AW215" s="207"/>
      <c r="AX215" s="207"/>
      <c r="AY215" s="207"/>
      <c r="AZ215" s="207"/>
      <c r="BA215" s="207"/>
      <c r="BB215" s="207"/>
      <c r="BC215" s="207"/>
      <c r="BD215" s="207"/>
      <c r="BE215" s="207"/>
      <c r="BF215" s="207"/>
      <c r="BG215" s="207"/>
      <c r="BH215" s="207"/>
      <c r="BI215" s="207"/>
      <c r="BJ215" s="207"/>
      <c r="BK215" s="207"/>
      <c r="BL215" s="207"/>
      <c r="BM215" s="207"/>
      <c r="BN215" s="207"/>
      <c r="BO215" s="207"/>
      <c r="BP215" s="207"/>
      <c r="BQ215" s="207"/>
      <c r="BR215" s="207"/>
      <c r="BS215" s="207"/>
      <c r="BT215" s="207"/>
      <c r="BU215" s="207"/>
      <c r="BV215" s="207"/>
      <c r="BW215" s="207"/>
      <c r="BX215" s="207"/>
      <c r="BY215" s="207"/>
      <c r="BZ215" s="207"/>
      <c r="CA215" s="207"/>
      <c r="CB215" s="207"/>
      <c r="CC215" s="207"/>
      <c r="CD215" s="207"/>
      <c r="CE215" s="207"/>
      <c r="CF215" s="207"/>
      <c r="CG215" s="207"/>
      <c r="CH215" s="207"/>
      <c r="CI215" s="207"/>
      <c r="CJ215" s="207"/>
      <c r="CK215" s="207"/>
      <c r="CL215" s="207"/>
      <c r="CM215" s="207"/>
      <c r="CN215" s="207"/>
      <c r="CO215" s="207"/>
      <c r="CP215" s="207"/>
      <c r="CQ215" s="207"/>
      <c r="CR215" s="207"/>
      <c r="CS215" s="207"/>
      <c r="CT215" s="207"/>
      <c r="CU215" s="207"/>
      <c r="CV215" s="207"/>
      <c r="CW215" s="207"/>
      <c r="CX215" s="207"/>
      <c r="CY215" s="207"/>
      <c r="CZ215" s="207"/>
      <c r="DA215" s="207"/>
      <c r="DB215" s="207"/>
      <c r="DC215" s="207"/>
      <c r="DD215" s="207"/>
    </row>
    <row r="216">
      <c r="A216" s="204"/>
      <c r="B216" s="205"/>
      <c r="C216" s="204"/>
      <c r="D216" s="206"/>
      <c r="E216" s="207"/>
      <c r="F216" s="207"/>
      <c r="G216" s="207"/>
      <c r="H216" s="208"/>
      <c r="I216" s="208"/>
      <c r="J216" s="208"/>
      <c r="K216" s="208"/>
      <c r="L216" s="208"/>
      <c r="M216" s="208"/>
      <c r="N216" s="208"/>
      <c r="O216" s="208"/>
      <c r="P216" s="208"/>
      <c r="Q216" s="208"/>
      <c r="R216" s="208"/>
      <c r="S216" s="208"/>
      <c r="T216" s="207"/>
      <c r="U216" s="207"/>
      <c r="V216" s="207"/>
      <c r="W216" s="207"/>
      <c r="X216" s="207"/>
      <c r="Y216" s="207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7"/>
      <c r="AO216" s="207"/>
      <c r="AP216" s="207"/>
      <c r="AQ216" s="207"/>
      <c r="AR216" s="207"/>
      <c r="AS216" s="207"/>
      <c r="AT216" s="207"/>
      <c r="AU216" s="207"/>
      <c r="AV216" s="207"/>
      <c r="AW216" s="207"/>
      <c r="AX216" s="207"/>
      <c r="AY216" s="207"/>
      <c r="AZ216" s="207"/>
      <c r="BA216" s="207"/>
      <c r="BB216" s="207"/>
      <c r="BC216" s="207"/>
      <c r="BD216" s="207"/>
      <c r="BE216" s="207"/>
      <c r="BF216" s="207"/>
      <c r="BG216" s="207"/>
      <c r="BH216" s="207"/>
      <c r="BI216" s="207"/>
      <c r="BJ216" s="207"/>
      <c r="BK216" s="207"/>
      <c r="BL216" s="207"/>
      <c r="BM216" s="207"/>
      <c r="BN216" s="207"/>
      <c r="BO216" s="207"/>
      <c r="BP216" s="207"/>
      <c r="BQ216" s="207"/>
      <c r="BR216" s="207"/>
      <c r="BS216" s="207"/>
      <c r="BT216" s="207"/>
      <c r="BU216" s="207"/>
      <c r="BV216" s="207"/>
      <c r="BW216" s="207"/>
      <c r="BX216" s="207"/>
      <c r="BY216" s="207"/>
      <c r="BZ216" s="207"/>
      <c r="CA216" s="207"/>
      <c r="CB216" s="207"/>
      <c r="CC216" s="207"/>
      <c r="CD216" s="207"/>
      <c r="CE216" s="207"/>
      <c r="CF216" s="207"/>
      <c r="CG216" s="207"/>
      <c r="CH216" s="207"/>
      <c r="CI216" s="207"/>
      <c r="CJ216" s="207"/>
      <c r="CK216" s="207"/>
      <c r="CL216" s="207"/>
      <c r="CM216" s="207"/>
      <c r="CN216" s="207"/>
      <c r="CO216" s="207"/>
      <c r="CP216" s="207"/>
      <c r="CQ216" s="207"/>
      <c r="CR216" s="207"/>
      <c r="CS216" s="207"/>
      <c r="CT216" s="207"/>
      <c r="CU216" s="207"/>
      <c r="CV216" s="207"/>
      <c r="CW216" s="207"/>
      <c r="CX216" s="207"/>
      <c r="CY216" s="207"/>
      <c r="CZ216" s="207"/>
      <c r="DA216" s="207"/>
      <c r="DB216" s="207"/>
      <c r="DC216" s="207"/>
      <c r="DD216" s="207"/>
    </row>
    <row r="217">
      <c r="A217" s="204"/>
      <c r="B217" s="205"/>
      <c r="C217" s="204"/>
      <c r="D217" s="206"/>
      <c r="E217" s="207"/>
      <c r="F217" s="207"/>
      <c r="G217" s="207"/>
      <c r="H217" s="208"/>
      <c r="I217" s="208"/>
      <c r="J217" s="208"/>
      <c r="K217" s="208"/>
      <c r="L217" s="208"/>
      <c r="M217" s="208"/>
      <c r="N217" s="208"/>
      <c r="O217" s="208"/>
      <c r="P217" s="208"/>
      <c r="Q217" s="208"/>
      <c r="R217" s="208"/>
      <c r="S217" s="208"/>
      <c r="T217" s="207"/>
      <c r="U217" s="207"/>
      <c r="V217" s="207"/>
      <c r="W217" s="207"/>
      <c r="X217" s="207"/>
      <c r="Y217" s="207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7"/>
      <c r="AO217" s="207"/>
      <c r="AP217" s="207"/>
      <c r="AQ217" s="207"/>
      <c r="AR217" s="207"/>
      <c r="AS217" s="207"/>
      <c r="AT217" s="207"/>
      <c r="AU217" s="207"/>
      <c r="AV217" s="207"/>
      <c r="AW217" s="207"/>
      <c r="AX217" s="207"/>
      <c r="AY217" s="207"/>
      <c r="AZ217" s="207"/>
      <c r="BA217" s="207"/>
      <c r="BB217" s="207"/>
      <c r="BC217" s="207"/>
      <c r="BD217" s="207"/>
      <c r="BE217" s="207"/>
      <c r="BF217" s="207"/>
      <c r="BG217" s="207"/>
      <c r="BH217" s="207"/>
      <c r="BI217" s="207"/>
      <c r="BJ217" s="207"/>
      <c r="BK217" s="207"/>
      <c r="BL217" s="207"/>
      <c r="BM217" s="207"/>
      <c r="BN217" s="207"/>
      <c r="BO217" s="207"/>
      <c r="BP217" s="207"/>
      <c r="BQ217" s="207"/>
      <c r="BR217" s="207"/>
      <c r="BS217" s="207"/>
      <c r="BT217" s="207"/>
      <c r="BU217" s="207"/>
      <c r="BV217" s="207"/>
      <c r="BW217" s="207"/>
      <c r="BX217" s="207"/>
      <c r="BY217" s="207"/>
      <c r="BZ217" s="207"/>
      <c r="CA217" s="207"/>
      <c r="CB217" s="207"/>
      <c r="CC217" s="207"/>
      <c r="CD217" s="207"/>
      <c r="CE217" s="207"/>
      <c r="CF217" s="207"/>
      <c r="CG217" s="207"/>
      <c r="CH217" s="207"/>
      <c r="CI217" s="207"/>
      <c r="CJ217" s="207"/>
      <c r="CK217" s="207"/>
      <c r="CL217" s="207"/>
      <c r="CM217" s="207"/>
      <c r="CN217" s="207"/>
      <c r="CO217" s="207"/>
      <c r="CP217" s="207"/>
      <c r="CQ217" s="207"/>
      <c r="CR217" s="207"/>
      <c r="CS217" s="207"/>
      <c r="CT217" s="207"/>
      <c r="CU217" s="207"/>
      <c r="CV217" s="207"/>
      <c r="CW217" s="207"/>
      <c r="CX217" s="207"/>
      <c r="CY217" s="207"/>
      <c r="CZ217" s="207"/>
      <c r="DA217" s="207"/>
      <c r="DB217" s="207"/>
      <c r="DC217" s="207"/>
      <c r="DD217" s="207"/>
    </row>
    <row r="218">
      <c r="A218" s="204"/>
      <c r="B218" s="205"/>
      <c r="C218" s="204"/>
      <c r="D218" s="206"/>
      <c r="E218" s="207"/>
      <c r="F218" s="207"/>
      <c r="G218" s="207"/>
      <c r="H218" s="208"/>
      <c r="I218" s="208"/>
      <c r="J218" s="208"/>
      <c r="K218" s="208"/>
      <c r="L218" s="208"/>
      <c r="M218" s="208"/>
      <c r="N218" s="208"/>
      <c r="O218" s="208"/>
      <c r="P218" s="208"/>
      <c r="Q218" s="208"/>
      <c r="R218" s="208"/>
      <c r="S218" s="208"/>
      <c r="T218" s="207"/>
      <c r="U218" s="207"/>
      <c r="V218" s="207"/>
      <c r="W218" s="207"/>
      <c r="X218" s="207"/>
      <c r="Y218" s="207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7"/>
      <c r="AO218" s="207"/>
      <c r="AP218" s="207"/>
      <c r="AQ218" s="207"/>
      <c r="AR218" s="207"/>
      <c r="AS218" s="207"/>
      <c r="AT218" s="207"/>
      <c r="AU218" s="207"/>
      <c r="AV218" s="207"/>
      <c r="AW218" s="207"/>
      <c r="AX218" s="207"/>
      <c r="AY218" s="207"/>
      <c r="AZ218" s="207"/>
      <c r="BA218" s="207"/>
      <c r="BB218" s="207"/>
      <c r="BC218" s="207"/>
      <c r="BD218" s="207"/>
      <c r="BE218" s="207"/>
      <c r="BF218" s="207"/>
      <c r="BG218" s="207"/>
      <c r="BH218" s="207"/>
      <c r="BI218" s="207"/>
      <c r="BJ218" s="207"/>
      <c r="BK218" s="207"/>
      <c r="BL218" s="207"/>
      <c r="BM218" s="207"/>
      <c r="BN218" s="207"/>
      <c r="BO218" s="207"/>
      <c r="BP218" s="207"/>
      <c r="BQ218" s="207"/>
      <c r="BR218" s="207"/>
      <c r="BS218" s="207"/>
      <c r="BT218" s="207"/>
      <c r="BU218" s="207"/>
      <c r="BV218" s="207"/>
      <c r="BW218" s="207"/>
      <c r="BX218" s="207"/>
      <c r="BY218" s="207"/>
      <c r="BZ218" s="207"/>
      <c r="CA218" s="207"/>
      <c r="CB218" s="207"/>
      <c r="CC218" s="207"/>
      <c r="CD218" s="207"/>
      <c r="CE218" s="207"/>
      <c r="CF218" s="207"/>
      <c r="CG218" s="207"/>
      <c r="CH218" s="207"/>
      <c r="CI218" s="207"/>
      <c r="CJ218" s="207"/>
      <c r="CK218" s="207"/>
      <c r="CL218" s="207"/>
      <c r="CM218" s="207"/>
      <c r="CN218" s="207"/>
      <c r="CO218" s="207"/>
      <c r="CP218" s="207"/>
      <c r="CQ218" s="207"/>
      <c r="CR218" s="207"/>
      <c r="CS218" s="207"/>
      <c r="CT218" s="207"/>
      <c r="CU218" s="207"/>
      <c r="CV218" s="207"/>
      <c r="CW218" s="207"/>
      <c r="CX218" s="207"/>
      <c r="CY218" s="207"/>
      <c r="CZ218" s="207"/>
      <c r="DA218" s="207"/>
      <c r="DB218" s="207"/>
      <c r="DC218" s="207"/>
      <c r="DD218" s="207"/>
    </row>
    <row r="219">
      <c r="A219" s="204"/>
      <c r="B219" s="205"/>
      <c r="C219" s="204"/>
      <c r="D219" s="206"/>
      <c r="E219" s="207"/>
      <c r="F219" s="207"/>
      <c r="G219" s="207"/>
      <c r="H219" s="208"/>
      <c r="I219" s="208"/>
      <c r="J219" s="208"/>
      <c r="K219" s="208"/>
      <c r="L219" s="208"/>
      <c r="M219" s="208"/>
      <c r="N219" s="208"/>
      <c r="O219" s="208"/>
      <c r="P219" s="208"/>
      <c r="Q219" s="208"/>
      <c r="R219" s="208"/>
      <c r="S219" s="208"/>
      <c r="T219" s="207"/>
      <c r="U219" s="207"/>
      <c r="V219" s="207"/>
      <c r="W219" s="207"/>
      <c r="X219" s="207"/>
      <c r="Y219" s="207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7"/>
      <c r="AO219" s="207"/>
      <c r="AP219" s="207"/>
      <c r="AQ219" s="207"/>
      <c r="AR219" s="207"/>
      <c r="AS219" s="207"/>
      <c r="AT219" s="207"/>
      <c r="AU219" s="207"/>
      <c r="AV219" s="207"/>
      <c r="AW219" s="207"/>
      <c r="AX219" s="207"/>
      <c r="AY219" s="207"/>
      <c r="AZ219" s="207"/>
      <c r="BA219" s="207"/>
      <c r="BB219" s="207"/>
      <c r="BC219" s="207"/>
      <c r="BD219" s="207"/>
      <c r="BE219" s="207"/>
      <c r="BF219" s="207"/>
      <c r="BG219" s="207"/>
      <c r="BH219" s="207"/>
      <c r="BI219" s="207"/>
      <c r="BJ219" s="207"/>
      <c r="BK219" s="207"/>
      <c r="BL219" s="207"/>
      <c r="BM219" s="207"/>
      <c r="BN219" s="207"/>
      <c r="BO219" s="207"/>
      <c r="BP219" s="207"/>
      <c r="BQ219" s="207"/>
      <c r="BR219" s="207"/>
      <c r="BS219" s="207"/>
      <c r="BT219" s="207"/>
      <c r="BU219" s="207"/>
      <c r="BV219" s="207"/>
      <c r="BW219" s="207"/>
      <c r="BX219" s="207"/>
      <c r="BY219" s="207"/>
      <c r="BZ219" s="207"/>
      <c r="CA219" s="207"/>
      <c r="CB219" s="207"/>
      <c r="CC219" s="207"/>
      <c r="CD219" s="207"/>
      <c r="CE219" s="207"/>
      <c r="CF219" s="207"/>
      <c r="CG219" s="207"/>
      <c r="CH219" s="207"/>
      <c r="CI219" s="207"/>
      <c r="CJ219" s="207"/>
      <c r="CK219" s="207"/>
      <c r="CL219" s="207"/>
      <c r="CM219" s="207"/>
      <c r="CN219" s="207"/>
      <c r="CO219" s="207"/>
      <c r="CP219" s="207"/>
      <c r="CQ219" s="207"/>
      <c r="CR219" s="207"/>
      <c r="CS219" s="207"/>
      <c r="CT219" s="207"/>
      <c r="CU219" s="207"/>
      <c r="CV219" s="207"/>
      <c r="CW219" s="207"/>
      <c r="CX219" s="207"/>
      <c r="CY219" s="207"/>
      <c r="CZ219" s="207"/>
      <c r="DA219" s="207"/>
      <c r="DB219" s="207"/>
      <c r="DC219" s="207"/>
      <c r="DD219" s="207"/>
    </row>
    <row r="220">
      <c r="A220" s="204"/>
      <c r="B220" s="205"/>
      <c r="C220" s="204"/>
      <c r="D220" s="206"/>
      <c r="E220" s="207"/>
      <c r="F220" s="207"/>
      <c r="G220" s="207"/>
      <c r="H220" s="208"/>
      <c r="I220" s="208"/>
      <c r="J220" s="208"/>
      <c r="K220" s="208"/>
      <c r="L220" s="208"/>
      <c r="M220" s="208"/>
      <c r="N220" s="208"/>
      <c r="O220" s="208"/>
      <c r="P220" s="208"/>
      <c r="Q220" s="208"/>
      <c r="R220" s="208"/>
      <c r="S220" s="208"/>
      <c r="T220" s="207"/>
      <c r="U220" s="207"/>
      <c r="V220" s="207"/>
      <c r="W220" s="207"/>
      <c r="X220" s="207"/>
      <c r="Y220" s="207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7"/>
      <c r="AO220" s="207"/>
      <c r="AP220" s="207"/>
      <c r="AQ220" s="207"/>
      <c r="AR220" s="207"/>
      <c r="AS220" s="207"/>
      <c r="AT220" s="207"/>
      <c r="AU220" s="207"/>
      <c r="AV220" s="207"/>
      <c r="AW220" s="207"/>
      <c r="AX220" s="207"/>
      <c r="AY220" s="207"/>
      <c r="AZ220" s="207"/>
      <c r="BA220" s="207"/>
      <c r="BB220" s="207"/>
      <c r="BC220" s="207"/>
      <c r="BD220" s="207"/>
      <c r="BE220" s="207"/>
      <c r="BF220" s="207"/>
      <c r="BG220" s="207"/>
      <c r="BH220" s="207"/>
      <c r="BI220" s="207"/>
      <c r="BJ220" s="207"/>
      <c r="BK220" s="207"/>
      <c r="BL220" s="207"/>
      <c r="BM220" s="207"/>
      <c r="BN220" s="207"/>
      <c r="BO220" s="207"/>
      <c r="BP220" s="207"/>
      <c r="BQ220" s="207"/>
      <c r="BR220" s="207"/>
      <c r="BS220" s="207"/>
      <c r="BT220" s="207"/>
      <c r="BU220" s="207"/>
      <c r="BV220" s="207"/>
      <c r="BW220" s="207"/>
      <c r="BX220" s="207"/>
      <c r="BY220" s="207"/>
      <c r="BZ220" s="207"/>
      <c r="CA220" s="207"/>
      <c r="CB220" s="207"/>
      <c r="CC220" s="207"/>
      <c r="CD220" s="207"/>
      <c r="CE220" s="207"/>
      <c r="CF220" s="207"/>
      <c r="CG220" s="207"/>
      <c r="CH220" s="207"/>
      <c r="CI220" s="207"/>
      <c r="CJ220" s="207"/>
      <c r="CK220" s="207"/>
      <c r="CL220" s="207"/>
      <c r="CM220" s="207"/>
      <c r="CN220" s="207"/>
      <c r="CO220" s="207"/>
      <c r="CP220" s="207"/>
      <c r="CQ220" s="207"/>
      <c r="CR220" s="207"/>
      <c r="CS220" s="207"/>
      <c r="CT220" s="207"/>
      <c r="CU220" s="207"/>
      <c r="CV220" s="207"/>
      <c r="CW220" s="207"/>
      <c r="CX220" s="207"/>
      <c r="CY220" s="207"/>
      <c r="CZ220" s="207"/>
      <c r="DA220" s="207"/>
      <c r="DB220" s="207"/>
      <c r="DC220" s="207"/>
      <c r="DD220" s="207"/>
    </row>
    <row r="221">
      <c r="A221" s="204"/>
      <c r="B221" s="205"/>
      <c r="C221" s="204"/>
      <c r="D221" s="206"/>
      <c r="E221" s="207"/>
      <c r="F221" s="207"/>
      <c r="G221" s="207"/>
      <c r="H221" s="208"/>
      <c r="I221" s="208"/>
      <c r="J221" s="208"/>
      <c r="K221" s="208"/>
      <c r="L221" s="208"/>
      <c r="M221" s="208"/>
      <c r="N221" s="208"/>
      <c r="O221" s="208"/>
      <c r="P221" s="208"/>
      <c r="Q221" s="208"/>
      <c r="R221" s="208"/>
      <c r="S221" s="208"/>
      <c r="T221" s="207"/>
      <c r="U221" s="207"/>
      <c r="V221" s="207"/>
      <c r="W221" s="207"/>
      <c r="X221" s="207"/>
      <c r="Y221" s="207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7"/>
      <c r="AO221" s="207"/>
      <c r="AP221" s="207"/>
      <c r="AQ221" s="207"/>
      <c r="AR221" s="207"/>
      <c r="AS221" s="207"/>
      <c r="AT221" s="207"/>
      <c r="AU221" s="207"/>
      <c r="AV221" s="207"/>
      <c r="AW221" s="207"/>
      <c r="AX221" s="207"/>
      <c r="AY221" s="207"/>
      <c r="AZ221" s="207"/>
      <c r="BA221" s="207"/>
      <c r="BB221" s="207"/>
      <c r="BC221" s="207"/>
      <c r="BD221" s="207"/>
      <c r="BE221" s="207"/>
      <c r="BF221" s="207"/>
      <c r="BG221" s="207"/>
      <c r="BH221" s="207"/>
      <c r="BI221" s="207"/>
      <c r="BJ221" s="207"/>
      <c r="BK221" s="207"/>
      <c r="BL221" s="207"/>
      <c r="BM221" s="207"/>
      <c r="BN221" s="207"/>
      <c r="BO221" s="207"/>
      <c r="BP221" s="207"/>
      <c r="BQ221" s="207"/>
      <c r="BR221" s="207"/>
      <c r="BS221" s="207"/>
      <c r="BT221" s="207"/>
      <c r="BU221" s="207"/>
      <c r="BV221" s="207"/>
      <c r="BW221" s="207"/>
      <c r="BX221" s="207"/>
      <c r="BY221" s="207"/>
      <c r="BZ221" s="207"/>
      <c r="CA221" s="207"/>
      <c r="CB221" s="207"/>
      <c r="CC221" s="207"/>
      <c r="CD221" s="207"/>
      <c r="CE221" s="207"/>
      <c r="CF221" s="207"/>
      <c r="CG221" s="207"/>
      <c r="CH221" s="207"/>
      <c r="CI221" s="207"/>
      <c r="CJ221" s="207"/>
      <c r="CK221" s="207"/>
      <c r="CL221" s="207"/>
      <c r="CM221" s="207"/>
      <c r="CN221" s="207"/>
      <c r="CO221" s="207"/>
      <c r="CP221" s="207"/>
      <c r="CQ221" s="207"/>
      <c r="CR221" s="207"/>
      <c r="CS221" s="207"/>
      <c r="CT221" s="207"/>
      <c r="CU221" s="207"/>
      <c r="CV221" s="207"/>
      <c r="CW221" s="207"/>
      <c r="CX221" s="207"/>
      <c r="CY221" s="207"/>
      <c r="CZ221" s="207"/>
      <c r="DA221" s="207"/>
      <c r="DB221" s="207"/>
      <c r="DC221" s="207"/>
      <c r="DD221" s="207"/>
    </row>
    <row r="222">
      <c r="A222" s="204"/>
      <c r="B222" s="205"/>
      <c r="C222" s="204"/>
      <c r="D222" s="206"/>
      <c r="E222" s="207"/>
      <c r="F222" s="207"/>
      <c r="G222" s="207"/>
      <c r="H222" s="208"/>
      <c r="I222" s="208"/>
      <c r="J222" s="208"/>
      <c r="K222" s="208"/>
      <c r="L222" s="208"/>
      <c r="M222" s="208"/>
      <c r="N222" s="208"/>
      <c r="O222" s="208"/>
      <c r="P222" s="208"/>
      <c r="Q222" s="208"/>
      <c r="R222" s="208"/>
      <c r="S222" s="208"/>
      <c r="T222" s="207"/>
      <c r="U222" s="207"/>
      <c r="V222" s="207"/>
      <c r="W222" s="207"/>
      <c r="X222" s="207"/>
      <c r="Y222" s="207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7"/>
      <c r="AO222" s="207"/>
      <c r="AP222" s="207"/>
      <c r="AQ222" s="207"/>
      <c r="AR222" s="207"/>
      <c r="AS222" s="207"/>
      <c r="AT222" s="207"/>
      <c r="AU222" s="207"/>
      <c r="AV222" s="207"/>
      <c r="AW222" s="207"/>
      <c r="AX222" s="207"/>
      <c r="AY222" s="207"/>
      <c r="AZ222" s="207"/>
      <c r="BA222" s="207"/>
      <c r="BB222" s="207"/>
      <c r="BC222" s="207"/>
      <c r="BD222" s="207"/>
      <c r="BE222" s="207"/>
      <c r="BF222" s="207"/>
      <c r="BG222" s="207"/>
      <c r="BH222" s="207"/>
      <c r="BI222" s="207"/>
      <c r="BJ222" s="207"/>
      <c r="BK222" s="207"/>
      <c r="BL222" s="207"/>
      <c r="BM222" s="207"/>
      <c r="BN222" s="207"/>
      <c r="BO222" s="207"/>
      <c r="BP222" s="207"/>
      <c r="BQ222" s="207"/>
      <c r="BR222" s="207"/>
      <c r="BS222" s="207"/>
      <c r="BT222" s="207"/>
      <c r="BU222" s="207"/>
      <c r="BV222" s="207"/>
      <c r="BW222" s="207"/>
      <c r="BX222" s="207"/>
      <c r="BY222" s="207"/>
      <c r="BZ222" s="207"/>
      <c r="CA222" s="207"/>
      <c r="CB222" s="207"/>
      <c r="CC222" s="207"/>
      <c r="CD222" s="207"/>
      <c r="CE222" s="207"/>
      <c r="CF222" s="207"/>
      <c r="CG222" s="207"/>
      <c r="CH222" s="207"/>
      <c r="CI222" s="207"/>
      <c r="CJ222" s="207"/>
      <c r="CK222" s="207"/>
      <c r="CL222" s="207"/>
      <c r="CM222" s="207"/>
      <c r="CN222" s="207"/>
      <c r="CO222" s="207"/>
      <c r="CP222" s="207"/>
      <c r="CQ222" s="207"/>
      <c r="CR222" s="207"/>
      <c r="CS222" s="207"/>
      <c r="CT222" s="207"/>
      <c r="CU222" s="207"/>
      <c r="CV222" s="207"/>
      <c r="CW222" s="207"/>
      <c r="CX222" s="207"/>
      <c r="CY222" s="207"/>
      <c r="CZ222" s="207"/>
      <c r="DA222" s="207"/>
      <c r="DB222" s="207"/>
      <c r="DC222" s="207"/>
      <c r="DD222" s="207"/>
    </row>
    <row r="223">
      <c r="A223" s="204"/>
      <c r="B223" s="205"/>
      <c r="C223" s="204"/>
      <c r="D223" s="206"/>
      <c r="E223" s="207"/>
      <c r="F223" s="207"/>
      <c r="G223" s="207"/>
      <c r="H223" s="208"/>
      <c r="I223" s="208"/>
      <c r="J223" s="208"/>
      <c r="K223" s="208"/>
      <c r="L223" s="208"/>
      <c r="M223" s="208"/>
      <c r="N223" s="208"/>
      <c r="O223" s="208"/>
      <c r="P223" s="208"/>
      <c r="Q223" s="208"/>
      <c r="R223" s="208"/>
      <c r="S223" s="208"/>
      <c r="T223" s="207"/>
      <c r="U223" s="207"/>
      <c r="V223" s="207"/>
      <c r="W223" s="207"/>
      <c r="X223" s="207"/>
      <c r="Y223" s="207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7"/>
      <c r="AO223" s="207"/>
      <c r="AP223" s="207"/>
      <c r="AQ223" s="207"/>
      <c r="AR223" s="207"/>
      <c r="AS223" s="207"/>
      <c r="AT223" s="207"/>
      <c r="AU223" s="207"/>
      <c r="AV223" s="207"/>
      <c r="AW223" s="207"/>
      <c r="AX223" s="207"/>
      <c r="AY223" s="207"/>
      <c r="AZ223" s="207"/>
      <c r="BA223" s="207"/>
      <c r="BB223" s="207"/>
      <c r="BC223" s="207"/>
      <c r="BD223" s="207"/>
      <c r="BE223" s="207"/>
      <c r="BF223" s="207"/>
      <c r="BG223" s="207"/>
      <c r="BH223" s="207"/>
      <c r="BI223" s="207"/>
      <c r="BJ223" s="207"/>
      <c r="BK223" s="207"/>
      <c r="BL223" s="207"/>
      <c r="BM223" s="207"/>
      <c r="BN223" s="207"/>
      <c r="BO223" s="207"/>
      <c r="BP223" s="207"/>
      <c r="BQ223" s="207"/>
      <c r="BR223" s="207"/>
      <c r="BS223" s="207"/>
      <c r="BT223" s="207"/>
      <c r="BU223" s="207"/>
      <c r="BV223" s="207"/>
      <c r="BW223" s="207"/>
      <c r="BX223" s="207"/>
      <c r="BY223" s="207"/>
      <c r="BZ223" s="207"/>
      <c r="CA223" s="207"/>
      <c r="CB223" s="207"/>
      <c r="CC223" s="207"/>
      <c r="CD223" s="207"/>
      <c r="CE223" s="207"/>
      <c r="CF223" s="207"/>
      <c r="CG223" s="207"/>
      <c r="CH223" s="207"/>
      <c r="CI223" s="207"/>
      <c r="CJ223" s="207"/>
      <c r="CK223" s="207"/>
      <c r="CL223" s="207"/>
      <c r="CM223" s="207"/>
      <c r="CN223" s="207"/>
      <c r="CO223" s="207"/>
      <c r="CP223" s="207"/>
      <c r="CQ223" s="207"/>
      <c r="CR223" s="207"/>
      <c r="CS223" s="207"/>
      <c r="CT223" s="207"/>
      <c r="CU223" s="207"/>
      <c r="CV223" s="207"/>
      <c r="CW223" s="207"/>
      <c r="CX223" s="207"/>
      <c r="CY223" s="207"/>
      <c r="CZ223" s="207"/>
      <c r="DA223" s="207"/>
      <c r="DB223" s="207"/>
      <c r="DC223" s="207"/>
      <c r="DD223" s="207"/>
    </row>
    <row r="224">
      <c r="A224" s="204"/>
      <c r="B224" s="205"/>
      <c r="C224" s="204"/>
      <c r="D224" s="206"/>
      <c r="E224" s="207"/>
      <c r="F224" s="207"/>
      <c r="G224" s="207"/>
      <c r="H224" s="208"/>
      <c r="I224" s="208"/>
      <c r="J224" s="208"/>
      <c r="K224" s="208"/>
      <c r="L224" s="208"/>
      <c r="M224" s="208"/>
      <c r="N224" s="208"/>
      <c r="O224" s="208"/>
      <c r="P224" s="208"/>
      <c r="Q224" s="208"/>
      <c r="R224" s="208"/>
      <c r="S224" s="208"/>
      <c r="T224" s="207"/>
      <c r="U224" s="207"/>
      <c r="V224" s="207"/>
      <c r="W224" s="207"/>
      <c r="X224" s="207"/>
      <c r="Y224" s="207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7"/>
      <c r="AO224" s="207"/>
      <c r="AP224" s="207"/>
      <c r="AQ224" s="207"/>
      <c r="AR224" s="207"/>
      <c r="AS224" s="207"/>
      <c r="AT224" s="207"/>
      <c r="AU224" s="207"/>
      <c r="AV224" s="207"/>
      <c r="AW224" s="207"/>
      <c r="AX224" s="207"/>
      <c r="AY224" s="207"/>
      <c r="AZ224" s="207"/>
      <c r="BA224" s="207"/>
      <c r="BB224" s="207"/>
      <c r="BC224" s="207"/>
      <c r="BD224" s="207"/>
      <c r="BE224" s="207"/>
      <c r="BF224" s="207"/>
      <c r="BG224" s="207"/>
      <c r="BH224" s="207"/>
      <c r="BI224" s="207"/>
      <c r="BJ224" s="207"/>
      <c r="BK224" s="207"/>
      <c r="BL224" s="207"/>
      <c r="BM224" s="207"/>
      <c r="BN224" s="207"/>
      <c r="BO224" s="207"/>
      <c r="BP224" s="207"/>
      <c r="BQ224" s="207"/>
      <c r="BR224" s="207"/>
      <c r="BS224" s="207"/>
      <c r="BT224" s="207"/>
      <c r="BU224" s="207"/>
      <c r="BV224" s="207"/>
      <c r="BW224" s="207"/>
      <c r="BX224" s="207"/>
      <c r="BY224" s="207"/>
      <c r="BZ224" s="207"/>
      <c r="CA224" s="207"/>
      <c r="CB224" s="207"/>
      <c r="CC224" s="207"/>
      <c r="CD224" s="207"/>
      <c r="CE224" s="207"/>
      <c r="CF224" s="207"/>
      <c r="CG224" s="207"/>
      <c r="CH224" s="207"/>
      <c r="CI224" s="207"/>
      <c r="CJ224" s="207"/>
      <c r="CK224" s="207"/>
      <c r="CL224" s="207"/>
      <c r="CM224" s="207"/>
      <c r="CN224" s="207"/>
      <c r="CO224" s="207"/>
      <c r="CP224" s="207"/>
      <c r="CQ224" s="207"/>
      <c r="CR224" s="207"/>
      <c r="CS224" s="207"/>
      <c r="CT224" s="207"/>
      <c r="CU224" s="207"/>
      <c r="CV224" s="207"/>
      <c r="CW224" s="207"/>
      <c r="CX224" s="207"/>
      <c r="CY224" s="207"/>
      <c r="CZ224" s="207"/>
      <c r="DA224" s="207"/>
      <c r="DB224" s="207"/>
      <c r="DC224" s="207"/>
      <c r="DD224" s="207"/>
    </row>
    <row r="225">
      <c r="A225" s="204"/>
      <c r="B225" s="205"/>
      <c r="C225" s="204"/>
      <c r="D225" s="206"/>
      <c r="E225" s="207"/>
      <c r="F225" s="207"/>
      <c r="G225" s="207"/>
      <c r="H225" s="208"/>
      <c r="I225" s="208"/>
      <c r="J225" s="208"/>
      <c r="K225" s="208"/>
      <c r="L225" s="208"/>
      <c r="M225" s="208"/>
      <c r="N225" s="208"/>
      <c r="O225" s="208"/>
      <c r="P225" s="208"/>
      <c r="Q225" s="208"/>
      <c r="R225" s="208"/>
      <c r="S225" s="208"/>
      <c r="T225" s="207"/>
      <c r="U225" s="207"/>
      <c r="V225" s="207"/>
      <c r="W225" s="207"/>
      <c r="X225" s="207"/>
      <c r="Y225" s="207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7"/>
      <c r="AO225" s="207"/>
      <c r="AP225" s="207"/>
      <c r="AQ225" s="207"/>
      <c r="AR225" s="207"/>
      <c r="AS225" s="207"/>
      <c r="AT225" s="207"/>
      <c r="AU225" s="207"/>
      <c r="AV225" s="207"/>
      <c r="AW225" s="207"/>
      <c r="AX225" s="207"/>
      <c r="AY225" s="207"/>
      <c r="AZ225" s="207"/>
      <c r="BA225" s="207"/>
      <c r="BB225" s="207"/>
      <c r="BC225" s="207"/>
      <c r="BD225" s="207"/>
      <c r="BE225" s="207"/>
      <c r="BF225" s="207"/>
      <c r="BG225" s="207"/>
      <c r="BH225" s="207"/>
      <c r="BI225" s="207"/>
      <c r="BJ225" s="207"/>
      <c r="BK225" s="207"/>
      <c r="BL225" s="207"/>
      <c r="BM225" s="207"/>
      <c r="BN225" s="207"/>
      <c r="BO225" s="207"/>
      <c r="BP225" s="207"/>
      <c r="BQ225" s="207"/>
      <c r="BR225" s="207"/>
      <c r="BS225" s="207"/>
      <c r="BT225" s="207"/>
      <c r="BU225" s="207"/>
      <c r="BV225" s="207"/>
      <c r="BW225" s="207"/>
      <c r="BX225" s="207"/>
      <c r="BY225" s="207"/>
      <c r="BZ225" s="207"/>
      <c r="CA225" s="207"/>
      <c r="CB225" s="207"/>
      <c r="CC225" s="207"/>
      <c r="CD225" s="207"/>
      <c r="CE225" s="207"/>
      <c r="CF225" s="207"/>
      <c r="CG225" s="207"/>
      <c r="CH225" s="207"/>
      <c r="CI225" s="207"/>
      <c r="CJ225" s="207"/>
      <c r="CK225" s="207"/>
      <c r="CL225" s="207"/>
      <c r="CM225" s="207"/>
      <c r="CN225" s="207"/>
      <c r="CO225" s="207"/>
      <c r="CP225" s="207"/>
      <c r="CQ225" s="207"/>
      <c r="CR225" s="207"/>
      <c r="CS225" s="207"/>
      <c r="CT225" s="207"/>
      <c r="CU225" s="207"/>
      <c r="CV225" s="207"/>
      <c r="CW225" s="207"/>
      <c r="CX225" s="207"/>
      <c r="CY225" s="207"/>
      <c r="CZ225" s="207"/>
      <c r="DA225" s="207"/>
      <c r="DB225" s="207"/>
      <c r="DC225" s="207"/>
      <c r="DD225" s="207"/>
    </row>
    <row r="226">
      <c r="A226" s="204"/>
      <c r="B226" s="205"/>
      <c r="C226" s="204"/>
      <c r="D226" s="206"/>
      <c r="E226" s="207"/>
      <c r="F226" s="207"/>
      <c r="G226" s="207"/>
      <c r="H226" s="208"/>
      <c r="I226" s="208"/>
      <c r="J226" s="208"/>
      <c r="K226" s="208"/>
      <c r="L226" s="208"/>
      <c r="M226" s="208"/>
      <c r="N226" s="208"/>
      <c r="O226" s="208"/>
      <c r="P226" s="208"/>
      <c r="Q226" s="208"/>
      <c r="R226" s="208"/>
      <c r="S226" s="208"/>
      <c r="T226" s="207"/>
      <c r="U226" s="207"/>
      <c r="V226" s="207"/>
      <c r="W226" s="207"/>
      <c r="X226" s="207"/>
      <c r="Y226" s="207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7"/>
      <c r="AO226" s="207"/>
      <c r="AP226" s="207"/>
      <c r="AQ226" s="207"/>
      <c r="AR226" s="207"/>
      <c r="AS226" s="207"/>
      <c r="AT226" s="207"/>
      <c r="AU226" s="207"/>
      <c r="AV226" s="207"/>
      <c r="AW226" s="207"/>
      <c r="AX226" s="207"/>
      <c r="AY226" s="207"/>
      <c r="AZ226" s="207"/>
      <c r="BA226" s="207"/>
      <c r="BB226" s="207"/>
      <c r="BC226" s="207"/>
      <c r="BD226" s="207"/>
      <c r="BE226" s="207"/>
      <c r="BF226" s="207"/>
      <c r="BG226" s="207"/>
      <c r="BH226" s="207"/>
      <c r="BI226" s="207"/>
      <c r="BJ226" s="207"/>
      <c r="BK226" s="207"/>
      <c r="BL226" s="207"/>
      <c r="BM226" s="207"/>
      <c r="BN226" s="207"/>
      <c r="BO226" s="207"/>
      <c r="BP226" s="207"/>
      <c r="BQ226" s="207"/>
      <c r="BR226" s="207"/>
      <c r="BS226" s="207"/>
      <c r="BT226" s="207"/>
      <c r="BU226" s="207"/>
      <c r="BV226" s="207"/>
      <c r="BW226" s="207"/>
      <c r="BX226" s="207"/>
      <c r="BY226" s="207"/>
      <c r="BZ226" s="207"/>
      <c r="CA226" s="207"/>
      <c r="CB226" s="207"/>
      <c r="CC226" s="207"/>
      <c r="CD226" s="207"/>
      <c r="CE226" s="207"/>
      <c r="CF226" s="207"/>
      <c r="CG226" s="207"/>
      <c r="CH226" s="207"/>
      <c r="CI226" s="207"/>
      <c r="CJ226" s="207"/>
      <c r="CK226" s="207"/>
      <c r="CL226" s="207"/>
      <c r="CM226" s="207"/>
      <c r="CN226" s="207"/>
      <c r="CO226" s="207"/>
      <c r="CP226" s="207"/>
      <c r="CQ226" s="207"/>
      <c r="CR226" s="207"/>
      <c r="CS226" s="207"/>
      <c r="CT226" s="207"/>
      <c r="CU226" s="207"/>
      <c r="CV226" s="207"/>
      <c r="CW226" s="207"/>
      <c r="CX226" s="207"/>
      <c r="CY226" s="207"/>
      <c r="CZ226" s="207"/>
      <c r="DA226" s="207"/>
      <c r="DB226" s="207"/>
      <c r="DC226" s="207"/>
      <c r="DD226" s="207"/>
    </row>
    <row r="227">
      <c r="A227" s="204"/>
      <c r="B227" s="205"/>
      <c r="C227" s="204"/>
      <c r="D227" s="206"/>
      <c r="E227" s="207"/>
      <c r="F227" s="207"/>
      <c r="G227" s="207"/>
      <c r="H227" s="208"/>
      <c r="I227" s="208"/>
      <c r="J227" s="208"/>
      <c r="K227" s="208"/>
      <c r="L227" s="208"/>
      <c r="M227" s="208"/>
      <c r="N227" s="208"/>
      <c r="O227" s="208"/>
      <c r="P227" s="208"/>
      <c r="Q227" s="208"/>
      <c r="R227" s="208"/>
      <c r="S227" s="208"/>
      <c r="T227" s="207"/>
      <c r="U227" s="207"/>
      <c r="V227" s="207"/>
      <c r="W227" s="207"/>
      <c r="X227" s="207"/>
      <c r="Y227" s="207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7"/>
      <c r="AO227" s="207"/>
      <c r="AP227" s="207"/>
      <c r="AQ227" s="207"/>
      <c r="AR227" s="207"/>
      <c r="AS227" s="207"/>
      <c r="AT227" s="207"/>
      <c r="AU227" s="207"/>
      <c r="AV227" s="207"/>
      <c r="AW227" s="207"/>
      <c r="AX227" s="207"/>
      <c r="AY227" s="207"/>
      <c r="AZ227" s="207"/>
      <c r="BA227" s="207"/>
      <c r="BB227" s="207"/>
      <c r="BC227" s="207"/>
      <c r="BD227" s="207"/>
      <c r="BE227" s="207"/>
      <c r="BF227" s="207"/>
      <c r="BG227" s="207"/>
      <c r="BH227" s="207"/>
      <c r="BI227" s="207"/>
      <c r="BJ227" s="207"/>
      <c r="BK227" s="207"/>
      <c r="BL227" s="207"/>
      <c r="BM227" s="207"/>
      <c r="BN227" s="207"/>
      <c r="BO227" s="207"/>
      <c r="BP227" s="207"/>
      <c r="BQ227" s="207"/>
      <c r="BR227" s="207"/>
      <c r="BS227" s="207"/>
      <c r="BT227" s="207"/>
      <c r="BU227" s="207"/>
      <c r="BV227" s="207"/>
      <c r="BW227" s="207"/>
      <c r="BX227" s="207"/>
      <c r="BY227" s="207"/>
      <c r="BZ227" s="207"/>
      <c r="CA227" s="207"/>
      <c r="CB227" s="207"/>
      <c r="CC227" s="207"/>
      <c r="CD227" s="207"/>
      <c r="CE227" s="207"/>
      <c r="CF227" s="207"/>
      <c r="CG227" s="207"/>
      <c r="CH227" s="207"/>
      <c r="CI227" s="207"/>
      <c r="CJ227" s="207"/>
      <c r="CK227" s="207"/>
      <c r="CL227" s="207"/>
      <c r="CM227" s="207"/>
      <c r="CN227" s="207"/>
      <c r="CO227" s="207"/>
      <c r="CP227" s="207"/>
      <c r="CQ227" s="207"/>
      <c r="CR227" s="207"/>
      <c r="CS227" s="207"/>
      <c r="CT227" s="207"/>
      <c r="CU227" s="207"/>
      <c r="CV227" s="207"/>
      <c r="CW227" s="207"/>
      <c r="CX227" s="207"/>
      <c r="CY227" s="207"/>
      <c r="CZ227" s="207"/>
      <c r="DA227" s="207"/>
      <c r="DB227" s="207"/>
      <c r="DC227" s="207"/>
      <c r="DD227" s="207"/>
    </row>
    <row r="228">
      <c r="A228" s="204"/>
      <c r="B228" s="205"/>
      <c r="C228" s="204"/>
      <c r="D228" s="206"/>
      <c r="E228" s="207"/>
      <c r="F228" s="207"/>
      <c r="G228" s="207"/>
      <c r="H228" s="208"/>
      <c r="I228" s="208"/>
      <c r="J228" s="208"/>
      <c r="K228" s="208"/>
      <c r="L228" s="208"/>
      <c r="M228" s="208"/>
      <c r="N228" s="208"/>
      <c r="O228" s="208"/>
      <c r="P228" s="208"/>
      <c r="Q228" s="208"/>
      <c r="R228" s="208"/>
      <c r="S228" s="208"/>
      <c r="T228" s="207"/>
      <c r="U228" s="207"/>
      <c r="V228" s="207"/>
      <c r="W228" s="207"/>
      <c r="X228" s="207"/>
      <c r="Y228" s="207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7"/>
      <c r="AO228" s="207"/>
      <c r="AP228" s="207"/>
      <c r="AQ228" s="207"/>
      <c r="AR228" s="207"/>
      <c r="AS228" s="207"/>
      <c r="AT228" s="207"/>
      <c r="AU228" s="207"/>
      <c r="AV228" s="207"/>
      <c r="AW228" s="207"/>
      <c r="AX228" s="207"/>
      <c r="AY228" s="207"/>
      <c r="AZ228" s="207"/>
      <c r="BA228" s="207"/>
      <c r="BB228" s="207"/>
      <c r="BC228" s="207"/>
      <c r="BD228" s="207"/>
      <c r="BE228" s="207"/>
      <c r="BF228" s="207"/>
      <c r="BG228" s="207"/>
      <c r="BH228" s="207"/>
      <c r="BI228" s="207"/>
      <c r="BJ228" s="207"/>
      <c r="BK228" s="207"/>
      <c r="BL228" s="207"/>
      <c r="BM228" s="207"/>
      <c r="BN228" s="207"/>
      <c r="BO228" s="207"/>
      <c r="BP228" s="207"/>
      <c r="BQ228" s="207"/>
      <c r="BR228" s="207"/>
      <c r="BS228" s="207"/>
      <c r="BT228" s="207"/>
      <c r="BU228" s="207"/>
      <c r="BV228" s="207"/>
      <c r="BW228" s="207"/>
      <c r="BX228" s="207"/>
      <c r="BY228" s="207"/>
      <c r="BZ228" s="207"/>
      <c r="CA228" s="207"/>
      <c r="CB228" s="207"/>
      <c r="CC228" s="207"/>
      <c r="CD228" s="207"/>
      <c r="CE228" s="207"/>
      <c r="CF228" s="207"/>
      <c r="CG228" s="207"/>
      <c r="CH228" s="207"/>
      <c r="CI228" s="207"/>
      <c r="CJ228" s="207"/>
      <c r="CK228" s="207"/>
      <c r="CL228" s="207"/>
      <c r="CM228" s="207"/>
      <c r="CN228" s="207"/>
      <c r="CO228" s="207"/>
      <c r="CP228" s="207"/>
      <c r="CQ228" s="207"/>
      <c r="CR228" s="207"/>
      <c r="CS228" s="207"/>
      <c r="CT228" s="207"/>
      <c r="CU228" s="207"/>
      <c r="CV228" s="207"/>
      <c r="CW228" s="207"/>
      <c r="CX228" s="207"/>
      <c r="CY228" s="207"/>
      <c r="CZ228" s="207"/>
      <c r="DA228" s="207"/>
      <c r="DB228" s="207"/>
      <c r="DC228" s="207"/>
      <c r="DD228" s="207"/>
    </row>
    <row r="229">
      <c r="A229" s="204"/>
      <c r="B229" s="205"/>
      <c r="C229" s="204"/>
      <c r="D229" s="206"/>
      <c r="E229" s="207"/>
      <c r="F229" s="207"/>
      <c r="G229" s="207"/>
      <c r="H229" s="208"/>
      <c r="I229" s="208"/>
      <c r="J229" s="208"/>
      <c r="K229" s="208"/>
      <c r="L229" s="208"/>
      <c r="M229" s="208"/>
      <c r="N229" s="208"/>
      <c r="O229" s="208"/>
      <c r="P229" s="208"/>
      <c r="Q229" s="208"/>
      <c r="R229" s="208"/>
      <c r="S229" s="208"/>
      <c r="T229" s="207"/>
      <c r="U229" s="207"/>
      <c r="V229" s="207"/>
      <c r="W229" s="207"/>
      <c r="X229" s="207"/>
      <c r="Y229" s="207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  <c r="AL229" s="209"/>
      <c r="AM229" s="209"/>
      <c r="AN229" s="207"/>
      <c r="AO229" s="207"/>
      <c r="AP229" s="207"/>
      <c r="AQ229" s="207"/>
      <c r="AR229" s="207"/>
      <c r="AS229" s="207"/>
      <c r="AT229" s="207"/>
      <c r="AU229" s="207"/>
      <c r="AV229" s="207"/>
      <c r="AW229" s="207"/>
      <c r="AX229" s="207"/>
      <c r="AY229" s="207"/>
      <c r="AZ229" s="207"/>
      <c r="BA229" s="207"/>
      <c r="BB229" s="207"/>
      <c r="BC229" s="207"/>
      <c r="BD229" s="207"/>
      <c r="BE229" s="207"/>
      <c r="BF229" s="207"/>
      <c r="BG229" s="207"/>
      <c r="BH229" s="207"/>
      <c r="BI229" s="207"/>
      <c r="BJ229" s="207"/>
      <c r="BK229" s="207"/>
      <c r="BL229" s="207"/>
      <c r="BM229" s="207"/>
      <c r="BN229" s="207"/>
      <c r="BO229" s="207"/>
      <c r="BP229" s="207"/>
      <c r="BQ229" s="207"/>
      <c r="BR229" s="207"/>
      <c r="BS229" s="207"/>
      <c r="BT229" s="207"/>
      <c r="BU229" s="207"/>
      <c r="BV229" s="207"/>
      <c r="BW229" s="207"/>
      <c r="BX229" s="207"/>
      <c r="BY229" s="207"/>
      <c r="BZ229" s="207"/>
      <c r="CA229" s="207"/>
      <c r="CB229" s="207"/>
      <c r="CC229" s="207"/>
      <c r="CD229" s="207"/>
      <c r="CE229" s="207"/>
      <c r="CF229" s="207"/>
      <c r="CG229" s="207"/>
      <c r="CH229" s="207"/>
      <c r="CI229" s="207"/>
      <c r="CJ229" s="207"/>
      <c r="CK229" s="207"/>
      <c r="CL229" s="207"/>
      <c r="CM229" s="207"/>
      <c r="CN229" s="207"/>
      <c r="CO229" s="207"/>
      <c r="CP229" s="207"/>
      <c r="CQ229" s="207"/>
      <c r="CR229" s="207"/>
      <c r="CS229" s="207"/>
      <c r="CT229" s="207"/>
      <c r="CU229" s="207"/>
      <c r="CV229" s="207"/>
      <c r="CW229" s="207"/>
      <c r="CX229" s="207"/>
      <c r="CY229" s="207"/>
      <c r="CZ229" s="207"/>
      <c r="DA229" s="207"/>
      <c r="DB229" s="207"/>
      <c r="DC229" s="207"/>
      <c r="DD229" s="207"/>
    </row>
    <row r="230">
      <c r="A230" s="204"/>
      <c r="B230" s="205"/>
      <c r="C230" s="204"/>
      <c r="D230" s="206"/>
      <c r="E230" s="207"/>
      <c r="F230" s="207"/>
      <c r="G230" s="207"/>
      <c r="H230" s="208"/>
      <c r="I230" s="208"/>
      <c r="J230" s="208"/>
      <c r="K230" s="208"/>
      <c r="L230" s="208"/>
      <c r="M230" s="208"/>
      <c r="N230" s="208"/>
      <c r="O230" s="208"/>
      <c r="P230" s="208"/>
      <c r="Q230" s="208"/>
      <c r="R230" s="208"/>
      <c r="S230" s="208"/>
      <c r="T230" s="207"/>
      <c r="U230" s="207"/>
      <c r="V230" s="207"/>
      <c r="W230" s="207"/>
      <c r="X230" s="207"/>
      <c r="Y230" s="207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  <c r="AL230" s="209"/>
      <c r="AM230" s="209"/>
      <c r="AN230" s="207"/>
      <c r="AO230" s="207"/>
      <c r="AP230" s="207"/>
      <c r="AQ230" s="207"/>
      <c r="AR230" s="207"/>
      <c r="AS230" s="207"/>
      <c r="AT230" s="207"/>
      <c r="AU230" s="207"/>
      <c r="AV230" s="207"/>
      <c r="AW230" s="207"/>
      <c r="AX230" s="207"/>
      <c r="AY230" s="207"/>
      <c r="AZ230" s="207"/>
      <c r="BA230" s="207"/>
      <c r="BB230" s="207"/>
      <c r="BC230" s="207"/>
      <c r="BD230" s="207"/>
      <c r="BE230" s="207"/>
      <c r="BF230" s="207"/>
      <c r="BG230" s="207"/>
      <c r="BH230" s="207"/>
      <c r="BI230" s="207"/>
      <c r="BJ230" s="207"/>
      <c r="BK230" s="207"/>
      <c r="BL230" s="207"/>
      <c r="BM230" s="207"/>
      <c r="BN230" s="207"/>
      <c r="BO230" s="207"/>
      <c r="BP230" s="207"/>
      <c r="BQ230" s="207"/>
      <c r="BR230" s="207"/>
      <c r="BS230" s="207"/>
      <c r="BT230" s="207"/>
      <c r="BU230" s="207"/>
      <c r="BV230" s="207"/>
      <c r="BW230" s="207"/>
      <c r="BX230" s="207"/>
      <c r="BY230" s="207"/>
      <c r="BZ230" s="207"/>
      <c r="CA230" s="207"/>
      <c r="CB230" s="207"/>
      <c r="CC230" s="207"/>
      <c r="CD230" s="207"/>
      <c r="CE230" s="207"/>
      <c r="CF230" s="207"/>
      <c r="CG230" s="207"/>
      <c r="CH230" s="207"/>
      <c r="CI230" s="207"/>
      <c r="CJ230" s="207"/>
      <c r="CK230" s="207"/>
      <c r="CL230" s="207"/>
      <c r="CM230" s="207"/>
      <c r="CN230" s="207"/>
      <c r="CO230" s="207"/>
      <c r="CP230" s="207"/>
      <c r="CQ230" s="207"/>
      <c r="CR230" s="207"/>
      <c r="CS230" s="207"/>
      <c r="CT230" s="207"/>
      <c r="CU230" s="207"/>
      <c r="CV230" s="207"/>
      <c r="CW230" s="207"/>
      <c r="CX230" s="207"/>
      <c r="CY230" s="207"/>
      <c r="CZ230" s="207"/>
      <c r="DA230" s="207"/>
      <c r="DB230" s="207"/>
      <c r="DC230" s="207"/>
      <c r="DD230" s="207"/>
    </row>
    <row r="231">
      <c r="A231" s="204"/>
      <c r="B231" s="205"/>
      <c r="C231" s="204"/>
      <c r="D231" s="206"/>
      <c r="E231" s="207"/>
      <c r="F231" s="207"/>
      <c r="G231" s="207"/>
      <c r="H231" s="208"/>
      <c r="I231" s="208"/>
      <c r="J231" s="208"/>
      <c r="K231" s="208"/>
      <c r="L231" s="208"/>
      <c r="M231" s="208"/>
      <c r="N231" s="208"/>
      <c r="O231" s="208"/>
      <c r="P231" s="208"/>
      <c r="Q231" s="208"/>
      <c r="R231" s="208"/>
      <c r="S231" s="208"/>
      <c r="T231" s="207"/>
      <c r="U231" s="207"/>
      <c r="V231" s="207"/>
      <c r="W231" s="207"/>
      <c r="X231" s="207"/>
      <c r="Y231" s="207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09"/>
      <c r="AK231" s="209"/>
      <c r="AL231" s="209"/>
      <c r="AM231" s="209"/>
      <c r="AN231" s="207"/>
      <c r="AO231" s="207"/>
      <c r="AP231" s="207"/>
      <c r="AQ231" s="207"/>
      <c r="AR231" s="207"/>
      <c r="AS231" s="207"/>
      <c r="AT231" s="207"/>
      <c r="AU231" s="207"/>
      <c r="AV231" s="207"/>
      <c r="AW231" s="207"/>
      <c r="AX231" s="207"/>
      <c r="AY231" s="207"/>
      <c r="AZ231" s="207"/>
      <c r="BA231" s="207"/>
      <c r="BB231" s="207"/>
      <c r="BC231" s="207"/>
      <c r="BD231" s="207"/>
      <c r="BE231" s="207"/>
      <c r="BF231" s="207"/>
      <c r="BG231" s="207"/>
      <c r="BH231" s="207"/>
      <c r="BI231" s="207"/>
      <c r="BJ231" s="207"/>
      <c r="BK231" s="207"/>
      <c r="BL231" s="207"/>
      <c r="BM231" s="207"/>
      <c r="BN231" s="207"/>
      <c r="BO231" s="207"/>
      <c r="BP231" s="207"/>
      <c r="BQ231" s="207"/>
      <c r="BR231" s="207"/>
      <c r="BS231" s="207"/>
      <c r="BT231" s="207"/>
      <c r="BU231" s="207"/>
      <c r="BV231" s="207"/>
      <c r="BW231" s="207"/>
      <c r="BX231" s="207"/>
      <c r="BY231" s="207"/>
      <c r="BZ231" s="207"/>
      <c r="CA231" s="207"/>
      <c r="CB231" s="207"/>
      <c r="CC231" s="207"/>
      <c r="CD231" s="207"/>
      <c r="CE231" s="207"/>
      <c r="CF231" s="207"/>
      <c r="CG231" s="207"/>
      <c r="CH231" s="207"/>
      <c r="CI231" s="207"/>
      <c r="CJ231" s="207"/>
      <c r="CK231" s="207"/>
      <c r="CL231" s="207"/>
      <c r="CM231" s="207"/>
      <c r="CN231" s="207"/>
      <c r="CO231" s="207"/>
      <c r="CP231" s="207"/>
      <c r="CQ231" s="207"/>
      <c r="CR231" s="207"/>
      <c r="CS231" s="207"/>
      <c r="CT231" s="207"/>
      <c r="CU231" s="207"/>
      <c r="CV231" s="207"/>
      <c r="CW231" s="207"/>
      <c r="CX231" s="207"/>
      <c r="CY231" s="207"/>
      <c r="CZ231" s="207"/>
      <c r="DA231" s="207"/>
      <c r="DB231" s="207"/>
      <c r="DC231" s="207"/>
      <c r="DD231" s="207"/>
    </row>
    <row r="232">
      <c r="A232" s="204"/>
      <c r="B232" s="205"/>
      <c r="C232" s="204"/>
      <c r="D232" s="206"/>
      <c r="E232" s="207"/>
      <c r="F232" s="207"/>
      <c r="G232" s="207"/>
      <c r="H232" s="208"/>
      <c r="I232" s="208"/>
      <c r="J232" s="208"/>
      <c r="K232" s="208"/>
      <c r="L232" s="208"/>
      <c r="M232" s="208"/>
      <c r="N232" s="208"/>
      <c r="O232" s="208"/>
      <c r="P232" s="208"/>
      <c r="Q232" s="208"/>
      <c r="R232" s="208"/>
      <c r="S232" s="208"/>
      <c r="T232" s="207"/>
      <c r="U232" s="207"/>
      <c r="V232" s="207"/>
      <c r="W232" s="207"/>
      <c r="X232" s="207"/>
      <c r="Y232" s="207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  <c r="AL232" s="209"/>
      <c r="AM232" s="209"/>
      <c r="AN232" s="207"/>
      <c r="AO232" s="207"/>
      <c r="AP232" s="207"/>
      <c r="AQ232" s="207"/>
      <c r="AR232" s="207"/>
      <c r="AS232" s="207"/>
      <c r="AT232" s="207"/>
      <c r="AU232" s="207"/>
      <c r="AV232" s="207"/>
      <c r="AW232" s="207"/>
      <c r="AX232" s="207"/>
      <c r="AY232" s="207"/>
      <c r="AZ232" s="207"/>
      <c r="BA232" s="207"/>
      <c r="BB232" s="207"/>
      <c r="BC232" s="207"/>
      <c r="BD232" s="207"/>
      <c r="BE232" s="207"/>
      <c r="BF232" s="207"/>
      <c r="BG232" s="207"/>
      <c r="BH232" s="207"/>
      <c r="BI232" s="207"/>
      <c r="BJ232" s="207"/>
      <c r="BK232" s="207"/>
      <c r="BL232" s="207"/>
      <c r="BM232" s="207"/>
      <c r="BN232" s="207"/>
      <c r="BO232" s="207"/>
      <c r="BP232" s="207"/>
      <c r="BQ232" s="207"/>
      <c r="BR232" s="207"/>
      <c r="BS232" s="207"/>
      <c r="BT232" s="207"/>
      <c r="BU232" s="207"/>
      <c r="BV232" s="207"/>
      <c r="BW232" s="207"/>
      <c r="BX232" s="207"/>
      <c r="BY232" s="207"/>
      <c r="BZ232" s="207"/>
      <c r="CA232" s="207"/>
      <c r="CB232" s="207"/>
      <c r="CC232" s="207"/>
      <c r="CD232" s="207"/>
      <c r="CE232" s="207"/>
      <c r="CF232" s="207"/>
      <c r="CG232" s="207"/>
      <c r="CH232" s="207"/>
      <c r="CI232" s="207"/>
      <c r="CJ232" s="207"/>
      <c r="CK232" s="207"/>
      <c r="CL232" s="207"/>
      <c r="CM232" s="207"/>
      <c r="CN232" s="207"/>
      <c r="CO232" s="207"/>
      <c r="CP232" s="207"/>
      <c r="CQ232" s="207"/>
      <c r="CR232" s="207"/>
      <c r="CS232" s="207"/>
      <c r="CT232" s="207"/>
      <c r="CU232" s="207"/>
      <c r="CV232" s="207"/>
      <c r="CW232" s="207"/>
      <c r="CX232" s="207"/>
      <c r="CY232" s="207"/>
      <c r="CZ232" s="207"/>
      <c r="DA232" s="207"/>
      <c r="DB232" s="207"/>
      <c r="DC232" s="207"/>
      <c r="DD232" s="207"/>
    </row>
    <row r="233">
      <c r="A233" s="204"/>
      <c r="B233" s="205"/>
      <c r="C233" s="204"/>
      <c r="D233" s="206"/>
      <c r="E233" s="207"/>
      <c r="F233" s="207"/>
      <c r="G233" s="207"/>
      <c r="H233" s="208"/>
      <c r="I233" s="208"/>
      <c r="J233" s="208"/>
      <c r="K233" s="208"/>
      <c r="L233" s="208"/>
      <c r="M233" s="208"/>
      <c r="N233" s="208"/>
      <c r="O233" s="208"/>
      <c r="P233" s="208"/>
      <c r="Q233" s="208"/>
      <c r="R233" s="208"/>
      <c r="S233" s="208"/>
      <c r="T233" s="207"/>
      <c r="U233" s="207"/>
      <c r="V233" s="207"/>
      <c r="W233" s="207"/>
      <c r="X233" s="207"/>
      <c r="Y233" s="207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7"/>
      <c r="AO233" s="207"/>
      <c r="AP233" s="207"/>
      <c r="AQ233" s="207"/>
      <c r="AR233" s="207"/>
      <c r="AS233" s="207"/>
      <c r="AT233" s="207"/>
      <c r="AU233" s="207"/>
      <c r="AV233" s="207"/>
      <c r="AW233" s="207"/>
      <c r="AX233" s="207"/>
      <c r="AY233" s="207"/>
      <c r="AZ233" s="207"/>
      <c r="BA233" s="207"/>
      <c r="BB233" s="207"/>
      <c r="BC233" s="207"/>
      <c r="BD233" s="207"/>
      <c r="BE233" s="207"/>
      <c r="BF233" s="207"/>
      <c r="BG233" s="207"/>
      <c r="BH233" s="207"/>
      <c r="BI233" s="207"/>
      <c r="BJ233" s="207"/>
      <c r="BK233" s="207"/>
      <c r="BL233" s="207"/>
      <c r="BM233" s="207"/>
      <c r="BN233" s="207"/>
      <c r="BO233" s="207"/>
      <c r="BP233" s="207"/>
      <c r="BQ233" s="207"/>
      <c r="BR233" s="207"/>
      <c r="BS233" s="207"/>
      <c r="BT233" s="207"/>
      <c r="BU233" s="207"/>
      <c r="BV233" s="207"/>
      <c r="BW233" s="207"/>
      <c r="BX233" s="207"/>
      <c r="BY233" s="207"/>
      <c r="BZ233" s="207"/>
      <c r="CA233" s="207"/>
      <c r="CB233" s="207"/>
      <c r="CC233" s="207"/>
      <c r="CD233" s="207"/>
      <c r="CE233" s="207"/>
      <c r="CF233" s="207"/>
      <c r="CG233" s="207"/>
      <c r="CH233" s="207"/>
      <c r="CI233" s="207"/>
      <c r="CJ233" s="207"/>
      <c r="CK233" s="207"/>
      <c r="CL233" s="207"/>
      <c r="CM233" s="207"/>
      <c r="CN233" s="207"/>
      <c r="CO233" s="207"/>
      <c r="CP233" s="207"/>
      <c r="CQ233" s="207"/>
      <c r="CR233" s="207"/>
      <c r="CS233" s="207"/>
      <c r="CT233" s="207"/>
      <c r="CU233" s="207"/>
      <c r="CV233" s="207"/>
      <c r="CW233" s="207"/>
      <c r="CX233" s="207"/>
      <c r="CY233" s="207"/>
      <c r="CZ233" s="207"/>
      <c r="DA233" s="207"/>
      <c r="DB233" s="207"/>
      <c r="DC233" s="207"/>
      <c r="DD233" s="207"/>
    </row>
    <row r="234">
      <c r="A234" s="204"/>
      <c r="B234" s="205"/>
      <c r="C234" s="204"/>
      <c r="D234" s="206"/>
      <c r="E234" s="207"/>
      <c r="F234" s="207"/>
      <c r="G234" s="207"/>
      <c r="H234" s="208"/>
      <c r="I234" s="208"/>
      <c r="J234" s="208"/>
      <c r="K234" s="208"/>
      <c r="L234" s="208"/>
      <c r="M234" s="208"/>
      <c r="N234" s="208"/>
      <c r="O234" s="208"/>
      <c r="P234" s="208"/>
      <c r="Q234" s="208"/>
      <c r="R234" s="208"/>
      <c r="S234" s="208"/>
      <c r="T234" s="207"/>
      <c r="U234" s="207"/>
      <c r="V234" s="207"/>
      <c r="W234" s="207"/>
      <c r="X234" s="207"/>
      <c r="Y234" s="207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  <c r="AK234" s="209"/>
      <c r="AL234" s="209"/>
      <c r="AM234" s="209"/>
      <c r="AN234" s="207"/>
      <c r="AO234" s="207"/>
      <c r="AP234" s="207"/>
      <c r="AQ234" s="207"/>
      <c r="AR234" s="207"/>
      <c r="AS234" s="207"/>
      <c r="AT234" s="207"/>
      <c r="AU234" s="207"/>
      <c r="AV234" s="207"/>
      <c r="AW234" s="207"/>
      <c r="AX234" s="207"/>
      <c r="AY234" s="207"/>
      <c r="AZ234" s="207"/>
      <c r="BA234" s="207"/>
      <c r="BB234" s="207"/>
      <c r="BC234" s="207"/>
      <c r="BD234" s="207"/>
      <c r="BE234" s="207"/>
      <c r="BF234" s="207"/>
      <c r="BG234" s="207"/>
      <c r="BH234" s="207"/>
      <c r="BI234" s="207"/>
      <c r="BJ234" s="207"/>
      <c r="BK234" s="207"/>
      <c r="BL234" s="207"/>
      <c r="BM234" s="207"/>
      <c r="BN234" s="207"/>
      <c r="BO234" s="207"/>
      <c r="BP234" s="207"/>
      <c r="BQ234" s="207"/>
      <c r="BR234" s="207"/>
      <c r="BS234" s="207"/>
      <c r="BT234" s="207"/>
      <c r="BU234" s="207"/>
      <c r="BV234" s="207"/>
      <c r="BW234" s="207"/>
      <c r="BX234" s="207"/>
      <c r="BY234" s="207"/>
      <c r="BZ234" s="207"/>
      <c r="CA234" s="207"/>
      <c r="CB234" s="207"/>
      <c r="CC234" s="207"/>
      <c r="CD234" s="207"/>
      <c r="CE234" s="207"/>
      <c r="CF234" s="207"/>
      <c r="CG234" s="207"/>
      <c r="CH234" s="207"/>
      <c r="CI234" s="207"/>
      <c r="CJ234" s="207"/>
      <c r="CK234" s="207"/>
      <c r="CL234" s="207"/>
      <c r="CM234" s="207"/>
      <c r="CN234" s="207"/>
      <c r="CO234" s="207"/>
      <c r="CP234" s="207"/>
      <c r="CQ234" s="207"/>
      <c r="CR234" s="207"/>
      <c r="CS234" s="207"/>
      <c r="CT234" s="207"/>
      <c r="CU234" s="207"/>
      <c r="CV234" s="207"/>
      <c r="CW234" s="207"/>
      <c r="CX234" s="207"/>
      <c r="CY234" s="207"/>
      <c r="CZ234" s="207"/>
      <c r="DA234" s="207"/>
      <c r="DB234" s="207"/>
      <c r="DC234" s="207"/>
      <c r="DD234" s="207"/>
    </row>
    <row r="235">
      <c r="A235" s="204"/>
      <c r="B235" s="205"/>
      <c r="C235" s="204"/>
      <c r="D235" s="206"/>
      <c r="E235" s="207"/>
      <c r="F235" s="207"/>
      <c r="G235" s="207"/>
      <c r="H235" s="208"/>
      <c r="I235" s="208"/>
      <c r="J235" s="208"/>
      <c r="K235" s="208"/>
      <c r="L235" s="208"/>
      <c r="M235" s="208"/>
      <c r="N235" s="208"/>
      <c r="O235" s="208"/>
      <c r="P235" s="208"/>
      <c r="Q235" s="208"/>
      <c r="R235" s="208"/>
      <c r="S235" s="208"/>
      <c r="T235" s="207"/>
      <c r="U235" s="207"/>
      <c r="V235" s="207"/>
      <c r="W235" s="207"/>
      <c r="X235" s="207"/>
      <c r="Y235" s="207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  <c r="AK235" s="209"/>
      <c r="AL235" s="209"/>
      <c r="AM235" s="209"/>
      <c r="AN235" s="207"/>
      <c r="AO235" s="207"/>
      <c r="AP235" s="207"/>
      <c r="AQ235" s="207"/>
      <c r="AR235" s="207"/>
      <c r="AS235" s="207"/>
      <c r="AT235" s="207"/>
      <c r="AU235" s="207"/>
      <c r="AV235" s="207"/>
      <c r="AW235" s="207"/>
      <c r="AX235" s="207"/>
      <c r="AY235" s="207"/>
      <c r="AZ235" s="207"/>
      <c r="BA235" s="207"/>
      <c r="BB235" s="207"/>
      <c r="BC235" s="207"/>
      <c r="BD235" s="207"/>
      <c r="BE235" s="207"/>
      <c r="BF235" s="207"/>
      <c r="BG235" s="207"/>
      <c r="BH235" s="207"/>
      <c r="BI235" s="207"/>
      <c r="BJ235" s="207"/>
      <c r="BK235" s="207"/>
      <c r="BL235" s="207"/>
      <c r="BM235" s="207"/>
      <c r="BN235" s="207"/>
      <c r="BO235" s="207"/>
      <c r="BP235" s="207"/>
      <c r="BQ235" s="207"/>
      <c r="BR235" s="207"/>
      <c r="BS235" s="207"/>
      <c r="BT235" s="207"/>
      <c r="BU235" s="207"/>
      <c r="BV235" s="207"/>
      <c r="BW235" s="207"/>
      <c r="BX235" s="207"/>
      <c r="BY235" s="207"/>
      <c r="BZ235" s="207"/>
      <c r="CA235" s="207"/>
      <c r="CB235" s="207"/>
      <c r="CC235" s="207"/>
      <c r="CD235" s="207"/>
      <c r="CE235" s="207"/>
      <c r="CF235" s="207"/>
      <c r="CG235" s="207"/>
      <c r="CH235" s="207"/>
      <c r="CI235" s="207"/>
      <c r="CJ235" s="207"/>
      <c r="CK235" s="207"/>
      <c r="CL235" s="207"/>
      <c r="CM235" s="207"/>
      <c r="CN235" s="207"/>
      <c r="CO235" s="207"/>
      <c r="CP235" s="207"/>
      <c r="CQ235" s="207"/>
      <c r="CR235" s="207"/>
      <c r="CS235" s="207"/>
      <c r="CT235" s="207"/>
      <c r="CU235" s="207"/>
      <c r="CV235" s="207"/>
      <c r="CW235" s="207"/>
      <c r="CX235" s="207"/>
      <c r="CY235" s="207"/>
      <c r="CZ235" s="207"/>
      <c r="DA235" s="207"/>
      <c r="DB235" s="207"/>
      <c r="DC235" s="207"/>
      <c r="DD235" s="207"/>
    </row>
    <row r="236">
      <c r="A236" s="204"/>
      <c r="B236" s="205"/>
      <c r="C236" s="204"/>
      <c r="D236" s="206"/>
      <c r="E236" s="207"/>
      <c r="F236" s="207"/>
      <c r="G236" s="207"/>
      <c r="H236" s="208"/>
      <c r="I236" s="208"/>
      <c r="J236" s="208"/>
      <c r="K236" s="208"/>
      <c r="L236" s="208"/>
      <c r="M236" s="208"/>
      <c r="N236" s="208"/>
      <c r="O236" s="208"/>
      <c r="P236" s="208"/>
      <c r="Q236" s="208"/>
      <c r="R236" s="208"/>
      <c r="S236" s="208"/>
      <c r="T236" s="207"/>
      <c r="U236" s="207"/>
      <c r="V236" s="207"/>
      <c r="W236" s="207"/>
      <c r="X236" s="207"/>
      <c r="Y236" s="207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  <c r="AK236" s="209"/>
      <c r="AL236" s="209"/>
      <c r="AM236" s="209"/>
      <c r="AN236" s="207"/>
      <c r="AO236" s="207"/>
      <c r="AP236" s="207"/>
      <c r="AQ236" s="207"/>
      <c r="AR236" s="207"/>
      <c r="AS236" s="207"/>
      <c r="AT236" s="207"/>
      <c r="AU236" s="207"/>
      <c r="AV236" s="207"/>
      <c r="AW236" s="207"/>
      <c r="AX236" s="207"/>
      <c r="AY236" s="207"/>
      <c r="AZ236" s="207"/>
      <c r="BA236" s="207"/>
      <c r="BB236" s="207"/>
      <c r="BC236" s="207"/>
      <c r="BD236" s="207"/>
      <c r="BE236" s="207"/>
      <c r="BF236" s="207"/>
      <c r="BG236" s="207"/>
      <c r="BH236" s="207"/>
      <c r="BI236" s="207"/>
      <c r="BJ236" s="207"/>
      <c r="BK236" s="207"/>
      <c r="BL236" s="207"/>
      <c r="BM236" s="207"/>
      <c r="BN236" s="207"/>
      <c r="BO236" s="207"/>
      <c r="BP236" s="207"/>
      <c r="BQ236" s="207"/>
      <c r="BR236" s="207"/>
      <c r="BS236" s="207"/>
      <c r="BT236" s="207"/>
      <c r="BU236" s="207"/>
      <c r="BV236" s="207"/>
      <c r="BW236" s="207"/>
      <c r="BX236" s="207"/>
      <c r="BY236" s="207"/>
      <c r="BZ236" s="207"/>
      <c r="CA236" s="207"/>
      <c r="CB236" s="207"/>
      <c r="CC236" s="207"/>
      <c r="CD236" s="207"/>
      <c r="CE236" s="207"/>
      <c r="CF236" s="207"/>
      <c r="CG236" s="207"/>
      <c r="CH236" s="207"/>
      <c r="CI236" s="207"/>
      <c r="CJ236" s="207"/>
      <c r="CK236" s="207"/>
      <c r="CL236" s="207"/>
      <c r="CM236" s="207"/>
      <c r="CN236" s="207"/>
      <c r="CO236" s="207"/>
      <c r="CP236" s="207"/>
      <c r="CQ236" s="207"/>
      <c r="CR236" s="207"/>
      <c r="CS236" s="207"/>
      <c r="CT236" s="207"/>
      <c r="CU236" s="207"/>
      <c r="CV236" s="207"/>
      <c r="CW236" s="207"/>
      <c r="CX236" s="207"/>
      <c r="CY236" s="207"/>
      <c r="CZ236" s="207"/>
      <c r="DA236" s="207"/>
      <c r="DB236" s="207"/>
      <c r="DC236" s="207"/>
      <c r="DD236" s="207"/>
    </row>
    <row r="237">
      <c r="A237" s="204"/>
      <c r="B237" s="205"/>
      <c r="C237" s="204"/>
      <c r="D237" s="206"/>
      <c r="E237" s="207"/>
      <c r="F237" s="207"/>
      <c r="G237" s="207"/>
      <c r="H237" s="208"/>
      <c r="I237" s="208"/>
      <c r="J237" s="208"/>
      <c r="K237" s="208"/>
      <c r="L237" s="208"/>
      <c r="M237" s="208"/>
      <c r="N237" s="208"/>
      <c r="O237" s="208"/>
      <c r="P237" s="208"/>
      <c r="Q237" s="208"/>
      <c r="R237" s="208"/>
      <c r="S237" s="208"/>
      <c r="T237" s="207"/>
      <c r="U237" s="207"/>
      <c r="V237" s="207"/>
      <c r="W237" s="207"/>
      <c r="X237" s="207"/>
      <c r="Y237" s="207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09"/>
      <c r="AK237" s="209"/>
      <c r="AL237" s="209"/>
      <c r="AM237" s="209"/>
      <c r="AN237" s="207"/>
      <c r="AO237" s="207"/>
      <c r="AP237" s="207"/>
      <c r="AQ237" s="207"/>
      <c r="AR237" s="207"/>
      <c r="AS237" s="207"/>
      <c r="AT237" s="207"/>
      <c r="AU237" s="207"/>
      <c r="AV237" s="207"/>
      <c r="AW237" s="207"/>
      <c r="AX237" s="207"/>
      <c r="AY237" s="207"/>
      <c r="AZ237" s="207"/>
      <c r="BA237" s="207"/>
      <c r="BB237" s="207"/>
      <c r="BC237" s="207"/>
      <c r="BD237" s="207"/>
      <c r="BE237" s="207"/>
      <c r="BF237" s="207"/>
      <c r="BG237" s="207"/>
      <c r="BH237" s="207"/>
      <c r="BI237" s="207"/>
      <c r="BJ237" s="207"/>
      <c r="BK237" s="207"/>
      <c r="BL237" s="207"/>
      <c r="BM237" s="207"/>
      <c r="BN237" s="207"/>
      <c r="BO237" s="207"/>
      <c r="BP237" s="207"/>
      <c r="BQ237" s="207"/>
      <c r="BR237" s="207"/>
      <c r="BS237" s="207"/>
      <c r="BT237" s="207"/>
      <c r="BU237" s="207"/>
      <c r="BV237" s="207"/>
      <c r="BW237" s="207"/>
      <c r="BX237" s="207"/>
      <c r="BY237" s="207"/>
      <c r="BZ237" s="207"/>
      <c r="CA237" s="207"/>
      <c r="CB237" s="207"/>
      <c r="CC237" s="207"/>
      <c r="CD237" s="207"/>
      <c r="CE237" s="207"/>
      <c r="CF237" s="207"/>
      <c r="CG237" s="207"/>
      <c r="CH237" s="207"/>
      <c r="CI237" s="207"/>
      <c r="CJ237" s="207"/>
      <c r="CK237" s="207"/>
      <c r="CL237" s="207"/>
      <c r="CM237" s="207"/>
      <c r="CN237" s="207"/>
      <c r="CO237" s="207"/>
      <c r="CP237" s="207"/>
      <c r="CQ237" s="207"/>
      <c r="CR237" s="207"/>
      <c r="CS237" s="207"/>
      <c r="CT237" s="207"/>
      <c r="CU237" s="207"/>
      <c r="CV237" s="207"/>
      <c r="CW237" s="207"/>
      <c r="CX237" s="207"/>
      <c r="CY237" s="207"/>
      <c r="CZ237" s="207"/>
      <c r="DA237" s="207"/>
      <c r="DB237" s="207"/>
      <c r="DC237" s="207"/>
      <c r="DD237" s="207"/>
    </row>
    <row r="238">
      <c r="A238" s="204"/>
      <c r="B238" s="205"/>
      <c r="C238" s="204"/>
      <c r="D238" s="206"/>
      <c r="E238" s="207"/>
      <c r="F238" s="207"/>
      <c r="G238" s="207"/>
      <c r="H238" s="208"/>
      <c r="I238" s="208"/>
      <c r="J238" s="208"/>
      <c r="K238" s="208"/>
      <c r="L238" s="208"/>
      <c r="M238" s="208"/>
      <c r="N238" s="208"/>
      <c r="O238" s="208"/>
      <c r="P238" s="208"/>
      <c r="Q238" s="208"/>
      <c r="R238" s="208"/>
      <c r="S238" s="208"/>
      <c r="T238" s="207"/>
      <c r="U238" s="207"/>
      <c r="V238" s="207"/>
      <c r="W238" s="207"/>
      <c r="X238" s="207"/>
      <c r="Y238" s="207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  <c r="AK238" s="209"/>
      <c r="AL238" s="209"/>
      <c r="AM238" s="209"/>
      <c r="AN238" s="207"/>
      <c r="AO238" s="207"/>
      <c r="AP238" s="207"/>
      <c r="AQ238" s="207"/>
      <c r="AR238" s="207"/>
      <c r="AS238" s="207"/>
      <c r="AT238" s="207"/>
      <c r="AU238" s="207"/>
      <c r="AV238" s="207"/>
      <c r="AW238" s="207"/>
      <c r="AX238" s="207"/>
      <c r="AY238" s="207"/>
      <c r="AZ238" s="207"/>
      <c r="BA238" s="207"/>
      <c r="BB238" s="207"/>
      <c r="BC238" s="207"/>
      <c r="BD238" s="207"/>
      <c r="BE238" s="207"/>
      <c r="BF238" s="207"/>
      <c r="BG238" s="207"/>
      <c r="BH238" s="207"/>
      <c r="BI238" s="207"/>
      <c r="BJ238" s="207"/>
      <c r="BK238" s="207"/>
      <c r="BL238" s="207"/>
      <c r="BM238" s="207"/>
      <c r="BN238" s="207"/>
      <c r="BO238" s="207"/>
      <c r="BP238" s="207"/>
      <c r="BQ238" s="207"/>
      <c r="BR238" s="207"/>
      <c r="BS238" s="207"/>
      <c r="BT238" s="207"/>
      <c r="BU238" s="207"/>
      <c r="BV238" s="207"/>
      <c r="BW238" s="207"/>
      <c r="BX238" s="207"/>
      <c r="BY238" s="207"/>
      <c r="BZ238" s="207"/>
      <c r="CA238" s="207"/>
      <c r="CB238" s="207"/>
      <c r="CC238" s="207"/>
      <c r="CD238" s="207"/>
      <c r="CE238" s="207"/>
      <c r="CF238" s="207"/>
      <c r="CG238" s="207"/>
      <c r="CH238" s="207"/>
      <c r="CI238" s="207"/>
      <c r="CJ238" s="207"/>
      <c r="CK238" s="207"/>
      <c r="CL238" s="207"/>
      <c r="CM238" s="207"/>
      <c r="CN238" s="207"/>
      <c r="CO238" s="207"/>
      <c r="CP238" s="207"/>
      <c r="CQ238" s="207"/>
      <c r="CR238" s="207"/>
      <c r="CS238" s="207"/>
      <c r="CT238" s="207"/>
      <c r="CU238" s="207"/>
      <c r="CV238" s="207"/>
      <c r="CW238" s="207"/>
      <c r="CX238" s="207"/>
      <c r="CY238" s="207"/>
      <c r="CZ238" s="207"/>
      <c r="DA238" s="207"/>
      <c r="DB238" s="207"/>
      <c r="DC238" s="207"/>
      <c r="DD238" s="207"/>
    </row>
    <row r="239">
      <c r="A239" s="204"/>
      <c r="B239" s="205"/>
      <c r="C239" s="204"/>
      <c r="D239" s="206"/>
      <c r="E239" s="207"/>
      <c r="F239" s="207"/>
      <c r="G239" s="207"/>
      <c r="H239" s="208"/>
      <c r="I239" s="208"/>
      <c r="J239" s="208"/>
      <c r="K239" s="208"/>
      <c r="L239" s="208"/>
      <c r="M239" s="208"/>
      <c r="N239" s="208"/>
      <c r="O239" s="208"/>
      <c r="P239" s="208"/>
      <c r="Q239" s="208"/>
      <c r="R239" s="208"/>
      <c r="S239" s="208"/>
      <c r="T239" s="207"/>
      <c r="U239" s="207"/>
      <c r="V239" s="207"/>
      <c r="W239" s="207"/>
      <c r="X239" s="207"/>
      <c r="Y239" s="207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  <c r="AK239" s="209"/>
      <c r="AL239" s="209"/>
      <c r="AM239" s="209"/>
      <c r="AN239" s="207"/>
      <c r="AO239" s="207"/>
      <c r="AP239" s="207"/>
      <c r="AQ239" s="207"/>
      <c r="AR239" s="207"/>
      <c r="AS239" s="207"/>
      <c r="AT239" s="207"/>
      <c r="AU239" s="207"/>
      <c r="AV239" s="207"/>
      <c r="AW239" s="207"/>
      <c r="AX239" s="207"/>
      <c r="AY239" s="207"/>
      <c r="AZ239" s="207"/>
      <c r="BA239" s="207"/>
      <c r="BB239" s="207"/>
      <c r="BC239" s="207"/>
      <c r="BD239" s="207"/>
      <c r="BE239" s="207"/>
      <c r="BF239" s="207"/>
      <c r="BG239" s="207"/>
      <c r="BH239" s="207"/>
      <c r="BI239" s="207"/>
      <c r="BJ239" s="207"/>
      <c r="BK239" s="207"/>
      <c r="BL239" s="207"/>
      <c r="BM239" s="207"/>
      <c r="BN239" s="207"/>
      <c r="BO239" s="207"/>
      <c r="BP239" s="207"/>
      <c r="BQ239" s="207"/>
      <c r="BR239" s="207"/>
      <c r="BS239" s="207"/>
      <c r="BT239" s="207"/>
      <c r="BU239" s="207"/>
      <c r="BV239" s="207"/>
      <c r="BW239" s="207"/>
      <c r="BX239" s="207"/>
      <c r="BY239" s="207"/>
      <c r="BZ239" s="207"/>
      <c r="CA239" s="207"/>
      <c r="CB239" s="207"/>
      <c r="CC239" s="207"/>
      <c r="CD239" s="207"/>
      <c r="CE239" s="207"/>
      <c r="CF239" s="207"/>
      <c r="CG239" s="207"/>
      <c r="CH239" s="207"/>
      <c r="CI239" s="207"/>
      <c r="CJ239" s="207"/>
      <c r="CK239" s="207"/>
      <c r="CL239" s="207"/>
      <c r="CM239" s="207"/>
      <c r="CN239" s="207"/>
      <c r="CO239" s="207"/>
      <c r="CP239" s="207"/>
      <c r="CQ239" s="207"/>
      <c r="CR239" s="207"/>
      <c r="CS239" s="207"/>
      <c r="CT239" s="207"/>
      <c r="CU239" s="207"/>
      <c r="CV239" s="207"/>
      <c r="CW239" s="207"/>
      <c r="CX239" s="207"/>
      <c r="CY239" s="207"/>
      <c r="CZ239" s="207"/>
      <c r="DA239" s="207"/>
      <c r="DB239" s="207"/>
      <c r="DC239" s="207"/>
      <c r="DD239" s="207"/>
    </row>
    <row r="240">
      <c r="A240" s="204"/>
      <c r="B240" s="205"/>
      <c r="C240" s="204"/>
      <c r="D240" s="206"/>
      <c r="E240" s="207"/>
      <c r="F240" s="207"/>
      <c r="G240" s="207"/>
      <c r="H240" s="208"/>
      <c r="I240" s="208"/>
      <c r="J240" s="208"/>
      <c r="K240" s="208"/>
      <c r="L240" s="208"/>
      <c r="M240" s="208"/>
      <c r="N240" s="208"/>
      <c r="O240" s="208"/>
      <c r="P240" s="208"/>
      <c r="Q240" s="208"/>
      <c r="R240" s="208"/>
      <c r="S240" s="208"/>
      <c r="T240" s="207"/>
      <c r="U240" s="207"/>
      <c r="V240" s="207"/>
      <c r="W240" s="207"/>
      <c r="X240" s="207"/>
      <c r="Y240" s="207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  <c r="AK240" s="209"/>
      <c r="AL240" s="209"/>
      <c r="AM240" s="209"/>
      <c r="AN240" s="207"/>
      <c r="AO240" s="207"/>
      <c r="AP240" s="207"/>
      <c r="AQ240" s="207"/>
      <c r="AR240" s="207"/>
      <c r="AS240" s="207"/>
      <c r="AT240" s="207"/>
      <c r="AU240" s="207"/>
      <c r="AV240" s="207"/>
      <c r="AW240" s="207"/>
      <c r="AX240" s="207"/>
      <c r="AY240" s="207"/>
      <c r="AZ240" s="207"/>
      <c r="BA240" s="207"/>
      <c r="BB240" s="207"/>
      <c r="BC240" s="207"/>
      <c r="BD240" s="207"/>
      <c r="BE240" s="207"/>
      <c r="BF240" s="207"/>
      <c r="BG240" s="207"/>
      <c r="BH240" s="207"/>
      <c r="BI240" s="207"/>
      <c r="BJ240" s="207"/>
      <c r="BK240" s="207"/>
      <c r="BL240" s="207"/>
      <c r="BM240" s="207"/>
      <c r="BN240" s="207"/>
      <c r="BO240" s="207"/>
      <c r="BP240" s="207"/>
      <c r="BQ240" s="207"/>
      <c r="BR240" s="207"/>
      <c r="BS240" s="207"/>
      <c r="BT240" s="207"/>
      <c r="BU240" s="207"/>
      <c r="BV240" s="207"/>
      <c r="BW240" s="207"/>
      <c r="BX240" s="207"/>
      <c r="BY240" s="207"/>
      <c r="BZ240" s="207"/>
      <c r="CA240" s="207"/>
      <c r="CB240" s="207"/>
      <c r="CC240" s="207"/>
      <c r="CD240" s="207"/>
      <c r="CE240" s="207"/>
      <c r="CF240" s="207"/>
      <c r="CG240" s="207"/>
      <c r="CH240" s="207"/>
      <c r="CI240" s="207"/>
      <c r="CJ240" s="207"/>
      <c r="CK240" s="207"/>
      <c r="CL240" s="207"/>
      <c r="CM240" s="207"/>
      <c r="CN240" s="207"/>
      <c r="CO240" s="207"/>
      <c r="CP240" s="207"/>
      <c r="CQ240" s="207"/>
      <c r="CR240" s="207"/>
      <c r="CS240" s="207"/>
      <c r="CT240" s="207"/>
      <c r="CU240" s="207"/>
      <c r="CV240" s="207"/>
      <c r="CW240" s="207"/>
      <c r="CX240" s="207"/>
      <c r="CY240" s="207"/>
      <c r="CZ240" s="207"/>
      <c r="DA240" s="207"/>
      <c r="DB240" s="207"/>
      <c r="DC240" s="207"/>
      <c r="DD240" s="207"/>
    </row>
    <row r="241">
      <c r="A241" s="204"/>
      <c r="B241" s="205"/>
      <c r="C241" s="204"/>
      <c r="D241" s="206"/>
      <c r="E241" s="207"/>
      <c r="F241" s="207"/>
      <c r="G241" s="207"/>
      <c r="H241" s="208"/>
      <c r="I241" s="208"/>
      <c r="J241" s="208"/>
      <c r="K241" s="208"/>
      <c r="L241" s="208"/>
      <c r="M241" s="208"/>
      <c r="N241" s="208"/>
      <c r="O241" s="208"/>
      <c r="P241" s="208"/>
      <c r="Q241" s="208"/>
      <c r="R241" s="208"/>
      <c r="S241" s="208"/>
      <c r="T241" s="207"/>
      <c r="U241" s="207"/>
      <c r="V241" s="207"/>
      <c r="W241" s="207"/>
      <c r="X241" s="207"/>
      <c r="Y241" s="207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  <c r="AK241" s="209"/>
      <c r="AL241" s="209"/>
      <c r="AM241" s="209"/>
      <c r="AN241" s="207"/>
      <c r="AO241" s="207"/>
      <c r="AP241" s="207"/>
      <c r="AQ241" s="207"/>
      <c r="AR241" s="207"/>
      <c r="AS241" s="207"/>
      <c r="AT241" s="207"/>
      <c r="AU241" s="207"/>
      <c r="AV241" s="207"/>
      <c r="AW241" s="207"/>
      <c r="AX241" s="207"/>
      <c r="AY241" s="207"/>
      <c r="AZ241" s="207"/>
      <c r="BA241" s="207"/>
      <c r="BB241" s="207"/>
      <c r="BC241" s="207"/>
      <c r="BD241" s="207"/>
      <c r="BE241" s="207"/>
      <c r="BF241" s="207"/>
      <c r="BG241" s="207"/>
      <c r="BH241" s="207"/>
      <c r="BI241" s="207"/>
      <c r="BJ241" s="207"/>
      <c r="BK241" s="207"/>
      <c r="BL241" s="207"/>
      <c r="BM241" s="207"/>
      <c r="BN241" s="207"/>
      <c r="BO241" s="207"/>
      <c r="BP241" s="207"/>
      <c r="BQ241" s="207"/>
      <c r="BR241" s="207"/>
      <c r="BS241" s="207"/>
      <c r="BT241" s="207"/>
      <c r="BU241" s="207"/>
      <c r="BV241" s="207"/>
      <c r="BW241" s="207"/>
      <c r="BX241" s="207"/>
      <c r="BY241" s="207"/>
      <c r="BZ241" s="207"/>
      <c r="CA241" s="207"/>
      <c r="CB241" s="207"/>
      <c r="CC241" s="207"/>
      <c r="CD241" s="207"/>
      <c r="CE241" s="207"/>
      <c r="CF241" s="207"/>
      <c r="CG241" s="207"/>
      <c r="CH241" s="207"/>
      <c r="CI241" s="207"/>
      <c r="CJ241" s="207"/>
      <c r="CK241" s="207"/>
      <c r="CL241" s="207"/>
      <c r="CM241" s="207"/>
      <c r="CN241" s="207"/>
      <c r="CO241" s="207"/>
      <c r="CP241" s="207"/>
      <c r="CQ241" s="207"/>
      <c r="CR241" s="207"/>
      <c r="CS241" s="207"/>
      <c r="CT241" s="207"/>
      <c r="CU241" s="207"/>
      <c r="CV241" s="207"/>
      <c r="CW241" s="207"/>
      <c r="CX241" s="207"/>
      <c r="CY241" s="207"/>
      <c r="CZ241" s="207"/>
      <c r="DA241" s="207"/>
      <c r="DB241" s="207"/>
      <c r="DC241" s="207"/>
      <c r="DD241" s="207"/>
    </row>
    <row r="242">
      <c r="A242" s="204"/>
      <c r="B242" s="205"/>
      <c r="C242" s="204"/>
      <c r="D242" s="206"/>
      <c r="E242" s="207"/>
      <c r="F242" s="207"/>
      <c r="G242" s="207"/>
      <c r="H242" s="208"/>
      <c r="I242" s="208"/>
      <c r="J242" s="208"/>
      <c r="K242" s="208"/>
      <c r="L242" s="208"/>
      <c r="M242" s="208"/>
      <c r="N242" s="208"/>
      <c r="O242" s="208"/>
      <c r="P242" s="208"/>
      <c r="Q242" s="208"/>
      <c r="R242" s="208"/>
      <c r="S242" s="208"/>
      <c r="T242" s="207"/>
      <c r="U242" s="207"/>
      <c r="V242" s="207"/>
      <c r="W242" s="207"/>
      <c r="X242" s="207"/>
      <c r="Y242" s="207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  <c r="AK242" s="209"/>
      <c r="AL242" s="209"/>
      <c r="AM242" s="209"/>
      <c r="AN242" s="207"/>
      <c r="AO242" s="207"/>
      <c r="AP242" s="207"/>
      <c r="AQ242" s="207"/>
      <c r="AR242" s="207"/>
      <c r="AS242" s="207"/>
      <c r="AT242" s="207"/>
      <c r="AU242" s="207"/>
      <c r="AV242" s="207"/>
      <c r="AW242" s="207"/>
      <c r="AX242" s="207"/>
      <c r="AY242" s="207"/>
      <c r="AZ242" s="207"/>
      <c r="BA242" s="207"/>
      <c r="BB242" s="207"/>
      <c r="BC242" s="207"/>
      <c r="BD242" s="207"/>
      <c r="BE242" s="207"/>
      <c r="BF242" s="207"/>
      <c r="BG242" s="207"/>
      <c r="BH242" s="207"/>
      <c r="BI242" s="207"/>
      <c r="BJ242" s="207"/>
      <c r="BK242" s="207"/>
      <c r="BL242" s="207"/>
      <c r="BM242" s="207"/>
      <c r="BN242" s="207"/>
      <c r="BO242" s="207"/>
      <c r="BP242" s="207"/>
      <c r="BQ242" s="207"/>
      <c r="BR242" s="207"/>
      <c r="BS242" s="207"/>
      <c r="BT242" s="207"/>
      <c r="BU242" s="207"/>
      <c r="BV242" s="207"/>
      <c r="BW242" s="207"/>
      <c r="BX242" s="207"/>
      <c r="BY242" s="207"/>
      <c r="BZ242" s="207"/>
      <c r="CA242" s="207"/>
      <c r="CB242" s="207"/>
      <c r="CC242" s="207"/>
      <c r="CD242" s="207"/>
      <c r="CE242" s="207"/>
      <c r="CF242" s="207"/>
      <c r="CG242" s="207"/>
      <c r="CH242" s="207"/>
      <c r="CI242" s="207"/>
      <c r="CJ242" s="207"/>
      <c r="CK242" s="207"/>
      <c r="CL242" s="207"/>
      <c r="CM242" s="207"/>
      <c r="CN242" s="207"/>
      <c r="CO242" s="207"/>
      <c r="CP242" s="207"/>
      <c r="CQ242" s="207"/>
      <c r="CR242" s="207"/>
      <c r="CS242" s="207"/>
      <c r="CT242" s="207"/>
      <c r="CU242" s="207"/>
      <c r="CV242" s="207"/>
      <c r="CW242" s="207"/>
      <c r="CX242" s="207"/>
      <c r="CY242" s="207"/>
      <c r="CZ242" s="207"/>
      <c r="DA242" s="207"/>
      <c r="DB242" s="207"/>
      <c r="DC242" s="207"/>
      <c r="DD242" s="207"/>
    </row>
    <row r="243">
      <c r="A243" s="204"/>
      <c r="B243" s="205"/>
      <c r="C243" s="204"/>
      <c r="D243" s="206"/>
      <c r="E243" s="207"/>
      <c r="F243" s="207"/>
      <c r="G243" s="207"/>
      <c r="H243" s="208"/>
      <c r="I243" s="208"/>
      <c r="J243" s="208"/>
      <c r="K243" s="208"/>
      <c r="L243" s="208"/>
      <c r="M243" s="208"/>
      <c r="N243" s="208"/>
      <c r="O243" s="208"/>
      <c r="P243" s="208"/>
      <c r="Q243" s="208"/>
      <c r="R243" s="208"/>
      <c r="S243" s="208"/>
      <c r="T243" s="207"/>
      <c r="U243" s="207"/>
      <c r="V243" s="207"/>
      <c r="W243" s="207"/>
      <c r="X243" s="207"/>
      <c r="Y243" s="207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09"/>
      <c r="AK243" s="209"/>
      <c r="AL243" s="209"/>
      <c r="AM243" s="209"/>
      <c r="AN243" s="207"/>
      <c r="AO243" s="207"/>
      <c r="AP243" s="207"/>
      <c r="AQ243" s="207"/>
      <c r="AR243" s="207"/>
      <c r="AS243" s="207"/>
      <c r="AT243" s="207"/>
      <c r="AU243" s="207"/>
      <c r="AV243" s="207"/>
      <c r="AW243" s="207"/>
      <c r="AX243" s="207"/>
      <c r="AY243" s="207"/>
      <c r="AZ243" s="207"/>
      <c r="BA243" s="207"/>
      <c r="BB243" s="207"/>
      <c r="BC243" s="207"/>
      <c r="BD243" s="207"/>
      <c r="BE243" s="207"/>
      <c r="BF243" s="207"/>
      <c r="BG243" s="207"/>
      <c r="BH243" s="207"/>
      <c r="BI243" s="207"/>
      <c r="BJ243" s="207"/>
      <c r="BK243" s="207"/>
      <c r="BL243" s="207"/>
      <c r="BM243" s="207"/>
      <c r="BN243" s="207"/>
      <c r="BO243" s="207"/>
      <c r="BP243" s="207"/>
      <c r="BQ243" s="207"/>
      <c r="BR243" s="207"/>
      <c r="BS243" s="207"/>
      <c r="BT243" s="207"/>
      <c r="BU243" s="207"/>
      <c r="BV243" s="207"/>
      <c r="BW243" s="207"/>
      <c r="BX243" s="207"/>
      <c r="BY243" s="207"/>
      <c r="BZ243" s="207"/>
      <c r="CA243" s="207"/>
      <c r="CB243" s="207"/>
      <c r="CC243" s="207"/>
      <c r="CD243" s="207"/>
      <c r="CE243" s="207"/>
      <c r="CF243" s="207"/>
      <c r="CG243" s="207"/>
      <c r="CH243" s="207"/>
      <c r="CI243" s="207"/>
      <c r="CJ243" s="207"/>
      <c r="CK243" s="207"/>
      <c r="CL243" s="207"/>
      <c r="CM243" s="207"/>
      <c r="CN243" s="207"/>
      <c r="CO243" s="207"/>
      <c r="CP243" s="207"/>
      <c r="CQ243" s="207"/>
      <c r="CR243" s="207"/>
      <c r="CS243" s="207"/>
      <c r="CT243" s="207"/>
      <c r="CU243" s="207"/>
      <c r="CV243" s="207"/>
      <c r="CW243" s="207"/>
      <c r="CX243" s="207"/>
      <c r="CY243" s="207"/>
      <c r="CZ243" s="207"/>
      <c r="DA243" s="207"/>
      <c r="DB243" s="207"/>
      <c r="DC243" s="207"/>
      <c r="DD243" s="207"/>
    </row>
    <row r="244">
      <c r="A244" s="204"/>
      <c r="B244" s="205"/>
      <c r="C244" s="204"/>
      <c r="D244" s="206"/>
      <c r="E244" s="207"/>
      <c r="F244" s="207"/>
      <c r="G244" s="207"/>
      <c r="H244" s="208"/>
      <c r="I244" s="208"/>
      <c r="J244" s="208"/>
      <c r="K244" s="208"/>
      <c r="L244" s="208"/>
      <c r="M244" s="208"/>
      <c r="N244" s="208"/>
      <c r="O244" s="208"/>
      <c r="P244" s="208"/>
      <c r="Q244" s="208"/>
      <c r="R244" s="208"/>
      <c r="S244" s="208"/>
      <c r="T244" s="207"/>
      <c r="U244" s="207"/>
      <c r="V244" s="207"/>
      <c r="W244" s="207"/>
      <c r="X244" s="207"/>
      <c r="Y244" s="207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09"/>
      <c r="AK244" s="209"/>
      <c r="AL244" s="209"/>
      <c r="AM244" s="209"/>
      <c r="AN244" s="207"/>
      <c r="AO244" s="207"/>
      <c r="AP244" s="207"/>
      <c r="AQ244" s="207"/>
      <c r="AR244" s="207"/>
      <c r="AS244" s="207"/>
      <c r="AT244" s="207"/>
      <c r="AU244" s="207"/>
      <c r="AV244" s="207"/>
      <c r="AW244" s="207"/>
      <c r="AX244" s="207"/>
      <c r="AY244" s="207"/>
      <c r="AZ244" s="207"/>
      <c r="BA244" s="207"/>
      <c r="BB244" s="207"/>
      <c r="BC244" s="207"/>
      <c r="BD244" s="207"/>
      <c r="BE244" s="207"/>
      <c r="BF244" s="207"/>
      <c r="BG244" s="207"/>
      <c r="BH244" s="207"/>
      <c r="BI244" s="207"/>
      <c r="BJ244" s="207"/>
      <c r="BK244" s="207"/>
      <c r="BL244" s="207"/>
      <c r="BM244" s="207"/>
      <c r="BN244" s="207"/>
      <c r="BO244" s="207"/>
      <c r="BP244" s="207"/>
      <c r="BQ244" s="207"/>
      <c r="BR244" s="207"/>
      <c r="BS244" s="207"/>
      <c r="BT244" s="207"/>
      <c r="BU244" s="207"/>
      <c r="BV244" s="207"/>
      <c r="BW244" s="207"/>
      <c r="BX244" s="207"/>
      <c r="BY244" s="207"/>
      <c r="BZ244" s="207"/>
      <c r="CA244" s="207"/>
      <c r="CB244" s="207"/>
      <c r="CC244" s="207"/>
      <c r="CD244" s="207"/>
      <c r="CE244" s="207"/>
      <c r="CF244" s="207"/>
      <c r="CG244" s="207"/>
      <c r="CH244" s="207"/>
      <c r="CI244" s="207"/>
      <c r="CJ244" s="207"/>
      <c r="CK244" s="207"/>
      <c r="CL244" s="207"/>
      <c r="CM244" s="207"/>
      <c r="CN244" s="207"/>
      <c r="CO244" s="207"/>
      <c r="CP244" s="207"/>
      <c r="CQ244" s="207"/>
      <c r="CR244" s="207"/>
      <c r="CS244" s="207"/>
      <c r="CT244" s="207"/>
      <c r="CU244" s="207"/>
      <c r="CV244" s="207"/>
      <c r="CW244" s="207"/>
      <c r="CX244" s="207"/>
      <c r="CY244" s="207"/>
      <c r="CZ244" s="207"/>
      <c r="DA244" s="207"/>
      <c r="DB244" s="207"/>
      <c r="DC244" s="207"/>
      <c r="DD244" s="207"/>
    </row>
    <row r="245">
      <c r="A245" s="204"/>
      <c r="B245" s="205"/>
      <c r="C245" s="204"/>
      <c r="D245" s="206"/>
      <c r="E245" s="207"/>
      <c r="F245" s="207"/>
      <c r="G245" s="207"/>
      <c r="H245" s="208"/>
      <c r="I245" s="208"/>
      <c r="J245" s="208"/>
      <c r="K245" s="208"/>
      <c r="L245" s="208"/>
      <c r="M245" s="208"/>
      <c r="N245" s="208"/>
      <c r="O245" s="208"/>
      <c r="P245" s="208"/>
      <c r="Q245" s="208"/>
      <c r="R245" s="208"/>
      <c r="S245" s="208"/>
      <c r="T245" s="207"/>
      <c r="U245" s="207"/>
      <c r="V245" s="207"/>
      <c r="W245" s="207"/>
      <c r="X245" s="207"/>
      <c r="Y245" s="207"/>
      <c r="Z245" s="209"/>
      <c r="AA245" s="209"/>
      <c r="AB245" s="209"/>
      <c r="AC245" s="209"/>
      <c r="AD245" s="209"/>
      <c r="AE245" s="209"/>
      <c r="AF245" s="209"/>
      <c r="AG245" s="209"/>
      <c r="AH245" s="209"/>
      <c r="AI245" s="209"/>
      <c r="AJ245" s="209"/>
      <c r="AK245" s="209"/>
      <c r="AL245" s="209"/>
      <c r="AM245" s="209"/>
      <c r="AN245" s="207"/>
      <c r="AO245" s="207"/>
      <c r="AP245" s="207"/>
      <c r="AQ245" s="207"/>
      <c r="AR245" s="207"/>
      <c r="AS245" s="207"/>
      <c r="AT245" s="207"/>
      <c r="AU245" s="207"/>
      <c r="AV245" s="207"/>
      <c r="AW245" s="207"/>
      <c r="AX245" s="207"/>
      <c r="AY245" s="207"/>
      <c r="AZ245" s="207"/>
      <c r="BA245" s="207"/>
      <c r="BB245" s="207"/>
      <c r="BC245" s="207"/>
      <c r="BD245" s="207"/>
      <c r="BE245" s="207"/>
      <c r="BF245" s="207"/>
      <c r="BG245" s="207"/>
      <c r="BH245" s="207"/>
      <c r="BI245" s="207"/>
      <c r="BJ245" s="207"/>
      <c r="BK245" s="207"/>
      <c r="BL245" s="207"/>
      <c r="BM245" s="207"/>
      <c r="BN245" s="207"/>
      <c r="BO245" s="207"/>
      <c r="BP245" s="207"/>
      <c r="BQ245" s="207"/>
      <c r="BR245" s="207"/>
      <c r="BS245" s="207"/>
      <c r="BT245" s="207"/>
      <c r="BU245" s="207"/>
      <c r="BV245" s="207"/>
      <c r="BW245" s="207"/>
      <c r="BX245" s="207"/>
      <c r="BY245" s="207"/>
      <c r="BZ245" s="207"/>
      <c r="CA245" s="207"/>
      <c r="CB245" s="207"/>
      <c r="CC245" s="207"/>
      <c r="CD245" s="207"/>
      <c r="CE245" s="207"/>
      <c r="CF245" s="207"/>
      <c r="CG245" s="207"/>
      <c r="CH245" s="207"/>
      <c r="CI245" s="207"/>
      <c r="CJ245" s="207"/>
      <c r="CK245" s="207"/>
      <c r="CL245" s="207"/>
      <c r="CM245" s="207"/>
      <c r="CN245" s="207"/>
      <c r="CO245" s="207"/>
      <c r="CP245" s="207"/>
      <c r="CQ245" s="207"/>
      <c r="CR245" s="207"/>
      <c r="CS245" s="207"/>
      <c r="CT245" s="207"/>
      <c r="CU245" s="207"/>
      <c r="CV245" s="207"/>
      <c r="CW245" s="207"/>
      <c r="CX245" s="207"/>
      <c r="CY245" s="207"/>
      <c r="CZ245" s="207"/>
      <c r="DA245" s="207"/>
      <c r="DB245" s="207"/>
      <c r="DC245" s="207"/>
      <c r="DD245" s="207"/>
    </row>
    <row r="246">
      <c r="A246" s="204"/>
      <c r="B246" s="205"/>
      <c r="C246" s="204"/>
      <c r="D246" s="206"/>
      <c r="E246" s="207"/>
      <c r="F246" s="207"/>
      <c r="G246" s="207"/>
      <c r="H246" s="208"/>
      <c r="I246" s="208"/>
      <c r="J246" s="208"/>
      <c r="K246" s="208"/>
      <c r="L246" s="208"/>
      <c r="M246" s="208"/>
      <c r="N246" s="208"/>
      <c r="O246" s="208"/>
      <c r="P246" s="208"/>
      <c r="Q246" s="208"/>
      <c r="R246" s="208"/>
      <c r="S246" s="208"/>
      <c r="T246" s="207"/>
      <c r="U246" s="207"/>
      <c r="V246" s="207"/>
      <c r="W246" s="207"/>
      <c r="X246" s="207"/>
      <c r="Y246" s="207"/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  <c r="AK246" s="209"/>
      <c r="AL246" s="209"/>
      <c r="AM246" s="209"/>
      <c r="AN246" s="207"/>
      <c r="AO246" s="207"/>
      <c r="AP246" s="207"/>
      <c r="AQ246" s="207"/>
      <c r="AR246" s="207"/>
      <c r="AS246" s="207"/>
      <c r="AT246" s="207"/>
      <c r="AU246" s="207"/>
      <c r="AV246" s="207"/>
      <c r="AW246" s="207"/>
      <c r="AX246" s="207"/>
      <c r="AY246" s="207"/>
      <c r="AZ246" s="207"/>
      <c r="BA246" s="207"/>
      <c r="BB246" s="207"/>
      <c r="BC246" s="207"/>
      <c r="BD246" s="207"/>
      <c r="BE246" s="207"/>
      <c r="BF246" s="207"/>
      <c r="BG246" s="207"/>
      <c r="BH246" s="207"/>
      <c r="BI246" s="207"/>
      <c r="BJ246" s="207"/>
      <c r="BK246" s="207"/>
      <c r="BL246" s="207"/>
      <c r="BM246" s="207"/>
      <c r="BN246" s="207"/>
      <c r="BO246" s="207"/>
      <c r="BP246" s="207"/>
      <c r="BQ246" s="207"/>
      <c r="BR246" s="207"/>
      <c r="BS246" s="207"/>
      <c r="BT246" s="207"/>
      <c r="BU246" s="207"/>
      <c r="BV246" s="207"/>
      <c r="BW246" s="207"/>
      <c r="BX246" s="207"/>
      <c r="BY246" s="207"/>
      <c r="BZ246" s="207"/>
      <c r="CA246" s="207"/>
      <c r="CB246" s="207"/>
      <c r="CC246" s="207"/>
      <c r="CD246" s="207"/>
      <c r="CE246" s="207"/>
      <c r="CF246" s="207"/>
      <c r="CG246" s="207"/>
      <c r="CH246" s="207"/>
      <c r="CI246" s="207"/>
      <c r="CJ246" s="207"/>
      <c r="CK246" s="207"/>
      <c r="CL246" s="207"/>
      <c r="CM246" s="207"/>
      <c r="CN246" s="207"/>
      <c r="CO246" s="207"/>
      <c r="CP246" s="207"/>
      <c r="CQ246" s="207"/>
      <c r="CR246" s="207"/>
      <c r="CS246" s="207"/>
      <c r="CT246" s="207"/>
      <c r="CU246" s="207"/>
      <c r="CV246" s="207"/>
      <c r="CW246" s="207"/>
      <c r="CX246" s="207"/>
      <c r="CY246" s="207"/>
      <c r="CZ246" s="207"/>
      <c r="DA246" s="207"/>
      <c r="DB246" s="207"/>
      <c r="DC246" s="207"/>
      <c r="DD246" s="207"/>
    </row>
    <row r="247">
      <c r="A247" s="204"/>
      <c r="B247" s="205"/>
      <c r="C247" s="204"/>
      <c r="D247" s="206"/>
      <c r="E247" s="207"/>
      <c r="F247" s="207"/>
      <c r="G247" s="207"/>
      <c r="H247" s="208"/>
      <c r="I247" s="208"/>
      <c r="J247" s="208"/>
      <c r="K247" s="208"/>
      <c r="L247" s="208"/>
      <c r="M247" s="208"/>
      <c r="N247" s="208"/>
      <c r="O247" s="208"/>
      <c r="P247" s="208"/>
      <c r="Q247" s="208"/>
      <c r="R247" s="208"/>
      <c r="S247" s="208"/>
      <c r="T247" s="207"/>
      <c r="U247" s="207"/>
      <c r="V247" s="207"/>
      <c r="W247" s="207"/>
      <c r="X247" s="207"/>
      <c r="Y247" s="207"/>
      <c r="Z247" s="209"/>
      <c r="AA247" s="209"/>
      <c r="AB247" s="209"/>
      <c r="AC247" s="209"/>
      <c r="AD247" s="209"/>
      <c r="AE247" s="209"/>
      <c r="AF247" s="209"/>
      <c r="AG247" s="209"/>
      <c r="AH247" s="209"/>
      <c r="AI247" s="209"/>
      <c r="AJ247" s="209"/>
      <c r="AK247" s="209"/>
      <c r="AL247" s="209"/>
      <c r="AM247" s="209"/>
      <c r="AN247" s="207"/>
      <c r="AO247" s="207"/>
      <c r="AP247" s="207"/>
      <c r="AQ247" s="207"/>
      <c r="AR247" s="207"/>
      <c r="AS247" s="207"/>
      <c r="AT247" s="207"/>
      <c r="AU247" s="207"/>
      <c r="AV247" s="207"/>
      <c r="AW247" s="207"/>
      <c r="AX247" s="207"/>
      <c r="AY247" s="207"/>
      <c r="AZ247" s="207"/>
      <c r="BA247" s="207"/>
      <c r="BB247" s="207"/>
      <c r="BC247" s="207"/>
      <c r="BD247" s="207"/>
      <c r="BE247" s="207"/>
      <c r="BF247" s="207"/>
      <c r="BG247" s="207"/>
      <c r="BH247" s="207"/>
      <c r="BI247" s="207"/>
      <c r="BJ247" s="207"/>
      <c r="BK247" s="207"/>
      <c r="BL247" s="207"/>
      <c r="BM247" s="207"/>
      <c r="BN247" s="207"/>
      <c r="BO247" s="207"/>
      <c r="BP247" s="207"/>
      <c r="BQ247" s="207"/>
      <c r="BR247" s="207"/>
      <c r="BS247" s="207"/>
      <c r="BT247" s="207"/>
      <c r="BU247" s="207"/>
      <c r="BV247" s="207"/>
      <c r="BW247" s="207"/>
      <c r="BX247" s="207"/>
      <c r="BY247" s="207"/>
      <c r="BZ247" s="207"/>
      <c r="CA247" s="207"/>
      <c r="CB247" s="207"/>
      <c r="CC247" s="207"/>
      <c r="CD247" s="207"/>
      <c r="CE247" s="207"/>
      <c r="CF247" s="207"/>
      <c r="CG247" s="207"/>
      <c r="CH247" s="207"/>
      <c r="CI247" s="207"/>
      <c r="CJ247" s="207"/>
      <c r="CK247" s="207"/>
      <c r="CL247" s="207"/>
      <c r="CM247" s="207"/>
      <c r="CN247" s="207"/>
      <c r="CO247" s="207"/>
      <c r="CP247" s="207"/>
      <c r="CQ247" s="207"/>
      <c r="CR247" s="207"/>
      <c r="CS247" s="207"/>
      <c r="CT247" s="207"/>
      <c r="CU247" s="207"/>
      <c r="CV247" s="207"/>
      <c r="CW247" s="207"/>
      <c r="CX247" s="207"/>
      <c r="CY247" s="207"/>
      <c r="CZ247" s="207"/>
      <c r="DA247" s="207"/>
      <c r="DB247" s="207"/>
      <c r="DC247" s="207"/>
      <c r="DD247" s="207"/>
    </row>
    <row r="248">
      <c r="A248" s="204"/>
      <c r="B248" s="205"/>
      <c r="C248" s="204"/>
      <c r="D248" s="206"/>
      <c r="E248" s="207"/>
      <c r="F248" s="207"/>
      <c r="G248" s="207"/>
      <c r="H248" s="208"/>
      <c r="I248" s="208"/>
      <c r="J248" s="208"/>
      <c r="K248" s="208"/>
      <c r="L248" s="208"/>
      <c r="M248" s="208"/>
      <c r="N248" s="208"/>
      <c r="O248" s="208"/>
      <c r="P248" s="208"/>
      <c r="Q248" s="208"/>
      <c r="R248" s="208"/>
      <c r="S248" s="208"/>
      <c r="T248" s="207"/>
      <c r="U248" s="207"/>
      <c r="V248" s="207"/>
      <c r="W248" s="207"/>
      <c r="X248" s="207"/>
      <c r="Y248" s="207"/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  <c r="AK248" s="209"/>
      <c r="AL248" s="209"/>
      <c r="AM248" s="209"/>
      <c r="AN248" s="207"/>
      <c r="AO248" s="207"/>
      <c r="AP248" s="207"/>
      <c r="AQ248" s="207"/>
      <c r="AR248" s="207"/>
      <c r="AS248" s="207"/>
      <c r="AT248" s="207"/>
      <c r="AU248" s="207"/>
      <c r="AV248" s="207"/>
      <c r="AW248" s="207"/>
      <c r="AX248" s="207"/>
      <c r="AY248" s="207"/>
      <c r="AZ248" s="207"/>
      <c r="BA248" s="207"/>
      <c r="BB248" s="207"/>
      <c r="BC248" s="207"/>
      <c r="BD248" s="207"/>
      <c r="BE248" s="207"/>
      <c r="BF248" s="207"/>
      <c r="BG248" s="207"/>
      <c r="BH248" s="207"/>
      <c r="BI248" s="207"/>
      <c r="BJ248" s="207"/>
      <c r="BK248" s="207"/>
      <c r="BL248" s="207"/>
      <c r="BM248" s="207"/>
      <c r="BN248" s="207"/>
      <c r="BO248" s="207"/>
      <c r="BP248" s="207"/>
      <c r="BQ248" s="207"/>
      <c r="BR248" s="207"/>
      <c r="BS248" s="207"/>
      <c r="BT248" s="207"/>
      <c r="BU248" s="207"/>
      <c r="BV248" s="207"/>
      <c r="BW248" s="207"/>
      <c r="BX248" s="207"/>
      <c r="BY248" s="207"/>
      <c r="BZ248" s="207"/>
      <c r="CA248" s="207"/>
      <c r="CB248" s="207"/>
      <c r="CC248" s="207"/>
      <c r="CD248" s="207"/>
      <c r="CE248" s="207"/>
      <c r="CF248" s="207"/>
      <c r="CG248" s="207"/>
      <c r="CH248" s="207"/>
      <c r="CI248" s="207"/>
      <c r="CJ248" s="207"/>
      <c r="CK248" s="207"/>
      <c r="CL248" s="207"/>
      <c r="CM248" s="207"/>
      <c r="CN248" s="207"/>
      <c r="CO248" s="207"/>
      <c r="CP248" s="207"/>
      <c r="CQ248" s="207"/>
      <c r="CR248" s="207"/>
      <c r="CS248" s="207"/>
      <c r="CT248" s="207"/>
      <c r="CU248" s="207"/>
      <c r="CV248" s="207"/>
      <c r="CW248" s="207"/>
      <c r="CX248" s="207"/>
      <c r="CY248" s="207"/>
      <c r="CZ248" s="207"/>
      <c r="DA248" s="207"/>
      <c r="DB248" s="207"/>
      <c r="DC248" s="207"/>
      <c r="DD248" s="207"/>
    </row>
    <row r="249">
      <c r="A249" s="204"/>
      <c r="B249" s="205"/>
      <c r="C249" s="204"/>
      <c r="D249" s="206"/>
      <c r="E249" s="207"/>
      <c r="F249" s="207"/>
      <c r="G249" s="207"/>
      <c r="H249" s="208"/>
      <c r="I249" s="208"/>
      <c r="J249" s="208"/>
      <c r="K249" s="208"/>
      <c r="L249" s="208"/>
      <c r="M249" s="208"/>
      <c r="N249" s="208"/>
      <c r="O249" s="208"/>
      <c r="P249" s="208"/>
      <c r="Q249" s="208"/>
      <c r="R249" s="208"/>
      <c r="S249" s="208"/>
      <c r="T249" s="207"/>
      <c r="U249" s="207"/>
      <c r="V249" s="207"/>
      <c r="W249" s="207"/>
      <c r="X249" s="207"/>
      <c r="Y249" s="207"/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  <c r="AK249" s="209"/>
      <c r="AL249" s="209"/>
      <c r="AM249" s="209"/>
      <c r="AN249" s="207"/>
      <c r="AO249" s="207"/>
      <c r="AP249" s="207"/>
      <c r="AQ249" s="207"/>
      <c r="AR249" s="207"/>
      <c r="AS249" s="207"/>
      <c r="AT249" s="207"/>
      <c r="AU249" s="207"/>
      <c r="AV249" s="207"/>
      <c r="AW249" s="207"/>
      <c r="AX249" s="207"/>
      <c r="AY249" s="207"/>
      <c r="AZ249" s="207"/>
      <c r="BA249" s="207"/>
      <c r="BB249" s="207"/>
      <c r="BC249" s="207"/>
      <c r="BD249" s="207"/>
      <c r="BE249" s="207"/>
      <c r="BF249" s="207"/>
      <c r="BG249" s="207"/>
      <c r="BH249" s="207"/>
      <c r="BI249" s="207"/>
      <c r="BJ249" s="207"/>
      <c r="BK249" s="207"/>
      <c r="BL249" s="207"/>
      <c r="BM249" s="207"/>
      <c r="BN249" s="207"/>
      <c r="BO249" s="207"/>
      <c r="BP249" s="207"/>
      <c r="BQ249" s="207"/>
      <c r="BR249" s="207"/>
      <c r="BS249" s="207"/>
      <c r="BT249" s="207"/>
      <c r="BU249" s="207"/>
      <c r="BV249" s="207"/>
      <c r="BW249" s="207"/>
      <c r="BX249" s="207"/>
      <c r="BY249" s="207"/>
      <c r="BZ249" s="207"/>
      <c r="CA249" s="207"/>
      <c r="CB249" s="207"/>
      <c r="CC249" s="207"/>
      <c r="CD249" s="207"/>
      <c r="CE249" s="207"/>
      <c r="CF249" s="207"/>
      <c r="CG249" s="207"/>
      <c r="CH249" s="207"/>
      <c r="CI249" s="207"/>
      <c r="CJ249" s="207"/>
      <c r="CK249" s="207"/>
      <c r="CL249" s="207"/>
      <c r="CM249" s="207"/>
      <c r="CN249" s="207"/>
      <c r="CO249" s="207"/>
      <c r="CP249" s="207"/>
      <c r="CQ249" s="207"/>
      <c r="CR249" s="207"/>
      <c r="CS249" s="207"/>
      <c r="CT249" s="207"/>
      <c r="CU249" s="207"/>
      <c r="CV249" s="207"/>
      <c r="CW249" s="207"/>
      <c r="CX249" s="207"/>
      <c r="CY249" s="207"/>
      <c r="CZ249" s="207"/>
      <c r="DA249" s="207"/>
      <c r="DB249" s="207"/>
      <c r="DC249" s="207"/>
      <c r="DD249" s="207"/>
    </row>
    <row r="250">
      <c r="A250" s="204"/>
      <c r="B250" s="205"/>
      <c r="C250" s="204"/>
      <c r="D250" s="206"/>
      <c r="E250" s="207"/>
      <c r="F250" s="207"/>
      <c r="G250" s="207"/>
      <c r="H250" s="208"/>
      <c r="I250" s="208"/>
      <c r="J250" s="208"/>
      <c r="K250" s="208"/>
      <c r="L250" s="208"/>
      <c r="M250" s="208"/>
      <c r="N250" s="208"/>
      <c r="O250" s="208"/>
      <c r="P250" s="208"/>
      <c r="Q250" s="208"/>
      <c r="R250" s="208"/>
      <c r="S250" s="208"/>
      <c r="T250" s="207"/>
      <c r="U250" s="207"/>
      <c r="V250" s="207"/>
      <c r="W250" s="207"/>
      <c r="X250" s="207"/>
      <c r="Y250" s="207"/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  <c r="AK250" s="209"/>
      <c r="AL250" s="209"/>
      <c r="AM250" s="209"/>
      <c r="AN250" s="207"/>
      <c r="AO250" s="207"/>
      <c r="AP250" s="207"/>
      <c r="AQ250" s="207"/>
      <c r="AR250" s="207"/>
      <c r="AS250" s="207"/>
      <c r="AT250" s="207"/>
      <c r="AU250" s="207"/>
      <c r="AV250" s="207"/>
      <c r="AW250" s="207"/>
      <c r="AX250" s="207"/>
      <c r="AY250" s="207"/>
      <c r="AZ250" s="207"/>
      <c r="BA250" s="207"/>
      <c r="BB250" s="207"/>
      <c r="BC250" s="207"/>
      <c r="BD250" s="207"/>
      <c r="BE250" s="207"/>
      <c r="BF250" s="207"/>
      <c r="BG250" s="207"/>
      <c r="BH250" s="207"/>
      <c r="BI250" s="207"/>
      <c r="BJ250" s="207"/>
      <c r="BK250" s="207"/>
      <c r="BL250" s="207"/>
      <c r="BM250" s="207"/>
      <c r="BN250" s="207"/>
      <c r="BO250" s="207"/>
      <c r="BP250" s="207"/>
      <c r="BQ250" s="207"/>
      <c r="BR250" s="207"/>
      <c r="BS250" s="207"/>
      <c r="BT250" s="207"/>
      <c r="BU250" s="207"/>
      <c r="BV250" s="207"/>
      <c r="BW250" s="207"/>
      <c r="BX250" s="207"/>
      <c r="BY250" s="207"/>
      <c r="BZ250" s="207"/>
      <c r="CA250" s="207"/>
      <c r="CB250" s="207"/>
      <c r="CC250" s="207"/>
      <c r="CD250" s="207"/>
      <c r="CE250" s="207"/>
      <c r="CF250" s="207"/>
      <c r="CG250" s="207"/>
      <c r="CH250" s="207"/>
      <c r="CI250" s="207"/>
      <c r="CJ250" s="207"/>
      <c r="CK250" s="207"/>
      <c r="CL250" s="207"/>
      <c r="CM250" s="207"/>
      <c r="CN250" s="207"/>
      <c r="CO250" s="207"/>
      <c r="CP250" s="207"/>
      <c r="CQ250" s="207"/>
      <c r="CR250" s="207"/>
      <c r="CS250" s="207"/>
      <c r="CT250" s="207"/>
      <c r="CU250" s="207"/>
      <c r="CV250" s="207"/>
      <c r="CW250" s="207"/>
      <c r="CX250" s="207"/>
      <c r="CY250" s="207"/>
      <c r="CZ250" s="207"/>
      <c r="DA250" s="207"/>
      <c r="DB250" s="207"/>
      <c r="DC250" s="207"/>
      <c r="DD250" s="207"/>
    </row>
    <row r="251">
      <c r="A251" s="204"/>
      <c r="B251" s="205"/>
      <c r="C251" s="204"/>
      <c r="D251" s="206"/>
      <c r="E251" s="207"/>
      <c r="F251" s="207"/>
      <c r="G251" s="207"/>
      <c r="H251" s="208"/>
      <c r="I251" s="208"/>
      <c r="J251" s="208"/>
      <c r="K251" s="208"/>
      <c r="L251" s="208"/>
      <c r="M251" s="208"/>
      <c r="N251" s="208"/>
      <c r="O251" s="208"/>
      <c r="P251" s="208"/>
      <c r="Q251" s="208"/>
      <c r="R251" s="208"/>
      <c r="S251" s="208"/>
      <c r="T251" s="207"/>
      <c r="U251" s="207"/>
      <c r="V251" s="207"/>
      <c r="W251" s="207"/>
      <c r="X251" s="207"/>
      <c r="Y251" s="207"/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  <c r="AK251" s="209"/>
      <c r="AL251" s="209"/>
      <c r="AM251" s="209"/>
      <c r="AN251" s="207"/>
      <c r="AO251" s="207"/>
      <c r="AP251" s="207"/>
      <c r="AQ251" s="207"/>
      <c r="AR251" s="207"/>
      <c r="AS251" s="207"/>
      <c r="AT251" s="207"/>
      <c r="AU251" s="207"/>
      <c r="AV251" s="207"/>
      <c r="AW251" s="207"/>
      <c r="AX251" s="207"/>
      <c r="AY251" s="207"/>
      <c r="AZ251" s="207"/>
      <c r="BA251" s="207"/>
      <c r="BB251" s="207"/>
      <c r="BC251" s="207"/>
      <c r="BD251" s="207"/>
      <c r="BE251" s="207"/>
      <c r="BF251" s="207"/>
      <c r="BG251" s="207"/>
      <c r="BH251" s="207"/>
      <c r="BI251" s="207"/>
      <c r="BJ251" s="207"/>
      <c r="BK251" s="207"/>
      <c r="BL251" s="207"/>
      <c r="BM251" s="207"/>
      <c r="BN251" s="207"/>
      <c r="BO251" s="207"/>
      <c r="BP251" s="207"/>
      <c r="BQ251" s="207"/>
      <c r="BR251" s="207"/>
      <c r="BS251" s="207"/>
      <c r="BT251" s="207"/>
      <c r="BU251" s="207"/>
      <c r="BV251" s="207"/>
      <c r="BW251" s="207"/>
      <c r="BX251" s="207"/>
      <c r="BY251" s="207"/>
      <c r="BZ251" s="207"/>
      <c r="CA251" s="207"/>
      <c r="CB251" s="207"/>
      <c r="CC251" s="207"/>
      <c r="CD251" s="207"/>
      <c r="CE251" s="207"/>
      <c r="CF251" s="207"/>
      <c r="CG251" s="207"/>
      <c r="CH251" s="207"/>
      <c r="CI251" s="207"/>
      <c r="CJ251" s="207"/>
      <c r="CK251" s="207"/>
      <c r="CL251" s="207"/>
      <c r="CM251" s="207"/>
      <c r="CN251" s="207"/>
      <c r="CO251" s="207"/>
      <c r="CP251" s="207"/>
      <c r="CQ251" s="207"/>
      <c r="CR251" s="207"/>
      <c r="CS251" s="207"/>
      <c r="CT251" s="207"/>
      <c r="CU251" s="207"/>
      <c r="CV251" s="207"/>
      <c r="CW251" s="207"/>
      <c r="CX251" s="207"/>
      <c r="CY251" s="207"/>
      <c r="CZ251" s="207"/>
      <c r="DA251" s="207"/>
      <c r="DB251" s="207"/>
      <c r="DC251" s="207"/>
      <c r="DD251" s="207"/>
    </row>
    <row r="252">
      <c r="A252" s="204"/>
      <c r="B252" s="205"/>
      <c r="C252" s="204"/>
      <c r="D252" s="206"/>
      <c r="E252" s="207"/>
      <c r="F252" s="207"/>
      <c r="G252" s="207"/>
      <c r="H252" s="208"/>
      <c r="I252" s="208"/>
      <c r="J252" s="208"/>
      <c r="K252" s="208"/>
      <c r="L252" s="208"/>
      <c r="M252" s="208"/>
      <c r="N252" s="208"/>
      <c r="O252" s="208"/>
      <c r="P252" s="208"/>
      <c r="Q252" s="208"/>
      <c r="R252" s="208"/>
      <c r="S252" s="208"/>
      <c r="T252" s="207"/>
      <c r="U252" s="207"/>
      <c r="V252" s="207"/>
      <c r="W252" s="207"/>
      <c r="X252" s="207"/>
      <c r="Y252" s="207"/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  <c r="AK252" s="209"/>
      <c r="AL252" s="209"/>
      <c r="AM252" s="209"/>
      <c r="AN252" s="207"/>
      <c r="AO252" s="207"/>
      <c r="AP252" s="207"/>
      <c r="AQ252" s="207"/>
      <c r="AR252" s="207"/>
      <c r="AS252" s="207"/>
      <c r="AT252" s="207"/>
      <c r="AU252" s="207"/>
      <c r="AV252" s="207"/>
      <c r="AW252" s="207"/>
      <c r="AX252" s="207"/>
      <c r="AY252" s="207"/>
      <c r="AZ252" s="207"/>
      <c r="BA252" s="207"/>
      <c r="BB252" s="207"/>
      <c r="BC252" s="207"/>
      <c r="BD252" s="207"/>
      <c r="BE252" s="207"/>
      <c r="BF252" s="207"/>
      <c r="BG252" s="207"/>
      <c r="BH252" s="207"/>
      <c r="BI252" s="207"/>
      <c r="BJ252" s="207"/>
      <c r="BK252" s="207"/>
      <c r="BL252" s="207"/>
      <c r="BM252" s="207"/>
      <c r="BN252" s="207"/>
      <c r="BO252" s="207"/>
      <c r="BP252" s="207"/>
      <c r="BQ252" s="207"/>
      <c r="BR252" s="207"/>
      <c r="BS252" s="207"/>
      <c r="BT252" s="207"/>
      <c r="BU252" s="207"/>
      <c r="BV252" s="207"/>
      <c r="BW252" s="207"/>
      <c r="BX252" s="207"/>
      <c r="BY252" s="207"/>
      <c r="BZ252" s="207"/>
      <c r="CA252" s="207"/>
      <c r="CB252" s="207"/>
      <c r="CC252" s="207"/>
      <c r="CD252" s="207"/>
      <c r="CE252" s="207"/>
      <c r="CF252" s="207"/>
      <c r="CG252" s="207"/>
      <c r="CH252" s="207"/>
      <c r="CI252" s="207"/>
      <c r="CJ252" s="207"/>
      <c r="CK252" s="207"/>
      <c r="CL252" s="207"/>
      <c r="CM252" s="207"/>
      <c r="CN252" s="207"/>
      <c r="CO252" s="207"/>
      <c r="CP252" s="207"/>
      <c r="CQ252" s="207"/>
      <c r="CR252" s="207"/>
      <c r="CS252" s="207"/>
      <c r="CT252" s="207"/>
      <c r="CU252" s="207"/>
      <c r="CV252" s="207"/>
      <c r="CW252" s="207"/>
      <c r="CX252" s="207"/>
      <c r="CY252" s="207"/>
      <c r="CZ252" s="207"/>
      <c r="DA252" s="207"/>
      <c r="DB252" s="207"/>
      <c r="DC252" s="207"/>
      <c r="DD252" s="207"/>
    </row>
    <row r="253">
      <c r="A253" s="204"/>
      <c r="B253" s="205"/>
      <c r="C253" s="204"/>
      <c r="D253" s="206"/>
      <c r="E253" s="207"/>
      <c r="F253" s="207"/>
      <c r="G253" s="207"/>
      <c r="H253" s="208"/>
      <c r="I253" s="208"/>
      <c r="J253" s="208"/>
      <c r="K253" s="208"/>
      <c r="L253" s="208"/>
      <c r="M253" s="208"/>
      <c r="N253" s="208"/>
      <c r="O253" s="208"/>
      <c r="P253" s="208"/>
      <c r="Q253" s="208"/>
      <c r="R253" s="208"/>
      <c r="S253" s="208"/>
      <c r="T253" s="207"/>
      <c r="U253" s="207"/>
      <c r="V253" s="207"/>
      <c r="W253" s="207"/>
      <c r="X253" s="207"/>
      <c r="Y253" s="207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  <c r="AK253" s="209"/>
      <c r="AL253" s="209"/>
      <c r="AM253" s="209"/>
      <c r="AN253" s="207"/>
      <c r="AO253" s="207"/>
      <c r="AP253" s="207"/>
      <c r="AQ253" s="207"/>
      <c r="AR253" s="207"/>
      <c r="AS253" s="207"/>
      <c r="AT253" s="207"/>
      <c r="AU253" s="207"/>
      <c r="AV253" s="207"/>
      <c r="AW253" s="207"/>
      <c r="AX253" s="207"/>
      <c r="AY253" s="207"/>
      <c r="AZ253" s="207"/>
      <c r="BA253" s="207"/>
      <c r="BB253" s="207"/>
      <c r="BC253" s="207"/>
      <c r="BD253" s="207"/>
      <c r="BE253" s="207"/>
      <c r="BF253" s="207"/>
      <c r="BG253" s="207"/>
      <c r="BH253" s="207"/>
      <c r="BI253" s="207"/>
      <c r="BJ253" s="207"/>
      <c r="BK253" s="207"/>
      <c r="BL253" s="207"/>
      <c r="BM253" s="207"/>
      <c r="BN253" s="207"/>
      <c r="BO253" s="207"/>
      <c r="BP253" s="207"/>
      <c r="BQ253" s="207"/>
      <c r="BR253" s="207"/>
      <c r="BS253" s="207"/>
      <c r="BT253" s="207"/>
      <c r="BU253" s="207"/>
      <c r="BV253" s="207"/>
      <c r="BW253" s="207"/>
      <c r="BX253" s="207"/>
      <c r="BY253" s="207"/>
      <c r="BZ253" s="207"/>
      <c r="CA253" s="207"/>
      <c r="CB253" s="207"/>
      <c r="CC253" s="207"/>
      <c r="CD253" s="207"/>
      <c r="CE253" s="207"/>
      <c r="CF253" s="207"/>
      <c r="CG253" s="207"/>
      <c r="CH253" s="207"/>
      <c r="CI253" s="207"/>
      <c r="CJ253" s="207"/>
      <c r="CK253" s="207"/>
      <c r="CL253" s="207"/>
      <c r="CM253" s="207"/>
      <c r="CN253" s="207"/>
      <c r="CO253" s="207"/>
      <c r="CP253" s="207"/>
      <c r="CQ253" s="207"/>
      <c r="CR253" s="207"/>
      <c r="CS253" s="207"/>
      <c r="CT253" s="207"/>
      <c r="CU253" s="207"/>
      <c r="CV253" s="207"/>
      <c r="CW253" s="207"/>
      <c r="CX253" s="207"/>
      <c r="CY253" s="207"/>
      <c r="CZ253" s="207"/>
      <c r="DA253" s="207"/>
      <c r="DB253" s="207"/>
      <c r="DC253" s="207"/>
      <c r="DD253" s="207"/>
    </row>
    <row r="254">
      <c r="A254" s="204"/>
      <c r="B254" s="205"/>
      <c r="C254" s="204"/>
      <c r="D254" s="206"/>
      <c r="E254" s="207"/>
      <c r="F254" s="207"/>
      <c r="G254" s="207"/>
      <c r="H254" s="208"/>
      <c r="I254" s="208"/>
      <c r="J254" s="208"/>
      <c r="K254" s="208"/>
      <c r="L254" s="208"/>
      <c r="M254" s="208"/>
      <c r="N254" s="208"/>
      <c r="O254" s="208"/>
      <c r="P254" s="208"/>
      <c r="Q254" s="208"/>
      <c r="R254" s="208"/>
      <c r="S254" s="208"/>
      <c r="T254" s="207"/>
      <c r="U254" s="207"/>
      <c r="V254" s="207"/>
      <c r="W254" s="207"/>
      <c r="X254" s="207"/>
      <c r="Y254" s="207"/>
      <c r="Z254" s="209"/>
      <c r="AA254" s="209"/>
      <c r="AB254" s="209"/>
      <c r="AC254" s="209"/>
      <c r="AD254" s="209"/>
      <c r="AE254" s="209"/>
      <c r="AF254" s="209"/>
      <c r="AG254" s="209"/>
      <c r="AH254" s="209"/>
      <c r="AI254" s="209"/>
      <c r="AJ254" s="209"/>
      <c r="AK254" s="209"/>
      <c r="AL254" s="209"/>
      <c r="AM254" s="209"/>
      <c r="AN254" s="207"/>
      <c r="AO254" s="207"/>
      <c r="AP254" s="207"/>
      <c r="AQ254" s="207"/>
      <c r="AR254" s="207"/>
      <c r="AS254" s="207"/>
      <c r="AT254" s="207"/>
      <c r="AU254" s="207"/>
      <c r="AV254" s="207"/>
      <c r="AW254" s="207"/>
      <c r="AX254" s="207"/>
      <c r="AY254" s="207"/>
      <c r="AZ254" s="207"/>
      <c r="BA254" s="207"/>
      <c r="BB254" s="207"/>
      <c r="BC254" s="207"/>
      <c r="BD254" s="207"/>
      <c r="BE254" s="207"/>
      <c r="BF254" s="207"/>
      <c r="BG254" s="207"/>
      <c r="BH254" s="207"/>
      <c r="BI254" s="207"/>
      <c r="BJ254" s="207"/>
      <c r="BK254" s="207"/>
      <c r="BL254" s="207"/>
      <c r="BM254" s="207"/>
      <c r="BN254" s="207"/>
      <c r="BO254" s="207"/>
      <c r="BP254" s="207"/>
      <c r="BQ254" s="207"/>
      <c r="BR254" s="207"/>
      <c r="BS254" s="207"/>
      <c r="BT254" s="207"/>
      <c r="BU254" s="207"/>
      <c r="BV254" s="207"/>
      <c r="BW254" s="207"/>
      <c r="BX254" s="207"/>
      <c r="BY254" s="207"/>
      <c r="BZ254" s="207"/>
      <c r="CA254" s="207"/>
      <c r="CB254" s="207"/>
      <c r="CC254" s="207"/>
      <c r="CD254" s="207"/>
      <c r="CE254" s="207"/>
      <c r="CF254" s="207"/>
      <c r="CG254" s="207"/>
      <c r="CH254" s="207"/>
      <c r="CI254" s="207"/>
      <c r="CJ254" s="207"/>
      <c r="CK254" s="207"/>
      <c r="CL254" s="207"/>
      <c r="CM254" s="207"/>
      <c r="CN254" s="207"/>
      <c r="CO254" s="207"/>
      <c r="CP254" s="207"/>
      <c r="CQ254" s="207"/>
      <c r="CR254" s="207"/>
      <c r="CS254" s="207"/>
      <c r="CT254" s="207"/>
      <c r="CU254" s="207"/>
      <c r="CV254" s="207"/>
      <c r="CW254" s="207"/>
      <c r="CX254" s="207"/>
      <c r="CY254" s="207"/>
      <c r="CZ254" s="207"/>
      <c r="DA254" s="207"/>
      <c r="DB254" s="207"/>
      <c r="DC254" s="207"/>
      <c r="DD254" s="207"/>
    </row>
    <row r="255">
      <c r="A255" s="204"/>
      <c r="B255" s="205"/>
      <c r="C255" s="204"/>
      <c r="D255" s="206"/>
      <c r="E255" s="207"/>
      <c r="F255" s="207"/>
      <c r="G255" s="207"/>
      <c r="H255" s="208"/>
      <c r="I255" s="208"/>
      <c r="J255" s="208"/>
      <c r="K255" s="208"/>
      <c r="L255" s="208"/>
      <c r="M255" s="208"/>
      <c r="N255" s="208"/>
      <c r="O255" s="208"/>
      <c r="P255" s="208"/>
      <c r="Q255" s="208"/>
      <c r="R255" s="208"/>
      <c r="S255" s="208"/>
      <c r="T255" s="207"/>
      <c r="U255" s="207"/>
      <c r="V255" s="207"/>
      <c r="W255" s="207"/>
      <c r="X255" s="207"/>
      <c r="Y255" s="207"/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  <c r="AK255" s="209"/>
      <c r="AL255" s="209"/>
      <c r="AM255" s="209"/>
      <c r="AN255" s="207"/>
      <c r="AO255" s="207"/>
      <c r="AP255" s="207"/>
      <c r="AQ255" s="207"/>
      <c r="AR255" s="207"/>
      <c r="AS255" s="207"/>
      <c r="AT255" s="207"/>
      <c r="AU255" s="207"/>
      <c r="AV255" s="207"/>
      <c r="AW255" s="207"/>
      <c r="AX255" s="207"/>
      <c r="AY255" s="207"/>
      <c r="AZ255" s="207"/>
      <c r="BA255" s="207"/>
      <c r="BB255" s="207"/>
      <c r="BC255" s="207"/>
      <c r="BD255" s="207"/>
      <c r="BE255" s="207"/>
      <c r="BF255" s="207"/>
      <c r="BG255" s="207"/>
      <c r="BH255" s="207"/>
      <c r="BI255" s="207"/>
      <c r="BJ255" s="207"/>
      <c r="BK255" s="207"/>
      <c r="BL255" s="207"/>
      <c r="BM255" s="207"/>
      <c r="BN255" s="207"/>
      <c r="BO255" s="207"/>
      <c r="BP255" s="207"/>
      <c r="BQ255" s="207"/>
      <c r="BR255" s="207"/>
      <c r="BS255" s="207"/>
      <c r="BT255" s="207"/>
      <c r="BU255" s="207"/>
      <c r="BV255" s="207"/>
      <c r="BW255" s="207"/>
      <c r="BX255" s="207"/>
      <c r="BY255" s="207"/>
      <c r="BZ255" s="207"/>
      <c r="CA255" s="207"/>
      <c r="CB255" s="207"/>
      <c r="CC255" s="207"/>
      <c r="CD255" s="207"/>
      <c r="CE255" s="207"/>
      <c r="CF255" s="207"/>
      <c r="CG255" s="207"/>
      <c r="CH255" s="207"/>
      <c r="CI255" s="207"/>
      <c r="CJ255" s="207"/>
      <c r="CK255" s="207"/>
      <c r="CL255" s="207"/>
      <c r="CM255" s="207"/>
      <c r="CN255" s="207"/>
      <c r="CO255" s="207"/>
      <c r="CP255" s="207"/>
      <c r="CQ255" s="207"/>
      <c r="CR255" s="207"/>
      <c r="CS255" s="207"/>
      <c r="CT255" s="207"/>
      <c r="CU255" s="207"/>
      <c r="CV255" s="207"/>
      <c r="CW255" s="207"/>
      <c r="CX255" s="207"/>
      <c r="CY255" s="207"/>
      <c r="CZ255" s="207"/>
      <c r="DA255" s="207"/>
      <c r="DB255" s="207"/>
      <c r="DC255" s="207"/>
      <c r="DD255" s="207"/>
    </row>
  </sheetData>
  <mergeCells>
    <mergeCell ref="E3:F3"/>
    <mergeCell ref="H3:R3"/>
    <mergeCell ref="S3:X3"/>
    <mergeCell ref="E5:F5"/>
    <mergeCell ref="H5:S5"/>
    <mergeCell ref="T5:X5"/>
    <mergeCell ref="E7:F7"/>
    <mergeCell ref="H7:S7"/>
    <mergeCell ref="E9:F9"/>
    <mergeCell ref="H9:R9"/>
    <mergeCell ref="U9:X9"/>
    <mergeCell ref="AC10:AE10"/>
    <mergeCell ref="H11:S11"/>
    <mergeCell ref="AF11:AW11"/>
    <mergeCell ref="I12:T12"/>
    <mergeCell ref="AB12:AD12"/>
    <mergeCell ref="U13:Y13"/>
    <mergeCell ref="AE13:AR13"/>
    <mergeCell ref="E15:S15"/>
    <mergeCell ref="U15:Y15"/>
    <mergeCell ref="AE15:AR15"/>
    <mergeCell ref="AN16:AW16"/>
    <mergeCell ref="E17:S17"/>
    <mergeCell ref="U17:AF17"/>
    <mergeCell ref="T18:Y18"/>
    <mergeCell ref="AB18:AL18"/>
    <mergeCell ref="AN18:AW18"/>
    <mergeCell ref="E20:T20"/>
    <mergeCell ref="U21:AH21"/>
    <mergeCell ref="AM21:AW21"/>
    <mergeCell ref="W22:Y22"/>
    <mergeCell ref="I23:V23"/>
    <mergeCell ref="AE23:AR23"/>
    <mergeCell ref="I25:V25"/>
    <mergeCell ref="W25:AJ25"/>
    <mergeCell ref="AM25:AW25"/>
    <mergeCell ref="I27:V27"/>
    <mergeCell ref="Z27:AM27"/>
    <mergeCell ref="AN27:AW27"/>
    <mergeCell ref="E28:G28"/>
    <mergeCell ref="H28:S28"/>
    <mergeCell ref="T28:AL28"/>
    <mergeCell ref="T30:AL30"/>
    <mergeCell ref="E31:G31"/>
    <mergeCell ref="H31:S31"/>
    <mergeCell ref="T32:AL32"/>
    <mergeCell ref="E33:G33"/>
    <mergeCell ref="H33:S33"/>
    <mergeCell ref="T34:AL34"/>
    <mergeCell ref="E35:G35"/>
    <mergeCell ref="H35:S35"/>
    <mergeCell ref="E37:G37"/>
    <mergeCell ref="T37:AA37"/>
    <mergeCell ref="H39:S39"/>
    <mergeCell ref="AB40:AD40"/>
    <mergeCell ref="J41:U41"/>
    <mergeCell ref="AE41:AW41"/>
    <mergeCell ref="AB42:AD42"/>
    <mergeCell ref="J43:U43"/>
    <mergeCell ref="AE43:AW43"/>
    <mergeCell ref="H47:S47"/>
    <mergeCell ref="E48:G48"/>
    <mergeCell ref="H49:S49"/>
    <mergeCell ref="U49:AH49"/>
    <mergeCell ref="T50:Y50"/>
    <mergeCell ref="AB50:AD50"/>
    <mergeCell ref="H51:S51"/>
    <mergeCell ref="AE51:AR51"/>
    <mergeCell ref="E53:G53"/>
    <mergeCell ref="H53:S53"/>
    <mergeCell ref="T53:V53"/>
    <mergeCell ref="AN54:AW54"/>
    <mergeCell ref="H55:S55"/>
    <mergeCell ref="Z55:AM55"/>
    <mergeCell ref="A2:A11"/>
    <mergeCell ref="A12:A19"/>
    <mergeCell ref="A20:A27"/>
    <mergeCell ref="A28:A35"/>
    <mergeCell ref="A36:A45"/>
    <mergeCell ref="A46:A55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</mergeCells>
  <legacyDrawing r:id="rId1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17.4"/>
    <col collapsed="false" customWidth="true" hidden="false" max="17" min="17" style="0" width="17.4"/>
    <col collapsed="false" customWidth="true" hidden="false" max="34" min="34" style="0" width="17.4"/>
    <col collapsed="false" customWidth="true" hidden="false" max="49" min="49" style="0" width="17.4"/>
    <col collapsed="false" customWidth="true" hidden="false" max="66" min="66" style="0" width="17.4"/>
    <col collapsed="false" customWidth="true" hidden="false" max="8" min="8" style="0" width="17.4"/>
    <col collapsed="false" customWidth="true" hidden="false" max="24" min="24" style="0" width="17.4"/>
    <col collapsed="false" customWidth="true" hidden="false" max="33" min="33" style="0" width="17.4"/>
    <col collapsed="false" customWidth="true" hidden="false" max="56" min="56" style="0" width="17.4"/>
    <col collapsed="false" customWidth="true" hidden="false" max="65" min="65" style="0" width="17.4"/>
    <col collapsed="false" customWidth="true" hidden="false" max="7" min="7" style="0" width="17.4"/>
    <col collapsed="false" customWidth="true" hidden="false" max="23" min="23" style="0" width="17.4"/>
    <col collapsed="false" customWidth="true" hidden="false" max="40" min="40" style="0" width="17.4"/>
    <col collapsed="false" customWidth="true" hidden="false" max="55" min="55" style="0" width="17.4"/>
    <col collapsed="false" customWidth="true" hidden="false" max="72" min="72" style="0" width="17.4"/>
    <col collapsed="false" customWidth="true" hidden="false" max="6" min="6" style="0" width="17.4"/>
    <col collapsed="false" customWidth="true" hidden="false" max="22" min="22" style="0" width="17.4"/>
    <col collapsed="false" customWidth="true" hidden="false" max="39" min="39" style="0" width="17.4"/>
    <col collapsed="false" customWidth="true" hidden="false" max="54" min="54" style="0" width="17.4"/>
    <col collapsed="false" customWidth="true" hidden="false" max="71" min="71" style="0" width="17.4"/>
    <col collapsed="false" customWidth="true" hidden="false" max="5" min="5" style="0" width="17.4"/>
    <col collapsed="false" customWidth="true" hidden="false" max="21" min="21" style="0" width="17.4"/>
    <col collapsed="false" customWidth="true" hidden="false" max="38" min="38" style="0" width="17.4"/>
    <col collapsed="false" customWidth="true" hidden="false" max="53" min="53" style="0" width="17.4"/>
    <col collapsed="false" customWidth="true" hidden="false" max="70" min="70" style="0" width="17.4"/>
    <col collapsed="false" customWidth="true" hidden="false" max="12" min="12" style="0" width="17.4"/>
    <col collapsed="false" customWidth="true" hidden="false" max="28" min="28" style="0" width="17.4"/>
    <col collapsed="false" customWidth="true" hidden="false" max="37" min="37" style="0" width="17.4"/>
    <col collapsed="false" customWidth="true" hidden="false" max="69" min="69" style="0" width="17.4"/>
    <col collapsed="false" customWidth="true" hidden="false" max="11" min="11" style="0" width="17.4"/>
    <col collapsed="false" customWidth="true" hidden="false" max="27" min="27" style="0" width="17.4"/>
    <col collapsed="false" customWidth="true" hidden="false" max="44" min="44" style="0" width="17.4"/>
    <col collapsed="false" customWidth="true" hidden="false" max="60" min="60" style="0" width="17.4"/>
    <col collapsed="false" customWidth="true" hidden="false" max="10" min="10" style="0" width="17.4"/>
    <col collapsed="false" customWidth="true" hidden="false" max="26" min="26" style="0" width="17.4"/>
    <col collapsed="false" customWidth="true" hidden="false" max="43" min="43" style="0" width="17.4"/>
    <col collapsed="false" customWidth="true" hidden="false" max="59" min="59" style="0" width="17.4"/>
    <col collapsed="false" customWidth="true" hidden="false" max="9" min="9" style="0" width="17.4"/>
    <col collapsed="false" customWidth="true" hidden="false" max="25" min="25" style="0" width="17.4"/>
    <col collapsed="false" customWidth="true" hidden="false" max="42" min="42" style="0" width="17.4"/>
    <col collapsed="false" customWidth="true" hidden="false" max="58" min="58" style="0" width="17.4"/>
    <col collapsed="false" customWidth="true" hidden="false" max="16" min="16" style="0" width="17.4"/>
    <col collapsed="false" customWidth="true" hidden="false" max="32" min="32" style="0" width="17.4"/>
    <col collapsed="false" customWidth="true" hidden="false" max="41" min="41" style="0" width="17.4"/>
    <col collapsed="false" customWidth="true" hidden="false" max="57" min="57" style="0" width="17.4"/>
    <col collapsed="false" customWidth="true" hidden="false" max="64" min="64" style="0" width="17.4"/>
    <col collapsed="false" customWidth="true" hidden="false" max="15" min="15" style="0" width="17.4"/>
    <col collapsed="false" customWidth="true" hidden="false" max="31" min="31" style="0" width="17.4"/>
    <col collapsed="false" customWidth="true" hidden="false" max="48" min="48" style="0" width="17.4"/>
    <col collapsed="false" customWidth="true" hidden="false" max="63" min="63" style="0" width="17.4"/>
    <col collapsed="false" customWidth="true" hidden="false" max="14" min="14" style="0" width="17.4"/>
    <col collapsed="false" customWidth="true" hidden="false" max="30" min="30" style="0" width="17.4"/>
    <col collapsed="false" customWidth="true" hidden="false" max="47" min="47" style="0" width="17.4"/>
    <col collapsed="false" customWidth="true" hidden="false" max="62" min="62" style="0" width="17.4"/>
    <col collapsed="false" customWidth="true" hidden="false" max="13" min="13" style="0" width="17.4"/>
    <col collapsed="false" customWidth="true" hidden="false" max="29" min="29" style="0" width="17.4"/>
    <col collapsed="false" customWidth="true" hidden="false" max="46" min="46" style="0" width="17.4"/>
    <col collapsed="false" customWidth="true" hidden="false" max="61" min="61" style="0" width="17.4"/>
    <col collapsed="false" customWidth="true" hidden="false" max="4" min="4" style="0" width="17.4"/>
    <col collapsed="false" customWidth="true" hidden="false" max="20" min="20" style="0" width="17.4"/>
    <col collapsed="false" customWidth="true" hidden="false" max="45" min="45" style="0" width="17.4"/>
    <col collapsed="false" customWidth="true" hidden="false" max="52" min="52" style="0" width="17.4"/>
    <col collapsed="false" customWidth="true" hidden="false" max="3" min="3" style="0" width="17.4"/>
    <col collapsed="false" customWidth="true" hidden="false" max="19" min="19" style="0" width="17.4"/>
    <col collapsed="false" customWidth="true" hidden="false" max="36" min="36" style="0" width="17.4"/>
    <col collapsed="false" customWidth="true" hidden="false" max="51" min="51" style="0" width="17.4"/>
    <col collapsed="false" customWidth="true" hidden="false" max="68" min="68" style="0" width="17.4"/>
    <col collapsed="false" customWidth="true" hidden="false" max="2" min="2" style="0" width="17.4"/>
    <col collapsed="false" customWidth="true" hidden="false" max="18" min="18" style="0" width="17.4"/>
    <col collapsed="false" customWidth="true" hidden="false" max="35" min="35" style="0" width="17.4"/>
    <col collapsed="false" customWidth="true" hidden="false" max="50" min="50" style="0" width="17.4"/>
    <col collapsed="false" customWidth="true" hidden="false" max="67" min="67" style="0" width="17.4"/>
  </cols>
  <sheetData>
    <row customHeight="true" ht="18.51851851851852" r="1">
      <c r="A1" s="210" t="s">
        <v>984</v>
      </c>
      <c r="B1" s="211" t="s">
        <v>985</v>
      </c>
      <c r="C1" s="211" t="s">
        <v>986</v>
      </c>
      <c r="D1" s="210" t="s">
        <v>987</v>
      </c>
      <c r="E1" s="210" t="s">
        <v>988</v>
      </c>
      <c r="F1" s="212" t="s">
        <v>989</v>
      </c>
      <c r="G1" s="213" t="s">
        <v>990</v>
      </c>
      <c r="H1" s="214" t="s">
        <v>991</v>
      </c>
      <c r="I1" s="214" t="s">
        <v>992</v>
      </c>
      <c r="J1" s="215" t="s">
        <v>993</v>
      </c>
      <c r="K1" s="216" t="s">
        <v>994</v>
      </c>
      <c r="L1" s="217" t="s">
        <v>995</v>
      </c>
      <c r="M1" s="218" t="s">
        <v>996</v>
      </c>
      <c r="N1" s="219" t="s">
        <v>997</v>
      </c>
      <c r="O1" s="220" t="s">
        <v>998</v>
      </c>
      <c r="P1" s="221" t="s">
        <v>999</v>
      </c>
      <c r="Q1" s="222" t="s">
        <v>1000</v>
      </c>
      <c r="R1" s="217" t="s">
        <v>1001</v>
      </c>
      <c r="S1" s="223" t="s">
        <v>1002</v>
      </c>
      <c r="T1" s="210" t="s">
        <v>1003</v>
      </c>
      <c r="U1" s="224" t="s">
        <v>1004</v>
      </c>
      <c r="V1" s="224" t="s">
        <v>1005</v>
      </c>
      <c r="W1" s="224" t="s">
        <v>1006</v>
      </c>
      <c r="X1" s="225" t="s">
        <v>1007</v>
      </c>
      <c r="Y1" s="225" t="s">
        <v>1008</v>
      </c>
      <c r="Z1" s="224" t="s">
        <v>1009</v>
      </c>
      <c r="AA1" s="226" t="s">
        <v>1010</v>
      </c>
      <c r="AB1" s="226" t="s">
        <v>1011</v>
      </c>
      <c r="AC1" s="226" t="s">
        <v>1012</v>
      </c>
      <c r="AD1" s="226" t="s">
        <v>1013</v>
      </c>
      <c r="AE1" s="227" t="s">
        <v>1014</v>
      </c>
      <c r="AF1" s="228" t="s">
        <v>1015</v>
      </c>
      <c r="AG1" s="227" t="s">
        <v>1016</v>
      </c>
      <c r="AH1" s="229" t="s">
        <v>1017</v>
      </c>
      <c r="AI1" s="229" t="s">
        <v>1018</v>
      </c>
      <c r="AJ1" s="230" t="s">
        <v>1019</v>
      </c>
      <c r="AK1" s="231" t="s">
        <v>1020</v>
      </c>
      <c r="AL1" s="231" t="s">
        <v>1021</v>
      </c>
      <c r="AM1" s="231" t="s">
        <v>1022</v>
      </c>
      <c r="AN1" s="231" t="s">
        <v>1023</v>
      </c>
      <c r="AO1" s="231" t="s">
        <v>1024</v>
      </c>
      <c r="AP1" s="231" t="s">
        <v>1025</v>
      </c>
      <c r="AQ1" s="231" t="s">
        <v>1026</v>
      </c>
      <c r="AR1" s="231" t="s">
        <v>1027</v>
      </c>
      <c r="AS1" s="231" t="s">
        <v>1028</v>
      </c>
      <c r="AT1" s="231" t="s">
        <v>1029</v>
      </c>
      <c r="AU1" s="232" t="s">
        <v>1030</v>
      </c>
      <c r="AV1" s="232" t="s">
        <v>1031</v>
      </c>
      <c r="AW1" s="232" t="s">
        <v>1032</v>
      </c>
      <c r="AX1" s="232" t="s">
        <v>1021</v>
      </c>
      <c r="AY1" s="232" t="s">
        <v>1022</v>
      </c>
      <c r="AZ1" s="232" t="s">
        <v>1023</v>
      </c>
      <c r="BA1" s="233" t="s">
        <v>1024</v>
      </c>
      <c r="BB1" s="233" t="s">
        <v>1025</v>
      </c>
      <c r="BC1" s="233" t="s">
        <v>1026</v>
      </c>
      <c r="BD1" s="233" t="s">
        <v>1027</v>
      </c>
      <c r="BE1" s="233" t="s">
        <v>1028</v>
      </c>
      <c r="BF1" s="233" t="s">
        <v>1029</v>
      </c>
      <c r="BG1" s="234" t="s">
        <v>1033</v>
      </c>
      <c r="BH1" s="234" t="s">
        <v>1031</v>
      </c>
      <c r="BI1" s="234" t="s">
        <v>1032</v>
      </c>
      <c r="BJ1" s="234" t="s">
        <v>1021</v>
      </c>
      <c r="BK1" s="234" t="s">
        <v>1022</v>
      </c>
      <c r="BL1" s="234" t="s">
        <v>1023</v>
      </c>
      <c r="BM1" s="229" t="s">
        <v>1024</v>
      </c>
      <c r="BN1" s="229" t="s">
        <v>1025</v>
      </c>
      <c r="BO1" s="229" t="s">
        <v>1026</v>
      </c>
      <c r="BP1" s="229" t="s">
        <v>1027</v>
      </c>
      <c r="BQ1" s="229" t="s">
        <v>1028</v>
      </c>
      <c r="BR1" s="229" t="s">
        <v>1029</v>
      </c>
      <c r="BS1" s="235" t="s">
        <v>1034</v>
      </c>
      <c r="BT1" s="236" t="s">
        <v>1035</v>
      </c>
    </row>
    <row customHeight="true" ht="18.51851851851852" r="2">
      <c r="A2" s="236" t="s">
        <v>1036</v>
      </c>
      <c r="B2" s="236"/>
      <c r="C2" s="236"/>
      <c r="D2" s="237"/>
      <c r="E2" s="238" t="s">
        <v>1037</v>
      </c>
      <c r="F2" s="239">
        <v>17.29</v>
      </c>
      <c r="G2" s="239">
        <v>24.92</v>
      </c>
      <c r="H2" s="240">
        <f t="shared" ref="H2:H10" si="5">INDEX(#NULL!,MATCH(1,(#NULL!=A2)*(#NULL!=C2),0))</f>
      </c>
      <c r="I2" s="240">
        <f t="shared" ref="I2:I10" si="0">H2=J2</f>
      </c>
      <c r="J2" s="241">
        <v>17.3</v>
      </c>
      <c r="K2" s="239">
        <v>24.99</v>
      </c>
      <c r="L2" s="242">
        <f t="shared" ref="L2:L10" si="14">J2-Q2/T2-AD2-AA2-R2-AB2-AC2</f>
      </c>
      <c r="M2" s="243">
        <f t="shared" ref="M2:M10" si="10">L2/J2</f>
      </c>
      <c r="N2" s="240">
        <f t="shared" ref="N2:N10" si="6">K2/1.2</f>
      </c>
      <c r="O2" s="244">
        <f t="shared" ref="O2:O10" si="1">(N2-J2)/N2</f>
      </c>
      <c r="P2" s="242">
        <f t="shared" ref="P2:P10" si="15">K2/1.2-J2</f>
      </c>
      <c r="Q2" s="240">
        <f t="shared" ref="Q2:Q10" si="11">AF2+AG2</f>
      </c>
      <c r="R2" s="240">
        <f t="shared" ref="R2:R10" si="7">IFERROR(IF(A2="UK",8.95/S2,IF(A2="DE",11.43/S2,IF(A2="FR",15.27/S2,IF(A2="IT",16.34/S2,IF(A2="ES",20.62/S2,IF(A2="NL",12/S2,IF(A2="PL",15.06/S2,IF(A2="SE",18.5/S2,IF(A2="BE",15.27/S2))))))))),0)</f>
      </c>
      <c r="S2" s="236">
        <v>16</v>
      </c>
      <c r="T2" s="245">
        <v>8.5</v>
      </c>
      <c r="U2" s="246">
        <v>0.05</v>
      </c>
      <c r="V2" s="246">
        <v>0.1</v>
      </c>
      <c r="W2" s="246">
        <v>0.01</v>
      </c>
      <c r="X2" s="246">
        <f t="shared" ref="X2:X10" si="2">Q2/(J2*T2)</f>
      </c>
      <c r="Y2" s="246">
        <f t="shared" ref="Y2:Y10" si="16">R2/J2</f>
      </c>
      <c r="Z2" s="244">
        <v>0.158</v>
      </c>
      <c r="AA2" s="247">
        <f t="shared" ref="AA2:AA10" si="12">J2*U2</f>
      </c>
      <c r="AB2" s="247">
        <f t="shared" ref="AB2:AB10" si="8">J2*V2</f>
      </c>
      <c r="AC2" s="247">
        <f t="shared" ref="AC2:AC10" si="3">J2*W2</f>
      </c>
      <c r="AD2" s="240">
        <f t="shared" ref="AD2:AD10" si="17">J2*Z2</f>
      </c>
      <c r="AE2" s="240">
        <f>61+2.5</f>
      </c>
      <c r="AF2" s="248">
        <f t="shared" ref="AF2:AF10" si="9">AE2/1.13</f>
      </c>
      <c r="AG2" s="245">
        <v>9.27</v>
      </c>
      <c r="AH2" s="246">
        <f t="shared" ref="AH2:AH10" si="4">AF2/(J2*T2)</f>
      </c>
      <c r="AI2" s="246">
        <f t="shared" ref="AI2:AI10" si="18">AG2/T2/J2</f>
      </c>
      <c r="AJ2" s="245">
        <v>9.27</v>
      </c>
      <c r="AK2" s="246"/>
      <c r="AL2" s="246"/>
      <c r="AM2" s="246"/>
      <c r="AN2" s="246"/>
      <c r="AO2" s="246"/>
      <c r="AP2" s="246"/>
      <c r="AQ2" s="246"/>
      <c r="AR2" s="246"/>
      <c r="AS2" s="246"/>
      <c r="AT2" s="246"/>
      <c r="AU2" s="249" t="s">
        <v>1038</v>
      </c>
      <c r="AV2" s="249" t="s">
        <v>1038</v>
      </c>
      <c r="AW2" s="249" t="s">
        <v>1038</v>
      </c>
      <c r="AX2" s="249" t="s">
        <v>1038</v>
      </c>
      <c r="AY2" s="249" t="s">
        <v>1038</v>
      </c>
      <c r="AZ2" s="249" t="s">
        <v>1038</v>
      </c>
      <c r="BA2" s="249" t="s">
        <v>1038</v>
      </c>
      <c r="BB2" s="249" t="s">
        <v>1038</v>
      </c>
      <c r="BC2" s="249" t="s">
        <v>1038</v>
      </c>
      <c r="BD2" s="249" t="s">
        <v>1038</v>
      </c>
      <c r="BE2" s="249" t="s">
        <v>1038</v>
      </c>
      <c r="BF2" s="249" t="s">
        <v>1038</v>
      </c>
      <c r="BG2" s="249" t="s">
        <v>1038</v>
      </c>
      <c r="BH2" s="249" t="s">
        <v>1038</v>
      </c>
      <c r="BI2" s="249" t="s">
        <v>1038</v>
      </c>
      <c r="BJ2" s="249" t="s">
        <v>1038</v>
      </c>
      <c r="BK2" s="249" t="s">
        <v>1038</v>
      </c>
      <c r="BL2" s="249" t="s">
        <v>1038</v>
      </c>
      <c r="BM2" s="249" t="s">
        <v>1038</v>
      </c>
      <c r="BN2" s="249" t="s">
        <v>1038</v>
      </c>
      <c r="BO2" s="249" t="s">
        <v>1038</v>
      </c>
      <c r="BP2" s="249" t="s">
        <v>1038</v>
      </c>
      <c r="BQ2" s="249" t="s">
        <v>1038</v>
      </c>
      <c r="BR2" s="249" t="s">
        <v>1038</v>
      </c>
      <c r="BS2" s="250"/>
      <c r="BT2" s="236" t="str">
        <v>#VALUE!</v>
      </c>
    </row>
    <row customHeight="true" ht="18.51851851851852" r="3">
      <c r="A3" s="236" t="s">
        <v>1039</v>
      </c>
      <c r="B3" s="236"/>
      <c r="C3" s="236"/>
      <c r="D3" s="237"/>
      <c r="E3" s="238" t="s">
        <v>1037</v>
      </c>
      <c r="F3" s="239">
        <v>20.33</v>
      </c>
      <c r="G3" s="239">
        <v>29.99</v>
      </c>
      <c r="H3" s="240">
        <f t="shared" si="5"/>
      </c>
      <c r="I3" s="240">
        <f t="shared" si="0"/>
      </c>
      <c r="J3" s="239">
        <v>20.33</v>
      </c>
      <c r="K3" s="239">
        <v>29.99</v>
      </c>
      <c r="L3" s="242">
        <f t="shared" si="14"/>
      </c>
      <c r="M3" s="243">
        <f t="shared" si="10"/>
      </c>
      <c r="N3" s="240">
        <f t="shared" si="6"/>
      </c>
      <c r="O3" s="244">
        <f t="shared" si="1"/>
      </c>
      <c r="P3" s="242">
        <f t="shared" si="15"/>
      </c>
      <c r="Q3" s="240">
        <f t="shared" si="11"/>
      </c>
      <c r="R3" s="240">
        <f t="shared" si="7"/>
      </c>
      <c r="S3" s="236">
        <v>16</v>
      </c>
      <c r="T3" s="245">
        <v>7.4</v>
      </c>
      <c r="U3" s="246">
        <v>0.05</v>
      </c>
      <c r="V3" s="246">
        <v>0.1</v>
      </c>
      <c r="W3" s="246">
        <v>0.01</v>
      </c>
      <c r="X3" s="246">
        <f t="shared" si="2"/>
      </c>
      <c r="Y3" s="246">
        <f t="shared" si="16"/>
      </c>
      <c r="Z3" s="244">
        <v>0.1695</v>
      </c>
      <c r="AA3" s="247">
        <f t="shared" si="12"/>
      </c>
      <c r="AB3" s="247">
        <f t="shared" si="8"/>
      </c>
      <c r="AC3" s="247">
        <f t="shared" si="3"/>
      </c>
      <c r="AD3" s="240">
        <f t="shared" si="17"/>
      </c>
      <c r="AE3" s="240">
        <v>61</v>
      </c>
      <c r="AF3" s="248">
        <f t="shared" si="9"/>
      </c>
      <c r="AG3" s="248">
        <v>8.8</v>
      </c>
      <c r="AH3" s="246">
        <f t="shared" si="4"/>
      </c>
      <c r="AI3" s="246">
        <f t="shared" si="18"/>
      </c>
      <c r="AJ3" s="248">
        <v>8.8</v>
      </c>
      <c r="AK3" s="246"/>
      <c r="AL3" s="246"/>
      <c r="AM3" s="246"/>
      <c r="AN3" s="246"/>
      <c r="AO3" s="249"/>
      <c r="AP3" s="249"/>
      <c r="AQ3" s="249"/>
      <c r="AR3" s="249"/>
      <c r="AS3" s="249"/>
      <c r="AT3" s="249"/>
      <c r="AU3" s="249" t="s">
        <v>1038</v>
      </c>
      <c r="AV3" s="249" t="s">
        <v>1038</v>
      </c>
      <c r="AW3" s="249" t="s">
        <v>1038</v>
      </c>
      <c r="AX3" s="249" t="s">
        <v>1038</v>
      </c>
      <c r="AY3" s="249" t="s">
        <v>1038</v>
      </c>
      <c r="AZ3" s="249" t="s">
        <v>1038</v>
      </c>
      <c r="BA3" s="249" t="s">
        <v>1038</v>
      </c>
      <c r="BB3" s="249" t="s">
        <v>1038</v>
      </c>
      <c r="BC3" s="249" t="s">
        <v>1038</v>
      </c>
      <c r="BD3" s="249" t="s">
        <v>1038</v>
      </c>
      <c r="BE3" s="249" t="s">
        <v>1038</v>
      </c>
      <c r="BF3" s="249" t="s">
        <v>1038</v>
      </c>
      <c r="BG3" s="249" t="s">
        <v>1038</v>
      </c>
      <c r="BH3" s="249" t="s">
        <v>1038</v>
      </c>
      <c r="BI3" s="249" t="s">
        <v>1038</v>
      </c>
      <c r="BJ3" s="249" t="s">
        <v>1038</v>
      </c>
      <c r="BK3" s="249" t="s">
        <v>1038</v>
      </c>
      <c r="BL3" s="249" t="s">
        <v>1038</v>
      </c>
      <c r="BM3" s="249" t="s">
        <v>1038</v>
      </c>
      <c r="BN3" s="249" t="s">
        <v>1038</v>
      </c>
      <c r="BO3" s="249" t="s">
        <v>1038</v>
      </c>
      <c r="BP3" s="249" t="s">
        <v>1038</v>
      </c>
      <c r="BQ3" s="249" t="s">
        <v>1038</v>
      </c>
      <c r="BR3" s="249" t="s">
        <v>1038</v>
      </c>
      <c r="BS3" s="250"/>
      <c r="BT3" s="236" t="str">
        <v>#VALUE!</v>
      </c>
    </row>
    <row customHeight="true" ht="18.51851851851852" r="4">
      <c r="A4" s="236" t="s">
        <v>1040</v>
      </c>
      <c r="B4" s="236"/>
      <c r="C4" s="236"/>
      <c r="D4" s="237"/>
      <c r="E4" s="238" t="s">
        <v>1037</v>
      </c>
      <c r="F4" s="239">
        <v>20.65</v>
      </c>
      <c r="G4" s="239">
        <v>29.99</v>
      </c>
      <c r="H4" s="240">
        <f t="shared" si="5"/>
      </c>
      <c r="I4" s="240">
        <f t="shared" si="0"/>
      </c>
      <c r="J4" s="239">
        <v>20.65</v>
      </c>
      <c r="K4" s="239">
        <v>29.99</v>
      </c>
      <c r="L4" s="242">
        <f t="shared" si="14"/>
      </c>
      <c r="M4" s="243">
        <f t="shared" si="10"/>
      </c>
      <c r="N4" s="240">
        <f t="shared" si="6"/>
      </c>
      <c r="O4" s="244">
        <f t="shared" si="1"/>
      </c>
      <c r="P4" s="242">
        <f t="shared" si="15"/>
      </c>
      <c r="Q4" s="240">
        <f t="shared" si="11"/>
      </c>
      <c r="R4" s="240">
        <f t="shared" si="7"/>
      </c>
      <c r="S4" s="236">
        <v>16</v>
      </c>
      <c r="T4" s="245">
        <v>7.4</v>
      </c>
      <c r="U4" s="246">
        <v>0.05</v>
      </c>
      <c r="V4" s="246">
        <v>0.1</v>
      </c>
      <c r="W4" s="246">
        <v>0.01</v>
      </c>
      <c r="X4" s="246">
        <f t="shared" si="2"/>
      </c>
      <c r="Y4" s="246">
        <f t="shared" si="16"/>
      </c>
      <c r="Z4" s="244">
        <v>0.198</v>
      </c>
      <c r="AA4" s="247">
        <f t="shared" si="12"/>
      </c>
      <c r="AB4" s="247">
        <f t="shared" si="8"/>
      </c>
      <c r="AC4" s="247">
        <f t="shared" si="3"/>
      </c>
      <c r="AD4" s="240">
        <f t="shared" si="17"/>
      </c>
      <c r="AE4" s="240">
        <v>61</v>
      </c>
      <c r="AF4" s="248">
        <f t="shared" si="9"/>
      </c>
      <c r="AG4" s="248">
        <v>8.8</v>
      </c>
      <c r="AH4" s="246">
        <f t="shared" si="4"/>
      </c>
      <c r="AI4" s="246">
        <f t="shared" si="18"/>
      </c>
      <c r="AJ4" s="248">
        <v>8.8</v>
      </c>
      <c r="AK4" s="246"/>
      <c r="AL4" s="246"/>
      <c r="AM4" s="246"/>
      <c r="AN4" s="246"/>
      <c r="AO4" s="249"/>
      <c r="AP4" s="249"/>
      <c r="AQ4" s="249"/>
      <c r="AR4" s="249"/>
      <c r="AS4" s="249"/>
      <c r="AT4" s="249"/>
      <c r="AU4" s="249" t="s">
        <v>1038</v>
      </c>
      <c r="AV4" s="249" t="s">
        <v>1038</v>
      </c>
      <c r="AW4" s="249" t="s">
        <v>1038</v>
      </c>
      <c r="AX4" s="249" t="s">
        <v>1038</v>
      </c>
      <c r="AY4" s="249" t="s">
        <v>1038</v>
      </c>
      <c r="AZ4" s="249" t="s">
        <v>1038</v>
      </c>
      <c r="BA4" s="249" t="s">
        <v>1038</v>
      </c>
      <c r="BB4" s="249" t="s">
        <v>1038</v>
      </c>
      <c r="BC4" s="249" t="s">
        <v>1038</v>
      </c>
      <c r="BD4" s="249" t="s">
        <v>1038</v>
      </c>
      <c r="BE4" s="249" t="s">
        <v>1038</v>
      </c>
      <c r="BF4" s="249" t="s">
        <v>1038</v>
      </c>
      <c r="BG4" s="249" t="s">
        <v>1038</v>
      </c>
      <c r="BH4" s="249" t="s">
        <v>1038</v>
      </c>
      <c r="BI4" s="249" t="s">
        <v>1038</v>
      </c>
      <c r="BJ4" s="249" t="s">
        <v>1038</v>
      </c>
      <c r="BK4" s="249" t="s">
        <v>1038</v>
      </c>
      <c r="BL4" s="249" t="s">
        <v>1038</v>
      </c>
      <c r="BM4" s="249" t="s">
        <v>1038</v>
      </c>
      <c r="BN4" s="249" t="s">
        <v>1038</v>
      </c>
      <c r="BO4" s="249" t="s">
        <v>1038</v>
      </c>
      <c r="BP4" s="249" t="s">
        <v>1038</v>
      </c>
      <c r="BQ4" s="249" t="s">
        <v>1038</v>
      </c>
      <c r="BR4" s="249" t="s">
        <v>1038</v>
      </c>
      <c r="BS4" s="250"/>
      <c r="BT4" s="236" t="str">
        <v>#VALUE!</v>
      </c>
    </row>
    <row customHeight="true" ht="18.51851851851852" r="5">
      <c r="A5" s="236" t="s">
        <v>1041</v>
      </c>
      <c r="B5" s="236"/>
      <c r="C5" s="236"/>
      <c r="D5" s="237"/>
      <c r="E5" s="238" t="s">
        <v>1037</v>
      </c>
      <c r="F5" s="239">
        <v>20.99</v>
      </c>
      <c r="G5" s="239">
        <v>29.99</v>
      </c>
      <c r="H5" s="240">
        <f t="shared" si="5"/>
      </c>
      <c r="I5" s="240">
        <f t="shared" si="0"/>
      </c>
      <c r="J5" s="239">
        <v>20.99</v>
      </c>
      <c r="K5" s="239">
        <v>29.99</v>
      </c>
      <c r="L5" s="242">
        <f t="shared" si="14"/>
      </c>
      <c r="M5" s="243">
        <f t="shared" si="10"/>
      </c>
      <c r="N5" s="240">
        <f t="shared" si="6"/>
      </c>
      <c r="O5" s="244">
        <f t="shared" si="1"/>
      </c>
      <c r="P5" s="242">
        <f t="shared" si="15"/>
      </c>
      <c r="Q5" s="240">
        <f t="shared" si="11"/>
      </c>
      <c r="R5" s="240">
        <f t="shared" si="7"/>
      </c>
      <c r="S5" s="236">
        <v>16</v>
      </c>
      <c r="T5" s="245">
        <v>7.4</v>
      </c>
      <c r="U5" s="246">
        <v>0.05</v>
      </c>
      <c r="V5" s="246">
        <v>0.1</v>
      </c>
      <c r="W5" s="246">
        <v>0.01</v>
      </c>
      <c r="X5" s="246">
        <f t="shared" si="2"/>
      </c>
      <c r="Y5" s="246">
        <f t="shared" si="16"/>
      </c>
      <c r="Z5" s="244">
        <v>0.1846</v>
      </c>
      <c r="AA5" s="247">
        <f t="shared" si="12"/>
      </c>
      <c r="AB5" s="247">
        <f t="shared" si="8"/>
      </c>
      <c r="AC5" s="247">
        <f t="shared" si="3"/>
      </c>
      <c r="AD5" s="240">
        <f t="shared" si="17"/>
      </c>
      <c r="AE5" s="240">
        <v>61</v>
      </c>
      <c r="AF5" s="248">
        <f t="shared" si="9"/>
      </c>
      <c r="AG5" s="248">
        <v>8.8</v>
      </c>
      <c r="AH5" s="246">
        <f t="shared" si="4"/>
      </c>
      <c r="AI5" s="246">
        <f t="shared" si="18"/>
      </c>
      <c r="AJ5" s="248">
        <v>8.8</v>
      </c>
      <c r="AK5" s="243"/>
      <c r="AL5" s="243"/>
      <c r="AM5" s="243"/>
      <c r="AN5" s="243"/>
      <c r="AO5" s="249"/>
      <c r="AP5" s="249"/>
      <c r="AQ5" s="249"/>
      <c r="AR5" s="249"/>
      <c r="AS5" s="249"/>
      <c r="AT5" s="249"/>
      <c r="AU5" s="249" t="s">
        <v>1038</v>
      </c>
      <c r="AV5" s="249" t="s">
        <v>1038</v>
      </c>
      <c r="AW5" s="249" t="s">
        <v>1038</v>
      </c>
      <c r="AX5" s="249" t="s">
        <v>1038</v>
      </c>
      <c r="AY5" s="249" t="s">
        <v>1038</v>
      </c>
      <c r="AZ5" s="249" t="s">
        <v>1038</v>
      </c>
      <c r="BA5" s="249" t="s">
        <v>1038</v>
      </c>
      <c r="BB5" s="249" t="s">
        <v>1038</v>
      </c>
      <c r="BC5" s="249" t="s">
        <v>1038</v>
      </c>
      <c r="BD5" s="249" t="s">
        <v>1038</v>
      </c>
      <c r="BE5" s="249" t="s">
        <v>1038</v>
      </c>
      <c r="BF5" s="249" t="s">
        <v>1038</v>
      </c>
      <c r="BG5" s="249" t="s">
        <v>1038</v>
      </c>
      <c r="BH5" s="249" t="s">
        <v>1038</v>
      </c>
      <c r="BI5" s="249" t="s">
        <v>1038</v>
      </c>
      <c r="BJ5" s="249" t="s">
        <v>1038</v>
      </c>
      <c r="BK5" s="249" t="s">
        <v>1038</v>
      </c>
      <c r="BL5" s="249" t="s">
        <v>1038</v>
      </c>
      <c r="BM5" s="249" t="s">
        <v>1038</v>
      </c>
      <c r="BN5" s="249" t="s">
        <v>1038</v>
      </c>
      <c r="BO5" s="249" t="s">
        <v>1038</v>
      </c>
      <c r="BP5" s="249" t="s">
        <v>1038</v>
      </c>
      <c r="BQ5" s="249" t="s">
        <v>1038</v>
      </c>
      <c r="BR5" s="249" t="s">
        <v>1038</v>
      </c>
      <c r="BS5" s="250"/>
      <c r="BT5" s="236" t="str">
        <v>#VALUE!</v>
      </c>
    </row>
    <row customHeight="true" ht="18.51851851851852" r="6">
      <c r="A6" s="236" t="s">
        <v>1042</v>
      </c>
      <c r="B6" s="236"/>
      <c r="C6" s="236"/>
      <c r="D6" s="237"/>
      <c r="E6" s="238" t="s">
        <v>1037</v>
      </c>
      <c r="F6" s="239">
        <v>20.99</v>
      </c>
      <c r="G6" s="239">
        <v>29.99</v>
      </c>
      <c r="H6" s="240">
        <f t="shared" si="5"/>
      </c>
      <c r="I6" s="240">
        <f t="shared" si="0"/>
      </c>
      <c r="J6" s="239">
        <v>20.99</v>
      </c>
      <c r="K6" s="239">
        <v>29.99</v>
      </c>
      <c r="L6" s="242">
        <f t="shared" si="14"/>
      </c>
      <c r="M6" s="243">
        <f t="shared" si="10"/>
      </c>
      <c r="N6" s="240">
        <f t="shared" si="6"/>
      </c>
      <c r="O6" s="244">
        <f t="shared" si="1"/>
      </c>
      <c r="P6" s="242">
        <f t="shared" si="15"/>
      </c>
      <c r="Q6" s="240">
        <f t="shared" si="11"/>
      </c>
      <c r="R6" s="240">
        <f t="shared" si="7"/>
      </c>
      <c r="S6" s="236">
        <v>16</v>
      </c>
      <c r="T6" s="245">
        <v>7.4</v>
      </c>
      <c r="U6" s="246">
        <v>0.05</v>
      </c>
      <c r="V6" s="246">
        <v>0.1</v>
      </c>
      <c r="W6" s="246">
        <v>0.01</v>
      </c>
      <c r="X6" s="246">
        <f t="shared" si="2"/>
      </c>
      <c r="Y6" s="246">
        <f t="shared" si="16"/>
      </c>
      <c r="Z6" s="244">
        <v>0.1646</v>
      </c>
      <c r="AA6" s="247">
        <f t="shared" si="12"/>
      </c>
      <c r="AB6" s="247">
        <f t="shared" si="8"/>
      </c>
      <c r="AC6" s="247">
        <f t="shared" si="3"/>
      </c>
      <c r="AD6" s="240">
        <f t="shared" si="17"/>
      </c>
      <c r="AE6" s="240">
        <v>61</v>
      </c>
      <c r="AF6" s="248">
        <f t="shared" si="9"/>
      </c>
      <c r="AG6" s="248">
        <v>8.8</v>
      </c>
      <c r="AH6" s="246">
        <f t="shared" si="4"/>
      </c>
      <c r="AI6" s="246">
        <f t="shared" si="18"/>
      </c>
      <c r="AJ6" s="248">
        <v>8.8</v>
      </c>
      <c r="AK6" s="246"/>
      <c r="AL6" s="246"/>
      <c r="AM6" s="246"/>
      <c r="AN6" s="246"/>
      <c r="AO6" s="249"/>
      <c r="AP6" s="249"/>
      <c r="AQ6" s="249"/>
      <c r="AR6" s="249"/>
      <c r="AS6" s="249"/>
      <c r="AT6" s="249"/>
      <c r="AU6" s="249" t="s">
        <v>1038</v>
      </c>
      <c r="AV6" s="249" t="s">
        <v>1038</v>
      </c>
      <c r="AW6" s="249" t="s">
        <v>1038</v>
      </c>
      <c r="AX6" s="249" t="s">
        <v>1038</v>
      </c>
      <c r="AY6" s="249" t="s">
        <v>1038</v>
      </c>
      <c r="AZ6" s="249" t="s">
        <v>1038</v>
      </c>
      <c r="BA6" s="249" t="s">
        <v>1038</v>
      </c>
      <c r="BB6" s="249" t="s">
        <v>1038</v>
      </c>
      <c r="BC6" s="249" t="s">
        <v>1038</v>
      </c>
      <c r="BD6" s="249" t="s">
        <v>1038</v>
      </c>
      <c r="BE6" s="249" t="s">
        <v>1038</v>
      </c>
      <c r="BF6" s="249" t="s">
        <v>1038</v>
      </c>
      <c r="BG6" s="249" t="s">
        <v>1038</v>
      </c>
      <c r="BH6" s="249" t="s">
        <v>1038</v>
      </c>
      <c r="BI6" s="249" t="s">
        <v>1038</v>
      </c>
      <c r="BJ6" s="249" t="s">
        <v>1038</v>
      </c>
      <c r="BK6" s="249" t="s">
        <v>1038</v>
      </c>
      <c r="BL6" s="249" t="s">
        <v>1038</v>
      </c>
      <c r="BM6" s="249" t="s">
        <v>1038</v>
      </c>
      <c r="BN6" s="249" t="s">
        <v>1038</v>
      </c>
      <c r="BO6" s="249" t="s">
        <v>1038</v>
      </c>
      <c r="BP6" s="249" t="s">
        <v>1038</v>
      </c>
      <c r="BQ6" s="249" t="s">
        <v>1038</v>
      </c>
      <c r="BR6" s="249" t="s">
        <v>1038</v>
      </c>
      <c r="BS6" s="250"/>
      <c r="BT6" s="236" t="str">
        <v>#VALUE!</v>
      </c>
    </row>
    <row customHeight="true" ht="18.51851851851852" r="7">
      <c r="A7" s="236" t="s">
        <v>1043</v>
      </c>
      <c r="B7" s="236"/>
      <c r="C7" s="236"/>
      <c r="D7" s="237"/>
      <c r="E7" s="238" t="s">
        <v>1037</v>
      </c>
      <c r="F7" s="240">
        <v>48</v>
      </c>
      <c r="G7" s="251">
        <v>66.99</v>
      </c>
      <c r="H7" s="240">
        <f t="shared" si="5"/>
      </c>
      <c r="I7" s="240">
        <f t="shared" si="0"/>
      </c>
      <c r="J7" s="240">
        <v>22</v>
      </c>
      <c r="K7" s="251">
        <v>35</v>
      </c>
      <c r="L7" s="242">
        <f t="shared" si="14"/>
      </c>
      <c r="M7" s="243">
        <f t="shared" si="10"/>
      </c>
      <c r="N7" s="240">
        <f t="shared" si="6"/>
      </c>
      <c r="O7" s="244">
        <f t="shared" si="1"/>
      </c>
      <c r="P7" s="242">
        <f t="shared" si="15"/>
      </c>
      <c r="Q7" s="240">
        <f t="shared" si="11"/>
      </c>
      <c r="R7" s="240">
        <f t="shared" si="7"/>
      </c>
      <c r="S7" s="236">
        <v>16</v>
      </c>
      <c r="T7" s="245">
        <v>7.4</v>
      </c>
      <c r="U7" s="246">
        <v>0.05</v>
      </c>
      <c r="V7" s="246">
        <v>0.1</v>
      </c>
      <c r="W7" s="246">
        <v>0.01</v>
      </c>
      <c r="X7" s="246">
        <f t="shared" si="2"/>
      </c>
      <c r="Y7" s="246">
        <f t="shared" si="16"/>
      </c>
      <c r="Z7" s="244">
        <v>0.158</v>
      </c>
      <c r="AA7" s="247">
        <f t="shared" si="12"/>
      </c>
      <c r="AB7" s="247">
        <f t="shared" si="8"/>
      </c>
      <c r="AC7" s="247">
        <f t="shared" si="3"/>
      </c>
      <c r="AD7" s="240">
        <f t="shared" si="17"/>
      </c>
      <c r="AE7" s="240">
        <v>61</v>
      </c>
      <c r="AF7" s="248">
        <f t="shared" si="9"/>
      </c>
      <c r="AG7" s="248">
        <v>8.8</v>
      </c>
      <c r="AH7" s="246">
        <f t="shared" si="4"/>
      </c>
      <c r="AI7" s="246">
        <f t="shared" si="18"/>
      </c>
      <c r="AJ7" s="248">
        <v>8.8</v>
      </c>
      <c r="AK7" s="249"/>
      <c r="AL7" s="249"/>
      <c r="AM7" s="249"/>
      <c r="AN7" s="249"/>
      <c r="AO7" s="249"/>
      <c r="AP7" s="249"/>
      <c r="AQ7" s="249"/>
      <c r="AR7" s="249"/>
      <c r="AS7" s="249"/>
      <c r="AT7" s="249"/>
      <c r="AU7" s="249" t="s">
        <v>1038</v>
      </c>
      <c r="AV7" s="249" t="s">
        <v>1038</v>
      </c>
      <c r="AW7" s="249" t="s">
        <v>1038</v>
      </c>
      <c r="AX7" s="249" t="s">
        <v>1038</v>
      </c>
      <c r="AY7" s="249" t="s">
        <v>1038</v>
      </c>
      <c r="AZ7" s="249" t="s">
        <v>1038</v>
      </c>
      <c r="BA7" s="249" t="s">
        <v>1038</v>
      </c>
      <c r="BB7" s="249" t="s">
        <v>1038</v>
      </c>
      <c r="BC7" s="249" t="s">
        <v>1038</v>
      </c>
      <c r="BD7" s="249" t="s">
        <v>1038</v>
      </c>
      <c r="BE7" s="249" t="s">
        <v>1038</v>
      </c>
      <c r="BF7" s="249" t="s">
        <v>1038</v>
      </c>
      <c r="BG7" s="249" t="s">
        <v>1038</v>
      </c>
      <c r="BH7" s="249" t="s">
        <v>1038</v>
      </c>
      <c r="BI7" s="249" t="s">
        <v>1038</v>
      </c>
      <c r="BJ7" s="249" t="s">
        <v>1038</v>
      </c>
      <c r="BK7" s="249" t="s">
        <v>1038</v>
      </c>
      <c r="BL7" s="249" t="s">
        <v>1038</v>
      </c>
      <c r="BM7" s="249" t="s">
        <v>1038</v>
      </c>
      <c r="BN7" s="249" t="s">
        <v>1038</v>
      </c>
      <c r="BO7" s="249" t="s">
        <v>1038</v>
      </c>
      <c r="BP7" s="249" t="s">
        <v>1038</v>
      </c>
      <c r="BQ7" s="249" t="s">
        <v>1038</v>
      </c>
      <c r="BR7" s="249" t="s">
        <v>1038</v>
      </c>
      <c r="BS7" s="252">
        <f t="shared" ref="BS7:BS10" si="13">IF(H7&lt;J7,1,0)</f>
      </c>
      <c r="BT7" s="236" t="str">
        <v>#VALUE!</v>
      </c>
    </row>
    <row customHeight="true" ht="18.51851851851852" r="8">
      <c r="A8" s="236" t="s">
        <v>1044</v>
      </c>
      <c r="B8" s="236"/>
      <c r="C8" s="236"/>
      <c r="D8" s="237"/>
      <c r="E8" s="238" t="s">
        <v>1037</v>
      </c>
      <c r="F8" s="240">
        <v>209.99</v>
      </c>
      <c r="G8" s="251">
        <v>329</v>
      </c>
      <c r="H8" s="240">
        <f t="shared" si="5"/>
      </c>
      <c r="I8" s="240">
        <f t="shared" si="0"/>
      </c>
      <c r="J8" s="240">
        <v>99</v>
      </c>
      <c r="K8" s="251">
        <v>168</v>
      </c>
      <c r="L8" s="242">
        <f t="shared" si="14"/>
      </c>
      <c r="M8" s="243">
        <f t="shared" si="10"/>
      </c>
      <c r="N8" s="240">
        <f t="shared" si="6"/>
      </c>
      <c r="O8" s="244">
        <f t="shared" si="1"/>
      </c>
      <c r="P8" s="242">
        <f t="shared" si="15"/>
      </c>
      <c r="Q8" s="240">
        <f t="shared" si="11"/>
      </c>
      <c r="R8" s="240">
        <f t="shared" si="7"/>
      </c>
      <c r="S8" s="236">
        <v>16</v>
      </c>
      <c r="T8" s="245">
        <v>1.6</v>
      </c>
      <c r="U8" s="246">
        <v>0.05</v>
      </c>
      <c r="V8" s="246">
        <v>0.1</v>
      </c>
      <c r="W8" s="246">
        <v>0.01</v>
      </c>
      <c r="X8" s="246">
        <f t="shared" si="2"/>
      </c>
      <c r="Y8" s="246">
        <f t="shared" si="16"/>
      </c>
      <c r="Z8" s="244">
        <v>0.158</v>
      </c>
      <c r="AA8" s="247">
        <f t="shared" si="12"/>
      </c>
      <c r="AB8" s="247">
        <f t="shared" si="8"/>
      </c>
      <c r="AC8" s="247">
        <f t="shared" si="3"/>
      </c>
      <c r="AD8" s="240">
        <f t="shared" si="17"/>
      </c>
      <c r="AE8" s="240">
        <v>61</v>
      </c>
      <c r="AF8" s="248">
        <f t="shared" si="9"/>
      </c>
      <c r="AG8" s="248">
        <v>8.8</v>
      </c>
      <c r="AH8" s="246">
        <f t="shared" si="4"/>
      </c>
      <c r="AI8" s="246">
        <f t="shared" si="18"/>
      </c>
      <c r="AJ8" s="248">
        <v>8.8</v>
      </c>
      <c r="AK8" s="249"/>
      <c r="AL8" s="249"/>
      <c r="AM8" s="249"/>
      <c r="AN8" s="249"/>
      <c r="AO8" s="249"/>
      <c r="AP8" s="249"/>
      <c r="AQ8" s="249"/>
      <c r="AR8" s="249"/>
      <c r="AS8" s="249"/>
      <c r="AT8" s="249"/>
      <c r="AU8" s="249" t="s">
        <v>1038</v>
      </c>
      <c r="AV8" s="249" t="s">
        <v>1038</v>
      </c>
      <c r="AW8" s="249" t="s">
        <v>1038</v>
      </c>
      <c r="AX8" s="249" t="s">
        <v>1038</v>
      </c>
      <c r="AY8" s="249" t="s">
        <v>1038</v>
      </c>
      <c r="AZ8" s="249" t="s">
        <v>1038</v>
      </c>
      <c r="BA8" s="249" t="s">
        <v>1038</v>
      </c>
      <c r="BB8" s="249" t="s">
        <v>1038</v>
      </c>
      <c r="BC8" s="249" t="s">
        <v>1038</v>
      </c>
      <c r="BD8" s="249" t="s">
        <v>1038</v>
      </c>
      <c r="BE8" s="249" t="s">
        <v>1038</v>
      </c>
      <c r="BF8" s="249" t="s">
        <v>1038</v>
      </c>
      <c r="BG8" s="249" t="s">
        <v>1038</v>
      </c>
      <c r="BH8" s="249" t="s">
        <v>1038</v>
      </c>
      <c r="BI8" s="249" t="s">
        <v>1038</v>
      </c>
      <c r="BJ8" s="249" t="s">
        <v>1038</v>
      </c>
      <c r="BK8" s="249" t="s">
        <v>1038</v>
      </c>
      <c r="BL8" s="249" t="s">
        <v>1038</v>
      </c>
      <c r="BM8" s="249" t="s">
        <v>1038</v>
      </c>
      <c r="BN8" s="249" t="s">
        <v>1038</v>
      </c>
      <c r="BO8" s="249" t="s">
        <v>1038</v>
      </c>
      <c r="BP8" s="249" t="s">
        <v>1038</v>
      </c>
      <c r="BQ8" s="249" t="s">
        <v>1038</v>
      </c>
      <c r="BR8" s="249" t="s">
        <v>1038</v>
      </c>
      <c r="BS8" s="252">
        <f t="shared" si="13"/>
      </c>
      <c r="BT8" s="236" t="str">
        <v>#VALUE!</v>
      </c>
    </row>
    <row customHeight="true" ht="18.51851851851852" r="9">
      <c r="A9" s="236" t="s">
        <v>1045</v>
      </c>
      <c r="B9" s="236"/>
      <c r="C9" s="236"/>
      <c r="D9" s="237"/>
      <c r="E9" s="238" t="s">
        <v>1037</v>
      </c>
      <c r="F9" s="240">
        <v>474.5115</v>
      </c>
      <c r="G9" s="251">
        <v>720.76</v>
      </c>
      <c r="H9" s="240">
        <f t="shared" si="5"/>
      </c>
      <c r="I9" s="240">
        <f t="shared" si="0"/>
      </c>
      <c r="J9" s="240">
        <v>270</v>
      </c>
      <c r="K9" s="251">
        <v>538</v>
      </c>
      <c r="L9" s="242">
        <f t="shared" si="14"/>
      </c>
      <c r="M9" s="243">
        <f t="shared" si="10"/>
      </c>
      <c r="N9" s="240">
        <f t="shared" si="6"/>
      </c>
      <c r="O9" s="244">
        <f t="shared" si="1"/>
      </c>
      <c r="P9" s="242">
        <f t="shared" si="15"/>
      </c>
      <c r="Q9" s="240">
        <f t="shared" si="11"/>
      </c>
      <c r="R9" s="240">
        <f t="shared" si="7"/>
      </c>
      <c r="S9" s="236">
        <v>16</v>
      </c>
      <c r="T9" s="245">
        <v>0.6</v>
      </c>
      <c r="U9" s="246">
        <v>0.05</v>
      </c>
      <c r="V9" s="246">
        <v>0.1</v>
      </c>
      <c r="W9" s="246">
        <v>0.01</v>
      </c>
      <c r="X9" s="246">
        <f t="shared" si="2"/>
      </c>
      <c r="Y9" s="246">
        <f t="shared" si="16"/>
      </c>
      <c r="Z9" s="244">
        <v>0.223</v>
      </c>
      <c r="AA9" s="247">
        <f t="shared" si="12"/>
      </c>
      <c r="AB9" s="247">
        <f t="shared" si="8"/>
      </c>
      <c r="AC9" s="247">
        <f t="shared" si="3"/>
      </c>
      <c r="AD9" s="240">
        <f t="shared" si="17"/>
      </c>
      <c r="AE9" s="240">
        <v>61</v>
      </c>
      <c r="AF9" s="248">
        <f t="shared" si="9"/>
      </c>
      <c r="AG9" s="248">
        <v>8.8</v>
      </c>
      <c r="AH9" s="246">
        <f t="shared" si="4"/>
      </c>
      <c r="AI9" s="246">
        <f t="shared" si="18"/>
      </c>
      <c r="AJ9" s="248">
        <v>8.8</v>
      </c>
      <c r="AK9" s="249"/>
      <c r="AL9" s="249"/>
      <c r="AM9" s="249"/>
      <c r="AN9" s="249"/>
      <c r="AO9" s="249"/>
      <c r="AP9" s="249"/>
      <c r="AQ9" s="249"/>
      <c r="AR9" s="249"/>
      <c r="AS9" s="249"/>
      <c r="AT9" s="249"/>
      <c r="AU9" s="249" t="s">
        <v>1038</v>
      </c>
      <c r="AV9" s="249" t="s">
        <v>1038</v>
      </c>
      <c r="AW9" s="249" t="s">
        <v>1038</v>
      </c>
      <c r="AX9" s="249" t="s">
        <v>1038</v>
      </c>
      <c r="AY9" s="249" t="s">
        <v>1038</v>
      </c>
      <c r="AZ9" s="249" t="s">
        <v>1038</v>
      </c>
      <c r="BA9" s="249" t="s">
        <v>1038</v>
      </c>
      <c r="BB9" s="249" t="s">
        <v>1038</v>
      </c>
      <c r="BC9" s="249" t="s">
        <v>1038</v>
      </c>
      <c r="BD9" s="249" t="s">
        <v>1038</v>
      </c>
      <c r="BE9" s="249" t="s">
        <v>1038</v>
      </c>
      <c r="BF9" s="249" t="s">
        <v>1038</v>
      </c>
      <c r="BG9" s="249" t="s">
        <v>1038</v>
      </c>
      <c r="BH9" s="249" t="s">
        <v>1038</v>
      </c>
      <c r="BI9" s="249" t="s">
        <v>1038</v>
      </c>
      <c r="BJ9" s="249" t="s">
        <v>1038</v>
      </c>
      <c r="BK9" s="249" t="s">
        <v>1038</v>
      </c>
      <c r="BL9" s="249" t="s">
        <v>1038</v>
      </c>
      <c r="BM9" s="249" t="s">
        <v>1038</v>
      </c>
      <c r="BN9" s="249" t="s">
        <v>1038</v>
      </c>
      <c r="BO9" s="249" t="s">
        <v>1038</v>
      </c>
      <c r="BP9" s="249" t="s">
        <v>1038</v>
      </c>
      <c r="BQ9" s="249" t="s">
        <v>1038</v>
      </c>
      <c r="BR9" s="249" t="s">
        <v>1038</v>
      </c>
      <c r="BS9" s="252">
        <f t="shared" si="13"/>
      </c>
      <c r="BT9" s="236" t="str">
        <v>#VALUE!</v>
      </c>
    </row>
    <row customHeight="true" ht="18.51851851851852" r="10">
      <c r="A10" s="236" t="s">
        <v>1046</v>
      </c>
      <c r="B10" s="236"/>
      <c r="C10" s="236"/>
      <c r="D10" s="237"/>
      <c r="E10" s="238" t="s">
        <v>1037</v>
      </c>
      <c r="F10" s="240">
        <f>G10*0.7</f>
      </c>
      <c r="G10" s="251">
        <v>32.989</v>
      </c>
      <c r="H10" s="240">
        <f t="shared" si="5"/>
      </c>
      <c r="I10" s="240">
        <f t="shared" si="0"/>
      </c>
      <c r="J10" s="240">
        <v>23.09</v>
      </c>
      <c r="K10" s="251">
        <v>32.989</v>
      </c>
      <c r="L10" s="242">
        <f t="shared" si="14"/>
      </c>
      <c r="M10" s="243">
        <f t="shared" si="10"/>
      </c>
      <c r="N10" s="240">
        <f t="shared" si="6"/>
      </c>
      <c r="O10" s="244">
        <f t="shared" si="1"/>
      </c>
      <c r="P10" s="242">
        <f t="shared" si="15"/>
      </c>
      <c r="Q10" s="240">
        <f t="shared" si="11"/>
      </c>
      <c r="R10" s="240">
        <f t="shared" si="7"/>
      </c>
      <c r="S10" s="236">
        <v>16</v>
      </c>
      <c r="T10" s="245">
        <v>7.4</v>
      </c>
      <c r="U10" s="246">
        <v>0.06</v>
      </c>
      <c r="V10" s="246">
        <v>0.1</v>
      </c>
      <c r="W10" s="246">
        <v>0.01</v>
      </c>
      <c r="X10" s="246">
        <f t="shared" si="2"/>
      </c>
      <c r="Y10" s="246">
        <f t="shared" si="16"/>
      </c>
      <c r="Z10" s="244">
        <v>0.158</v>
      </c>
      <c r="AA10" s="247">
        <f t="shared" si="12"/>
      </c>
      <c r="AB10" s="247">
        <f t="shared" si="8"/>
      </c>
      <c r="AC10" s="247">
        <f t="shared" si="3"/>
      </c>
      <c r="AD10" s="240">
        <f t="shared" si="17"/>
      </c>
      <c r="AE10" s="240">
        <v>61</v>
      </c>
      <c r="AF10" s="248">
        <f t="shared" si="9"/>
      </c>
      <c r="AG10" s="248">
        <v>8.8</v>
      </c>
      <c r="AH10" s="246">
        <f t="shared" si="4"/>
      </c>
      <c r="AI10" s="246">
        <f t="shared" si="18"/>
      </c>
      <c r="AJ10" s="248">
        <v>8.8</v>
      </c>
      <c r="AK10" s="246"/>
      <c r="AL10" s="246"/>
      <c r="AM10" s="246"/>
      <c r="AN10" s="246"/>
      <c r="AO10" s="249"/>
      <c r="AP10" s="249"/>
      <c r="AQ10" s="249"/>
      <c r="AR10" s="249"/>
      <c r="AS10" s="249"/>
      <c r="AT10" s="249"/>
      <c r="AU10" s="249" t="s">
        <v>1038</v>
      </c>
      <c r="AV10" s="249" t="s">
        <v>1038</v>
      </c>
      <c r="AW10" s="249" t="s">
        <v>1038</v>
      </c>
      <c r="AX10" s="249" t="s">
        <v>1038</v>
      </c>
      <c r="AY10" s="249" t="s">
        <v>1038</v>
      </c>
      <c r="AZ10" s="249" t="s">
        <v>1038</v>
      </c>
      <c r="BA10" s="249" t="s">
        <v>1038</v>
      </c>
      <c r="BB10" s="249" t="s">
        <v>1038</v>
      </c>
      <c r="BC10" s="249" t="s">
        <v>1038</v>
      </c>
      <c r="BD10" s="249" t="s">
        <v>1038</v>
      </c>
      <c r="BE10" s="249" t="s">
        <v>1038</v>
      </c>
      <c r="BF10" s="249" t="s">
        <v>1038</v>
      </c>
      <c r="BG10" s="249" t="s">
        <v>1038</v>
      </c>
      <c r="BH10" s="249" t="s">
        <v>1038</v>
      </c>
      <c r="BI10" s="249" t="s">
        <v>1038</v>
      </c>
      <c r="BJ10" s="249" t="s">
        <v>1038</v>
      </c>
      <c r="BK10" s="249" t="s">
        <v>1038</v>
      </c>
      <c r="BL10" s="249" t="s">
        <v>1038</v>
      </c>
      <c r="BM10" s="249" t="s">
        <v>1038</v>
      </c>
      <c r="BN10" s="249" t="s">
        <v>1038</v>
      </c>
      <c r="BO10" s="249" t="s">
        <v>1038</v>
      </c>
      <c r="BP10" s="249" t="s">
        <v>1038</v>
      </c>
      <c r="BQ10" s="249" t="s">
        <v>1038</v>
      </c>
      <c r="BR10" s="249" t="s">
        <v>1038</v>
      </c>
      <c r="BS10" s="252">
        <f t="shared" si="13"/>
      </c>
      <c r="BT10" s="236" t="str">
        <v>#VALUE!</v>
      </c>
    </row>
    <row customHeight="true" ht="18.51851851851852" r="11">
      <c r="A11" s="236"/>
      <c r="B11" s="236"/>
      <c r="C11" s="236"/>
      <c r="D11" s="237"/>
      <c r="E11" s="238"/>
      <c r="F11" s="240"/>
      <c r="G11" s="251"/>
      <c r="H11" s="240"/>
      <c r="I11" s="240"/>
      <c r="J11" s="240"/>
      <c r="K11" s="251"/>
      <c r="L11" s="242"/>
      <c r="M11" s="243"/>
      <c r="N11" s="240"/>
      <c r="O11" s="244"/>
      <c r="P11" s="242"/>
      <c r="Q11" s="240"/>
      <c r="R11" s="240"/>
      <c r="S11" s="236"/>
      <c r="T11" s="245"/>
      <c r="U11" s="246"/>
      <c r="V11" s="246"/>
      <c r="W11" s="246"/>
      <c r="X11" s="246"/>
      <c r="Y11" s="246"/>
      <c r="Z11" s="244"/>
      <c r="AA11" s="247"/>
      <c r="AB11" s="247"/>
      <c r="AC11" s="247"/>
      <c r="AD11" s="240"/>
      <c r="AE11" s="240"/>
      <c r="AF11" s="248"/>
      <c r="AG11" s="248"/>
      <c r="AH11" s="246"/>
      <c r="AI11" s="246"/>
      <c r="AJ11" s="248"/>
      <c r="AK11" s="246"/>
      <c r="AL11" s="246"/>
      <c r="AM11" s="246"/>
      <c r="AN11" s="246"/>
      <c r="AO11" s="249"/>
      <c r="AP11" s="249"/>
      <c r="AQ11" s="249"/>
      <c r="AR11" s="249"/>
      <c r="AS11" s="249"/>
      <c r="AT11" s="249"/>
      <c r="AU11" s="249"/>
      <c r="AV11" s="249"/>
      <c r="AW11" s="249"/>
      <c r="AX11" s="249"/>
      <c r="AY11" s="249"/>
      <c r="AZ11" s="249"/>
      <c r="BA11" s="249"/>
      <c r="BB11" s="249"/>
      <c r="BC11" s="249"/>
      <c r="BD11" s="249"/>
      <c r="BE11" s="249"/>
      <c r="BF11" s="249"/>
      <c r="BG11" s="249"/>
      <c r="BH11" s="249"/>
      <c r="BI11" s="249"/>
      <c r="BJ11" s="249"/>
      <c r="BK11" s="249"/>
      <c r="BL11" s="249"/>
      <c r="BM11" s="249"/>
      <c r="BN11" s="249"/>
      <c r="BO11" s="249"/>
      <c r="BP11" s="249"/>
      <c r="BQ11" s="249"/>
      <c r="BR11" s="249"/>
      <c r="BS11" s="252"/>
      <c r="BT11" s="236"/>
    </row>
    <row customHeight="true" ht="18.51851851851852" r="12">
      <c r="A12" s="236"/>
      <c r="B12" s="236"/>
      <c r="C12" s="236"/>
      <c r="D12" s="237"/>
      <c r="E12" s="238"/>
      <c r="F12" s="240"/>
      <c r="G12" s="251"/>
      <c r="H12" s="240"/>
      <c r="I12" s="240"/>
      <c r="J12" s="240"/>
      <c r="K12" s="251"/>
      <c r="L12" s="242"/>
      <c r="M12" s="243"/>
      <c r="N12" s="240"/>
      <c r="O12" s="244"/>
      <c r="P12" s="242"/>
      <c r="Q12" s="240"/>
      <c r="R12" s="240"/>
      <c r="S12" s="236"/>
      <c r="T12" s="245"/>
      <c r="U12" s="246"/>
      <c r="V12" s="246"/>
      <c r="W12" s="246"/>
      <c r="X12" s="246"/>
      <c r="Y12" s="246"/>
      <c r="Z12" s="244"/>
      <c r="AA12" s="247"/>
      <c r="AB12" s="247"/>
      <c r="AC12" s="247"/>
      <c r="AD12" s="240"/>
      <c r="AE12" s="240"/>
      <c r="AF12" s="248"/>
      <c r="AG12" s="248"/>
      <c r="AH12" s="246"/>
      <c r="AI12" s="246"/>
      <c r="AJ12" s="248"/>
      <c r="AK12" s="246"/>
      <c r="AL12" s="246"/>
      <c r="AM12" s="246"/>
      <c r="AN12" s="246"/>
      <c r="AO12" s="249"/>
      <c r="AP12" s="249"/>
      <c r="AQ12" s="249"/>
      <c r="AR12" s="249"/>
      <c r="AS12" s="249"/>
      <c r="AT12" s="249"/>
      <c r="AU12" s="249"/>
      <c r="AV12" s="249"/>
      <c r="AW12" s="249"/>
      <c r="AX12" s="249"/>
      <c r="AY12" s="249"/>
      <c r="AZ12" s="249"/>
      <c r="BA12" s="249"/>
      <c r="BB12" s="249"/>
      <c r="BC12" s="249"/>
      <c r="BD12" s="249"/>
      <c r="BE12" s="249"/>
      <c r="BF12" s="249"/>
      <c r="BG12" s="249"/>
      <c r="BH12" s="249"/>
      <c r="BI12" s="249"/>
      <c r="BJ12" s="249"/>
      <c r="BK12" s="249"/>
      <c r="BL12" s="249"/>
      <c r="BM12" s="249"/>
      <c r="BN12" s="249"/>
      <c r="BO12" s="249"/>
      <c r="BP12" s="249"/>
      <c r="BQ12" s="249"/>
      <c r="BR12" s="249"/>
      <c r="BS12" s="252"/>
      <c r="BT12" s="236"/>
    </row>
    <row customHeight="true" ht="18.51851851851852" r="13">
      <c r="A13" s="236"/>
      <c r="B13" s="236"/>
      <c r="C13" s="236"/>
      <c r="D13" s="237"/>
      <c r="E13" s="238"/>
      <c r="F13" s="240"/>
      <c r="G13" s="251"/>
      <c r="H13" s="240"/>
      <c r="I13" s="240"/>
      <c r="J13" s="240"/>
      <c r="K13" s="251"/>
      <c r="L13" s="242"/>
      <c r="M13" s="243"/>
      <c r="N13" s="240"/>
      <c r="O13" s="244"/>
      <c r="P13" s="242"/>
      <c r="Q13" s="240"/>
      <c r="R13" s="240"/>
      <c r="S13" s="236"/>
      <c r="T13" s="245"/>
      <c r="U13" s="246"/>
      <c r="V13" s="246"/>
      <c r="W13" s="246"/>
      <c r="X13" s="246"/>
      <c r="Y13" s="246"/>
      <c r="Z13" s="244"/>
      <c r="AA13" s="247"/>
      <c r="AB13" s="247"/>
      <c r="AC13" s="247"/>
      <c r="AD13" s="240"/>
      <c r="AE13" s="240"/>
      <c r="AF13" s="248"/>
      <c r="AG13" s="248"/>
      <c r="AH13" s="246"/>
      <c r="AI13" s="246"/>
      <c r="AJ13" s="248"/>
      <c r="AK13" s="246"/>
      <c r="AL13" s="246"/>
      <c r="AM13" s="246"/>
      <c r="AN13" s="246"/>
      <c r="AO13" s="249"/>
      <c r="AP13" s="249"/>
      <c r="AQ13" s="249"/>
      <c r="AR13" s="249"/>
      <c r="AS13" s="249"/>
      <c r="AT13" s="249"/>
      <c r="AU13" s="249"/>
      <c r="AV13" s="249"/>
      <c r="AW13" s="249"/>
      <c r="AX13" s="249"/>
      <c r="AY13" s="249"/>
      <c r="AZ13" s="249"/>
      <c r="BA13" s="249"/>
      <c r="BB13" s="249"/>
      <c r="BC13" s="249"/>
      <c r="BD13" s="249"/>
      <c r="BE13" s="249"/>
      <c r="BF13" s="249"/>
      <c r="BG13" s="249"/>
      <c r="BH13" s="249"/>
      <c r="BI13" s="249"/>
      <c r="BJ13" s="249"/>
      <c r="BK13" s="249"/>
      <c r="BL13" s="249"/>
      <c r="BM13" s="249"/>
      <c r="BN13" s="249"/>
      <c r="BO13" s="249"/>
      <c r="BP13" s="249"/>
      <c r="BQ13" s="249"/>
      <c r="BR13" s="249"/>
      <c r="BS13" s="252"/>
      <c r="BT13" s="236"/>
    </row>
    <row customHeight="true" ht="18.51851851851852" r="14">
      <c r="A14" s="236"/>
      <c r="B14" s="236"/>
      <c r="C14" s="236"/>
      <c r="D14" s="237"/>
      <c r="E14" s="238"/>
      <c r="F14" s="240"/>
      <c r="G14" s="251"/>
      <c r="H14" s="240"/>
      <c r="I14" s="240"/>
      <c r="J14" s="240"/>
      <c r="K14" s="251"/>
      <c r="L14" s="242"/>
      <c r="M14" s="243"/>
      <c r="N14" s="240"/>
      <c r="O14" s="244"/>
      <c r="P14" s="242"/>
      <c r="Q14" s="240"/>
      <c r="R14" s="240"/>
      <c r="S14" s="236"/>
      <c r="T14" s="245"/>
      <c r="U14" s="246"/>
      <c r="V14" s="246"/>
      <c r="W14" s="246"/>
      <c r="X14" s="246"/>
      <c r="Y14" s="246"/>
      <c r="Z14" s="244"/>
      <c r="AA14" s="247"/>
      <c r="AB14" s="247"/>
      <c r="AC14" s="247"/>
      <c r="AD14" s="240"/>
      <c r="AE14" s="240"/>
      <c r="AF14" s="248"/>
      <c r="AG14" s="248"/>
      <c r="AH14" s="246"/>
      <c r="AI14" s="246"/>
      <c r="AJ14" s="248"/>
      <c r="AK14" s="246"/>
      <c r="AL14" s="246"/>
      <c r="AM14" s="246"/>
      <c r="AN14" s="246"/>
      <c r="AO14" s="249"/>
      <c r="AP14" s="249"/>
      <c r="AQ14" s="249"/>
      <c r="AR14" s="249"/>
      <c r="AS14" s="249"/>
      <c r="AT14" s="249"/>
      <c r="AU14" s="249"/>
      <c r="AV14" s="249"/>
      <c r="AW14" s="249"/>
      <c r="AX14" s="249"/>
      <c r="AY14" s="249"/>
      <c r="AZ14" s="249"/>
      <c r="BA14" s="249"/>
      <c r="BB14" s="249"/>
      <c r="BC14" s="249"/>
      <c r="BD14" s="249"/>
      <c r="BE14" s="249"/>
      <c r="BF14" s="249"/>
      <c r="BG14" s="249"/>
      <c r="BH14" s="249"/>
      <c r="BI14" s="249"/>
      <c r="BJ14" s="249"/>
      <c r="BK14" s="249"/>
      <c r="BL14" s="249"/>
      <c r="BM14" s="249"/>
      <c r="BN14" s="249"/>
      <c r="BO14" s="249"/>
      <c r="BP14" s="249"/>
      <c r="BQ14" s="249"/>
      <c r="BR14" s="249"/>
      <c r="BS14" s="252"/>
      <c r="BT14" s="236"/>
    </row>
    <row customHeight="true" ht="18.51851851851852" r="15">
      <c r="A15" s="236"/>
      <c r="B15" s="236"/>
      <c r="C15" s="236"/>
      <c r="D15" s="237"/>
      <c r="E15" s="238"/>
      <c r="F15" s="240"/>
      <c r="G15" s="251"/>
      <c r="H15" s="240"/>
      <c r="I15" s="240"/>
      <c r="J15" s="240"/>
      <c r="K15" s="251"/>
      <c r="L15" s="242"/>
      <c r="M15" s="243"/>
      <c r="N15" s="240"/>
      <c r="O15" s="244"/>
      <c r="P15" s="242"/>
      <c r="Q15" s="240"/>
      <c r="R15" s="240"/>
      <c r="S15" s="236"/>
      <c r="T15" s="245"/>
      <c r="U15" s="246"/>
      <c r="V15" s="246"/>
      <c r="W15" s="246"/>
      <c r="X15" s="246"/>
      <c r="Y15" s="246"/>
      <c r="Z15" s="244"/>
      <c r="AA15" s="247"/>
      <c r="AB15" s="247"/>
      <c r="AC15" s="247"/>
      <c r="AD15" s="240"/>
      <c r="AE15" s="240"/>
      <c r="AF15" s="248"/>
      <c r="AG15" s="248"/>
      <c r="AH15" s="246"/>
      <c r="AI15" s="246"/>
      <c r="AJ15" s="248"/>
      <c r="AK15" s="246"/>
      <c r="AL15" s="246"/>
      <c r="AM15" s="246"/>
      <c r="AN15" s="246"/>
      <c r="AO15" s="249"/>
      <c r="AP15" s="249"/>
      <c r="AQ15" s="249"/>
      <c r="AR15" s="249"/>
      <c r="AS15" s="249"/>
      <c r="AT15" s="249"/>
      <c r="AU15" s="249"/>
      <c r="AV15" s="249"/>
      <c r="AW15" s="249"/>
      <c r="AX15" s="249"/>
      <c r="AY15" s="249"/>
      <c r="AZ15" s="249"/>
      <c r="BA15" s="249"/>
      <c r="BB15" s="249"/>
      <c r="BC15" s="249"/>
      <c r="BD15" s="249"/>
      <c r="BE15" s="249"/>
      <c r="BF15" s="249"/>
      <c r="BG15" s="249"/>
      <c r="BH15" s="249"/>
      <c r="BI15" s="249"/>
      <c r="BJ15" s="249"/>
      <c r="BK15" s="249"/>
      <c r="BL15" s="249"/>
      <c r="BM15" s="249"/>
      <c r="BN15" s="249"/>
      <c r="BO15" s="249"/>
      <c r="BP15" s="249"/>
      <c r="BQ15" s="249"/>
      <c r="BR15" s="249"/>
      <c r="BS15" s="252"/>
      <c r="BT15" s="236"/>
    </row>
    <row customHeight="true" ht="18.51851851851852" r="16">
      <c r="A16" s="236"/>
      <c r="B16" s="236"/>
      <c r="C16" s="236"/>
      <c r="D16" s="237"/>
      <c r="E16" s="238"/>
      <c r="F16" s="240"/>
      <c r="G16" s="251"/>
      <c r="H16" s="240"/>
      <c r="I16" s="240"/>
      <c r="J16" s="240"/>
      <c r="K16" s="251"/>
      <c r="L16" s="242"/>
      <c r="M16" s="243"/>
      <c r="N16" s="240"/>
      <c r="O16" s="244"/>
      <c r="P16" s="242"/>
      <c r="Q16" s="240"/>
      <c r="R16" s="240"/>
      <c r="S16" s="236"/>
      <c r="T16" s="245"/>
      <c r="U16" s="246"/>
      <c r="V16" s="246"/>
      <c r="W16" s="246"/>
      <c r="X16" s="246"/>
      <c r="Y16" s="246"/>
      <c r="Z16" s="244"/>
      <c r="AA16" s="247"/>
      <c r="AB16" s="247"/>
      <c r="AC16" s="247"/>
      <c r="AD16" s="240"/>
      <c r="AE16" s="240"/>
      <c r="AF16" s="248"/>
      <c r="AG16" s="248"/>
      <c r="AH16" s="246"/>
      <c r="AI16" s="246"/>
      <c r="AJ16" s="248"/>
      <c r="AK16" s="246"/>
      <c r="AL16" s="246"/>
      <c r="AM16" s="246"/>
      <c r="AN16" s="246"/>
      <c r="AO16" s="249"/>
      <c r="AP16" s="249"/>
      <c r="AQ16" s="249"/>
      <c r="AR16" s="249"/>
      <c r="AS16" s="249"/>
      <c r="AT16" s="249"/>
      <c r="AU16" s="249"/>
      <c r="AV16" s="249"/>
      <c r="AW16" s="249"/>
      <c r="AX16" s="249"/>
      <c r="AY16" s="249"/>
      <c r="AZ16" s="249"/>
      <c r="BA16" s="249"/>
      <c r="BB16" s="249"/>
      <c r="BC16" s="249"/>
      <c r="BD16" s="249"/>
      <c r="BE16" s="249"/>
      <c r="BF16" s="249"/>
      <c r="BG16" s="249"/>
      <c r="BH16" s="249"/>
      <c r="BI16" s="249"/>
      <c r="BJ16" s="249"/>
      <c r="BK16" s="249"/>
      <c r="BL16" s="249"/>
      <c r="BM16" s="249"/>
      <c r="BN16" s="249"/>
      <c r="BO16" s="249"/>
      <c r="BP16" s="249"/>
      <c r="BQ16" s="249"/>
      <c r="BR16" s="249"/>
      <c r="BS16" s="252"/>
      <c r="BT16" s="236"/>
    </row>
    <row customHeight="true" ht="18.51851851851852" r="17">
      <c r="A17" s="236"/>
      <c r="B17" s="236"/>
      <c r="C17" s="236"/>
      <c r="D17" s="237"/>
      <c r="E17" s="238"/>
      <c r="F17" s="240"/>
      <c r="G17" s="251"/>
      <c r="H17" s="240"/>
      <c r="I17" s="240"/>
      <c r="J17" s="240"/>
      <c r="K17" s="251"/>
      <c r="L17" s="242"/>
      <c r="M17" s="243"/>
      <c r="N17" s="240"/>
      <c r="O17" s="244"/>
      <c r="P17" s="242"/>
      <c r="Q17" s="240"/>
      <c r="R17" s="240"/>
      <c r="S17" s="236"/>
      <c r="T17" s="245"/>
      <c r="U17" s="246"/>
      <c r="V17" s="246"/>
      <c r="W17" s="246"/>
      <c r="X17" s="246"/>
      <c r="Y17" s="246"/>
      <c r="Z17" s="244"/>
      <c r="AA17" s="247"/>
      <c r="AB17" s="247"/>
      <c r="AC17" s="247"/>
      <c r="AD17" s="240"/>
      <c r="AE17" s="240"/>
      <c r="AF17" s="248"/>
      <c r="AG17" s="248"/>
      <c r="AH17" s="246"/>
      <c r="AI17" s="246"/>
      <c r="AJ17" s="248"/>
      <c r="AK17" s="246"/>
      <c r="AL17" s="246"/>
      <c r="AM17" s="246"/>
      <c r="AN17" s="246"/>
      <c r="AO17" s="249"/>
      <c r="AP17" s="249"/>
      <c r="AQ17" s="249"/>
      <c r="AR17" s="249"/>
      <c r="AS17" s="249"/>
      <c r="AT17" s="249"/>
      <c r="AU17" s="249"/>
      <c r="AV17" s="249"/>
      <c r="AW17" s="249"/>
      <c r="AX17" s="249"/>
      <c r="AY17" s="249"/>
      <c r="AZ17" s="249"/>
      <c r="BA17" s="249"/>
      <c r="BB17" s="249"/>
      <c r="BC17" s="249"/>
      <c r="BD17" s="249"/>
      <c r="BE17" s="249"/>
      <c r="BF17" s="249"/>
      <c r="BG17" s="249"/>
      <c r="BH17" s="249"/>
      <c r="BI17" s="249"/>
      <c r="BJ17" s="249"/>
      <c r="BK17" s="249"/>
      <c r="BL17" s="249"/>
      <c r="BM17" s="249"/>
      <c r="BN17" s="249"/>
      <c r="BO17" s="249"/>
      <c r="BP17" s="249"/>
      <c r="BQ17" s="249"/>
      <c r="BR17" s="249"/>
      <c r="BS17" s="252"/>
      <c r="BT17" s="236"/>
    </row>
    <row customHeight="true" ht="18.51851851851852" r="18">
      <c r="A18" s="236"/>
      <c r="B18" s="236"/>
      <c r="C18" s="236"/>
      <c r="D18" s="237"/>
      <c r="E18" s="238"/>
      <c r="F18" s="240"/>
      <c r="G18" s="251"/>
      <c r="H18" s="240"/>
      <c r="I18" s="240"/>
      <c r="J18" s="240"/>
      <c r="K18" s="251"/>
      <c r="L18" s="242"/>
      <c r="M18" s="243"/>
      <c r="N18" s="240"/>
      <c r="O18" s="244"/>
      <c r="P18" s="242"/>
      <c r="Q18" s="240"/>
      <c r="R18" s="240"/>
      <c r="S18" s="236"/>
      <c r="T18" s="245"/>
      <c r="U18" s="246"/>
      <c r="V18" s="246"/>
      <c r="W18" s="246"/>
      <c r="X18" s="246"/>
      <c r="Y18" s="246"/>
      <c r="Z18" s="244"/>
      <c r="AA18" s="247"/>
      <c r="AB18" s="247"/>
      <c r="AC18" s="247"/>
      <c r="AD18" s="240"/>
      <c r="AE18" s="240"/>
      <c r="AF18" s="248"/>
      <c r="AG18" s="248"/>
      <c r="AH18" s="246"/>
      <c r="AI18" s="246"/>
      <c r="AJ18" s="248"/>
      <c r="AK18" s="246"/>
      <c r="AL18" s="246"/>
      <c r="AM18" s="246"/>
      <c r="AN18" s="246"/>
      <c r="AO18" s="249"/>
      <c r="AP18" s="249"/>
      <c r="AQ18" s="249"/>
      <c r="AR18" s="249"/>
      <c r="AS18" s="249"/>
      <c r="AT18" s="249"/>
      <c r="AU18" s="249"/>
      <c r="AV18" s="249"/>
      <c r="AW18" s="249"/>
      <c r="AX18" s="249"/>
      <c r="AY18" s="249"/>
      <c r="AZ18" s="249"/>
      <c r="BA18" s="249"/>
      <c r="BB18" s="249"/>
      <c r="BC18" s="249"/>
      <c r="BD18" s="249"/>
      <c r="BE18" s="249"/>
      <c r="BF18" s="249"/>
      <c r="BG18" s="249"/>
      <c r="BH18" s="249"/>
      <c r="BI18" s="249"/>
      <c r="BJ18" s="249"/>
      <c r="BK18" s="249"/>
      <c r="BL18" s="249"/>
      <c r="BM18" s="249"/>
      <c r="BN18" s="249"/>
      <c r="BO18" s="249"/>
      <c r="BP18" s="249"/>
      <c r="BQ18" s="249"/>
      <c r="BR18" s="249"/>
      <c r="BS18" s="252"/>
      <c r="BT18" s="236"/>
    </row>
    <row customHeight="true" ht="18.51851851851852" r="19">
      <c r="A19" s="236"/>
      <c r="B19" s="236"/>
      <c r="C19" s="236"/>
      <c r="D19" s="237"/>
      <c r="E19" s="238"/>
      <c r="F19" s="240"/>
      <c r="G19" s="251"/>
      <c r="H19" s="240"/>
      <c r="I19" s="240"/>
      <c r="J19" s="240"/>
      <c r="K19" s="251"/>
      <c r="L19" s="242"/>
      <c r="M19" s="243"/>
      <c r="N19" s="240"/>
      <c r="O19" s="244"/>
      <c r="P19" s="242"/>
      <c r="Q19" s="240"/>
      <c r="R19" s="240"/>
      <c r="S19" s="236"/>
      <c r="T19" s="245"/>
      <c r="U19" s="246"/>
      <c r="V19" s="246"/>
      <c r="W19" s="246"/>
      <c r="X19" s="246"/>
      <c r="Y19" s="246"/>
      <c r="Z19" s="244"/>
      <c r="AA19" s="247"/>
      <c r="AB19" s="247"/>
      <c r="AC19" s="247"/>
      <c r="AD19" s="240"/>
      <c r="AE19" s="240"/>
      <c r="AF19" s="248"/>
      <c r="AG19" s="248"/>
      <c r="AH19" s="246"/>
      <c r="AI19" s="246"/>
      <c r="AJ19" s="248"/>
      <c r="AK19" s="246"/>
      <c r="AL19" s="246"/>
      <c r="AM19" s="246"/>
      <c r="AN19" s="246"/>
      <c r="AO19" s="249"/>
      <c r="AP19" s="249"/>
      <c r="AQ19" s="249"/>
      <c r="AR19" s="249"/>
      <c r="AS19" s="249"/>
      <c r="AT19" s="249"/>
      <c r="AU19" s="249"/>
      <c r="AV19" s="249"/>
      <c r="AW19" s="249"/>
      <c r="AX19" s="249"/>
      <c r="AY19" s="249"/>
      <c r="AZ19" s="249"/>
      <c r="BA19" s="249"/>
      <c r="BB19" s="249"/>
      <c r="BC19" s="249"/>
      <c r="BD19" s="249"/>
      <c r="BE19" s="249"/>
      <c r="BF19" s="249"/>
      <c r="BG19" s="249"/>
      <c r="BH19" s="249"/>
      <c r="BI19" s="249"/>
      <c r="BJ19" s="249"/>
      <c r="BK19" s="249"/>
      <c r="BL19" s="249"/>
      <c r="BM19" s="249"/>
      <c r="BN19" s="249"/>
      <c r="BO19" s="249"/>
      <c r="BP19" s="249"/>
      <c r="BQ19" s="249"/>
      <c r="BR19" s="249"/>
      <c r="BS19" s="252"/>
      <c r="BT19" s="236"/>
    </row>
    <row customHeight="true" ht="18.51851851851852" r="20">
      <c r="A20" s="236"/>
      <c r="B20" s="236"/>
      <c r="C20" s="236"/>
      <c r="D20" s="237"/>
      <c r="E20" s="238"/>
      <c r="F20" s="240"/>
      <c r="G20" s="251"/>
      <c r="H20" s="240"/>
      <c r="I20" s="240"/>
      <c r="J20" s="240"/>
      <c r="K20" s="251"/>
      <c r="L20" s="242"/>
      <c r="M20" s="243"/>
      <c r="N20" s="240"/>
      <c r="O20" s="244"/>
      <c r="P20" s="242"/>
      <c r="Q20" s="240"/>
      <c r="R20" s="240"/>
      <c r="S20" s="236"/>
      <c r="T20" s="245"/>
      <c r="U20" s="246"/>
      <c r="V20" s="246"/>
      <c r="W20" s="246"/>
      <c r="X20" s="246"/>
      <c r="Y20" s="246"/>
      <c r="Z20" s="244"/>
      <c r="AA20" s="247"/>
      <c r="AB20" s="247"/>
      <c r="AC20" s="247"/>
      <c r="AD20" s="240"/>
      <c r="AE20" s="240"/>
      <c r="AF20" s="248"/>
      <c r="AG20" s="248"/>
      <c r="AH20" s="246"/>
      <c r="AI20" s="246"/>
      <c r="AJ20" s="248"/>
      <c r="AK20" s="246"/>
      <c r="AL20" s="246"/>
      <c r="AM20" s="246"/>
      <c r="AN20" s="246"/>
      <c r="AO20" s="249"/>
      <c r="AP20" s="249"/>
      <c r="AQ20" s="249"/>
      <c r="AR20" s="249"/>
      <c r="AS20" s="249"/>
      <c r="AT20" s="249"/>
      <c r="AU20" s="249"/>
      <c r="AV20" s="249"/>
      <c r="AW20" s="249"/>
      <c r="AX20" s="249"/>
      <c r="AY20" s="249"/>
      <c r="AZ20" s="249"/>
      <c r="BA20" s="249"/>
      <c r="BB20" s="249"/>
      <c r="BC20" s="249"/>
      <c r="BD20" s="249"/>
      <c r="BE20" s="249"/>
      <c r="BF20" s="249"/>
      <c r="BG20" s="249"/>
      <c r="BH20" s="249"/>
      <c r="BI20" s="249"/>
      <c r="BJ20" s="249"/>
      <c r="BK20" s="249"/>
      <c r="BL20" s="249"/>
      <c r="BM20" s="249"/>
      <c r="BN20" s="249"/>
      <c r="BO20" s="249"/>
      <c r="BP20" s="249"/>
      <c r="BQ20" s="249"/>
      <c r="BR20" s="249"/>
      <c r="BS20" s="252"/>
      <c r="BT20" s="236"/>
    </row>
  </sheetData>
  <conditionalFormatting sqref="M9:M20 AA9:AC20">
    <cfRule dxfId="12" operator="lessThanOrEqual" priority="1" stopIfTrue="true" type="cellIs">
      <formula>0</formula>
    </cfRule>
  </conditionalFormatting>
  <conditionalFormatting sqref="M9:M20">
    <cfRule dxfId="13" operator="lessThanOrEqual" priority="2" stopIfTrue="true" type="cellIs">
      <formula>0</formula>
    </cfRule>
  </conditionalFormatting>
  <conditionalFormatting sqref="L1:M1 Q1:R1 AA1:AA1">
    <cfRule dxfId="14" operator="lessThanOrEqual" priority="3" stopIfTrue="true" type="cellIs">
      <formula>0</formula>
    </cfRule>
  </conditionalFormatting>
  <conditionalFormatting sqref="M3:M6 M10:M20 AA3:AC6 AA10:AC20">
    <cfRule dxfId="15" operator="lessThanOrEqual" priority="4" stopIfTrue="true" type="cellIs">
      <formula>0</formula>
    </cfRule>
  </conditionalFormatting>
  <conditionalFormatting sqref="M7:M20 AA7:AC20">
    <cfRule dxfId="16" operator="lessThanOrEqual" priority="5" stopIfTrue="true" type="cellIs">
      <formula>0</formula>
    </cfRule>
  </conditionalFormatting>
  <conditionalFormatting sqref="M7:M20">
    <cfRule dxfId="17" operator="lessThanOrEqual" priority="6" stopIfTrue="true" type="cellIs">
      <formula>0</formula>
    </cfRule>
  </conditionalFormatting>
  <conditionalFormatting sqref="M2:M2">
    <cfRule dxfId="18" operator="lessThanOrEqual" priority="7" stopIfTrue="true" type="cellIs">
      <formula>0</formula>
    </cfRule>
  </conditionalFormatting>
  <conditionalFormatting sqref="L2:L20 M7:M20 AA7:AC20">
    <cfRule dxfId="19" operator="lessThanOrEqual" priority="8" stopIfTrue="true" type="cellIs">
      <formula>0</formula>
    </cfRule>
  </conditionalFormatting>
  <conditionalFormatting sqref="M2:M2 AA2:AC2">
    <cfRule dxfId="20" operator="lessThanOrEqual" priority="9" stopIfTrue="true" type="cellIs">
      <formula>0</formula>
    </cfRule>
  </conditionalFormatting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54" min="54" style="0" width="17.4"/>
    <col collapsed="false" customWidth="true" hidden="false" max="70" min="70" style="0" width="17.4"/>
    <col collapsed="false" customWidth="true" hidden="false" max="5" min="5" style="0" width="17.4"/>
    <col collapsed="false" customWidth="true" hidden="false" max="21" min="21" style="0" width="17.4"/>
    <col collapsed="false" customWidth="true" hidden="false" max="37" min="37" style="0" width="17.4"/>
    <col collapsed="false" customWidth="true" hidden="false" max="53" min="53" style="0" width="17.4"/>
    <col collapsed="false" customWidth="true" hidden="false" max="69" min="69" style="0" width="17.4"/>
    <col collapsed="false" customWidth="true" hidden="false" max="4" min="4" style="0" width="17.4"/>
    <col collapsed="false" customWidth="true" hidden="false" max="20" min="20" style="0" width="17.4"/>
    <col collapsed="false" customWidth="true" hidden="false" max="36" min="36" style="0" width="17.4"/>
    <col collapsed="false" customWidth="true" hidden="false" max="52" min="52" style="0" width="17.4"/>
    <col collapsed="false" customWidth="true" hidden="false" max="68" min="68" style="0" width="17.4"/>
    <col collapsed="false" customWidth="true" hidden="false" max="3" min="3" style="0" width="17.4"/>
    <col collapsed="false" customWidth="true" hidden="false" max="19" min="19" style="0" width="17.4"/>
    <col collapsed="false" customWidth="true" hidden="false" max="35" min="35" style="0" width="17.4"/>
    <col collapsed="false" customWidth="true" hidden="false" max="51" min="51" style="0" width="17.4"/>
    <col collapsed="false" customWidth="true" hidden="false" max="67" min="67" style="0" width="17.4"/>
    <col collapsed="false" customWidth="true" hidden="false" max="2" min="2" style="0" width="17.4"/>
    <col collapsed="false" customWidth="true" hidden="false" max="18" min="18" style="0" width="17.4"/>
    <col collapsed="false" customWidth="true" hidden="false" max="34" min="34" style="0" width="17.4"/>
    <col collapsed="false" customWidth="true" hidden="false" max="50" min="50" style="0" width="17.4"/>
    <col collapsed="false" customWidth="true" hidden="false" max="66" min="66" style="0" width="17.4"/>
    <col collapsed="false" customWidth="true" hidden="false" max="1" min="1" style="0" width="17.4"/>
    <col collapsed="false" customWidth="true" hidden="false" max="17" min="17" style="0" width="17.4"/>
    <col collapsed="false" customWidth="true" hidden="false" max="33" min="33" style="0" width="17.4"/>
    <col collapsed="false" customWidth="true" hidden="false" max="49" min="49" style="0" width="17.4"/>
    <col collapsed="false" customWidth="true" hidden="false" max="65" min="65" style="0" width="17.4"/>
    <col collapsed="false" customWidth="true" hidden="false" max="16" min="16" style="0" width="17.4"/>
    <col collapsed="false" customWidth="true" hidden="false" max="32" min="32" style="0" width="17.4"/>
    <col collapsed="false" customWidth="true" hidden="false" max="48" min="48" style="0" width="17.4"/>
    <col collapsed="false" customWidth="true" hidden="false" max="64" min="64" style="0" width="17.4"/>
    <col collapsed="false" customWidth="true" hidden="false" max="15" min="15" style="0" width="17.4"/>
    <col collapsed="false" customWidth="true" hidden="false" max="31" min="31" style="0" width="17.4"/>
    <col collapsed="false" customWidth="true" hidden="false" max="47" min="47" style="0" width="17.4"/>
    <col collapsed="false" customWidth="true" hidden="false" max="63" min="63" style="0" width="17.4"/>
    <col collapsed="false" customWidth="true" hidden="false" max="14" min="14" style="0" width="17.4"/>
    <col collapsed="false" customWidth="true" hidden="false" max="30" min="30" style="0" width="17.4"/>
    <col collapsed="false" customWidth="true" hidden="false" max="46" min="46" style="0" width="17.4"/>
    <col collapsed="false" customWidth="true" hidden="false" max="62" min="62" style="0" width="17.4"/>
    <col collapsed="false" customWidth="true" hidden="false" max="13" min="13" style="0" width="17.4"/>
    <col collapsed="false" customWidth="true" hidden="false" max="29" min="29" style="0" width="17.4"/>
    <col collapsed="false" customWidth="true" hidden="false" max="45" min="45" style="0" width="17.4"/>
    <col collapsed="false" customWidth="true" hidden="false" max="61" min="61" style="0" width="17.4"/>
    <col collapsed="false" customWidth="true" hidden="false" max="12" min="12" style="0" width="17.4"/>
    <col collapsed="false" customWidth="true" hidden="false" max="28" min="28" style="0" width="17.4"/>
    <col collapsed="false" customWidth="true" hidden="false" max="44" min="44" style="0" width="17.4"/>
    <col collapsed="false" customWidth="true" hidden="false" max="60" min="60" style="0" width="17.4"/>
    <col collapsed="false" customWidth="true" hidden="false" max="11" min="11" style="0" width="17.4"/>
    <col collapsed="false" customWidth="true" hidden="false" max="27" min="27" style="0" width="17.4"/>
    <col collapsed="false" customWidth="true" hidden="false" max="43" min="43" style="0" width="17.4"/>
    <col collapsed="false" customWidth="true" hidden="false" max="59" min="59" style="0" width="17.4"/>
    <col collapsed="false" customWidth="true" hidden="false" max="10" min="10" style="0" width="17.4"/>
    <col collapsed="false" customWidth="true" hidden="false" max="26" min="26" style="0" width="17.4"/>
    <col collapsed="false" customWidth="true" hidden="false" max="42" min="42" style="0" width="17.4"/>
    <col collapsed="false" customWidth="true" hidden="false" max="58" min="58" style="0" width="17.4"/>
    <col collapsed="false" customWidth="true" hidden="false" max="9" min="9" style="0" width="17.4"/>
    <col collapsed="false" customWidth="true" hidden="false" max="25" min="25" style="0" width="17.4"/>
    <col collapsed="false" customWidth="true" hidden="false" max="41" min="41" style="0" width="17.4"/>
    <col collapsed="false" customWidth="true" hidden="false" max="57" min="57" style="0" width="17.4"/>
    <col collapsed="false" customWidth="true" hidden="false" max="8" min="8" style="0" width="17.4"/>
    <col collapsed="false" customWidth="true" hidden="false" max="24" min="24" style="0" width="17.4"/>
    <col collapsed="false" customWidth="true" hidden="false" max="40" min="40" style="0" width="17.4"/>
    <col collapsed="false" customWidth="true" hidden="false" max="56" min="56" style="0" width="17.4"/>
    <col collapsed="false" customWidth="true" hidden="false" max="72" min="72" style="0" width="17.4"/>
    <col collapsed="false" customWidth="true" hidden="false" max="7" min="7" style="0" width="17.4"/>
    <col collapsed="false" customWidth="true" hidden="false" max="23" min="23" style="0" width="17.4"/>
    <col collapsed="false" customWidth="true" hidden="false" max="39" min="39" style="0" width="17.4"/>
    <col collapsed="false" customWidth="true" hidden="false" max="55" min="55" style="0" width="17.4"/>
    <col collapsed="false" customWidth="true" hidden="false" max="71" min="71" style="0" width="17.4"/>
    <col collapsed="false" customWidth="true" hidden="false" max="6" min="6" style="0" width="17.4"/>
    <col collapsed="false" customWidth="true" hidden="false" max="22" min="22" style="0" width="17.4"/>
    <col collapsed="false" customWidth="true" hidden="false" max="38" min="38" style="0" width="17.4"/>
  </cols>
  <sheetData>
    <row customHeight="true" ht="18.51851851851852" r="1">
      <c r="A1" s="253" t="s">
        <v>1047</v>
      </c>
      <c r="B1" s="254" t="s">
        <v>1048</v>
      </c>
      <c r="C1" s="254" t="s">
        <v>1049</v>
      </c>
      <c r="D1" s="253" t="s">
        <v>1050</v>
      </c>
      <c r="E1" s="253" t="s">
        <v>1051</v>
      </c>
      <c r="F1" s="255" t="s">
        <v>1052</v>
      </c>
      <c r="G1" s="256" t="s">
        <v>1053</v>
      </c>
      <c r="H1" s="257" t="s">
        <v>1054</v>
      </c>
      <c r="I1" s="257" t="s">
        <v>1055</v>
      </c>
      <c r="J1" s="258" t="s">
        <v>1056</v>
      </c>
      <c r="K1" s="259" t="s">
        <v>1057</v>
      </c>
      <c r="L1" s="260" t="s">
        <v>1058</v>
      </c>
      <c r="M1" s="261" t="s">
        <v>1059</v>
      </c>
      <c r="N1" s="262" t="s">
        <v>1060</v>
      </c>
      <c r="O1" s="263" t="s">
        <v>1061</v>
      </c>
      <c r="P1" s="264" t="s">
        <v>1062</v>
      </c>
      <c r="Q1" s="265" t="s">
        <v>1063</v>
      </c>
      <c r="R1" s="260" t="s">
        <v>1064</v>
      </c>
      <c r="S1" s="266" t="s">
        <v>1065</v>
      </c>
      <c r="T1" s="253" t="s">
        <v>1066</v>
      </c>
      <c r="U1" s="267" t="s">
        <v>1067</v>
      </c>
      <c r="V1" s="267" t="s">
        <v>1068</v>
      </c>
      <c r="W1" s="267" t="s">
        <v>1069</v>
      </c>
      <c r="X1" s="268" t="s">
        <v>1070</v>
      </c>
      <c r="Y1" s="268" t="s">
        <v>1071</v>
      </c>
      <c r="Z1" s="267" t="s">
        <v>1072</v>
      </c>
      <c r="AA1" s="269" t="s">
        <v>1073</v>
      </c>
      <c r="AB1" s="269" t="s">
        <v>1074</v>
      </c>
      <c r="AC1" s="269" t="s">
        <v>1075</v>
      </c>
      <c r="AD1" s="269" t="s">
        <v>1076</v>
      </c>
      <c r="AE1" s="270" t="s">
        <v>1077</v>
      </c>
      <c r="AF1" s="271" t="s">
        <v>1078</v>
      </c>
      <c r="AG1" s="270" t="s">
        <v>1079</v>
      </c>
      <c r="AH1" s="272" t="s">
        <v>1080</v>
      </c>
      <c r="AI1" s="272" t="s">
        <v>1081</v>
      </c>
      <c r="AJ1" s="273" t="s">
        <v>1082</v>
      </c>
      <c r="AK1" s="274" t="s">
        <v>1083</v>
      </c>
      <c r="AL1" s="274" t="s">
        <v>1084</v>
      </c>
      <c r="AM1" s="274" t="s">
        <v>1085</v>
      </c>
      <c r="AN1" s="274" t="s">
        <v>1086</v>
      </c>
      <c r="AO1" s="274" t="s">
        <v>1087</v>
      </c>
      <c r="AP1" s="274" t="s">
        <v>1088</v>
      </c>
      <c r="AQ1" s="274" t="s">
        <v>1089</v>
      </c>
      <c r="AR1" s="274" t="s">
        <v>1090</v>
      </c>
      <c r="AS1" s="274" t="s">
        <v>1091</v>
      </c>
      <c r="AT1" s="274" t="s">
        <v>1092</v>
      </c>
      <c r="AU1" s="275" t="s">
        <v>1093</v>
      </c>
      <c r="AV1" s="275" t="s">
        <v>1094</v>
      </c>
      <c r="AW1" s="275" t="s">
        <v>1095</v>
      </c>
      <c r="AX1" s="275" t="s">
        <v>1084</v>
      </c>
      <c r="AY1" s="275" t="s">
        <v>1085</v>
      </c>
      <c r="AZ1" s="275" t="s">
        <v>1086</v>
      </c>
      <c r="BA1" s="276" t="s">
        <v>1087</v>
      </c>
      <c r="BB1" s="276" t="s">
        <v>1088</v>
      </c>
      <c r="BC1" s="276" t="s">
        <v>1089</v>
      </c>
      <c r="BD1" s="276" t="s">
        <v>1090</v>
      </c>
      <c r="BE1" s="276" t="s">
        <v>1091</v>
      </c>
      <c r="BF1" s="276" t="s">
        <v>1092</v>
      </c>
      <c r="BG1" s="277" t="s">
        <v>1096</v>
      </c>
      <c r="BH1" s="277" t="s">
        <v>1094</v>
      </c>
      <c r="BI1" s="277" t="s">
        <v>1095</v>
      </c>
      <c r="BJ1" s="277" t="s">
        <v>1084</v>
      </c>
      <c r="BK1" s="277" t="s">
        <v>1085</v>
      </c>
      <c r="BL1" s="277" t="s">
        <v>1086</v>
      </c>
      <c r="BM1" s="272" t="s">
        <v>1087</v>
      </c>
      <c r="BN1" s="272" t="s">
        <v>1088</v>
      </c>
      <c r="BO1" s="272" t="s">
        <v>1089</v>
      </c>
      <c r="BP1" s="272" t="s">
        <v>1090</v>
      </c>
      <c r="BQ1" s="272" t="s">
        <v>1091</v>
      </c>
      <c r="BR1" s="272" t="s">
        <v>1092</v>
      </c>
      <c r="BS1" s="278" t="s">
        <v>1097</v>
      </c>
      <c r="BT1" s="279" t="s">
        <v>1098</v>
      </c>
    </row>
    <row customHeight="true" ht="18.51851851851852" r="2">
      <c r="A2" s="279" t="s">
        <v>1099</v>
      </c>
      <c r="B2" s="279" t="s">
        <v>1100</v>
      </c>
      <c r="C2" s="279" t="s">
        <v>1101</v>
      </c>
      <c r="D2" s="280" t="s">
        <v>1102</v>
      </c>
      <c r="E2" s="281" t="s">
        <v>1103</v>
      </c>
      <c r="F2" s="282">
        <v>17.29</v>
      </c>
      <c r="G2" s="282">
        <v>24.92</v>
      </c>
      <c r="H2" s="283">
        <f t="shared" ref="H2:H10" si="28">INDEX(#NULL!,MATCH(1,(#NULL!=A2)*(#NULL!=C2),0))</f>
      </c>
      <c r="I2" s="283">
        <f t="shared" ref="I2:I10" si="18">H2=J2</f>
      </c>
      <c r="J2" s="284">
        <v>17.3</v>
      </c>
      <c r="K2" s="282">
        <v>24.99</v>
      </c>
      <c r="L2" s="285">
        <f t="shared" ref="L2:L10" si="8">J2-Q2/T2-AD2-AA2-R2-AB2-AC2</f>
      </c>
      <c r="M2" s="286">
        <f t="shared" ref="M2:M10" si="0">L2/J2</f>
      </c>
      <c r="N2" s="283">
        <f t="shared" ref="N2:N10" si="30">K2/1.2</f>
      </c>
      <c r="O2" s="287">
        <f t="shared" ref="O2:O10" si="20">(N2-J2)/N2</f>
      </c>
      <c r="P2" s="285">
        <f t="shared" ref="P2:P10" si="10">K2/1.2-J2</f>
      </c>
      <c r="Q2" s="283">
        <f t="shared" ref="Q2:Q10" si="2">AF2+AG2</f>
      </c>
      <c r="R2" s="283">
        <f t="shared" ref="R2:R10" si="32">IFERROR(IF(A2="UK",8.95/S2,IF(A2="DE",11.43/S2,IF(A2="FR",15.27/S2,IF(A2="IT",16.34/S2,IF(A2="ES",20.62/S2,IF(A2="NL",12/S2,IF(A2="PL",15.06/S2,IF(A2="SE",18.5/S2,IF(A2="BE",15.27/S2))))))))),0)</f>
      </c>
      <c r="S2" s="279">
        <v>16</v>
      </c>
      <c r="T2" s="288">
        <v>8.5</v>
      </c>
      <c r="U2" s="289">
        <v>0.05</v>
      </c>
      <c r="V2" s="289">
        <v>0.1</v>
      </c>
      <c r="W2" s="289">
        <v>0.01</v>
      </c>
      <c r="X2" s="289">
        <f t="shared" ref="X2:X10" si="22">Q2/(J2*T2)</f>
      </c>
      <c r="Y2" s="289">
        <f t="shared" ref="Y2:Y10" si="12">R2/J2</f>
      </c>
      <c r="Z2" s="287">
        <v>0.158</v>
      </c>
      <c r="AA2" s="290">
        <f t="shared" ref="AA2:AA10" si="4">J2*U2</f>
      </c>
      <c r="AB2" s="290">
        <f t="shared" ref="AB2:AB10" si="34">J2*V2</f>
      </c>
      <c r="AC2" s="290">
        <f t="shared" ref="AC2:AC10" si="24">J2*W2</f>
      </c>
      <c r="AD2" s="283">
        <f t="shared" ref="AD2:AD10" si="14">J2*Z2</f>
      </c>
      <c r="AE2" s="283">
        <f>61+2.5</f>
      </c>
      <c r="AF2" s="291">
        <f t="shared" ref="AF2:AF10" si="36">AE2/1.13</f>
      </c>
      <c r="AG2" s="288">
        <v>9.27</v>
      </c>
      <c r="AH2" s="289">
        <f t="shared" ref="AH2:AH10" si="26">AF2/(J2*T2)</f>
      </c>
      <c r="AI2" s="289">
        <f t="shared" ref="AI2:AI10" si="16">AG2/T2/J2</f>
      </c>
      <c r="AJ2" s="288">
        <v>9.27</v>
      </c>
      <c r="AK2" s="289"/>
      <c r="AL2" s="289"/>
      <c r="AM2" s="289"/>
      <c r="AN2" s="289"/>
      <c r="AO2" s="289"/>
      <c r="AP2" s="289"/>
      <c r="AQ2" s="289"/>
      <c r="AR2" s="289"/>
      <c r="AS2" s="289"/>
      <c r="AT2" s="289"/>
      <c r="AU2" s="292" t="s">
        <v>1104</v>
      </c>
      <c r="AV2" s="292" t="s">
        <v>1104</v>
      </c>
      <c r="AW2" s="292" t="s">
        <v>1104</v>
      </c>
      <c r="AX2" s="292" t="s">
        <v>1104</v>
      </c>
      <c r="AY2" s="292" t="s">
        <v>1104</v>
      </c>
      <c r="AZ2" s="292" t="s">
        <v>1104</v>
      </c>
      <c r="BA2" s="292" t="s">
        <v>1104</v>
      </c>
      <c r="BB2" s="292" t="s">
        <v>1104</v>
      </c>
      <c r="BC2" s="292" t="s">
        <v>1104</v>
      </c>
      <c r="BD2" s="292" t="s">
        <v>1104</v>
      </c>
      <c r="BE2" s="292" t="s">
        <v>1104</v>
      </c>
      <c r="BF2" s="292" t="s">
        <v>1104</v>
      </c>
      <c r="BG2" s="292" t="s">
        <v>1104</v>
      </c>
      <c r="BH2" s="292" t="s">
        <v>1104</v>
      </c>
      <c r="BI2" s="292" t="s">
        <v>1104</v>
      </c>
      <c r="BJ2" s="292" t="s">
        <v>1104</v>
      </c>
      <c r="BK2" s="292" t="s">
        <v>1104</v>
      </c>
      <c r="BL2" s="292" t="s">
        <v>1104</v>
      </c>
      <c r="BM2" s="292" t="s">
        <v>1104</v>
      </c>
      <c r="BN2" s="292" t="s">
        <v>1104</v>
      </c>
      <c r="BO2" s="292" t="s">
        <v>1104</v>
      </c>
      <c r="BP2" s="292" t="s">
        <v>1104</v>
      </c>
      <c r="BQ2" s="292" t="s">
        <v>1104</v>
      </c>
      <c r="BR2" s="292" t="s">
        <v>1104</v>
      </c>
      <c r="BS2" s="293"/>
      <c r="BT2" s="279" t="str">
        <v>#VALUE!</v>
      </c>
    </row>
    <row customHeight="true" ht="18.51851851851852" r="3">
      <c r="A3" s="279" t="s">
        <v>1105</v>
      </c>
      <c r="B3" s="279" t="s">
        <v>1106</v>
      </c>
      <c r="C3" s="279" t="s">
        <v>1107</v>
      </c>
      <c r="D3" s="280" t="s">
        <v>1108</v>
      </c>
      <c r="E3" s="281" t="s">
        <v>1103</v>
      </c>
      <c r="F3" s="282">
        <v>20.33</v>
      </c>
      <c r="G3" s="282">
        <v>29.99</v>
      </c>
      <c r="H3" s="283">
        <f t="shared" si="28"/>
      </c>
      <c r="I3" s="283">
        <f t="shared" si="18"/>
      </c>
      <c r="J3" s="282">
        <v>20.33</v>
      </c>
      <c r="K3" s="282">
        <v>29.99</v>
      </c>
      <c r="L3" s="285">
        <f t="shared" si="8"/>
      </c>
      <c r="M3" s="286">
        <f t="shared" si="0"/>
      </c>
      <c r="N3" s="283">
        <f t="shared" si="30"/>
      </c>
      <c r="O3" s="287">
        <f t="shared" si="20"/>
      </c>
      <c r="P3" s="285">
        <f t="shared" si="10"/>
      </c>
      <c r="Q3" s="283">
        <f t="shared" si="2"/>
      </c>
      <c r="R3" s="283">
        <f t="shared" si="32"/>
      </c>
      <c r="S3" s="279">
        <v>16</v>
      </c>
      <c r="T3" s="288">
        <v>7.4</v>
      </c>
      <c r="U3" s="289">
        <v>0.05</v>
      </c>
      <c r="V3" s="289">
        <v>0.1</v>
      </c>
      <c r="W3" s="289">
        <v>0.01</v>
      </c>
      <c r="X3" s="289">
        <f t="shared" si="22"/>
      </c>
      <c r="Y3" s="289">
        <f t="shared" si="12"/>
      </c>
      <c r="Z3" s="287">
        <v>0.1695</v>
      </c>
      <c r="AA3" s="290">
        <f t="shared" si="4"/>
      </c>
      <c r="AB3" s="290">
        <f t="shared" si="34"/>
      </c>
      <c r="AC3" s="290">
        <f t="shared" si="24"/>
      </c>
      <c r="AD3" s="283">
        <f t="shared" si="14"/>
      </c>
      <c r="AE3" s="283">
        <v>61</v>
      </c>
      <c r="AF3" s="291">
        <f t="shared" si="36"/>
      </c>
      <c r="AG3" s="291">
        <v>8.8</v>
      </c>
      <c r="AH3" s="289">
        <f t="shared" si="26"/>
      </c>
      <c r="AI3" s="289">
        <f t="shared" si="16"/>
      </c>
      <c r="AJ3" s="291">
        <v>8.8</v>
      </c>
      <c r="AK3" s="289"/>
      <c r="AL3" s="289"/>
      <c r="AM3" s="289"/>
      <c r="AN3" s="289"/>
      <c r="AO3" s="292"/>
      <c r="AP3" s="292"/>
      <c r="AQ3" s="292"/>
      <c r="AR3" s="292"/>
      <c r="AS3" s="292"/>
      <c r="AT3" s="292"/>
      <c r="AU3" s="292" t="s">
        <v>1104</v>
      </c>
      <c r="AV3" s="292" t="s">
        <v>1104</v>
      </c>
      <c r="AW3" s="292" t="s">
        <v>1104</v>
      </c>
      <c r="AX3" s="292" t="s">
        <v>1104</v>
      </c>
      <c r="AY3" s="292" t="s">
        <v>1104</v>
      </c>
      <c r="AZ3" s="292" t="s">
        <v>1104</v>
      </c>
      <c r="BA3" s="292" t="s">
        <v>1104</v>
      </c>
      <c r="BB3" s="292" t="s">
        <v>1104</v>
      </c>
      <c r="BC3" s="292" t="s">
        <v>1104</v>
      </c>
      <c r="BD3" s="292" t="s">
        <v>1104</v>
      </c>
      <c r="BE3" s="292" t="s">
        <v>1104</v>
      </c>
      <c r="BF3" s="292" t="s">
        <v>1104</v>
      </c>
      <c r="BG3" s="292" t="s">
        <v>1104</v>
      </c>
      <c r="BH3" s="292" t="s">
        <v>1104</v>
      </c>
      <c r="BI3" s="292" t="s">
        <v>1104</v>
      </c>
      <c r="BJ3" s="292" t="s">
        <v>1104</v>
      </c>
      <c r="BK3" s="292" t="s">
        <v>1104</v>
      </c>
      <c r="BL3" s="292" t="s">
        <v>1104</v>
      </c>
      <c r="BM3" s="292" t="s">
        <v>1104</v>
      </c>
      <c r="BN3" s="292" t="s">
        <v>1104</v>
      </c>
      <c r="BO3" s="292" t="s">
        <v>1104</v>
      </c>
      <c r="BP3" s="292" t="s">
        <v>1104</v>
      </c>
      <c r="BQ3" s="292" t="s">
        <v>1104</v>
      </c>
      <c r="BR3" s="292" t="s">
        <v>1104</v>
      </c>
      <c r="BS3" s="293"/>
      <c r="BT3" s="279" t="str">
        <v>#VALUE!</v>
      </c>
    </row>
    <row customHeight="true" ht="18.51851851851852" r="4">
      <c r="A4" s="279" t="s">
        <v>1109</v>
      </c>
      <c r="B4" s="279" t="s">
        <v>1106</v>
      </c>
      <c r="C4" s="279" t="s">
        <v>1107</v>
      </c>
      <c r="D4" s="280" t="s">
        <v>1110</v>
      </c>
      <c r="E4" s="281" t="s">
        <v>1103</v>
      </c>
      <c r="F4" s="282">
        <v>20.65</v>
      </c>
      <c r="G4" s="282">
        <v>29.99</v>
      </c>
      <c r="H4" s="283">
        <f t="shared" si="28"/>
      </c>
      <c r="I4" s="283">
        <f t="shared" si="18"/>
      </c>
      <c r="J4" s="282">
        <v>20.65</v>
      </c>
      <c r="K4" s="282">
        <v>29.99</v>
      </c>
      <c r="L4" s="285">
        <f t="shared" si="8"/>
      </c>
      <c r="M4" s="286">
        <f t="shared" si="0"/>
      </c>
      <c r="N4" s="283">
        <f t="shared" si="30"/>
      </c>
      <c r="O4" s="287">
        <f t="shared" si="20"/>
      </c>
      <c r="P4" s="285">
        <f t="shared" si="10"/>
      </c>
      <c r="Q4" s="283">
        <f t="shared" si="2"/>
      </c>
      <c r="R4" s="283">
        <f t="shared" si="32"/>
      </c>
      <c r="S4" s="279">
        <v>16</v>
      </c>
      <c r="T4" s="288">
        <v>7.4</v>
      </c>
      <c r="U4" s="289">
        <v>0.05</v>
      </c>
      <c r="V4" s="289">
        <v>0.1</v>
      </c>
      <c r="W4" s="289">
        <v>0.01</v>
      </c>
      <c r="X4" s="289">
        <f t="shared" si="22"/>
      </c>
      <c r="Y4" s="289">
        <f t="shared" si="12"/>
      </c>
      <c r="Z4" s="287">
        <v>0.198</v>
      </c>
      <c r="AA4" s="290">
        <f t="shared" si="4"/>
      </c>
      <c r="AB4" s="290">
        <f t="shared" si="34"/>
      </c>
      <c r="AC4" s="290">
        <f t="shared" si="24"/>
      </c>
      <c r="AD4" s="283">
        <f t="shared" si="14"/>
      </c>
      <c r="AE4" s="283">
        <v>61</v>
      </c>
      <c r="AF4" s="291">
        <f t="shared" si="36"/>
      </c>
      <c r="AG4" s="291">
        <v>8.8</v>
      </c>
      <c r="AH4" s="289">
        <f t="shared" si="26"/>
      </c>
      <c r="AI4" s="289">
        <f t="shared" si="16"/>
      </c>
      <c r="AJ4" s="291">
        <v>8.8</v>
      </c>
      <c r="AK4" s="289"/>
      <c r="AL4" s="289"/>
      <c r="AM4" s="289"/>
      <c r="AN4" s="289"/>
      <c r="AO4" s="292"/>
      <c r="AP4" s="292"/>
      <c r="AQ4" s="292"/>
      <c r="AR4" s="292"/>
      <c r="AS4" s="292"/>
      <c r="AT4" s="292"/>
      <c r="AU4" s="292" t="s">
        <v>1104</v>
      </c>
      <c r="AV4" s="292" t="s">
        <v>1104</v>
      </c>
      <c r="AW4" s="292" t="s">
        <v>1104</v>
      </c>
      <c r="AX4" s="292" t="s">
        <v>1104</v>
      </c>
      <c r="AY4" s="292" t="s">
        <v>1104</v>
      </c>
      <c r="AZ4" s="292" t="s">
        <v>1104</v>
      </c>
      <c r="BA4" s="292" t="s">
        <v>1104</v>
      </c>
      <c r="BB4" s="292" t="s">
        <v>1104</v>
      </c>
      <c r="BC4" s="292" t="s">
        <v>1104</v>
      </c>
      <c r="BD4" s="292" t="s">
        <v>1104</v>
      </c>
      <c r="BE4" s="292" t="s">
        <v>1104</v>
      </c>
      <c r="BF4" s="292" t="s">
        <v>1104</v>
      </c>
      <c r="BG4" s="292" t="s">
        <v>1104</v>
      </c>
      <c r="BH4" s="292" t="s">
        <v>1104</v>
      </c>
      <c r="BI4" s="292" t="s">
        <v>1104</v>
      </c>
      <c r="BJ4" s="292" t="s">
        <v>1104</v>
      </c>
      <c r="BK4" s="292" t="s">
        <v>1104</v>
      </c>
      <c r="BL4" s="292" t="s">
        <v>1104</v>
      </c>
      <c r="BM4" s="292" t="s">
        <v>1104</v>
      </c>
      <c r="BN4" s="292" t="s">
        <v>1104</v>
      </c>
      <c r="BO4" s="292" t="s">
        <v>1104</v>
      </c>
      <c r="BP4" s="292" t="s">
        <v>1104</v>
      </c>
      <c r="BQ4" s="292" t="s">
        <v>1104</v>
      </c>
      <c r="BR4" s="292" t="s">
        <v>1104</v>
      </c>
      <c r="BS4" s="293"/>
      <c r="BT4" s="279" t="str">
        <v>#VALUE!</v>
      </c>
    </row>
    <row customHeight="true" ht="18.51851851851852" r="5">
      <c r="A5" s="279" t="s">
        <v>1111</v>
      </c>
      <c r="B5" s="279" t="s">
        <v>1106</v>
      </c>
      <c r="C5" s="279" t="s">
        <v>1107</v>
      </c>
      <c r="D5" s="280" t="s">
        <v>1112</v>
      </c>
      <c r="E5" s="281" t="s">
        <v>1103</v>
      </c>
      <c r="F5" s="282">
        <v>20.99</v>
      </c>
      <c r="G5" s="282">
        <v>29.99</v>
      </c>
      <c r="H5" s="283">
        <f t="shared" si="28"/>
      </c>
      <c r="I5" s="283">
        <f t="shared" si="18"/>
      </c>
      <c r="J5" s="282">
        <v>20.99</v>
      </c>
      <c r="K5" s="282">
        <v>29.99</v>
      </c>
      <c r="L5" s="285">
        <f t="shared" si="8"/>
      </c>
      <c r="M5" s="286">
        <f t="shared" si="0"/>
      </c>
      <c r="N5" s="283">
        <f t="shared" si="30"/>
      </c>
      <c r="O5" s="287">
        <f t="shared" si="20"/>
      </c>
      <c r="P5" s="285">
        <f t="shared" si="10"/>
      </c>
      <c r="Q5" s="283">
        <f t="shared" si="2"/>
      </c>
      <c r="R5" s="283">
        <f t="shared" si="32"/>
      </c>
      <c r="S5" s="279">
        <v>16</v>
      </c>
      <c r="T5" s="288">
        <v>7.4</v>
      </c>
      <c r="U5" s="289">
        <v>0.05</v>
      </c>
      <c r="V5" s="289">
        <v>0.1</v>
      </c>
      <c r="W5" s="289">
        <v>0.01</v>
      </c>
      <c r="X5" s="289">
        <f t="shared" si="22"/>
      </c>
      <c r="Y5" s="289">
        <f t="shared" si="12"/>
      </c>
      <c r="Z5" s="287">
        <v>0.1846</v>
      </c>
      <c r="AA5" s="290">
        <f t="shared" si="4"/>
      </c>
      <c r="AB5" s="290">
        <f t="shared" si="34"/>
      </c>
      <c r="AC5" s="290">
        <f t="shared" si="24"/>
      </c>
      <c r="AD5" s="283">
        <f t="shared" si="14"/>
      </c>
      <c r="AE5" s="283">
        <v>61</v>
      </c>
      <c r="AF5" s="291">
        <f t="shared" si="36"/>
      </c>
      <c r="AG5" s="291">
        <v>8.8</v>
      </c>
      <c r="AH5" s="289">
        <f t="shared" si="26"/>
      </c>
      <c r="AI5" s="289">
        <f t="shared" si="16"/>
      </c>
      <c r="AJ5" s="291">
        <v>8.8</v>
      </c>
      <c r="AK5" s="286"/>
      <c r="AL5" s="286"/>
      <c r="AM5" s="286"/>
      <c r="AN5" s="286"/>
      <c r="AO5" s="292"/>
      <c r="AP5" s="292"/>
      <c r="AQ5" s="292"/>
      <c r="AR5" s="292"/>
      <c r="AS5" s="292"/>
      <c r="AT5" s="292"/>
      <c r="AU5" s="292" t="s">
        <v>1104</v>
      </c>
      <c r="AV5" s="292" t="s">
        <v>1104</v>
      </c>
      <c r="AW5" s="292" t="s">
        <v>1104</v>
      </c>
      <c r="AX5" s="292" t="s">
        <v>1104</v>
      </c>
      <c r="AY5" s="292" t="s">
        <v>1104</v>
      </c>
      <c r="AZ5" s="292" t="s">
        <v>1104</v>
      </c>
      <c r="BA5" s="292" t="s">
        <v>1104</v>
      </c>
      <c r="BB5" s="292" t="s">
        <v>1104</v>
      </c>
      <c r="BC5" s="292" t="s">
        <v>1104</v>
      </c>
      <c r="BD5" s="292" t="s">
        <v>1104</v>
      </c>
      <c r="BE5" s="292" t="s">
        <v>1104</v>
      </c>
      <c r="BF5" s="292" t="s">
        <v>1104</v>
      </c>
      <c r="BG5" s="292" t="s">
        <v>1104</v>
      </c>
      <c r="BH5" s="292" t="s">
        <v>1104</v>
      </c>
      <c r="BI5" s="292" t="s">
        <v>1104</v>
      </c>
      <c r="BJ5" s="292" t="s">
        <v>1104</v>
      </c>
      <c r="BK5" s="292" t="s">
        <v>1104</v>
      </c>
      <c r="BL5" s="292" t="s">
        <v>1104</v>
      </c>
      <c r="BM5" s="292" t="s">
        <v>1104</v>
      </c>
      <c r="BN5" s="292" t="s">
        <v>1104</v>
      </c>
      <c r="BO5" s="292" t="s">
        <v>1104</v>
      </c>
      <c r="BP5" s="292" t="s">
        <v>1104</v>
      </c>
      <c r="BQ5" s="292" t="s">
        <v>1104</v>
      </c>
      <c r="BR5" s="292" t="s">
        <v>1104</v>
      </c>
      <c r="BS5" s="293"/>
      <c r="BT5" s="279" t="str">
        <v>#VALUE!</v>
      </c>
    </row>
    <row customHeight="true" ht="18.51851851851852" r="6">
      <c r="A6" s="279" t="s">
        <v>1113</v>
      </c>
      <c r="B6" s="279" t="s">
        <v>1106</v>
      </c>
      <c r="C6" s="279" t="s">
        <v>1107</v>
      </c>
      <c r="D6" s="280" t="s">
        <v>1114</v>
      </c>
      <c r="E6" s="281" t="s">
        <v>1103</v>
      </c>
      <c r="F6" s="282">
        <v>20.99</v>
      </c>
      <c r="G6" s="282">
        <v>29.99</v>
      </c>
      <c r="H6" s="283">
        <f t="shared" si="28"/>
      </c>
      <c r="I6" s="283">
        <f t="shared" si="18"/>
      </c>
      <c r="J6" s="282">
        <v>20.99</v>
      </c>
      <c r="K6" s="282">
        <v>29.99</v>
      </c>
      <c r="L6" s="285">
        <f t="shared" si="8"/>
      </c>
      <c r="M6" s="286">
        <f t="shared" si="0"/>
      </c>
      <c r="N6" s="283">
        <f t="shared" si="30"/>
      </c>
      <c r="O6" s="287">
        <f t="shared" si="20"/>
      </c>
      <c r="P6" s="285">
        <f t="shared" si="10"/>
      </c>
      <c r="Q6" s="283">
        <f t="shared" si="2"/>
      </c>
      <c r="R6" s="283">
        <f t="shared" si="32"/>
      </c>
      <c r="S6" s="279">
        <v>16</v>
      </c>
      <c r="T6" s="288">
        <v>7.4</v>
      </c>
      <c r="U6" s="289">
        <v>0.05</v>
      </c>
      <c r="V6" s="289">
        <v>0.1</v>
      </c>
      <c r="W6" s="289">
        <v>0.01</v>
      </c>
      <c r="X6" s="289">
        <f t="shared" si="22"/>
      </c>
      <c r="Y6" s="289">
        <f t="shared" si="12"/>
      </c>
      <c r="Z6" s="287">
        <v>0.1646</v>
      </c>
      <c r="AA6" s="290">
        <f t="shared" si="4"/>
      </c>
      <c r="AB6" s="290">
        <f t="shared" si="34"/>
      </c>
      <c r="AC6" s="290">
        <f t="shared" si="24"/>
      </c>
      <c r="AD6" s="283">
        <f t="shared" si="14"/>
      </c>
      <c r="AE6" s="283">
        <v>61</v>
      </c>
      <c r="AF6" s="291">
        <f t="shared" si="36"/>
      </c>
      <c r="AG6" s="291">
        <v>8.8</v>
      </c>
      <c r="AH6" s="289">
        <f t="shared" si="26"/>
      </c>
      <c r="AI6" s="289">
        <f t="shared" si="16"/>
      </c>
      <c r="AJ6" s="291">
        <v>8.8</v>
      </c>
      <c r="AK6" s="289"/>
      <c r="AL6" s="289"/>
      <c r="AM6" s="289"/>
      <c r="AN6" s="289"/>
      <c r="AO6" s="292"/>
      <c r="AP6" s="292"/>
      <c r="AQ6" s="292"/>
      <c r="AR6" s="292"/>
      <c r="AS6" s="292"/>
      <c r="AT6" s="292"/>
      <c r="AU6" s="292" t="s">
        <v>1104</v>
      </c>
      <c r="AV6" s="292" t="s">
        <v>1104</v>
      </c>
      <c r="AW6" s="292" t="s">
        <v>1104</v>
      </c>
      <c r="AX6" s="292" t="s">
        <v>1104</v>
      </c>
      <c r="AY6" s="292" t="s">
        <v>1104</v>
      </c>
      <c r="AZ6" s="292" t="s">
        <v>1104</v>
      </c>
      <c r="BA6" s="292" t="s">
        <v>1104</v>
      </c>
      <c r="BB6" s="292" t="s">
        <v>1104</v>
      </c>
      <c r="BC6" s="292" t="s">
        <v>1104</v>
      </c>
      <c r="BD6" s="292" t="s">
        <v>1104</v>
      </c>
      <c r="BE6" s="292" t="s">
        <v>1104</v>
      </c>
      <c r="BF6" s="292" t="s">
        <v>1104</v>
      </c>
      <c r="BG6" s="292" t="s">
        <v>1104</v>
      </c>
      <c r="BH6" s="292" t="s">
        <v>1104</v>
      </c>
      <c r="BI6" s="292" t="s">
        <v>1104</v>
      </c>
      <c r="BJ6" s="292" t="s">
        <v>1104</v>
      </c>
      <c r="BK6" s="292" t="s">
        <v>1104</v>
      </c>
      <c r="BL6" s="292" t="s">
        <v>1104</v>
      </c>
      <c r="BM6" s="292" t="s">
        <v>1104</v>
      </c>
      <c r="BN6" s="292" t="s">
        <v>1104</v>
      </c>
      <c r="BO6" s="292" t="s">
        <v>1104</v>
      </c>
      <c r="BP6" s="292" t="s">
        <v>1104</v>
      </c>
      <c r="BQ6" s="292" t="s">
        <v>1104</v>
      </c>
      <c r="BR6" s="292" t="s">
        <v>1104</v>
      </c>
      <c r="BS6" s="293"/>
      <c r="BT6" s="279" t="str">
        <v>#VALUE!</v>
      </c>
    </row>
    <row customHeight="true" ht="18.51851851851852" r="7">
      <c r="A7" s="279" t="s">
        <v>1115</v>
      </c>
      <c r="B7" s="279" t="s">
        <v>1106</v>
      </c>
      <c r="C7" s="279" t="s">
        <v>1107</v>
      </c>
      <c r="D7" s="280" t="s">
        <v>1116</v>
      </c>
      <c r="E7" s="281" t="s">
        <v>1103</v>
      </c>
      <c r="F7" s="283">
        <v>48</v>
      </c>
      <c r="G7" s="294">
        <v>66.99</v>
      </c>
      <c r="H7" s="283">
        <f t="shared" si="28"/>
      </c>
      <c r="I7" s="283">
        <f t="shared" si="18"/>
      </c>
      <c r="J7" s="283">
        <v>22</v>
      </c>
      <c r="K7" s="294">
        <v>35</v>
      </c>
      <c r="L7" s="285">
        <f t="shared" si="8"/>
      </c>
      <c r="M7" s="286">
        <f t="shared" si="0"/>
      </c>
      <c r="N7" s="283">
        <f t="shared" si="30"/>
      </c>
      <c r="O7" s="287">
        <f t="shared" si="20"/>
      </c>
      <c r="P7" s="285">
        <f t="shared" si="10"/>
      </c>
      <c r="Q7" s="283">
        <f t="shared" si="2"/>
      </c>
      <c r="R7" s="283">
        <f t="shared" si="32"/>
      </c>
      <c r="S7" s="279">
        <v>16</v>
      </c>
      <c r="T7" s="288">
        <v>7.4</v>
      </c>
      <c r="U7" s="289">
        <v>0.05</v>
      </c>
      <c r="V7" s="289">
        <v>0.1</v>
      </c>
      <c r="W7" s="289">
        <v>0.01</v>
      </c>
      <c r="X7" s="289">
        <f t="shared" si="22"/>
      </c>
      <c r="Y7" s="289">
        <f t="shared" si="12"/>
      </c>
      <c r="Z7" s="287">
        <v>0.158</v>
      </c>
      <c r="AA7" s="290">
        <f t="shared" si="4"/>
      </c>
      <c r="AB7" s="290">
        <f t="shared" si="34"/>
      </c>
      <c r="AC7" s="290">
        <f t="shared" si="24"/>
      </c>
      <c r="AD7" s="283">
        <f t="shared" si="14"/>
      </c>
      <c r="AE7" s="283">
        <v>61</v>
      </c>
      <c r="AF7" s="291">
        <f t="shared" si="36"/>
      </c>
      <c r="AG7" s="291">
        <v>8.8</v>
      </c>
      <c r="AH7" s="289">
        <f t="shared" si="26"/>
      </c>
      <c r="AI7" s="289">
        <f t="shared" si="16"/>
      </c>
      <c r="AJ7" s="291">
        <v>8.8</v>
      </c>
      <c r="AK7" s="292"/>
      <c r="AL7" s="292"/>
      <c r="AM7" s="292"/>
      <c r="AN7" s="292"/>
      <c r="AO7" s="292"/>
      <c r="AP7" s="292"/>
      <c r="AQ7" s="292"/>
      <c r="AR7" s="292"/>
      <c r="AS7" s="292"/>
      <c r="AT7" s="292"/>
      <c r="AU7" s="292" t="s">
        <v>1104</v>
      </c>
      <c r="AV7" s="292" t="s">
        <v>1104</v>
      </c>
      <c r="AW7" s="292" t="s">
        <v>1104</v>
      </c>
      <c r="AX7" s="292" t="s">
        <v>1104</v>
      </c>
      <c r="AY7" s="292" t="s">
        <v>1104</v>
      </c>
      <c r="AZ7" s="292" t="s">
        <v>1104</v>
      </c>
      <c r="BA7" s="292" t="s">
        <v>1104</v>
      </c>
      <c r="BB7" s="292" t="s">
        <v>1104</v>
      </c>
      <c r="BC7" s="292" t="s">
        <v>1104</v>
      </c>
      <c r="BD7" s="292" t="s">
        <v>1104</v>
      </c>
      <c r="BE7" s="292" t="s">
        <v>1104</v>
      </c>
      <c r="BF7" s="292" t="s">
        <v>1104</v>
      </c>
      <c r="BG7" s="292" t="s">
        <v>1104</v>
      </c>
      <c r="BH7" s="292" t="s">
        <v>1104</v>
      </c>
      <c r="BI7" s="292" t="s">
        <v>1104</v>
      </c>
      <c r="BJ7" s="292" t="s">
        <v>1104</v>
      </c>
      <c r="BK7" s="292" t="s">
        <v>1104</v>
      </c>
      <c r="BL7" s="292" t="s">
        <v>1104</v>
      </c>
      <c r="BM7" s="292" t="s">
        <v>1104</v>
      </c>
      <c r="BN7" s="292" t="s">
        <v>1104</v>
      </c>
      <c r="BO7" s="292" t="s">
        <v>1104</v>
      </c>
      <c r="BP7" s="292" t="s">
        <v>1104</v>
      </c>
      <c r="BQ7" s="292" t="s">
        <v>1104</v>
      </c>
      <c r="BR7" s="292" t="s">
        <v>1104</v>
      </c>
      <c r="BS7" s="295">
        <f t="shared" ref="BS7:BS10" si="6">IF(H7&lt;J7,1,0)</f>
      </c>
      <c r="BT7" s="279" t="str">
        <v>#VALUE!</v>
      </c>
    </row>
    <row customHeight="true" ht="18.51851851851852" r="8">
      <c r="A8" s="279" t="s">
        <v>1117</v>
      </c>
      <c r="B8" s="279" t="s">
        <v>1106</v>
      </c>
      <c r="C8" s="279" t="s">
        <v>1107</v>
      </c>
      <c r="D8" s="280" t="s">
        <v>1118</v>
      </c>
      <c r="E8" s="281" t="s">
        <v>1103</v>
      </c>
      <c r="F8" s="283">
        <v>209.99</v>
      </c>
      <c r="G8" s="294">
        <v>329</v>
      </c>
      <c r="H8" s="283">
        <f t="shared" si="28"/>
      </c>
      <c r="I8" s="283">
        <f t="shared" si="18"/>
      </c>
      <c r="J8" s="283">
        <v>99</v>
      </c>
      <c r="K8" s="294">
        <v>168</v>
      </c>
      <c r="L8" s="285">
        <f t="shared" si="8"/>
      </c>
      <c r="M8" s="286">
        <f t="shared" si="0"/>
      </c>
      <c r="N8" s="283">
        <f t="shared" si="30"/>
      </c>
      <c r="O8" s="287">
        <f t="shared" si="20"/>
      </c>
      <c r="P8" s="285">
        <f t="shared" si="10"/>
      </c>
      <c r="Q8" s="283">
        <f t="shared" si="2"/>
      </c>
      <c r="R8" s="283">
        <f t="shared" si="32"/>
      </c>
      <c r="S8" s="279">
        <v>16</v>
      </c>
      <c r="T8" s="288">
        <v>1.6</v>
      </c>
      <c r="U8" s="289">
        <v>0.05</v>
      </c>
      <c r="V8" s="289">
        <v>0.1</v>
      </c>
      <c r="W8" s="289">
        <v>0.01</v>
      </c>
      <c r="X8" s="289">
        <f t="shared" si="22"/>
      </c>
      <c r="Y8" s="289">
        <f t="shared" si="12"/>
      </c>
      <c r="Z8" s="287">
        <v>0.158</v>
      </c>
      <c r="AA8" s="290">
        <f t="shared" si="4"/>
      </c>
      <c r="AB8" s="290">
        <f t="shared" si="34"/>
      </c>
      <c r="AC8" s="290">
        <f t="shared" si="24"/>
      </c>
      <c r="AD8" s="283">
        <f t="shared" si="14"/>
      </c>
      <c r="AE8" s="283">
        <v>61</v>
      </c>
      <c r="AF8" s="291">
        <f t="shared" si="36"/>
      </c>
      <c r="AG8" s="291">
        <v>8.8</v>
      </c>
      <c r="AH8" s="289">
        <f t="shared" si="26"/>
      </c>
      <c r="AI8" s="289">
        <f t="shared" si="16"/>
      </c>
      <c r="AJ8" s="291">
        <v>8.8</v>
      </c>
      <c r="AK8" s="292"/>
      <c r="AL8" s="292"/>
      <c r="AM8" s="292"/>
      <c r="AN8" s="292"/>
      <c r="AO8" s="292"/>
      <c r="AP8" s="292"/>
      <c r="AQ8" s="292"/>
      <c r="AR8" s="292"/>
      <c r="AS8" s="292"/>
      <c r="AT8" s="292"/>
      <c r="AU8" s="292" t="s">
        <v>1104</v>
      </c>
      <c r="AV8" s="292" t="s">
        <v>1104</v>
      </c>
      <c r="AW8" s="292" t="s">
        <v>1104</v>
      </c>
      <c r="AX8" s="292" t="s">
        <v>1104</v>
      </c>
      <c r="AY8" s="292" t="s">
        <v>1104</v>
      </c>
      <c r="AZ8" s="292" t="s">
        <v>1104</v>
      </c>
      <c r="BA8" s="292" t="s">
        <v>1104</v>
      </c>
      <c r="BB8" s="292" t="s">
        <v>1104</v>
      </c>
      <c r="BC8" s="292" t="s">
        <v>1104</v>
      </c>
      <c r="BD8" s="292" t="s">
        <v>1104</v>
      </c>
      <c r="BE8" s="292" t="s">
        <v>1104</v>
      </c>
      <c r="BF8" s="292" t="s">
        <v>1104</v>
      </c>
      <c r="BG8" s="292" t="s">
        <v>1104</v>
      </c>
      <c r="BH8" s="292" t="s">
        <v>1104</v>
      </c>
      <c r="BI8" s="292" t="s">
        <v>1104</v>
      </c>
      <c r="BJ8" s="292" t="s">
        <v>1104</v>
      </c>
      <c r="BK8" s="292" t="s">
        <v>1104</v>
      </c>
      <c r="BL8" s="292" t="s">
        <v>1104</v>
      </c>
      <c r="BM8" s="292" t="s">
        <v>1104</v>
      </c>
      <c r="BN8" s="292" t="s">
        <v>1104</v>
      </c>
      <c r="BO8" s="292" t="s">
        <v>1104</v>
      </c>
      <c r="BP8" s="292" t="s">
        <v>1104</v>
      </c>
      <c r="BQ8" s="292" t="s">
        <v>1104</v>
      </c>
      <c r="BR8" s="292" t="s">
        <v>1104</v>
      </c>
      <c r="BS8" s="295">
        <f t="shared" si="6"/>
      </c>
      <c r="BT8" s="279" t="str">
        <v>#VALUE!</v>
      </c>
    </row>
    <row customHeight="true" ht="18.51851851851852" r="9">
      <c r="A9" s="279" t="s">
        <v>1119</v>
      </c>
      <c r="B9" s="279" t="s">
        <v>1106</v>
      </c>
      <c r="C9" s="279" t="s">
        <v>1107</v>
      </c>
      <c r="D9" s="280" t="s">
        <v>1120</v>
      </c>
      <c r="E9" s="281" t="s">
        <v>1103</v>
      </c>
      <c r="F9" s="283">
        <v>474.5115</v>
      </c>
      <c r="G9" s="294">
        <v>720.76</v>
      </c>
      <c r="H9" s="283">
        <f t="shared" si="28"/>
      </c>
      <c r="I9" s="283">
        <f t="shared" si="18"/>
      </c>
      <c r="J9" s="283">
        <v>270</v>
      </c>
      <c r="K9" s="294">
        <v>538</v>
      </c>
      <c r="L9" s="285">
        <f t="shared" si="8"/>
      </c>
      <c r="M9" s="286">
        <f t="shared" si="0"/>
      </c>
      <c r="N9" s="283">
        <f t="shared" si="30"/>
      </c>
      <c r="O9" s="287">
        <f t="shared" si="20"/>
      </c>
      <c r="P9" s="285">
        <f t="shared" si="10"/>
      </c>
      <c r="Q9" s="283">
        <f t="shared" si="2"/>
      </c>
      <c r="R9" s="283">
        <f t="shared" si="32"/>
      </c>
      <c r="S9" s="279">
        <v>16</v>
      </c>
      <c r="T9" s="288">
        <v>0.6</v>
      </c>
      <c r="U9" s="289">
        <v>0.05</v>
      </c>
      <c r="V9" s="289">
        <v>0.1</v>
      </c>
      <c r="W9" s="289">
        <v>0.01</v>
      </c>
      <c r="X9" s="289">
        <f t="shared" si="22"/>
      </c>
      <c r="Y9" s="289">
        <f t="shared" si="12"/>
      </c>
      <c r="Z9" s="287">
        <v>0.223</v>
      </c>
      <c r="AA9" s="290">
        <f t="shared" si="4"/>
      </c>
      <c r="AB9" s="290">
        <f t="shared" si="34"/>
      </c>
      <c r="AC9" s="290">
        <f t="shared" si="24"/>
      </c>
      <c r="AD9" s="283">
        <f t="shared" si="14"/>
      </c>
      <c r="AE9" s="283">
        <v>61</v>
      </c>
      <c r="AF9" s="291">
        <f t="shared" si="36"/>
      </c>
      <c r="AG9" s="291">
        <v>8.8</v>
      </c>
      <c r="AH9" s="289">
        <f t="shared" si="26"/>
      </c>
      <c r="AI9" s="289">
        <f t="shared" si="16"/>
      </c>
      <c r="AJ9" s="291">
        <v>8.8</v>
      </c>
      <c r="AK9" s="292"/>
      <c r="AL9" s="292"/>
      <c r="AM9" s="292"/>
      <c r="AN9" s="292"/>
      <c r="AO9" s="292"/>
      <c r="AP9" s="292"/>
      <c r="AQ9" s="292"/>
      <c r="AR9" s="292"/>
      <c r="AS9" s="292"/>
      <c r="AT9" s="292"/>
      <c r="AU9" s="292" t="s">
        <v>1104</v>
      </c>
      <c r="AV9" s="292" t="s">
        <v>1104</v>
      </c>
      <c r="AW9" s="292" t="s">
        <v>1104</v>
      </c>
      <c r="AX9" s="292" t="s">
        <v>1104</v>
      </c>
      <c r="AY9" s="292" t="s">
        <v>1104</v>
      </c>
      <c r="AZ9" s="292" t="s">
        <v>1104</v>
      </c>
      <c r="BA9" s="292" t="s">
        <v>1104</v>
      </c>
      <c r="BB9" s="292" t="s">
        <v>1104</v>
      </c>
      <c r="BC9" s="292" t="s">
        <v>1104</v>
      </c>
      <c r="BD9" s="292" t="s">
        <v>1104</v>
      </c>
      <c r="BE9" s="292" t="s">
        <v>1104</v>
      </c>
      <c r="BF9" s="292" t="s">
        <v>1104</v>
      </c>
      <c r="BG9" s="292" t="s">
        <v>1104</v>
      </c>
      <c r="BH9" s="292" t="s">
        <v>1104</v>
      </c>
      <c r="BI9" s="292" t="s">
        <v>1104</v>
      </c>
      <c r="BJ9" s="292" t="s">
        <v>1104</v>
      </c>
      <c r="BK9" s="292" t="s">
        <v>1104</v>
      </c>
      <c r="BL9" s="292" t="s">
        <v>1104</v>
      </c>
      <c r="BM9" s="292" t="s">
        <v>1104</v>
      </c>
      <c r="BN9" s="292" t="s">
        <v>1104</v>
      </c>
      <c r="BO9" s="292" t="s">
        <v>1104</v>
      </c>
      <c r="BP9" s="292" t="s">
        <v>1104</v>
      </c>
      <c r="BQ9" s="292" t="s">
        <v>1104</v>
      </c>
      <c r="BR9" s="292" t="s">
        <v>1104</v>
      </c>
      <c r="BS9" s="295">
        <f t="shared" si="6"/>
      </c>
      <c r="BT9" s="279" t="str">
        <v>#VALUE!</v>
      </c>
    </row>
    <row customHeight="true" ht="18.51851851851852" r="10">
      <c r="A10" s="279" t="s">
        <v>1121</v>
      </c>
      <c r="B10" s="279" t="s">
        <v>1106</v>
      </c>
      <c r="C10" s="279" t="s">
        <v>1107</v>
      </c>
      <c r="D10" s="280" t="s">
        <v>1122</v>
      </c>
      <c r="E10" s="281" t="s">
        <v>1103</v>
      </c>
      <c r="F10" s="283">
        <f>G10*0.7</f>
      </c>
      <c r="G10" s="294">
        <v>32.989</v>
      </c>
      <c r="H10" s="283">
        <f t="shared" si="28"/>
      </c>
      <c r="I10" s="283">
        <f t="shared" si="18"/>
      </c>
      <c r="J10" s="283">
        <v>23.09</v>
      </c>
      <c r="K10" s="294">
        <v>32.989</v>
      </c>
      <c r="L10" s="285">
        <f t="shared" si="8"/>
      </c>
      <c r="M10" s="286">
        <f t="shared" si="0"/>
      </c>
      <c r="N10" s="283">
        <f t="shared" si="30"/>
      </c>
      <c r="O10" s="287">
        <f t="shared" si="20"/>
      </c>
      <c r="P10" s="285">
        <f t="shared" si="10"/>
      </c>
      <c r="Q10" s="283">
        <f t="shared" si="2"/>
      </c>
      <c r="R10" s="283">
        <f t="shared" si="32"/>
      </c>
      <c r="S10" s="279">
        <v>16</v>
      </c>
      <c r="T10" s="288">
        <v>7.4</v>
      </c>
      <c r="U10" s="289">
        <v>0.06</v>
      </c>
      <c r="V10" s="289">
        <v>0.1</v>
      </c>
      <c r="W10" s="289">
        <v>0.01</v>
      </c>
      <c r="X10" s="289">
        <f t="shared" si="22"/>
      </c>
      <c r="Y10" s="289">
        <f t="shared" si="12"/>
      </c>
      <c r="Z10" s="287">
        <v>0.158</v>
      </c>
      <c r="AA10" s="290">
        <f t="shared" si="4"/>
      </c>
      <c r="AB10" s="290">
        <f t="shared" si="34"/>
      </c>
      <c r="AC10" s="290">
        <f t="shared" si="24"/>
      </c>
      <c r="AD10" s="283">
        <f t="shared" si="14"/>
      </c>
      <c r="AE10" s="283">
        <v>61</v>
      </c>
      <c r="AF10" s="291">
        <f t="shared" si="36"/>
      </c>
      <c r="AG10" s="291">
        <v>8.8</v>
      </c>
      <c r="AH10" s="289">
        <f t="shared" si="26"/>
      </c>
      <c r="AI10" s="289">
        <f t="shared" si="16"/>
      </c>
      <c r="AJ10" s="291">
        <v>8.8</v>
      </c>
      <c r="AK10" s="289"/>
      <c r="AL10" s="289"/>
      <c r="AM10" s="289"/>
      <c r="AN10" s="289"/>
      <c r="AO10" s="292"/>
      <c r="AP10" s="292"/>
      <c r="AQ10" s="292"/>
      <c r="AR10" s="292"/>
      <c r="AS10" s="292"/>
      <c r="AT10" s="292"/>
      <c r="AU10" s="292" t="s">
        <v>1104</v>
      </c>
      <c r="AV10" s="292" t="s">
        <v>1104</v>
      </c>
      <c r="AW10" s="292" t="s">
        <v>1104</v>
      </c>
      <c r="AX10" s="292" t="s">
        <v>1104</v>
      </c>
      <c r="AY10" s="292" t="s">
        <v>1104</v>
      </c>
      <c r="AZ10" s="292" t="s">
        <v>1104</v>
      </c>
      <c r="BA10" s="292" t="s">
        <v>1104</v>
      </c>
      <c r="BB10" s="292" t="s">
        <v>1104</v>
      </c>
      <c r="BC10" s="292" t="s">
        <v>1104</v>
      </c>
      <c r="BD10" s="292" t="s">
        <v>1104</v>
      </c>
      <c r="BE10" s="292" t="s">
        <v>1104</v>
      </c>
      <c r="BF10" s="292" t="s">
        <v>1104</v>
      </c>
      <c r="BG10" s="292" t="s">
        <v>1104</v>
      </c>
      <c r="BH10" s="292" t="s">
        <v>1104</v>
      </c>
      <c r="BI10" s="292" t="s">
        <v>1104</v>
      </c>
      <c r="BJ10" s="292" t="s">
        <v>1104</v>
      </c>
      <c r="BK10" s="292" t="s">
        <v>1104</v>
      </c>
      <c r="BL10" s="292" t="s">
        <v>1104</v>
      </c>
      <c r="BM10" s="292" t="s">
        <v>1104</v>
      </c>
      <c r="BN10" s="292" t="s">
        <v>1104</v>
      </c>
      <c r="BO10" s="292" t="s">
        <v>1104</v>
      </c>
      <c r="BP10" s="292" t="s">
        <v>1104</v>
      </c>
      <c r="BQ10" s="292" t="s">
        <v>1104</v>
      </c>
      <c r="BR10" s="292" t="s">
        <v>1104</v>
      </c>
      <c r="BS10" s="295">
        <f t="shared" si="6"/>
      </c>
      <c r="BT10" s="279" t="str">
        <v>#VALUE!</v>
      </c>
    </row>
    <row customHeight="true" ht="18.51851851851852" r="11">
      <c r="A11" s="279"/>
      <c r="B11" s="279"/>
      <c r="C11" s="279"/>
      <c r="D11" s="280"/>
      <c r="E11" s="281"/>
      <c r="F11" s="283"/>
      <c r="G11" s="294"/>
      <c r="H11" s="283"/>
      <c r="I11" s="283"/>
      <c r="J11" s="283"/>
      <c r="K11" s="294"/>
      <c r="L11" s="285"/>
      <c r="M11" s="286"/>
      <c r="N11" s="283"/>
      <c r="O11" s="287"/>
      <c r="P11" s="285"/>
      <c r="Q11" s="283"/>
      <c r="R11" s="283"/>
      <c r="S11" s="279"/>
      <c r="T11" s="288"/>
      <c r="U11" s="289"/>
      <c r="V11" s="289"/>
      <c r="W11" s="289"/>
      <c r="X11" s="289"/>
      <c r="Y11" s="289"/>
      <c r="Z11" s="287"/>
      <c r="AA11" s="290"/>
      <c r="AB11" s="290"/>
      <c r="AC11" s="290"/>
      <c r="AD11" s="283"/>
      <c r="AE11" s="283"/>
      <c r="AF11" s="291"/>
      <c r="AG11" s="291"/>
      <c r="AH11" s="289"/>
      <c r="AI11" s="289"/>
      <c r="AJ11" s="291"/>
      <c r="AK11" s="289"/>
      <c r="AL11" s="289"/>
      <c r="AM11" s="289"/>
      <c r="AN11" s="289"/>
      <c r="AO11" s="292"/>
      <c r="AP11" s="292"/>
      <c r="AQ11" s="292"/>
      <c r="AR11" s="292"/>
      <c r="AS11" s="292"/>
      <c r="AT11" s="292"/>
      <c r="AU11" s="292"/>
      <c r="AV11" s="292"/>
      <c r="AW11" s="292"/>
      <c r="AX11" s="292"/>
      <c r="AY11" s="292"/>
      <c r="AZ11" s="292"/>
      <c r="BA11" s="292"/>
      <c r="BB11" s="292"/>
      <c r="BC11" s="292"/>
      <c r="BD11" s="292"/>
      <c r="BE11" s="292"/>
      <c r="BF11" s="292"/>
      <c r="BG11" s="292"/>
      <c r="BH11" s="292"/>
      <c r="BI11" s="292"/>
      <c r="BJ11" s="292"/>
      <c r="BK11" s="292"/>
      <c r="BL11" s="292"/>
      <c r="BM11" s="292"/>
      <c r="BN11" s="292"/>
      <c r="BO11" s="292"/>
      <c r="BP11" s="292"/>
      <c r="BQ11" s="292"/>
      <c r="BR11" s="292"/>
      <c r="BS11" s="295"/>
      <c r="BT11" s="279"/>
    </row>
    <row customHeight="true" ht="18.51851851851852" r="12">
      <c r="A12" s="279" t="s">
        <v>1099</v>
      </c>
      <c r="B12" s="279" t="s">
        <v>1123</v>
      </c>
      <c r="C12" s="279" t="s">
        <v>1124</v>
      </c>
      <c r="D12" s="280" t="s">
        <v>1125</v>
      </c>
      <c r="E12" s="281" t="s">
        <v>1103</v>
      </c>
      <c r="F12" s="283">
        <f t="shared" ref="F12:F20" si="38">G12*0.7</f>
      </c>
      <c r="G12" s="294">
        <v>32.989</v>
      </c>
      <c r="H12" s="283">
        <f t="shared" ref="H12:H20" si="29">INDEX(#NULL!,MATCH(1,(#NULL!=A12)*(#NULL!=C12),0))</f>
      </c>
      <c r="I12" s="283">
        <f t="shared" ref="I12:I20" si="19">H12=J12</f>
      </c>
      <c r="J12" s="283">
        <v>23.09</v>
      </c>
      <c r="K12" s="294">
        <v>32.989</v>
      </c>
      <c r="L12" s="285">
        <f t="shared" ref="L12:L20" si="9">J12-Q12/T12-AD12-AA12-R12-AB12-AC12</f>
      </c>
      <c r="M12" s="286">
        <f t="shared" ref="M12:M20" si="1">L12/J12</f>
      </c>
      <c r="N12" s="283">
        <f t="shared" ref="N12:N20" si="31">K12/1.2</f>
      </c>
      <c r="O12" s="287">
        <f t="shared" ref="O12:O20" si="21">(N12-J12)/N12</f>
      </c>
      <c r="P12" s="285">
        <f t="shared" ref="P12:P20" si="11">K12/1.2-J12</f>
      </c>
      <c r="Q12" s="283">
        <f t="shared" ref="Q12:Q20" si="3">AF12+AG12</f>
      </c>
      <c r="R12" s="283">
        <f t="shared" ref="R12:R20" si="33">IFERROR(IF(A12="UK",8.95/S12,IF(A12="DE",11.43/S12,IF(A12="FR",15.27/S12,IF(A12="IT",16.34/S12,IF(A12="ES",20.62/S12,IF(A12="NL",12/S12,IF(A12="PL",15.06/S12,IF(A12="SE",18.5/S12,IF(A12="BE",15.27/S12))))))))),0)</f>
      </c>
      <c r="S12" s="279">
        <v>16</v>
      </c>
      <c r="T12" s="288">
        <v>7.4</v>
      </c>
      <c r="U12" s="289">
        <v>0.06</v>
      </c>
      <c r="V12" s="289">
        <v>0.1</v>
      </c>
      <c r="W12" s="289">
        <v>0.01</v>
      </c>
      <c r="X12" s="289">
        <f t="shared" ref="X12:X20" si="23">Q12/(J12*T12)</f>
      </c>
      <c r="Y12" s="289">
        <f t="shared" ref="Y12:Y20" si="13">R12/J12</f>
      </c>
      <c r="Z12" s="287">
        <v>0.158</v>
      </c>
      <c r="AA12" s="290">
        <f t="shared" ref="AA12:AA20" si="5">J12*U12</f>
      </c>
      <c r="AB12" s="290">
        <f t="shared" ref="AB12:AB20" si="35">J12*V12</f>
      </c>
      <c r="AC12" s="290">
        <f t="shared" ref="AC12:AC20" si="25">J12*W12</f>
      </c>
      <c r="AD12" s="283">
        <f t="shared" ref="AD12:AD20" si="15">J12*Z12</f>
      </c>
      <c r="AE12" s="283">
        <v>61</v>
      </c>
      <c r="AF12" s="291">
        <f t="shared" ref="AF12:AF20" si="37">AE12/1.13</f>
      </c>
      <c r="AG12" s="291">
        <v>8.8</v>
      </c>
      <c r="AH12" s="289">
        <f t="shared" ref="AH12:AH20" si="27">AF12/(J12*T12)</f>
      </c>
      <c r="AI12" s="289">
        <f t="shared" ref="AI12:AI20" si="17">AG12/T12/J12</f>
      </c>
      <c r="AJ12" s="291">
        <v>8.8</v>
      </c>
      <c r="AK12" s="289"/>
      <c r="AL12" s="289"/>
      <c r="AM12" s="289"/>
      <c r="AN12" s="289"/>
      <c r="AO12" s="292"/>
      <c r="AP12" s="292"/>
      <c r="AQ12" s="292"/>
      <c r="AR12" s="292"/>
      <c r="AS12" s="292"/>
      <c r="AT12" s="292"/>
      <c r="AU12" s="292" t="s">
        <v>1104</v>
      </c>
      <c r="AV12" s="292" t="s">
        <v>1104</v>
      </c>
      <c r="AW12" s="292" t="s">
        <v>1104</v>
      </c>
      <c r="AX12" s="292" t="s">
        <v>1104</v>
      </c>
      <c r="AY12" s="292" t="s">
        <v>1104</v>
      </c>
      <c r="AZ12" s="292" t="s">
        <v>1104</v>
      </c>
      <c r="BA12" s="292" t="s">
        <v>1104</v>
      </c>
      <c r="BB12" s="292" t="s">
        <v>1104</v>
      </c>
      <c r="BC12" s="292" t="s">
        <v>1104</v>
      </c>
      <c r="BD12" s="292" t="s">
        <v>1104</v>
      </c>
      <c r="BE12" s="292" t="s">
        <v>1104</v>
      </c>
      <c r="BF12" s="292" t="s">
        <v>1104</v>
      </c>
      <c r="BG12" s="292" t="s">
        <v>1104</v>
      </c>
      <c r="BH12" s="292" t="s">
        <v>1104</v>
      </c>
      <c r="BI12" s="292" t="s">
        <v>1104</v>
      </c>
      <c r="BJ12" s="292" t="s">
        <v>1104</v>
      </c>
      <c r="BK12" s="292" t="s">
        <v>1104</v>
      </c>
      <c r="BL12" s="292" t="s">
        <v>1104</v>
      </c>
      <c r="BM12" s="292" t="s">
        <v>1104</v>
      </c>
      <c r="BN12" s="292" t="s">
        <v>1104</v>
      </c>
      <c r="BO12" s="292" t="s">
        <v>1104</v>
      </c>
      <c r="BP12" s="292" t="s">
        <v>1104</v>
      </c>
      <c r="BQ12" s="292" t="s">
        <v>1104</v>
      </c>
      <c r="BR12" s="292" t="s">
        <v>1104</v>
      </c>
      <c r="BS12" s="295">
        <f t="shared" ref="BS12:BS20" si="7">IF(H12&lt;J12,1,0)</f>
      </c>
      <c r="BT12" s="279" t="str">
        <v>#VALUE!</v>
      </c>
    </row>
    <row customHeight="true" ht="18.51851851851852" r="13">
      <c r="A13" s="279" t="s">
        <v>1105</v>
      </c>
      <c r="B13" s="279" t="s">
        <v>1126</v>
      </c>
      <c r="C13" s="279" t="s">
        <v>1127</v>
      </c>
      <c r="D13" s="280" t="s">
        <v>1128</v>
      </c>
      <c r="E13" s="281" t="s">
        <v>1103</v>
      </c>
      <c r="F13" s="283">
        <f t="shared" si="38"/>
      </c>
      <c r="G13" s="294">
        <v>32.989</v>
      </c>
      <c r="H13" s="283">
        <f t="shared" si="29"/>
      </c>
      <c r="I13" s="283">
        <f t="shared" si="19"/>
      </c>
      <c r="J13" s="283">
        <v>23.09</v>
      </c>
      <c r="K13" s="294">
        <v>32.989</v>
      </c>
      <c r="L13" s="285">
        <f t="shared" si="9"/>
      </c>
      <c r="M13" s="286">
        <f t="shared" si="1"/>
      </c>
      <c r="N13" s="283">
        <f t="shared" si="31"/>
      </c>
      <c r="O13" s="287">
        <f t="shared" si="21"/>
      </c>
      <c r="P13" s="285">
        <f t="shared" si="11"/>
      </c>
      <c r="Q13" s="283">
        <f t="shared" si="3"/>
      </c>
      <c r="R13" s="283">
        <f t="shared" si="33"/>
      </c>
      <c r="S13" s="279">
        <v>16</v>
      </c>
      <c r="T13" s="288">
        <v>7.4</v>
      </c>
      <c r="U13" s="289">
        <v>0.06</v>
      </c>
      <c r="V13" s="289">
        <v>0.1</v>
      </c>
      <c r="W13" s="289">
        <v>0.01</v>
      </c>
      <c r="X13" s="289">
        <f t="shared" si="23"/>
      </c>
      <c r="Y13" s="289">
        <f t="shared" si="13"/>
      </c>
      <c r="Z13" s="287">
        <v>0.158</v>
      </c>
      <c r="AA13" s="290">
        <f t="shared" si="5"/>
      </c>
      <c r="AB13" s="290">
        <f t="shared" si="35"/>
      </c>
      <c r="AC13" s="290">
        <f t="shared" si="25"/>
      </c>
      <c r="AD13" s="283">
        <f t="shared" si="15"/>
      </c>
      <c r="AE13" s="283">
        <v>61</v>
      </c>
      <c r="AF13" s="291">
        <f t="shared" si="37"/>
      </c>
      <c r="AG13" s="291">
        <v>8.8</v>
      </c>
      <c r="AH13" s="289">
        <f t="shared" si="27"/>
      </c>
      <c r="AI13" s="289">
        <f t="shared" si="17"/>
      </c>
      <c r="AJ13" s="291">
        <v>8.8</v>
      </c>
      <c r="AK13" s="289"/>
      <c r="AL13" s="289"/>
      <c r="AM13" s="289"/>
      <c r="AN13" s="289"/>
      <c r="AO13" s="292"/>
      <c r="AP13" s="292"/>
      <c r="AQ13" s="292"/>
      <c r="AR13" s="292"/>
      <c r="AS13" s="292"/>
      <c r="AT13" s="292"/>
      <c r="AU13" s="292" t="s">
        <v>1104</v>
      </c>
      <c r="AV13" s="292" t="s">
        <v>1104</v>
      </c>
      <c r="AW13" s="292" t="s">
        <v>1104</v>
      </c>
      <c r="AX13" s="292" t="s">
        <v>1104</v>
      </c>
      <c r="AY13" s="292" t="s">
        <v>1104</v>
      </c>
      <c r="AZ13" s="292" t="s">
        <v>1104</v>
      </c>
      <c r="BA13" s="292" t="s">
        <v>1104</v>
      </c>
      <c r="BB13" s="292" t="s">
        <v>1104</v>
      </c>
      <c r="BC13" s="292" t="s">
        <v>1104</v>
      </c>
      <c r="BD13" s="292" t="s">
        <v>1104</v>
      </c>
      <c r="BE13" s="292" t="s">
        <v>1104</v>
      </c>
      <c r="BF13" s="292" t="s">
        <v>1104</v>
      </c>
      <c r="BG13" s="292" t="s">
        <v>1104</v>
      </c>
      <c r="BH13" s="292" t="s">
        <v>1104</v>
      </c>
      <c r="BI13" s="292" t="s">
        <v>1104</v>
      </c>
      <c r="BJ13" s="292" t="s">
        <v>1104</v>
      </c>
      <c r="BK13" s="292" t="s">
        <v>1104</v>
      </c>
      <c r="BL13" s="292" t="s">
        <v>1104</v>
      </c>
      <c r="BM13" s="292" t="s">
        <v>1104</v>
      </c>
      <c r="BN13" s="292" t="s">
        <v>1104</v>
      </c>
      <c r="BO13" s="292" t="s">
        <v>1104</v>
      </c>
      <c r="BP13" s="292" t="s">
        <v>1104</v>
      </c>
      <c r="BQ13" s="292" t="s">
        <v>1104</v>
      </c>
      <c r="BR13" s="292" t="s">
        <v>1104</v>
      </c>
      <c r="BS13" s="295">
        <f t="shared" si="7"/>
      </c>
      <c r="BT13" s="279" t="str">
        <v>#VALUE!</v>
      </c>
    </row>
    <row customHeight="true" ht="18.51851851851852" r="14">
      <c r="A14" s="279" t="s">
        <v>1109</v>
      </c>
      <c r="B14" s="279" t="s">
        <v>1126</v>
      </c>
      <c r="C14" s="279" t="s">
        <v>1127</v>
      </c>
      <c r="D14" s="280" t="s">
        <v>1129</v>
      </c>
      <c r="E14" s="281" t="s">
        <v>1103</v>
      </c>
      <c r="F14" s="283">
        <f t="shared" si="38"/>
      </c>
      <c r="G14" s="294">
        <v>32.989</v>
      </c>
      <c r="H14" s="283">
        <f t="shared" si="29"/>
      </c>
      <c r="I14" s="283">
        <f t="shared" si="19"/>
      </c>
      <c r="J14" s="283">
        <v>23.09</v>
      </c>
      <c r="K14" s="294">
        <v>32.989</v>
      </c>
      <c r="L14" s="285">
        <f t="shared" si="9"/>
      </c>
      <c r="M14" s="286">
        <f t="shared" si="1"/>
      </c>
      <c r="N14" s="283">
        <f t="shared" si="31"/>
      </c>
      <c r="O14" s="287">
        <f t="shared" si="21"/>
      </c>
      <c r="P14" s="285">
        <f t="shared" si="11"/>
      </c>
      <c r="Q14" s="283">
        <f t="shared" si="3"/>
      </c>
      <c r="R14" s="283">
        <f t="shared" si="33"/>
      </c>
      <c r="S14" s="279">
        <v>16</v>
      </c>
      <c r="T14" s="288">
        <v>7.4</v>
      </c>
      <c r="U14" s="289">
        <v>0.06</v>
      </c>
      <c r="V14" s="289">
        <v>0.1</v>
      </c>
      <c r="W14" s="289">
        <v>0.01</v>
      </c>
      <c r="X14" s="289">
        <f t="shared" si="23"/>
      </c>
      <c r="Y14" s="289">
        <f t="shared" si="13"/>
      </c>
      <c r="Z14" s="287">
        <v>0.158</v>
      </c>
      <c r="AA14" s="290">
        <f t="shared" si="5"/>
      </c>
      <c r="AB14" s="290">
        <f t="shared" si="35"/>
      </c>
      <c r="AC14" s="290">
        <f t="shared" si="25"/>
      </c>
      <c r="AD14" s="283">
        <f t="shared" si="15"/>
      </c>
      <c r="AE14" s="283">
        <v>61</v>
      </c>
      <c r="AF14" s="291">
        <f t="shared" si="37"/>
      </c>
      <c r="AG14" s="291">
        <v>8.8</v>
      </c>
      <c r="AH14" s="289">
        <f t="shared" si="27"/>
      </c>
      <c r="AI14" s="289">
        <f t="shared" si="17"/>
      </c>
      <c r="AJ14" s="291">
        <v>8.8</v>
      </c>
      <c r="AK14" s="289"/>
      <c r="AL14" s="289"/>
      <c r="AM14" s="289"/>
      <c r="AN14" s="289"/>
      <c r="AO14" s="292"/>
      <c r="AP14" s="292"/>
      <c r="AQ14" s="292"/>
      <c r="AR14" s="292"/>
      <c r="AS14" s="292"/>
      <c r="AT14" s="292"/>
      <c r="AU14" s="292" t="s">
        <v>1104</v>
      </c>
      <c r="AV14" s="292" t="s">
        <v>1104</v>
      </c>
      <c r="AW14" s="292" t="s">
        <v>1104</v>
      </c>
      <c r="AX14" s="292" t="s">
        <v>1104</v>
      </c>
      <c r="AY14" s="292" t="s">
        <v>1104</v>
      </c>
      <c r="AZ14" s="292" t="s">
        <v>1104</v>
      </c>
      <c r="BA14" s="292" t="s">
        <v>1104</v>
      </c>
      <c r="BB14" s="292" t="s">
        <v>1104</v>
      </c>
      <c r="BC14" s="292" t="s">
        <v>1104</v>
      </c>
      <c r="BD14" s="292" t="s">
        <v>1104</v>
      </c>
      <c r="BE14" s="292" t="s">
        <v>1104</v>
      </c>
      <c r="BF14" s="292" t="s">
        <v>1104</v>
      </c>
      <c r="BG14" s="292" t="s">
        <v>1104</v>
      </c>
      <c r="BH14" s="292" t="s">
        <v>1104</v>
      </c>
      <c r="BI14" s="292" t="s">
        <v>1104</v>
      </c>
      <c r="BJ14" s="292" t="s">
        <v>1104</v>
      </c>
      <c r="BK14" s="292" t="s">
        <v>1104</v>
      </c>
      <c r="BL14" s="292" t="s">
        <v>1104</v>
      </c>
      <c r="BM14" s="292" t="s">
        <v>1104</v>
      </c>
      <c r="BN14" s="292" t="s">
        <v>1104</v>
      </c>
      <c r="BO14" s="292" t="s">
        <v>1104</v>
      </c>
      <c r="BP14" s="292" t="s">
        <v>1104</v>
      </c>
      <c r="BQ14" s="292" t="s">
        <v>1104</v>
      </c>
      <c r="BR14" s="292" t="s">
        <v>1104</v>
      </c>
      <c r="BS14" s="295">
        <f t="shared" si="7"/>
      </c>
      <c r="BT14" s="279" t="str">
        <v>#VALUE!</v>
      </c>
    </row>
    <row customHeight="true" ht="18.51851851851852" r="15">
      <c r="A15" s="279" t="s">
        <v>1111</v>
      </c>
      <c r="B15" s="279" t="s">
        <v>1126</v>
      </c>
      <c r="C15" s="279" t="s">
        <v>1127</v>
      </c>
      <c r="D15" s="280" t="s">
        <v>1130</v>
      </c>
      <c r="E15" s="281" t="s">
        <v>1103</v>
      </c>
      <c r="F15" s="283">
        <f t="shared" si="38"/>
      </c>
      <c r="G15" s="294">
        <v>32.989</v>
      </c>
      <c r="H15" s="283">
        <f t="shared" si="29"/>
      </c>
      <c r="I15" s="283">
        <f t="shared" si="19"/>
      </c>
      <c r="J15" s="283">
        <v>23.09</v>
      </c>
      <c r="K15" s="294">
        <v>32.989</v>
      </c>
      <c r="L15" s="285">
        <f t="shared" si="9"/>
      </c>
      <c r="M15" s="286">
        <f t="shared" si="1"/>
      </c>
      <c r="N15" s="283">
        <f t="shared" si="31"/>
      </c>
      <c r="O15" s="287">
        <f t="shared" si="21"/>
      </c>
      <c r="P15" s="285">
        <f t="shared" si="11"/>
      </c>
      <c r="Q15" s="283">
        <f t="shared" si="3"/>
      </c>
      <c r="R15" s="283">
        <f t="shared" si="33"/>
      </c>
      <c r="S15" s="279">
        <v>16</v>
      </c>
      <c r="T15" s="288">
        <v>7.4</v>
      </c>
      <c r="U15" s="289">
        <v>0.06</v>
      </c>
      <c r="V15" s="289">
        <v>0.1</v>
      </c>
      <c r="W15" s="289">
        <v>0.01</v>
      </c>
      <c r="X15" s="289">
        <f t="shared" si="23"/>
      </c>
      <c r="Y15" s="289">
        <f t="shared" si="13"/>
      </c>
      <c r="Z15" s="287">
        <v>0.158</v>
      </c>
      <c r="AA15" s="290">
        <f t="shared" si="5"/>
      </c>
      <c r="AB15" s="290">
        <f t="shared" si="35"/>
      </c>
      <c r="AC15" s="290">
        <f t="shared" si="25"/>
      </c>
      <c r="AD15" s="283">
        <f t="shared" si="15"/>
      </c>
      <c r="AE15" s="283">
        <v>61</v>
      </c>
      <c r="AF15" s="291">
        <f t="shared" si="37"/>
      </c>
      <c r="AG15" s="291">
        <v>8.8</v>
      </c>
      <c r="AH15" s="289">
        <f t="shared" si="27"/>
      </c>
      <c r="AI15" s="289">
        <f t="shared" si="17"/>
      </c>
      <c r="AJ15" s="291">
        <v>8.8</v>
      </c>
      <c r="AK15" s="289"/>
      <c r="AL15" s="289"/>
      <c r="AM15" s="289"/>
      <c r="AN15" s="289"/>
      <c r="AO15" s="292"/>
      <c r="AP15" s="292"/>
      <c r="AQ15" s="292"/>
      <c r="AR15" s="292"/>
      <c r="AS15" s="292"/>
      <c r="AT15" s="292"/>
      <c r="AU15" s="292" t="s">
        <v>1104</v>
      </c>
      <c r="AV15" s="292" t="s">
        <v>1104</v>
      </c>
      <c r="AW15" s="292" t="s">
        <v>1104</v>
      </c>
      <c r="AX15" s="292" t="s">
        <v>1104</v>
      </c>
      <c r="AY15" s="292" t="s">
        <v>1104</v>
      </c>
      <c r="AZ15" s="292" t="s">
        <v>1104</v>
      </c>
      <c r="BA15" s="292" t="s">
        <v>1104</v>
      </c>
      <c r="BB15" s="292" t="s">
        <v>1104</v>
      </c>
      <c r="BC15" s="292" t="s">
        <v>1104</v>
      </c>
      <c r="BD15" s="292" t="s">
        <v>1104</v>
      </c>
      <c r="BE15" s="292" t="s">
        <v>1104</v>
      </c>
      <c r="BF15" s="292" t="s">
        <v>1104</v>
      </c>
      <c r="BG15" s="292" t="s">
        <v>1104</v>
      </c>
      <c r="BH15" s="292" t="s">
        <v>1104</v>
      </c>
      <c r="BI15" s="292" t="s">
        <v>1104</v>
      </c>
      <c r="BJ15" s="292" t="s">
        <v>1104</v>
      </c>
      <c r="BK15" s="292" t="s">
        <v>1104</v>
      </c>
      <c r="BL15" s="292" t="s">
        <v>1104</v>
      </c>
      <c r="BM15" s="292" t="s">
        <v>1104</v>
      </c>
      <c r="BN15" s="292" t="s">
        <v>1104</v>
      </c>
      <c r="BO15" s="292" t="s">
        <v>1104</v>
      </c>
      <c r="BP15" s="292" t="s">
        <v>1104</v>
      </c>
      <c r="BQ15" s="292" t="s">
        <v>1104</v>
      </c>
      <c r="BR15" s="292" t="s">
        <v>1104</v>
      </c>
      <c r="BS15" s="295">
        <f t="shared" si="7"/>
      </c>
      <c r="BT15" s="279" t="str">
        <v>#VALUE!</v>
      </c>
    </row>
    <row customHeight="true" ht="18.51851851851852" r="16">
      <c r="A16" s="279" t="s">
        <v>1113</v>
      </c>
      <c r="B16" s="279" t="s">
        <v>1126</v>
      </c>
      <c r="C16" s="279" t="s">
        <v>1127</v>
      </c>
      <c r="D16" s="280" t="s">
        <v>1131</v>
      </c>
      <c r="E16" s="281" t="s">
        <v>1103</v>
      </c>
      <c r="F16" s="283">
        <f t="shared" si="38"/>
      </c>
      <c r="G16" s="294">
        <v>32.989</v>
      </c>
      <c r="H16" s="283">
        <f t="shared" si="29"/>
      </c>
      <c r="I16" s="283">
        <f t="shared" si="19"/>
      </c>
      <c r="J16" s="283">
        <v>23.09</v>
      </c>
      <c r="K16" s="294">
        <v>32.989</v>
      </c>
      <c r="L16" s="285">
        <f t="shared" si="9"/>
      </c>
      <c r="M16" s="286">
        <f t="shared" si="1"/>
      </c>
      <c r="N16" s="283">
        <f t="shared" si="31"/>
      </c>
      <c r="O16" s="287">
        <f t="shared" si="21"/>
      </c>
      <c r="P16" s="285">
        <f t="shared" si="11"/>
      </c>
      <c r="Q16" s="283">
        <f t="shared" si="3"/>
      </c>
      <c r="R16" s="283">
        <f t="shared" si="33"/>
      </c>
      <c r="S16" s="279">
        <v>16</v>
      </c>
      <c r="T16" s="288">
        <v>7.4</v>
      </c>
      <c r="U16" s="289">
        <v>0.06</v>
      </c>
      <c r="V16" s="289">
        <v>0.1</v>
      </c>
      <c r="W16" s="289">
        <v>0.01</v>
      </c>
      <c r="X16" s="289">
        <f t="shared" si="23"/>
      </c>
      <c r="Y16" s="289">
        <f t="shared" si="13"/>
      </c>
      <c r="Z16" s="287">
        <v>0.158</v>
      </c>
      <c r="AA16" s="290">
        <f t="shared" si="5"/>
      </c>
      <c r="AB16" s="290">
        <f t="shared" si="35"/>
      </c>
      <c r="AC16" s="290">
        <f t="shared" si="25"/>
      </c>
      <c r="AD16" s="283">
        <f t="shared" si="15"/>
      </c>
      <c r="AE16" s="283">
        <v>61</v>
      </c>
      <c r="AF16" s="291">
        <f t="shared" si="37"/>
      </c>
      <c r="AG16" s="291">
        <v>8.8</v>
      </c>
      <c r="AH16" s="289">
        <f t="shared" si="27"/>
      </c>
      <c r="AI16" s="289">
        <f t="shared" si="17"/>
      </c>
      <c r="AJ16" s="291">
        <v>8.8</v>
      </c>
      <c r="AK16" s="289"/>
      <c r="AL16" s="289"/>
      <c r="AM16" s="289"/>
      <c r="AN16" s="289"/>
      <c r="AO16" s="292"/>
      <c r="AP16" s="292"/>
      <c r="AQ16" s="292"/>
      <c r="AR16" s="292"/>
      <c r="AS16" s="292"/>
      <c r="AT16" s="292"/>
      <c r="AU16" s="292" t="s">
        <v>1104</v>
      </c>
      <c r="AV16" s="292" t="s">
        <v>1104</v>
      </c>
      <c r="AW16" s="292" t="s">
        <v>1104</v>
      </c>
      <c r="AX16" s="292" t="s">
        <v>1104</v>
      </c>
      <c r="AY16" s="292" t="s">
        <v>1104</v>
      </c>
      <c r="AZ16" s="292" t="s">
        <v>1104</v>
      </c>
      <c r="BA16" s="292" t="s">
        <v>1104</v>
      </c>
      <c r="BB16" s="292" t="s">
        <v>1104</v>
      </c>
      <c r="BC16" s="292" t="s">
        <v>1104</v>
      </c>
      <c r="BD16" s="292" t="s">
        <v>1104</v>
      </c>
      <c r="BE16" s="292" t="s">
        <v>1104</v>
      </c>
      <c r="BF16" s="292" t="s">
        <v>1104</v>
      </c>
      <c r="BG16" s="292" t="s">
        <v>1104</v>
      </c>
      <c r="BH16" s="292" t="s">
        <v>1104</v>
      </c>
      <c r="BI16" s="292" t="s">
        <v>1104</v>
      </c>
      <c r="BJ16" s="292" t="s">
        <v>1104</v>
      </c>
      <c r="BK16" s="292" t="s">
        <v>1104</v>
      </c>
      <c r="BL16" s="292" t="s">
        <v>1104</v>
      </c>
      <c r="BM16" s="292" t="s">
        <v>1104</v>
      </c>
      <c r="BN16" s="292" t="s">
        <v>1104</v>
      </c>
      <c r="BO16" s="292" t="s">
        <v>1104</v>
      </c>
      <c r="BP16" s="292" t="s">
        <v>1104</v>
      </c>
      <c r="BQ16" s="292" t="s">
        <v>1104</v>
      </c>
      <c r="BR16" s="292" t="s">
        <v>1104</v>
      </c>
      <c r="BS16" s="295">
        <f t="shared" si="7"/>
      </c>
      <c r="BT16" s="279" t="str">
        <v>#VALUE!</v>
      </c>
    </row>
    <row customHeight="true" ht="18.51851851851852" r="17">
      <c r="A17" s="279" t="s">
        <v>1115</v>
      </c>
      <c r="B17" s="279" t="s">
        <v>1126</v>
      </c>
      <c r="C17" s="279" t="s">
        <v>1127</v>
      </c>
      <c r="D17" s="280" t="s">
        <v>1132</v>
      </c>
      <c r="E17" s="281" t="s">
        <v>1103</v>
      </c>
      <c r="F17" s="283">
        <f t="shared" si="38"/>
      </c>
      <c r="G17" s="294">
        <v>32.989</v>
      </c>
      <c r="H17" s="283">
        <f t="shared" si="29"/>
      </c>
      <c r="I17" s="283">
        <f t="shared" si="19"/>
      </c>
      <c r="J17" s="283">
        <v>23.09</v>
      </c>
      <c r="K17" s="294">
        <v>32.989</v>
      </c>
      <c r="L17" s="285">
        <f t="shared" si="9"/>
      </c>
      <c r="M17" s="286">
        <f t="shared" si="1"/>
      </c>
      <c r="N17" s="283">
        <f t="shared" si="31"/>
      </c>
      <c r="O17" s="287">
        <f t="shared" si="21"/>
      </c>
      <c r="P17" s="285">
        <f t="shared" si="11"/>
      </c>
      <c r="Q17" s="283">
        <f t="shared" si="3"/>
      </c>
      <c r="R17" s="283">
        <f t="shared" si="33"/>
      </c>
      <c r="S17" s="279">
        <v>16</v>
      </c>
      <c r="T17" s="288">
        <v>7.4</v>
      </c>
      <c r="U17" s="289">
        <v>0.06</v>
      </c>
      <c r="V17" s="289">
        <v>0.1</v>
      </c>
      <c r="W17" s="289">
        <v>0.01</v>
      </c>
      <c r="X17" s="289">
        <f t="shared" si="23"/>
      </c>
      <c r="Y17" s="289">
        <f t="shared" si="13"/>
      </c>
      <c r="Z17" s="287">
        <v>0.158</v>
      </c>
      <c r="AA17" s="290">
        <f t="shared" si="5"/>
      </c>
      <c r="AB17" s="290">
        <f t="shared" si="35"/>
      </c>
      <c r="AC17" s="290">
        <f t="shared" si="25"/>
      </c>
      <c r="AD17" s="283">
        <f t="shared" si="15"/>
      </c>
      <c r="AE17" s="283">
        <v>61</v>
      </c>
      <c r="AF17" s="291">
        <f t="shared" si="37"/>
      </c>
      <c r="AG17" s="291">
        <v>8.8</v>
      </c>
      <c r="AH17" s="289">
        <f t="shared" si="27"/>
      </c>
      <c r="AI17" s="289">
        <f t="shared" si="17"/>
      </c>
      <c r="AJ17" s="291">
        <v>8.8</v>
      </c>
      <c r="AK17" s="289"/>
      <c r="AL17" s="289"/>
      <c r="AM17" s="289"/>
      <c r="AN17" s="289"/>
      <c r="AO17" s="292"/>
      <c r="AP17" s="292"/>
      <c r="AQ17" s="292"/>
      <c r="AR17" s="292"/>
      <c r="AS17" s="292"/>
      <c r="AT17" s="292"/>
      <c r="AU17" s="292" t="s">
        <v>1104</v>
      </c>
      <c r="AV17" s="292" t="s">
        <v>1104</v>
      </c>
      <c r="AW17" s="292" t="s">
        <v>1104</v>
      </c>
      <c r="AX17" s="292" t="s">
        <v>1104</v>
      </c>
      <c r="AY17" s="292" t="s">
        <v>1104</v>
      </c>
      <c r="AZ17" s="292" t="s">
        <v>1104</v>
      </c>
      <c r="BA17" s="292" t="s">
        <v>1104</v>
      </c>
      <c r="BB17" s="292" t="s">
        <v>1104</v>
      </c>
      <c r="BC17" s="292" t="s">
        <v>1104</v>
      </c>
      <c r="BD17" s="292" t="s">
        <v>1104</v>
      </c>
      <c r="BE17" s="292" t="s">
        <v>1104</v>
      </c>
      <c r="BF17" s="292" t="s">
        <v>1104</v>
      </c>
      <c r="BG17" s="292" t="s">
        <v>1104</v>
      </c>
      <c r="BH17" s="292" t="s">
        <v>1104</v>
      </c>
      <c r="BI17" s="292" t="s">
        <v>1104</v>
      </c>
      <c r="BJ17" s="292" t="s">
        <v>1104</v>
      </c>
      <c r="BK17" s="292" t="s">
        <v>1104</v>
      </c>
      <c r="BL17" s="292" t="s">
        <v>1104</v>
      </c>
      <c r="BM17" s="292" t="s">
        <v>1104</v>
      </c>
      <c r="BN17" s="292" t="s">
        <v>1104</v>
      </c>
      <c r="BO17" s="292" t="s">
        <v>1104</v>
      </c>
      <c r="BP17" s="292" t="s">
        <v>1104</v>
      </c>
      <c r="BQ17" s="292" t="s">
        <v>1104</v>
      </c>
      <c r="BR17" s="292" t="s">
        <v>1104</v>
      </c>
      <c r="BS17" s="295">
        <f t="shared" si="7"/>
      </c>
      <c r="BT17" s="279" t="str">
        <v>#VALUE!</v>
      </c>
    </row>
    <row customHeight="true" ht="18.51851851851852" r="18">
      <c r="A18" s="279" t="s">
        <v>1117</v>
      </c>
      <c r="B18" s="279" t="s">
        <v>1126</v>
      </c>
      <c r="C18" s="279" t="s">
        <v>1127</v>
      </c>
      <c r="D18" s="280" t="s">
        <v>1133</v>
      </c>
      <c r="E18" s="281" t="s">
        <v>1103</v>
      </c>
      <c r="F18" s="283">
        <f t="shared" si="38"/>
      </c>
      <c r="G18" s="294">
        <v>32.989</v>
      </c>
      <c r="H18" s="283">
        <f t="shared" si="29"/>
      </c>
      <c r="I18" s="283">
        <f t="shared" si="19"/>
      </c>
      <c r="J18" s="283">
        <v>23.09</v>
      </c>
      <c r="K18" s="294">
        <v>32.989</v>
      </c>
      <c r="L18" s="285">
        <f t="shared" si="9"/>
      </c>
      <c r="M18" s="286">
        <f t="shared" si="1"/>
      </c>
      <c r="N18" s="283">
        <f t="shared" si="31"/>
      </c>
      <c r="O18" s="287">
        <f t="shared" si="21"/>
      </c>
      <c r="P18" s="285">
        <f t="shared" si="11"/>
      </c>
      <c r="Q18" s="283">
        <f t="shared" si="3"/>
      </c>
      <c r="R18" s="283">
        <f t="shared" si="33"/>
      </c>
      <c r="S18" s="279">
        <v>16</v>
      </c>
      <c r="T18" s="288">
        <v>7.4</v>
      </c>
      <c r="U18" s="289">
        <v>0.06</v>
      </c>
      <c r="V18" s="289">
        <v>0.1</v>
      </c>
      <c r="W18" s="289">
        <v>0.01</v>
      </c>
      <c r="X18" s="289">
        <f t="shared" si="23"/>
      </c>
      <c r="Y18" s="289">
        <f t="shared" si="13"/>
      </c>
      <c r="Z18" s="287">
        <v>0.158</v>
      </c>
      <c r="AA18" s="290">
        <f t="shared" si="5"/>
      </c>
      <c r="AB18" s="290">
        <f t="shared" si="35"/>
      </c>
      <c r="AC18" s="290">
        <f t="shared" si="25"/>
      </c>
      <c r="AD18" s="283">
        <f t="shared" si="15"/>
      </c>
      <c r="AE18" s="283">
        <v>61</v>
      </c>
      <c r="AF18" s="291">
        <f t="shared" si="37"/>
      </c>
      <c r="AG18" s="291">
        <v>8.8</v>
      </c>
      <c r="AH18" s="289">
        <f t="shared" si="27"/>
      </c>
      <c r="AI18" s="289">
        <f t="shared" si="17"/>
      </c>
      <c r="AJ18" s="291">
        <v>8.8</v>
      </c>
      <c r="AK18" s="289"/>
      <c r="AL18" s="289"/>
      <c r="AM18" s="289"/>
      <c r="AN18" s="289"/>
      <c r="AO18" s="292"/>
      <c r="AP18" s="292"/>
      <c r="AQ18" s="292"/>
      <c r="AR18" s="292"/>
      <c r="AS18" s="292"/>
      <c r="AT18" s="292"/>
      <c r="AU18" s="292" t="s">
        <v>1104</v>
      </c>
      <c r="AV18" s="292" t="s">
        <v>1104</v>
      </c>
      <c r="AW18" s="292" t="s">
        <v>1104</v>
      </c>
      <c r="AX18" s="292" t="s">
        <v>1104</v>
      </c>
      <c r="AY18" s="292" t="s">
        <v>1104</v>
      </c>
      <c r="AZ18" s="292" t="s">
        <v>1104</v>
      </c>
      <c r="BA18" s="292" t="s">
        <v>1104</v>
      </c>
      <c r="BB18" s="292" t="s">
        <v>1104</v>
      </c>
      <c r="BC18" s="292" t="s">
        <v>1104</v>
      </c>
      <c r="BD18" s="292" t="s">
        <v>1104</v>
      </c>
      <c r="BE18" s="292" t="s">
        <v>1104</v>
      </c>
      <c r="BF18" s="292" t="s">
        <v>1104</v>
      </c>
      <c r="BG18" s="292" t="s">
        <v>1104</v>
      </c>
      <c r="BH18" s="292" t="s">
        <v>1104</v>
      </c>
      <c r="BI18" s="292" t="s">
        <v>1104</v>
      </c>
      <c r="BJ18" s="292" t="s">
        <v>1104</v>
      </c>
      <c r="BK18" s="292" t="s">
        <v>1104</v>
      </c>
      <c r="BL18" s="292" t="s">
        <v>1104</v>
      </c>
      <c r="BM18" s="292" t="s">
        <v>1104</v>
      </c>
      <c r="BN18" s="292" t="s">
        <v>1104</v>
      </c>
      <c r="BO18" s="292" t="s">
        <v>1104</v>
      </c>
      <c r="BP18" s="292" t="s">
        <v>1104</v>
      </c>
      <c r="BQ18" s="292" t="s">
        <v>1104</v>
      </c>
      <c r="BR18" s="292" t="s">
        <v>1104</v>
      </c>
      <c r="BS18" s="295">
        <f t="shared" si="7"/>
      </c>
      <c r="BT18" s="279" t="str">
        <v>#VALUE!</v>
      </c>
    </row>
    <row customHeight="true" ht="18.51851851851852" r="19">
      <c r="A19" s="279" t="s">
        <v>1119</v>
      </c>
      <c r="B19" s="279" t="s">
        <v>1126</v>
      </c>
      <c r="C19" s="279" t="s">
        <v>1127</v>
      </c>
      <c r="D19" s="280" t="s">
        <v>1134</v>
      </c>
      <c r="E19" s="281" t="s">
        <v>1103</v>
      </c>
      <c r="F19" s="283">
        <f t="shared" si="38"/>
      </c>
      <c r="G19" s="294">
        <v>32.989</v>
      </c>
      <c r="H19" s="283">
        <f t="shared" si="29"/>
      </c>
      <c r="I19" s="283">
        <f t="shared" si="19"/>
      </c>
      <c r="J19" s="283">
        <v>23.09</v>
      </c>
      <c r="K19" s="294">
        <v>32.989</v>
      </c>
      <c r="L19" s="285">
        <f t="shared" si="9"/>
      </c>
      <c r="M19" s="286">
        <f t="shared" si="1"/>
      </c>
      <c r="N19" s="283">
        <f t="shared" si="31"/>
      </c>
      <c r="O19" s="287">
        <f t="shared" si="21"/>
      </c>
      <c r="P19" s="285">
        <f t="shared" si="11"/>
      </c>
      <c r="Q19" s="283">
        <f t="shared" si="3"/>
      </c>
      <c r="R19" s="283">
        <f t="shared" si="33"/>
      </c>
      <c r="S19" s="279">
        <v>16</v>
      </c>
      <c r="T19" s="288">
        <v>7.4</v>
      </c>
      <c r="U19" s="289">
        <v>0.06</v>
      </c>
      <c r="V19" s="289">
        <v>0.1</v>
      </c>
      <c r="W19" s="289">
        <v>0.01</v>
      </c>
      <c r="X19" s="289">
        <f t="shared" si="23"/>
      </c>
      <c r="Y19" s="289">
        <f t="shared" si="13"/>
      </c>
      <c r="Z19" s="287">
        <v>0.158</v>
      </c>
      <c r="AA19" s="290">
        <f t="shared" si="5"/>
      </c>
      <c r="AB19" s="290">
        <f t="shared" si="35"/>
      </c>
      <c r="AC19" s="290">
        <f t="shared" si="25"/>
      </c>
      <c r="AD19" s="283">
        <f t="shared" si="15"/>
      </c>
      <c r="AE19" s="283">
        <v>61</v>
      </c>
      <c r="AF19" s="291">
        <f t="shared" si="37"/>
      </c>
      <c r="AG19" s="291">
        <v>8.8</v>
      </c>
      <c r="AH19" s="289">
        <f t="shared" si="27"/>
      </c>
      <c r="AI19" s="289">
        <f t="shared" si="17"/>
      </c>
      <c r="AJ19" s="291">
        <v>8.8</v>
      </c>
      <c r="AK19" s="289"/>
      <c r="AL19" s="289"/>
      <c r="AM19" s="289"/>
      <c r="AN19" s="289"/>
      <c r="AO19" s="292"/>
      <c r="AP19" s="292"/>
      <c r="AQ19" s="292"/>
      <c r="AR19" s="292"/>
      <c r="AS19" s="292"/>
      <c r="AT19" s="292"/>
      <c r="AU19" s="292" t="s">
        <v>1104</v>
      </c>
      <c r="AV19" s="292" t="s">
        <v>1104</v>
      </c>
      <c r="AW19" s="292" t="s">
        <v>1104</v>
      </c>
      <c r="AX19" s="292" t="s">
        <v>1104</v>
      </c>
      <c r="AY19" s="292" t="s">
        <v>1104</v>
      </c>
      <c r="AZ19" s="292" t="s">
        <v>1104</v>
      </c>
      <c r="BA19" s="292" t="s">
        <v>1104</v>
      </c>
      <c r="BB19" s="292" t="s">
        <v>1104</v>
      </c>
      <c r="BC19" s="292" t="s">
        <v>1104</v>
      </c>
      <c r="BD19" s="292" t="s">
        <v>1104</v>
      </c>
      <c r="BE19" s="292" t="s">
        <v>1104</v>
      </c>
      <c r="BF19" s="292" t="s">
        <v>1104</v>
      </c>
      <c r="BG19" s="292" t="s">
        <v>1104</v>
      </c>
      <c r="BH19" s="292" t="s">
        <v>1104</v>
      </c>
      <c r="BI19" s="292" t="s">
        <v>1104</v>
      </c>
      <c r="BJ19" s="292" t="s">
        <v>1104</v>
      </c>
      <c r="BK19" s="292" t="s">
        <v>1104</v>
      </c>
      <c r="BL19" s="292" t="s">
        <v>1104</v>
      </c>
      <c r="BM19" s="292" t="s">
        <v>1104</v>
      </c>
      <c r="BN19" s="292" t="s">
        <v>1104</v>
      </c>
      <c r="BO19" s="292" t="s">
        <v>1104</v>
      </c>
      <c r="BP19" s="292" t="s">
        <v>1104</v>
      </c>
      <c r="BQ19" s="292" t="s">
        <v>1104</v>
      </c>
      <c r="BR19" s="292" t="s">
        <v>1104</v>
      </c>
      <c r="BS19" s="295">
        <f t="shared" si="7"/>
      </c>
      <c r="BT19" s="279" t="str">
        <v>#VALUE!</v>
      </c>
    </row>
    <row customHeight="true" ht="18.51851851851852" r="20">
      <c r="A20" s="279" t="s">
        <v>1121</v>
      </c>
      <c r="B20" s="279" t="s">
        <v>1126</v>
      </c>
      <c r="C20" s="279" t="s">
        <v>1127</v>
      </c>
      <c r="D20" s="280" t="s">
        <v>1135</v>
      </c>
      <c r="E20" s="281" t="s">
        <v>1103</v>
      </c>
      <c r="F20" s="283">
        <f t="shared" si="38"/>
      </c>
      <c r="G20" s="294">
        <v>32.989</v>
      </c>
      <c r="H20" s="283">
        <f t="shared" si="29"/>
      </c>
      <c r="I20" s="283">
        <f t="shared" si="19"/>
      </c>
      <c r="J20" s="283">
        <v>23.09</v>
      </c>
      <c r="K20" s="294">
        <v>32.989</v>
      </c>
      <c r="L20" s="285">
        <f t="shared" si="9"/>
      </c>
      <c r="M20" s="286">
        <f t="shared" si="1"/>
      </c>
      <c r="N20" s="283">
        <f t="shared" si="31"/>
      </c>
      <c r="O20" s="287">
        <f t="shared" si="21"/>
      </c>
      <c r="P20" s="285">
        <f t="shared" si="11"/>
      </c>
      <c r="Q20" s="283">
        <f t="shared" si="3"/>
      </c>
      <c r="R20" s="283">
        <f t="shared" si="33"/>
      </c>
      <c r="S20" s="279">
        <v>16</v>
      </c>
      <c r="T20" s="288">
        <v>7.4</v>
      </c>
      <c r="U20" s="289">
        <v>0.06</v>
      </c>
      <c r="V20" s="289">
        <v>0.1</v>
      </c>
      <c r="W20" s="289">
        <v>0.01</v>
      </c>
      <c r="X20" s="289">
        <f t="shared" si="23"/>
      </c>
      <c r="Y20" s="289">
        <f t="shared" si="13"/>
      </c>
      <c r="Z20" s="287">
        <v>0.158</v>
      </c>
      <c r="AA20" s="290">
        <f t="shared" si="5"/>
      </c>
      <c r="AB20" s="290">
        <f t="shared" si="35"/>
      </c>
      <c r="AC20" s="290">
        <f t="shared" si="25"/>
      </c>
      <c r="AD20" s="283">
        <f t="shared" si="15"/>
      </c>
      <c r="AE20" s="283">
        <v>61</v>
      </c>
      <c r="AF20" s="291">
        <f t="shared" si="37"/>
      </c>
      <c r="AG20" s="291">
        <v>8.8</v>
      </c>
      <c r="AH20" s="289">
        <f t="shared" si="27"/>
      </c>
      <c r="AI20" s="289">
        <f t="shared" si="17"/>
      </c>
      <c r="AJ20" s="291">
        <v>8.8</v>
      </c>
      <c r="AK20" s="289"/>
      <c r="AL20" s="289"/>
      <c r="AM20" s="289"/>
      <c r="AN20" s="289"/>
      <c r="AO20" s="292"/>
      <c r="AP20" s="292"/>
      <c r="AQ20" s="292"/>
      <c r="AR20" s="292"/>
      <c r="AS20" s="292"/>
      <c r="AT20" s="292"/>
      <c r="AU20" s="292" t="s">
        <v>1104</v>
      </c>
      <c r="AV20" s="292" t="s">
        <v>1104</v>
      </c>
      <c r="AW20" s="292" t="s">
        <v>1104</v>
      </c>
      <c r="AX20" s="292" t="s">
        <v>1104</v>
      </c>
      <c r="AY20" s="292" t="s">
        <v>1104</v>
      </c>
      <c r="AZ20" s="292" t="s">
        <v>1104</v>
      </c>
      <c r="BA20" s="292" t="s">
        <v>1104</v>
      </c>
      <c r="BB20" s="292" t="s">
        <v>1104</v>
      </c>
      <c r="BC20" s="292" t="s">
        <v>1104</v>
      </c>
      <c r="BD20" s="292" t="s">
        <v>1104</v>
      </c>
      <c r="BE20" s="292" t="s">
        <v>1104</v>
      </c>
      <c r="BF20" s="292" t="s">
        <v>1104</v>
      </c>
      <c r="BG20" s="292" t="s">
        <v>1104</v>
      </c>
      <c r="BH20" s="292" t="s">
        <v>1104</v>
      </c>
      <c r="BI20" s="292" t="s">
        <v>1104</v>
      </c>
      <c r="BJ20" s="292" t="s">
        <v>1104</v>
      </c>
      <c r="BK20" s="292" t="s">
        <v>1104</v>
      </c>
      <c r="BL20" s="292" t="s">
        <v>1104</v>
      </c>
      <c r="BM20" s="292" t="s">
        <v>1104</v>
      </c>
      <c r="BN20" s="292" t="s">
        <v>1104</v>
      </c>
      <c r="BO20" s="292" t="s">
        <v>1104</v>
      </c>
      <c r="BP20" s="292" t="s">
        <v>1104</v>
      </c>
      <c r="BQ20" s="292" t="s">
        <v>1104</v>
      </c>
      <c r="BR20" s="292" t="s">
        <v>1104</v>
      </c>
      <c r="BS20" s="295">
        <f t="shared" si="7"/>
      </c>
      <c r="BT20" s="279" t="str">
        <v>#VALUE!</v>
      </c>
    </row>
  </sheetData>
  <conditionalFormatting sqref="M9:M20">
    <cfRule dxfId="21" operator="lessThanOrEqual" priority="1" stopIfTrue="true" type="cellIs">
      <formula>0</formula>
    </cfRule>
  </conditionalFormatting>
  <conditionalFormatting sqref="M7:M20">
    <cfRule dxfId="22" operator="lessThanOrEqual" priority="2" stopIfTrue="true" type="cellIs">
      <formula>0</formula>
    </cfRule>
  </conditionalFormatting>
  <conditionalFormatting sqref="M9:M20 AA9:AC20">
    <cfRule dxfId="23" operator="lessThanOrEqual" priority="3" stopIfTrue="true" type="cellIs">
      <formula>0</formula>
    </cfRule>
  </conditionalFormatting>
  <conditionalFormatting sqref="M7:M20 AA7:AC20">
    <cfRule dxfId="24" operator="lessThanOrEqual" priority="4" stopIfTrue="true" type="cellIs">
      <formula>0</formula>
    </cfRule>
  </conditionalFormatting>
  <conditionalFormatting sqref="L1:M1 Q1:R1 AA1:AA1">
    <cfRule dxfId="25" operator="lessThanOrEqual" priority="5" stopIfTrue="true" type="cellIs">
      <formula>0</formula>
    </cfRule>
  </conditionalFormatting>
  <conditionalFormatting sqref="M3:M6 M10:M20 AA3:AC6 AA10:AC20">
    <cfRule dxfId="26" operator="lessThanOrEqual" priority="6" stopIfTrue="true" type="cellIs">
      <formula>0</formula>
    </cfRule>
  </conditionalFormatting>
  <conditionalFormatting sqref="L2:L20 M7:M20 AA7:AC20">
    <cfRule dxfId="27" operator="lessThanOrEqual" priority="7" stopIfTrue="true" type="cellIs">
      <formula>0</formula>
    </cfRule>
  </conditionalFormatting>
  <conditionalFormatting sqref="M2:M2">
    <cfRule dxfId="28" operator="lessThanOrEqual" priority="8" stopIfTrue="true" type="cellIs">
      <formula>0</formula>
    </cfRule>
  </conditionalFormatting>
  <conditionalFormatting sqref="M2:M2 AA2:AC2">
    <cfRule dxfId="29" operator="lessThanOrEqual" priority="9" stopIfTrue="true" type="cellIs">
      <formula>0</formula>
    </cfRule>
  </conditionalFormatting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16"/>
  <cols>
    <col collapsed="false" customWidth="true" hidden="false" max="19" min="19" style="0" width="17.4"/>
    <col collapsed="false" customWidth="true" hidden="false" max="3" min="3" style="0" width="7.8"/>
    <col collapsed="false" customWidth="true" hidden="false" max="7" min="7" style="0" width="10.733333333333333"/>
    <col collapsed="false" customWidth="true" hidden="false" max="11" min="11" style="0" width="17.4"/>
    <col collapsed="false" customWidth="true" hidden="false" max="15" min="15" style="0" width="17.4"/>
    <col collapsed="false" customWidth="true" hidden="false" max="20" min="20" style="0" width="17.4"/>
    <col collapsed="false" customWidth="true" hidden="false" max="4" min="4" style="0" width="17.4"/>
    <col collapsed="false" customWidth="true" hidden="false" max="8" min="8" style="0" width="10.733333333333333"/>
    <col collapsed="false" customWidth="true" hidden="false" max="12" min="12" style="0" width="17.4"/>
    <col collapsed="false" customWidth="true" hidden="false" max="16" min="16" style="0" width="17.4"/>
    <col collapsed="false" customWidth="true" hidden="false" max="17" min="17" style="0" width="17.4"/>
    <col collapsed="false" customWidth="true" hidden="false" max="1" min="1" style="0" width="19.4"/>
    <col collapsed="false" customWidth="true" hidden="false" max="5" min="5" style="0" width="13.666666666666666"/>
    <col collapsed="false" customWidth="true" hidden="false" max="9" min="9" style="0" width="10.733333333333333"/>
    <col collapsed="false" customWidth="true" hidden="false" max="13" min="13" style="0" width="17.4"/>
    <col collapsed="false" customWidth="true" hidden="false" max="18" min="18" style="0" width="17.4"/>
    <col collapsed="false" customWidth="true" hidden="false" max="2" min="2" style="0" width="33.8"/>
    <col collapsed="false" customWidth="true" hidden="false" max="6" min="6" style="0" width="14.2"/>
    <col collapsed="false" customWidth="true" hidden="false" max="10" min="10" style="0" width="10.733333333333333"/>
    <col collapsed="false" customWidth="true" hidden="false" max="14" min="14" style="0" width="17.4"/>
  </cols>
  <sheetData>
    <row customHeight="true" ht="18.51851851851852" r="1">
      <c r="A1" s="296" t="s">
        <v>1136</v>
      </c>
      <c r="B1" s="296" t="s">
        <v>1137</v>
      </c>
      <c r="C1" s="296" t="s">
        <v>1138</v>
      </c>
      <c r="D1" s="296" t="s">
        <v>1139</v>
      </c>
      <c r="E1" s="296" t="s">
        <v>1140</v>
      </c>
      <c r="F1" s="296" t="s">
        <v>1141</v>
      </c>
      <c r="G1" s="296" t="s">
        <v>1142</v>
      </c>
      <c r="H1" s="296" t="s">
        <v>1142</v>
      </c>
      <c r="I1" s="296" t="s">
        <v>1143</v>
      </c>
      <c r="J1" s="297" t="s">
        <v>1144</v>
      </c>
      <c r="K1" s="298" t="s">
        <v>1145</v>
      </c>
      <c r="L1" s="297" t="s">
        <v>1142</v>
      </c>
      <c r="M1" s="296" t="s">
        <v>1146</v>
      </c>
      <c r="N1" s="296" t="s">
        <v>1147</v>
      </c>
      <c r="O1" s="296" t="s">
        <v>1148</v>
      </c>
      <c r="P1" s="296"/>
      <c r="Q1" s="296"/>
      <c r="R1" s="296"/>
      <c r="S1" s="296"/>
      <c r="T1" s="296"/>
    </row>
    <row customHeight="true" ht="18.51851851851852" r="2">
      <c r="A2" s="299" t="s">
        <v>1149</v>
      </c>
      <c r="B2" s="299" t="s">
        <v>1150</v>
      </c>
      <c r="C2" s="299" t="s">
        <v>1151</v>
      </c>
      <c r="D2" s="299" t="s">
        <v>1152</v>
      </c>
      <c r="E2" s="299">
        <v>96</v>
      </c>
      <c r="F2" s="299">
        <v>408</v>
      </c>
      <c r="G2" s="299">
        <f>13.8+2.7+2.5</f>
      </c>
      <c r="H2" s="299">
        <v>13.8</v>
      </c>
      <c r="I2" s="299">
        <v>100</v>
      </c>
      <c r="J2" s="300">
        <v>0</v>
      </c>
      <c r="K2" s="301">
        <f t="shared" ref="K2:K5" si="3">G2*F2+I2</f>
      </c>
      <c r="L2" s="300">
        <f t="shared" ref="L2:L9" si="6">K2/E2</f>
      </c>
      <c r="M2" s="301">
        <f>(K2+K3+K4)/400</f>
      </c>
      <c r="N2" s="299" t="s">
        <v>1153</v>
      </c>
      <c r="O2" s="299" t="s">
        <v>1154</v>
      </c>
      <c r="P2" s="299"/>
      <c r="Q2" s="299"/>
      <c r="R2" s="299"/>
    </row>
    <row customHeight="true" ht="18.51851851851852" r="3">
      <c r="A3" s="299" t="s">
        <v>1149</v>
      </c>
      <c r="B3" s="299" t="s">
        <v>1150</v>
      </c>
      <c r="C3" s="299" t="s">
        <v>1151</v>
      </c>
      <c r="D3" s="299" t="s">
        <v>1155</v>
      </c>
      <c r="E3" s="299">
        <v>132</v>
      </c>
      <c r="F3" s="299">
        <v>561</v>
      </c>
      <c r="G3" s="299">
        <f>9.8+2.7+2.5</f>
      </c>
      <c r="H3" s="299">
        <v>9.8</v>
      </c>
      <c r="I3" s="299">
        <v>100</v>
      </c>
      <c r="J3" s="300">
        <v>0</v>
      </c>
      <c r="K3" s="301">
        <f t="shared" si="3"/>
      </c>
      <c r="L3" s="300">
        <f t="shared" si="6"/>
      </c>
      <c r="M3" s="301"/>
      <c r="N3" s="299" t="s">
        <v>1153</v>
      </c>
      <c r="O3" s="299" t="s">
        <v>1154</v>
      </c>
      <c r="P3" s="302"/>
      <c r="Q3" s="302"/>
      <c r="R3" s="302"/>
    </row>
    <row customHeight="true" ht="18.51851851851852" r="4">
      <c r="A4" s="299" t="s">
        <v>1149</v>
      </c>
      <c r="B4" s="299" t="s">
        <v>1150</v>
      </c>
      <c r="C4" s="299" t="s">
        <v>1151</v>
      </c>
      <c r="D4" s="299" t="s">
        <v>1155</v>
      </c>
      <c r="E4" s="299">
        <v>172</v>
      </c>
      <c r="F4" s="299">
        <v>731</v>
      </c>
      <c r="G4" s="299">
        <f>8.9+2.7+2.5-5.7</f>
      </c>
      <c r="H4" s="299">
        <v>8.9</v>
      </c>
      <c r="I4" s="299">
        <v>100</v>
      </c>
      <c r="J4" s="300">
        <v>0</v>
      </c>
      <c r="K4" s="301">
        <f t="shared" si="3"/>
      </c>
      <c r="L4" s="300">
        <f t="shared" si="6"/>
      </c>
      <c r="M4" s="301" t="s">
        <v>1156</v>
      </c>
      <c r="N4" s="299" t="s">
        <v>1153</v>
      </c>
      <c r="O4" s="299" t="s">
        <v>1154</v>
      </c>
      <c r="P4" s="302"/>
      <c r="Q4" s="302"/>
      <c r="R4" s="302"/>
    </row>
    <row customHeight="true" ht="18.51851851851852" r="5">
      <c r="A5" s="299" t="s">
        <v>1149</v>
      </c>
      <c r="B5" s="299" t="s">
        <v>1150</v>
      </c>
      <c r="C5" s="299" t="s">
        <v>1151</v>
      </c>
      <c r="D5" s="299" t="s">
        <v>1155</v>
      </c>
      <c r="E5" s="299">
        <v>600</v>
      </c>
      <c r="F5" s="299">
        <v>2550</v>
      </c>
      <c r="G5" s="299">
        <f>7.5+2.7+2.5</f>
      </c>
      <c r="H5" s="299">
        <v>7.5</v>
      </c>
      <c r="I5" s="299">
        <v>100</v>
      </c>
      <c r="J5" s="300">
        <v>0</v>
      </c>
      <c r="K5" s="301">
        <f t="shared" si="3"/>
      </c>
      <c r="L5" s="300">
        <f t="shared" si="6"/>
      </c>
      <c r="M5" s="301">
        <f>K5/E5</f>
      </c>
      <c r="N5" s="299" t="s">
        <v>1153</v>
      </c>
      <c r="O5" s="299" t="s">
        <v>1154</v>
      </c>
      <c r="P5" s="302"/>
      <c r="Q5" s="302"/>
      <c r="R5" s="302"/>
    </row>
    <row customHeight="true" ht="18.51851851851852" r="6">
      <c r="A6" s="299" t="s">
        <v>1149</v>
      </c>
      <c r="B6" s="299" t="s">
        <v>1150</v>
      </c>
      <c r="C6" s="299" t="s">
        <v>1157</v>
      </c>
      <c r="D6" s="299" t="s">
        <v>1158</v>
      </c>
      <c r="E6" s="299">
        <v>360</v>
      </c>
      <c r="F6" s="299">
        <v>1531</v>
      </c>
      <c r="G6" s="299">
        <v>8.5</v>
      </c>
      <c r="H6" s="299">
        <v>8.5</v>
      </c>
      <c r="I6" s="299">
        <f>350+400</f>
      </c>
      <c r="J6" s="300">
        <f t="shared" ref="J6:J7" si="4">79*0.3*0.027*7.8</f>
      </c>
      <c r="K6" s="301">
        <f t="shared" ref="K6:K9" si="12">G6*F6+I6+J6*E6</f>
      </c>
      <c r="L6" s="300">
        <f t="shared" si="6"/>
      </c>
      <c r="M6" s="301">
        <f>(K6+K7)/1500</f>
      </c>
      <c r="N6" s="299" t="s">
        <v>1159</v>
      </c>
      <c r="O6" s="299" t="s">
        <v>1154</v>
      </c>
    </row>
    <row customHeight="true" ht="18.51851851851852" r="7">
      <c r="A7" s="299" t="s">
        <v>1149</v>
      </c>
      <c r="B7" s="299" t="s">
        <v>1150</v>
      </c>
      <c r="C7" s="299" t="s">
        <v>1157</v>
      </c>
      <c r="D7" s="299" t="s">
        <v>1160</v>
      </c>
      <c r="E7" s="299">
        <v>1140</v>
      </c>
      <c r="F7" s="299">
        <v>27.9</v>
      </c>
      <c r="G7" s="303">
        <f>43600/70</f>
      </c>
      <c r="H7" s="299">
        <v>70</v>
      </c>
      <c r="I7" s="299">
        <v>350</v>
      </c>
      <c r="J7" s="300">
        <f t="shared" si="4"/>
      </c>
      <c r="K7" s="301">
        <f t="shared" si="12"/>
      </c>
      <c r="L7" s="300">
        <f t="shared" si="6"/>
      </c>
      <c r="M7" s="301"/>
      <c r="N7" s="299" t="s">
        <v>1161</v>
      </c>
      <c r="O7" s="299"/>
    </row>
    <row customHeight="true" ht="18.51851851851852" r="8">
      <c r="A8" s="299" t="s">
        <v>1149</v>
      </c>
      <c r="B8" s="299" t="s">
        <v>1150</v>
      </c>
      <c r="C8" s="299" t="s">
        <v>1162</v>
      </c>
      <c r="D8" s="299" t="s">
        <v>1158</v>
      </c>
      <c r="E8" s="299">
        <v>160</v>
      </c>
      <c r="F8" s="299">
        <v>681</v>
      </c>
      <c r="G8" s="299">
        <v>10.5</v>
      </c>
      <c r="H8" s="299">
        <v>10.5</v>
      </c>
      <c r="I8" s="299">
        <f t="shared" ref="I8:I9" si="1">350+400</f>
      </c>
      <c r="J8" s="300">
        <f t="shared" ref="J8:J9" si="5">79*0.3*0.027*9</f>
      </c>
      <c r="K8" s="301">
        <f t="shared" si="12"/>
      </c>
      <c r="L8" s="300">
        <f t="shared" si="6"/>
      </c>
      <c r="M8" s="301">
        <f>(K8+K9)/500</f>
      </c>
      <c r="N8" s="299" t="s">
        <v>1159</v>
      </c>
      <c r="O8" s="299" t="s">
        <v>1154</v>
      </c>
    </row>
    <row customHeight="true" ht="18.51851851851852" r="9">
      <c r="A9" s="299" t="s">
        <v>1149</v>
      </c>
      <c r="B9" s="299" t="s">
        <v>1150</v>
      </c>
      <c r="C9" s="299" t="s">
        <v>1162</v>
      </c>
      <c r="D9" s="299" t="s">
        <v>1163</v>
      </c>
      <c r="E9" s="299">
        <v>340</v>
      </c>
      <c r="F9" s="299">
        <v>8.672</v>
      </c>
      <c r="G9" s="299">
        <v>570</v>
      </c>
      <c r="H9" s="299">
        <v>570</v>
      </c>
      <c r="I9" s="299">
        <f t="shared" si="1"/>
      </c>
      <c r="J9" s="300">
        <f t="shared" si="5"/>
      </c>
      <c r="K9" s="301">
        <f t="shared" si="12"/>
      </c>
      <c r="L9" s="300">
        <f t="shared" si="6"/>
      </c>
      <c r="M9" s="301"/>
      <c r="N9" s="299" t="s">
        <v>1164</v>
      </c>
      <c r="O9" s="299" t="s">
        <v>1154</v>
      </c>
    </row>
    <row customHeight="true" ht="18.51851851851852" r="10">
      <c r="A10" s="299"/>
      <c r="C10" s="299"/>
      <c r="D10" s="299"/>
      <c r="E10" s="299"/>
      <c r="F10" s="299"/>
      <c r="G10" s="299"/>
      <c r="H10" s="302"/>
      <c r="I10" s="299"/>
      <c r="J10" s="300"/>
      <c r="K10" s="301"/>
      <c r="L10" s="300"/>
      <c r="M10" s="299"/>
      <c r="N10" s="299"/>
    </row>
    <row customHeight="true" ht="18.51851851851852" r="11">
      <c r="A11" s="299"/>
      <c r="B11" s="299" t="s">
        <v>1165</v>
      </c>
      <c r="C11" s="299" t="s">
        <v>1157</v>
      </c>
      <c r="D11" s="299" t="s">
        <v>1166</v>
      </c>
      <c r="E11" s="299">
        <v>100</v>
      </c>
      <c r="F11" s="299">
        <v>40</v>
      </c>
      <c r="G11" s="299">
        <v>30</v>
      </c>
      <c r="H11" s="302"/>
      <c r="I11" s="299">
        <v>350</v>
      </c>
      <c r="J11" s="300">
        <v>0</v>
      </c>
      <c r="K11" s="301">
        <f t="shared" ref="K11:K14" si="0">F11*G11+I11</f>
      </c>
      <c r="L11" s="300">
        <f t="shared" ref="L11:L14" si="7">K11/E11</f>
      </c>
      <c r="M11" s="303">
        <f>(K11+K12)/600</f>
      </c>
      <c r="N11" s="299" t="s">
        <v>1167</v>
      </c>
    </row>
    <row customHeight="true" ht="18.51851851851852" r="12">
      <c r="A12" s="299"/>
      <c r="B12" s="299" t="s">
        <v>1165</v>
      </c>
      <c r="C12" s="299" t="s">
        <v>1157</v>
      </c>
      <c r="D12" s="299" t="s">
        <v>1168</v>
      </c>
      <c r="E12" s="299">
        <v>500</v>
      </c>
      <c r="F12" s="299">
        <v>199</v>
      </c>
      <c r="G12" s="299">
        <v>10.5</v>
      </c>
      <c r="H12" s="302"/>
      <c r="I12" s="299">
        <v>350</v>
      </c>
      <c r="J12" s="300">
        <v>0</v>
      </c>
      <c r="K12" s="301">
        <f t="shared" si="0"/>
      </c>
      <c r="L12" s="300">
        <f t="shared" si="7"/>
      </c>
      <c r="M12" s="303"/>
      <c r="N12" s="299" t="s">
        <v>1167</v>
      </c>
      <c r="O12" s="302"/>
    </row>
    <row customHeight="true" ht="18.51851851851852" r="13">
      <c r="A13" s="299"/>
      <c r="B13" s="299" t="s">
        <v>1165</v>
      </c>
      <c r="C13" s="299" t="s">
        <v>1162</v>
      </c>
      <c r="D13" s="299" t="s">
        <v>1169</v>
      </c>
      <c r="E13" s="299">
        <v>100</v>
      </c>
      <c r="F13" s="299">
        <v>40</v>
      </c>
      <c r="G13" s="299">
        <v>37</v>
      </c>
      <c r="H13" s="302"/>
      <c r="I13" s="299">
        <v>350</v>
      </c>
      <c r="J13" s="300">
        <v>0</v>
      </c>
      <c r="K13" s="301">
        <f t="shared" si="0"/>
      </c>
      <c r="L13" s="300">
        <f t="shared" si="7"/>
      </c>
      <c r="M13" s="303">
        <f>(K13+K14)/400</f>
      </c>
      <c r="N13" s="299" t="s">
        <v>1167</v>
      </c>
    </row>
    <row customHeight="true" ht="18.51851851851852" r="14">
      <c r="A14" s="299"/>
      <c r="B14" s="299" t="s">
        <v>1165</v>
      </c>
      <c r="C14" s="299" t="s">
        <v>1162</v>
      </c>
      <c r="D14" s="299" t="s">
        <v>1170</v>
      </c>
      <c r="E14" s="299">
        <v>300</v>
      </c>
      <c r="F14" s="299">
        <v>120</v>
      </c>
      <c r="G14" s="299">
        <v>13</v>
      </c>
      <c r="H14" s="302"/>
      <c r="I14" s="299">
        <v>350</v>
      </c>
      <c r="J14" s="300">
        <v>0</v>
      </c>
      <c r="K14" s="301">
        <f t="shared" si="0"/>
      </c>
      <c r="L14" s="300">
        <f t="shared" si="7"/>
      </c>
      <c r="M14" s="299"/>
      <c r="N14" s="299" t="s">
        <v>1167</v>
      </c>
    </row>
    <row customHeight="true" ht="18.51851851851852" r="15">
      <c r="A15" s="299"/>
      <c r="C15" s="299"/>
      <c r="D15" s="299"/>
      <c r="E15" s="299"/>
      <c r="F15" s="299"/>
      <c r="G15" s="299"/>
      <c r="H15" s="302"/>
      <c r="I15" s="299"/>
      <c r="J15" s="300"/>
      <c r="K15" s="301"/>
      <c r="L15" s="300"/>
      <c r="M15" s="299"/>
      <c r="N15" s="299"/>
    </row>
    <row customHeight="true" ht="18.51851851851852" r="16">
      <c r="A16" s="299" t="s">
        <v>1171</v>
      </c>
      <c r="B16" s="299" t="s">
        <v>1150</v>
      </c>
      <c r="C16" s="299" t="s">
        <v>1157</v>
      </c>
      <c r="D16" s="299" t="s">
        <v>1158</v>
      </c>
      <c r="E16" s="299">
        <v>500</v>
      </c>
      <c r="F16" s="299">
        <v>2123</v>
      </c>
      <c r="G16" s="303">
        <v>10.8</v>
      </c>
      <c r="H16" s="299"/>
      <c r="I16" s="299">
        <v>350</v>
      </c>
      <c r="J16" s="300">
        <v>0</v>
      </c>
      <c r="K16" s="301">
        <f t="shared" ref="K16:K19" si="13">G16*F16+I16+J16*E16</f>
      </c>
      <c r="L16" s="300">
        <f t="shared" ref="L16:L19" si="8">K16/E16</f>
      </c>
      <c r="M16" s="301">
        <f>(K16+K17)/2000</f>
      </c>
      <c r="N16" s="299" t="s">
        <v>1172</v>
      </c>
      <c r="O16" s="299" t="s">
        <v>1154</v>
      </c>
      <c r="P16" s="302"/>
      <c r="Q16" s="302"/>
      <c r="R16" s="302"/>
      <c r="S16" s="302"/>
      <c r="T16" s="302"/>
    </row>
    <row customHeight="true" ht="18.51851851851852" r="17">
      <c r="A17" s="299" t="s">
        <v>1173</v>
      </c>
      <c r="B17" s="299" t="s">
        <v>1150</v>
      </c>
      <c r="C17" s="299" t="s">
        <v>1157</v>
      </c>
      <c r="D17" s="299" t="s">
        <v>1160</v>
      </c>
      <c r="E17" s="299">
        <v>1500</v>
      </c>
      <c r="F17" s="299">
        <v>36.7</v>
      </c>
      <c r="G17" s="303">
        <v>750</v>
      </c>
      <c r="H17" s="299"/>
      <c r="I17" s="299">
        <v>750</v>
      </c>
      <c r="J17" s="300">
        <f>79*0.3*0.027*7.8</f>
      </c>
      <c r="K17" s="301">
        <f t="shared" si="13"/>
      </c>
      <c r="L17" s="300">
        <f t="shared" si="8"/>
      </c>
      <c r="M17" s="301"/>
      <c r="N17" s="299" t="s">
        <v>1174</v>
      </c>
      <c r="O17" s="299" t="s">
        <v>1154</v>
      </c>
      <c r="P17" s="302"/>
      <c r="Q17" s="302"/>
      <c r="R17" s="302"/>
      <c r="S17" s="302"/>
      <c r="T17" s="302"/>
    </row>
    <row customHeight="true" ht="18.51851851851852" r="18">
      <c r="A18" s="299" t="s">
        <v>1175</v>
      </c>
      <c r="B18" s="299" t="s">
        <v>1150</v>
      </c>
      <c r="C18" s="299" t="s">
        <v>1162</v>
      </c>
      <c r="D18" s="299" t="s">
        <v>1176</v>
      </c>
      <c r="E18" s="299">
        <v>500</v>
      </c>
      <c r="F18" s="299">
        <v>12.8</v>
      </c>
      <c r="G18" s="299">
        <v>590</v>
      </c>
      <c r="H18" s="299"/>
      <c r="I18" s="299">
        <v>650</v>
      </c>
      <c r="J18" s="300">
        <f>79*0.3*0.02*9</f>
      </c>
      <c r="K18" s="301">
        <f t="shared" si="13"/>
      </c>
      <c r="L18" s="300">
        <f t="shared" si="8"/>
      </c>
      <c r="M18" s="301"/>
      <c r="N18" s="299" t="s">
        <v>1177</v>
      </c>
      <c r="O18" s="299" t="s">
        <v>1154</v>
      </c>
      <c r="P18" s="302"/>
      <c r="Q18" s="302"/>
      <c r="R18" s="302"/>
      <c r="S18" s="302"/>
      <c r="T18" s="302"/>
    </row>
    <row customHeight="true" ht="18.51851851851852" r="19">
      <c r="A19" s="299" t="s">
        <v>1171</v>
      </c>
      <c r="B19" s="299" t="s">
        <v>1150</v>
      </c>
      <c r="C19" s="299" t="s">
        <v>1157</v>
      </c>
      <c r="D19" s="299" t="s">
        <v>1160</v>
      </c>
      <c r="E19" s="299">
        <v>1000</v>
      </c>
      <c r="F19" s="299">
        <v>25</v>
      </c>
      <c r="G19" s="303">
        <v>650</v>
      </c>
      <c r="H19" s="299"/>
      <c r="I19" s="299">
        <v>750</v>
      </c>
      <c r="J19" s="300">
        <f>79*0.3*0.027*7.8</f>
      </c>
      <c r="K19" s="301">
        <f t="shared" si="13"/>
      </c>
      <c r="L19" s="300">
        <f t="shared" si="8"/>
      </c>
      <c r="M19" s="301"/>
      <c r="N19" s="299" t="s">
        <v>1161</v>
      </c>
      <c r="O19" s="299" t="s">
        <v>1154</v>
      </c>
      <c r="P19" s="302"/>
    </row>
    <row customHeight="true" ht="18.51851851851852" r="20">
      <c r="A20" s="299"/>
      <c r="C20" s="299"/>
      <c r="D20" s="299"/>
      <c r="E20" s="299"/>
      <c r="F20" s="299"/>
      <c r="G20" s="299"/>
      <c r="H20" s="302"/>
      <c r="I20" s="299"/>
      <c r="J20" s="300"/>
      <c r="K20" s="301"/>
      <c r="L20" s="300"/>
      <c r="M20" s="299"/>
      <c r="N20" s="299"/>
    </row>
    <row customHeight="true" ht="18.51851851851852" r="21">
      <c r="A21" s="299" t="s">
        <v>1178</v>
      </c>
      <c r="B21" s="299" t="s">
        <v>1150</v>
      </c>
      <c r="C21" s="299" t="s">
        <v>1162</v>
      </c>
      <c r="D21" s="299" t="s">
        <v>1176</v>
      </c>
      <c r="E21" s="299">
        <v>500</v>
      </c>
      <c r="F21" s="299">
        <v>12.7</v>
      </c>
      <c r="G21" s="303">
        <v>540</v>
      </c>
      <c r="H21" s="299"/>
      <c r="I21" s="299">
        <v>650</v>
      </c>
      <c r="J21" s="300">
        <f>79*0.3*0.02*9</f>
      </c>
      <c r="K21" s="301">
        <f>G21*F21+I21+J21*E21</f>
      </c>
      <c r="L21" s="300">
        <f t="shared" ref="L21:L22" si="9">K21/E21</f>
      </c>
      <c r="M21" s="301"/>
      <c r="N21" s="299" t="s">
        <v>1177</v>
      </c>
      <c r="O21" s="299" t="s">
        <v>1154</v>
      </c>
      <c r="P21" s="302"/>
      <c r="Q21" s="302"/>
      <c r="R21" s="302"/>
      <c r="S21" s="302"/>
      <c r="T21" s="302"/>
    </row>
    <row customHeight="true" ht="18.51851851851852" r="22">
      <c r="A22" s="299" t="s">
        <v>1178</v>
      </c>
      <c r="B22" s="299" t="s">
        <v>1150</v>
      </c>
      <c r="C22" s="299" t="s">
        <v>1157</v>
      </c>
      <c r="D22" s="299" t="s">
        <v>1160</v>
      </c>
      <c r="E22" s="299">
        <v>2000</v>
      </c>
      <c r="F22" s="299">
        <v>50</v>
      </c>
      <c r="G22" s="303">
        <f>34500/68</f>
      </c>
      <c r="H22" s="299"/>
      <c r="I22" s="299">
        <v>650</v>
      </c>
      <c r="J22" s="300">
        <f>79*0.3*0.022*7.8</f>
      </c>
      <c r="K22" s="301">
        <f>G22*F22+I22+J22*E22+2000</f>
      </c>
      <c r="L22" s="300">
        <f t="shared" si="9"/>
      </c>
      <c r="M22" s="301"/>
      <c r="N22" s="299" t="s">
        <v>1164</v>
      </c>
      <c r="P22" s="302"/>
    </row>
    <row customHeight="true" ht="18.51851851851852" r="23">
      <c r="A23" s="299"/>
      <c r="B23" s="299"/>
      <c r="C23" s="299"/>
      <c r="D23" s="299"/>
      <c r="E23" s="299"/>
      <c r="F23" s="299"/>
      <c r="G23" s="303"/>
      <c r="H23" s="299"/>
      <c r="I23" s="299"/>
      <c r="J23" s="300"/>
      <c r="K23" s="301"/>
      <c r="L23" s="300"/>
      <c r="M23" s="301"/>
      <c r="N23" s="299"/>
      <c r="O23" s="302"/>
      <c r="Q23" s="302"/>
      <c r="R23" s="302"/>
      <c r="S23" s="302"/>
      <c r="T23" s="302"/>
    </row>
    <row customHeight="true" ht="18.51851851851852" r="24">
      <c r="A24" s="299" t="s">
        <v>1178</v>
      </c>
      <c r="B24" s="299" t="s">
        <v>1150</v>
      </c>
      <c r="C24" s="299" t="s">
        <v>1157</v>
      </c>
      <c r="D24" s="299" t="s">
        <v>1160</v>
      </c>
      <c r="E24" s="299">
        <v>500</v>
      </c>
      <c r="F24" s="299">
        <v>12.5</v>
      </c>
      <c r="G24" s="303">
        <f>45000/80</f>
      </c>
      <c r="H24" s="299"/>
      <c r="I24" s="299">
        <v>650</v>
      </c>
      <c r="J24" s="300">
        <f>79*0.3*0.022*7.8</f>
      </c>
      <c r="K24" s="301">
        <f t="shared" ref="K24:K33" si="14">G24*F24+I24+J24*E24</f>
      </c>
      <c r="L24" s="300">
        <f t="shared" ref="L24:L33" si="10">K24/E24</f>
      </c>
      <c r="M24" s="301"/>
      <c r="N24" s="299" t="s">
        <v>1164</v>
      </c>
    </row>
    <row customHeight="true" ht="18.51851851851852" r="25">
      <c r="A25" s="299" t="s">
        <v>1179</v>
      </c>
      <c r="B25" s="299" t="s">
        <v>1180</v>
      </c>
      <c r="C25" s="299" t="s">
        <v>1157</v>
      </c>
      <c r="D25" s="299" t="s">
        <v>1158</v>
      </c>
      <c r="E25" s="299">
        <v>225</v>
      </c>
      <c r="F25" s="304">
        <v>470</v>
      </c>
      <c r="G25" s="299">
        <v>8.5</v>
      </c>
      <c r="H25" s="302"/>
      <c r="I25" s="299">
        <v>700</v>
      </c>
      <c r="J25" s="300">
        <f t="shared" ref="J25:J28" si="2">50*0.3*0.022*7.8</f>
      </c>
      <c r="K25" s="301">
        <f t="shared" si="14"/>
      </c>
      <c r="L25" s="300">
        <f t="shared" si="10"/>
      </c>
      <c r="M25" s="303">
        <f>(K25+K26)/(E25+E26)</f>
      </c>
      <c r="N25" s="299" t="s">
        <v>1164</v>
      </c>
    </row>
    <row customHeight="true" ht="18.51851851851852" r="26">
      <c r="A26" s="299" t="s">
        <v>1179</v>
      </c>
      <c r="B26" s="299" t="s">
        <v>1180</v>
      </c>
      <c r="C26" s="299" t="s">
        <v>1157</v>
      </c>
      <c r="D26" s="299" t="s">
        <v>1176</v>
      </c>
      <c r="E26" s="299">
        <v>765</v>
      </c>
      <c r="F26" s="304">
        <v>1600</v>
      </c>
      <c r="G26" s="299">
        <v>5.4</v>
      </c>
      <c r="H26" s="302"/>
      <c r="I26" s="299">
        <v>700</v>
      </c>
      <c r="J26" s="300">
        <f t="shared" si="2"/>
      </c>
      <c r="K26" s="301">
        <f t="shared" si="14"/>
      </c>
      <c r="L26" s="300">
        <f t="shared" si="10"/>
      </c>
      <c r="M26" s="303"/>
      <c r="N26" s="299" t="s">
        <v>1164</v>
      </c>
    </row>
    <row customHeight="true" ht="18.51851851851852" r="27">
      <c r="A27" s="299" t="s">
        <v>1179</v>
      </c>
      <c r="B27" s="299" t="s">
        <v>1180</v>
      </c>
      <c r="C27" s="299" t="s">
        <v>1162</v>
      </c>
      <c r="D27" s="299" t="s">
        <v>1158</v>
      </c>
      <c r="E27" s="299">
        <v>135</v>
      </c>
      <c r="F27" s="304">
        <v>282</v>
      </c>
      <c r="G27" s="299">
        <v>9</v>
      </c>
      <c r="H27" s="302"/>
      <c r="I27" s="299">
        <v>700</v>
      </c>
      <c r="J27" s="300">
        <f t="shared" si="2"/>
      </c>
      <c r="K27" s="301">
        <f t="shared" si="14"/>
      </c>
      <c r="L27" s="300">
        <f t="shared" si="10"/>
      </c>
      <c r="M27" s="303">
        <f>(K27+K28)/(E27+E28)</f>
      </c>
      <c r="N27" s="299" t="s">
        <v>1164</v>
      </c>
    </row>
    <row customHeight="true" ht="18.51851851851852" r="28">
      <c r="A28" s="299" t="s">
        <v>1179</v>
      </c>
      <c r="B28" s="299" t="s">
        <v>1180</v>
      </c>
      <c r="C28" s="299" t="s">
        <v>1162</v>
      </c>
      <c r="D28" s="299" t="s">
        <v>1176</v>
      </c>
      <c r="E28" s="299">
        <v>405</v>
      </c>
      <c r="F28" s="304">
        <v>847</v>
      </c>
      <c r="G28" s="299">
        <v>3.7</v>
      </c>
      <c r="H28" s="302"/>
      <c r="I28" s="299">
        <v>700</v>
      </c>
      <c r="J28" s="300">
        <f t="shared" si="2"/>
      </c>
      <c r="K28" s="301">
        <f t="shared" si="14"/>
      </c>
      <c r="L28" s="300">
        <f t="shared" si="10"/>
      </c>
      <c r="M28" s="303"/>
      <c r="N28" s="299" t="s">
        <v>1164</v>
      </c>
      <c r="P28" s="302"/>
    </row>
    <row customHeight="true" ht="18.51851851851852" r="29">
      <c r="A29" s="299" t="s">
        <v>1179</v>
      </c>
      <c r="B29" s="299" t="s">
        <v>1181</v>
      </c>
      <c r="C29" s="299" t="s">
        <v>1157</v>
      </c>
      <c r="D29" s="299" t="s">
        <v>1158</v>
      </c>
      <c r="E29" s="299">
        <v>108</v>
      </c>
      <c r="F29" s="304">
        <v>89</v>
      </c>
      <c r="G29" s="299">
        <v>8.5</v>
      </c>
      <c r="H29" s="302"/>
      <c r="I29" s="299">
        <v>0</v>
      </c>
      <c r="J29" s="300">
        <f t="shared" ref="J29:J30" si="15">20*0.3*0.022*7.8</f>
      </c>
      <c r="K29" s="301">
        <f t="shared" si="14"/>
      </c>
      <c r="L29" s="300">
        <f t="shared" si="10"/>
      </c>
      <c r="M29" s="303"/>
      <c r="N29" s="299" t="s">
        <v>1164</v>
      </c>
    </row>
    <row customHeight="true" ht="18.51851851851852" r="30">
      <c r="A30" s="299" t="s">
        <v>1179</v>
      </c>
      <c r="B30" s="299" t="s">
        <v>1181</v>
      </c>
      <c r="C30" s="299" t="s">
        <v>1162</v>
      </c>
      <c r="D30" s="299" t="s">
        <v>1158</v>
      </c>
      <c r="E30" s="299">
        <v>54</v>
      </c>
      <c r="F30" s="304">
        <v>45</v>
      </c>
      <c r="G30" s="299">
        <v>9</v>
      </c>
      <c r="H30" s="302"/>
      <c r="I30" s="299">
        <v>0</v>
      </c>
      <c r="J30" s="300">
        <f t="shared" si="15"/>
      </c>
      <c r="K30" s="301">
        <f t="shared" si="14"/>
      </c>
      <c r="L30" s="300">
        <f t="shared" si="10"/>
      </c>
      <c r="M30" s="303"/>
      <c r="N30" s="299" t="s">
        <v>1164</v>
      </c>
    </row>
    <row customHeight="true" ht="18.51851851851852" r="31">
      <c r="A31" s="299" t="s">
        <v>1179</v>
      </c>
      <c r="B31" s="299" t="s">
        <v>1180</v>
      </c>
      <c r="C31" s="299" t="s">
        <v>1151</v>
      </c>
      <c r="D31" s="299" t="s">
        <v>1163</v>
      </c>
      <c r="E31" s="299">
        <v>180</v>
      </c>
      <c r="F31" s="304">
        <v>377</v>
      </c>
      <c r="G31" s="299">
        <v>5.7</v>
      </c>
      <c r="H31" s="302"/>
      <c r="I31" s="299">
        <v>350</v>
      </c>
      <c r="J31" s="300"/>
      <c r="K31" s="301">
        <f t="shared" si="14"/>
      </c>
      <c r="L31" s="300">
        <f t="shared" si="10"/>
      </c>
      <c r="M31" s="303">
        <f>(K31+K32)/(E31+E32)</f>
      </c>
      <c r="N31" s="299" t="s">
        <v>1164</v>
      </c>
    </row>
    <row customHeight="true" ht="18.51851851851852" r="32">
      <c r="A32" s="299" t="s">
        <v>1179</v>
      </c>
      <c r="B32" s="299" t="s">
        <v>1180</v>
      </c>
      <c r="C32" s="299" t="s">
        <v>1151</v>
      </c>
      <c r="D32" s="299" t="s">
        <v>1163</v>
      </c>
      <c r="E32" s="299">
        <v>360</v>
      </c>
      <c r="F32" s="304">
        <v>753</v>
      </c>
      <c r="G32" s="299">
        <v>7.3</v>
      </c>
      <c r="H32" s="302"/>
      <c r="I32" s="299">
        <v>350</v>
      </c>
      <c r="J32" s="300"/>
      <c r="K32" s="301">
        <f t="shared" si="14"/>
      </c>
      <c r="L32" s="300">
        <f t="shared" si="10"/>
      </c>
      <c r="M32" s="299"/>
      <c r="N32" s="299" t="s">
        <v>1164</v>
      </c>
    </row>
    <row customHeight="true" ht="18.51851851851852" r="33">
      <c r="A33" s="299" t="s">
        <v>1179</v>
      </c>
      <c r="B33" s="299" t="s">
        <v>1181</v>
      </c>
      <c r="C33" s="299" t="s">
        <v>1151</v>
      </c>
      <c r="D33" s="299" t="s">
        <v>1163</v>
      </c>
      <c r="E33" s="299">
        <v>54</v>
      </c>
      <c r="F33" s="304">
        <v>45</v>
      </c>
      <c r="G33" s="299">
        <v>10.5</v>
      </c>
      <c r="H33" s="302"/>
      <c r="I33" s="299"/>
      <c r="J33" s="300"/>
      <c r="K33" s="301">
        <f t="shared" si="14"/>
      </c>
      <c r="L33" s="300">
        <f t="shared" si="10"/>
      </c>
      <c r="M33" s="299"/>
      <c r="N33" s="299" t="s">
        <v>1164</v>
      </c>
    </row>
    <row customHeight="true" ht="18.51851851851852" r="34">
      <c r="A34" s="299"/>
      <c r="C34" s="299"/>
      <c r="D34" s="299"/>
      <c r="E34" s="299"/>
      <c r="F34" s="299"/>
      <c r="G34" s="299"/>
      <c r="H34" s="302"/>
      <c r="I34" s="299"/>
      <c r="J34" s="300"/>
      <c r="K34" s="301"/>
      <c r="L34" s="300"/>
      <c r="M34" s="299"/>
      <c r="N34" s="299"/>
    </row>
    <row customHeight="true" ht="18.51851851851852" r="35">
      <c r="A35" s="299" t="s">
        <v>1182</v>
      </c>
      <c r="B35" s="299" t="s">
        <v>1150</v>
      </c>
      <c r="C35" s="299" t="s">
        <v>1162</v>
      </c>
      <c r="D35" s="299" t="s">
        <v>1176</v>
      </c>
      <c r="E35" s="299">
        <v>700</v>
      </c>
      <c r="F35" s="299">
        <v>18.4</v>
      </c>
      <c r="G35" s="303">
        <v>550</v>
      </c>
      <c r="H35" s="302"/>
      <c r="I35" s="299">
        <v>650</v>
      </c>
      <c r="J35" s="300">
        <f>79*0.3*0.02*9</f>
      </c>
      <c r="K35" s="301">
        <f>G35*F35+I35+J35*E35</f>
      </c>
      <c r="L35" s="300">
        <f t="shared" ref="L35:L36" si="11">K35/E35</f>
      </c>
      <c r="M35" s="301"/>
      <c r="N35" s="299" t="s">
        <v>1177</v>
      </c>
    </row>
    <row customHeight="true" ht="18.51851851851852" r="36">
      <c r="A36" s="299" t="s">
        <v>1182</v>
      </c>
      <c r="B36" s="299" t="s">
        <v>1150</v>
      </c>
      <c r="C36" s="299" t="s">
        <v>1157</v>
      </c>
      <c r="D36" s="299" t="s">
        <v>1160</v>
      </c>
      <c r="E36" s="299">
        <v>1800</v>
      </c>
      <c r="F36" s="299">
        <v>44</v>
      </c>
      <c r="G36" s="303">
        <f>43000/74</f>
      </c>
      <c r="H36" s="302"/>
      <c r="I36" s="299">
        <v>650</v>
      </c>
      <c r="J36" s="300">
        <f>79*0.3*0.022*7.8</f>
      </c>
      <c r="K36" s="301">
        <f>G36*F36+I36+J36*E36+2000</f>
      </c>
      <c r="L36" s="300">
        <f t="shared" si="11"/>
      </c>
      <c r="M36" s="299"/>
      <c r="N36" s="299" t="s">
        <v>1164</v>
      </c>
    </row>
  </sheetData>
  <autoFilter ref="A1:T36"/>
  <legacyDrawing r:id="rId1"/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FFFF00"/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7" min="7" style="0" width="17.4"/>
    <col collapsed="false" customWidth="true" hidden="false" max="11" min="11" style="0" width="17.4"/>
    <col collapsed="false" customWidth="true" hidden="false" max="15" min="15" style="0" width="17.4"/>
    <col collapsed="false" customWidth="true" hidden="false" max="19" min="19" style="0" width="17.933333333333334"/>
    <col collapsed="false" customWidth="true" hidden="false" max="3" min="3" style="0" width="15.8"/>
    <col collapsed="false" customWidth="true" hidden="false" max="8" min="8" style="0" width="17.4"/>
    <col collapsed="false" customWidth="true" hidden="false" max="12" min="12" style="0" width="20.733333333333334"/>
    <col collapsed="false" customWidth="true" hidden="false" max="16" min="16" style="0" width="17.4"/>
    <col collapsed="false" customWidth="true" hidden="false" max="20" min="20" style="0" width="17.933333333333334"/>
    <col collapsed="false" customWidth="true" hidden="false" max="4" min="4" style="0" width="17.4"/>
    <col collapsed="false" customWidth="true" hidden="false" max="5" min="5" style="0" width="17.4"/>
    <col collapsed="false" customWidth="true" hidden="false" max="9" min="9" style="0" width="15.4"/>
    <col collapsed="false" customWidth="true" hidden="false" max="13" min="13" style="0" width="20.733333333333334"/>
    <col collapsed="false" customWidth="true" hidden="false" max="17" min="17" style="0" width="17.4"/>
    <col collapsed="false" customWidth="true" hidden="false" max="1" min="1" style="0" width="15.266666666666667"/>
    <col collapsed="false" customWidth="true" hidden="false" max="6" min="6" style="0" width="17.4"/>
    <col collapsed="false" customWidth="true" hidden="false" max="10" min="10" style="0" width="14.466666666666667"/>
    <col collapsed="false" customWidth="true" hidden="false" max="14" min="14" style="0" width="17.4"/>
    <col collapsed="false" customWidth="true" hidden="false" max="18" min="18" style="0" width="17.4"/>
    <col collapsed="false" customWidth="true" hidden="false" max="2" min="2" style="0" width="17.4"/>
  </cols>
  <sheetData>
    <row customHeight="true" ht="18.51851851851852" r="1">
      <c r="A1" s="305" t="s">
        <v>1183</v>
      </c>
      <c r="B1" s="305" t="s">
        <v>1184</v>
      </c>
      <c r="C1" s="305" t="s">
        <v>1185</v>
      </c>
      <c r="D1" s="305" t="s">
        <v>1186</v>
      </c>
      <c r="E1" s="305" t="s">
        <v>1187</v>
      </c>
      <c r="F1" s="305" t="s">
        <v>1188</v>
      </c>
      <c r="G1" s="305" t="s">
        <v>1189</v>
      </c>
      <c r="H1" s="305" t="s">
        <v>1190</v>
      </c>
      <c r="I1" s="305" t="s">
        <v>1191</v>
      </c>
      <c r="J1" s="305" t="s">
        <v>1192</v>
      </c>
      <c r="K1" s="305" t="s">
        <v>1193</v>
      </c>
      <c r="L1" s="305" t="s">
        <v>1194</v>
      </c>
      <c r="M1" s="305" t="s">
        <v>1195</v>
      </c>
      <c r="N1" s="305" t="s">
        <v>1196</v>
      </c>
      <c r="O1" s="305" t="s">
        <v>1197</v>
      </c>
      <c r="P1" s="305" t="s">
        <v>1198</v>
      </c>
      <c r="Q1" s="305" t="s">
        <v>1199</v>
      </c>
    </row>
    <row customHeight="true" ht="18.51851851851852" r="2">
      <c r="A2" s="306">
        <v>45839</v>
      </c>
      <c r="B2" s="307">
        <f>1140-200</f>
      </c>
      <c r="C2" s="308">
        <v>0</v>
      </c>
      <c r="D2" s="308">
        <v>0</v>
      </c>
      <c r="E2" s="308">
        <f t="shared" ref="E2:E19" si="7">F2-D2</f>
      </c>
      <c r="F2" s="308">
        <v>800</v>
      </c>
      <c r="G2" s="309">
        <v>940</v>
      </c>
      <c r="H2" s="309">
        <v>559</v>
      </c>
      <c r="I2" s="308">
        <f>G2-H2</f>
      </c>
      <c r="J2" s="310"/>
      <c r="K2" s="311"/>
      <c r="L2" s="311"/>
      <c r="M2" s="311"/>
      <c r="N2" s="308"/>
      <c r="O2" s="308"/>
      <c r="P2" s="308">
        <v>65</v>
      </c>
      <c r="Q2" s="308">
        <v>30</v>
      </c>
    </row>
    <row customHeight="true" ht="18.51851851851852" r="3">
      <c r="A3" s="306">
        <v>45870</v>
      </c>
      <c r="B3" s="307">
        <f>B2-G2+C2</f>
      </c>
      <c r="C3" s="308"/>
      <c r="D3" s="308">
        <v>0</v>
      </c>
      <c r="E3" s="312">
        <f t="shared" si="7"/>
      </c>
      <c r="F3" s="308">
        <v>340</v>
      </c>
      <c r="G3" s="309">
        <v>0</v>
      </c>
      <c r="H3" s="309">
        <v>312</v>
      </c>
      <c r="I3" s="308">
        <f t="shared" ref="I3:I19" si="0">G3+I2-H3</f>
      </c>
      <c r="J3" s="313"/>
      <c r="K3" s="311"/>
      <c r="L3" s="311">
        <f>K3-55</f>
      </c>
      <c r="M3" s="311">
        <f>L3-55</f>
      </c>
      <c r="N3" s="308"/>
      <c r="O3" s="308"/>
      <c r="P3" s="308">
        <v>65</v>
      </c>
      <c r="Q3" s="308">
        <v>30</v>
      </c>
    </row>
    <row customHeight="true" ht="18.51851851851852" r="4">
      <c r="A4" s="306">
        <v>45901</v>
      </c>
      <c r="B4" s="307">
        <v>0</v>
      </c>
      <c r="C4" s="308">
        <v>1500</v>
      </c>
      <c r="D4" s="308">
        <v>0</v>
      </c>
      <c r="E4" s="312">
        <f t="shared" si="7"/>
      </c>
      <c r="F4" s="308">
        <v>500</v>
      </c>
      <c r="G4" s="309">
        <v>624</v>
      </c>
      <c r="H4" s="309">
        <v>70</v>
      </c>
      <c r="I4" s="308">
        <f t="shared" si="0"/>
      </c>
      <c r="J4" s="314" t="s">
        <v>1200</v>
      </c>
      <c r="K4" s="311">
        <v>45901</v>
      </c>
      <c r="L4" s="311">
        <f t="shared" ref="L4:L19" si="2">K4-P4</f>
      </c>
      <c r="M4" s="311">
        <f t="shared" ref="M4:M19" si="4">L4-Q4</f>
      </c>
      <c r="N4" s="314"/>
      <c r="O4" s="314"/>
      <c r="P4" s="308">
        <v>30</v>
      </c>
      <c r="Q4" s="308">
        <v>30</v>
      </c>
    </row>
    <row customHeight="true" ht="18.51851851851852" r="5">
      <c r="A5" s="306">
        <v>45931</v>
      </c>
      <c r="B5" s="307">
        <f>B4-G4+C4</f>
      </c>
      <c r="C5" s="308">
        <v>0</v>
      </c>
      <c r="D5" s="308">
        <v>0</v>
      </c>
      <c r="E5" s="312">
        <f t="shared" si="7"/>
      </c>
      <c r="F5" s="308">
        <v>740</v>
      </c>
      <c r="G5" s="309">
        <v>876</v>
      </c>
      <c r="H5" s="309">
        <v>434</v>
      </c>
      <c r="I5" s="308">
        <f t="shared" si="0"/>
      </c>
      <c r="J5" s="314"/>
      <c r="K5" s="311"/>
      <c r="L5" s="311">
        <f t="shared" si="2"/>
      </c>
      <c r="M5" s="311">
        <f t="shared" si="4"/>
      </c>
      <c r="N5" s="314"/>
      <c r="O5" s="314"/>
      <c r="P5" s="308">
        <v>65</v>
      </c>
      <c r="Q5" s="308">
        <v>30</v>
      </c>
    </row>
    <row customHeight="true" ht="18.51851851851852" r="6">
      <c r="A6" s="306">
        <v>45962</v>
      </c>
      <c r="B6" s="307">
        <v>0</v>
      </c>
      <c r="C6" s="308">
        <v>1000</v>
      </c>
      <c r="D6" s="308">
        <v>0</v>
      </c>
      <c r="E6" s="312">
        <f t="shared" si="7"/>
      </c>
      <c r="F6" s="308">
        <v>800</v>
      </c>
      <c r="G6" s="309">
        <v>1000</v>
      </c>
      <c r="H6" s="309">
        <v>1890</v>
      </c>
      <c r="I6" s="308">
        <f t="shared" si="0"/>
      </c>
      <c r="J6" s="314" t="s">
        <v>1200</v>
      </c>
      <c r="K6" s="311">
        <v>45962</v>
      </c>
      <c r="L6" s="311">
        <f t="shared" si="2"/>
      </c>
      <c r="M6" s="311">
        <f t="shared" si="4"/>
      </c>
      <c r="N6" s="314"/>
      <c r="O6" s="314"/>
      <c r="P6" s="308">
        <v>65</v>
      </c>
      <c r="Q6" s="308">
        <v>30</v>
      </c>
      <c r="R6" s="315">
        <f>I6-87-67</f>
      </c>
    </row>
    <row customHeight="true" ht="18.51851851851852" r="7">
      <c r="A7" s="306">
        <v>45992</v>
      </c>
      <c r="B7" s="307">
        <f t="shared" ref="B7:B19" si="9">B6-G6+C6</f>
      </c>
      <c r="C7" s="308">
        <v>2000</v>
      </c>
      <c r="D7" s="308">
        <v>0</v>
      </c>
      <c r="E7" s="312">
        <f t="shared" si="7"/>
      </c>
      <c r="F7" s="308">
        <v>1000</v>
      </c>
      <c r="G7" s="308">
        <v>1000</v>
      </c>
      <c r="H7" s="308">
        <v>258</v>
      </c>
      <c r="I7" s="308">
        <f t="shared" si="0"/>
      </c>
      <c r="J7" s="314" t="s">
        <v>1201</v>
      </c>
      <c r="K7" s="311">
        <v>46011</v>
      </c>
      <c r="L7" s="311">
        <f t="shared" si="2"/>
      </c>
      <c r="M7" s="311">
        <f t="shared" si="4"/>
      </c>
      <c r="N7" s="314"/>
      <c r="O7" s="314"/>
      <c r="P7" s="308">
        <v>65</v>
      </c>
      <c r="Q7" s="308">
        <v>30</v>
      </c>
    </row>
    <row customHeight="true" ht="18.51851851851852" r="8">
      <c r="A8" s="306">
        <v>46023</v>
      </c>
      <c r="B8" s="307">
        <f t="shared" si="9"/>
      </c>
      <c r="C8" s="308">
        <v>500</v>
      </c>
      <c r="D8" s="308">
        <v>0</v>
      </c>
      <c r="E8" s="312">
        <f t="shared" si="7"/>
      </c>
      <c r="F8" s="308">
        <v>1000</v>
      </c>
      <c r="G8" s="308">
        <v>1000</v>
      </c>
      <c r="H8" s="308">
        <v>1000</v>
      </c>
      <c r="I8" s="308">
        <f t="shared" si="0"/>
      </c>
      <c r="J8" s="314" t="s">
        <v>1201</v>
      </c>
      <c r="K8" s="311">
        <v>46042</v>
      </c>
      <c r="L8" s="311">
        <f t="shared" si="2"/>
      </c>
      <c r="M8" s="311">
        <f t="shared" si="4"/>
      </c>
      <c r="N8" s="314"/>
      <c r="O8" s="314"/>
      <c r="P8" s="308">
        <v>60</v>
      </c>
      <c r="Q8" s="308">
        <v>30</v>
      </c>
    </row>
    <row customHeight="true" ht="18.51851851851852" r="9">
      <c r="A9" s="306">
        <v>46054</v>
      </c>
      <c r="B9" s="307">
        <f t="shared" si="9"/>
      </c>
      <c r="C9" s="316">
        <v>1800</v>
      </c>
      <c r="D9" s="308">
        <v>0</v>
      </c>
      <c r="E9" s="312">
        <f t="shared" si="7"/>
      </c>
      <c r="F9" s="308">
        <v>800</v>
      </c>
      <c r="G9" s="308">
        <v>800</v>
      </c>
      <c r="H9" s="308">
        <v>1000</v>
      </c>
      <c r="I9" s="308">
        <f t="shared" si="0"/>
      </c>
      <c r="J9" s="314" t="s">
        <v>1201</v>
      </c>
      <c r="K9" s="311">
        <v>46073</v>
      </c>
      <c r="L9" s="311">
        <f t="shared" si="2"/>
      </c>
      <c r="M9" s="311">
        <f t="shared" si="4"/>
      </c>
      <c r="N9" s="314"/>
      <c r="O9" s="314"/>
      <c r="P9" s="308">
        <v>65</v>
      </c>
      <c r="Q9" s="308">
        <v>30</v>
      </c>
    </row>
    <row customHeight="true" ht="18.51851851851852" r="10">
      <c r="A10" s="306">
        <v>46082</v>
      </c>
      <c r="B10" s="307">
        <f t="shared" si="9"/>
      </c>
      <c r="C10" s="308">
        <v>0</v>
      </c>
      <c r="D10" s="308">
        <v>0</v>
      </c>
      <c r="E10" s="312">
        <f t="shared" si="7"/>
      </c>
      <c r="F10" s="308">
        <v>800</v>
      </c>
      <c r="G10" s="308">
        <v>800</v>
      </c>
      <c r="H10" s="308">
        <v>800</v>
      </c>
      <c r="I10" s="308">
        <f t="shared" si="0"/>
      </c>
      <c r="J10" s="314"/>
      <c r="K10" s="311">
        <v>46101</v>
      </c>
      <c r="L10" s="311">
        <f t="shared" si="2"/>
      </c>
      <c r="M10" s="311">
        <f t="shared" si="4"/>
      </c>
      <c r="N10" s="314"/>
      <c r="O10" s="314"/>
      <c r="P10" s="308">
        <v>65</v>
      </c>
      <c r="Q10" s="308">
        <v>30</v>
      </c>
    </row>
    <row customHeight="true" ht="18.51851851851852" r="11">
      <c r="A11" s="306">
        <v>46113</v>
      </c>
      <c r="B11" s="307">
        <f t="shared" si="9"/>
      </c>
      <c r="C11" s="316">
        <v>1000</v>
      </c>
      <c r="D11" s="308">
        <v>0</v>
      </c>
      <c r="E11" s="312">
        <f t="shared" si="7"/>
      </c>
      <c r="F11" s="308">
        <v>700</v>
      </c>
      <c r="G11" s="308">
        <v>700</v>
      </c>
      <c r="H11" s="308">
        <v>800</v>
      </c>
      <c r="I11" s="308">
        <f t="shared" si="0"/>
      </c>
      <c r="J11" s="314" t="s">
        <v>1202</v>
      </c>
      <c r="K11" s="311">
        <v>46122</v>
      </c>
      <c r="L11" s="311">
        <f t="shared" si="2"/>
      </c>
      <c r="M11" s="311">
        <f t="shared" si="4"/>
      </c>
      <c r="N11" s="314"/>
      <c r="O11" s="314"/>
      <c r="P11" s="308">
        <v>65</v>
      </c>
      <c r="Q11" s="308">
        <v>30</v>
      </c>
    </row>
    <row customHeight="true" ht="18.51851851851852" r="12">
      <c r="A12" s="306">
        <v>46143</v>
      </c>
      <c r="B12" s="307">
        <f t="shared" si="9"/>
      </c>
      <c r="C12" s="316">
        <v>1000</v>
      </c>
      <c r="D12" s="308">
        <v>0</v>
      </c>
      <c r="E12" s="312">
        <f t="shared" si="7"/>
      </c>
      <c r="F12" s="308">
        <v>800</v>
      </c>
      <c r="G12" s="308">
        <v>800</v>
      </c>
      <c r="H12" s="308">
        <v>800</v>
      </c>
      <c r="I12" s="308">
        <f t="shared" si="0"/>
      </c>
      <c r="J12" s="314"/>
      <c r="K12" s="311">
        <v>46143</v>
      </c>
      <c r="L12" s="311">
        <f t="shared" si="2"/>
      </c>
      <c r="M12" s="311">
        <f t="shared" si="4"/>
      </c>
      <c r="N12" s="314"/>
      <c r="O12" s="314"/>
      <c r="P12" s="308">
        <v>65</v>
      </c>
      <c r="Q12" s="308">
        <v>30</v>
      </c>
    </row>
    <row customHeight="true" ht="18.51851851851852" r="13">
      <c r="A13" s="306">
        <v>46174</v>
      </c>
      <c r="B13" s="307">
        <f t="shared" si="9"/>
      </c>
      <c r="C13" s="308">
        <v>1200</v>
      </c>
      <c r="D13" s="308">
        <v>0</v>
      </c>
      <c r="E13" s="312">
        <f t="shared" si="7"/>
      </c>
      <c r="F13" s="308">
        <v>1200</v>
      </c>
      <c r="G13" s="308">
        <v>1200</v>
      </c>
      <c r="H13" s="308">
        <v>800</v>
      </c>
      <c r="I13" s="308">
        <f t="shared" si="0"/>
      </c>
      <c r="J13" s="314"/>
      <c r="K13" s="311">
        <v>46174</v>
      </c>
      <c r="L13" s="311">
        <f t="shared" si="2"/>
      </c>
      <c r="M13" s="311">
        <f t="shared" si="4"/>
      </c>
      <c r="N13" s="314"/>
      <c r="O13" s="314"/>
      <c r="P13" s="308">
        <v>65</v>
      </c>
      <c r="Q13" s="308">
        <v>30</v>
      </c>
    </row>
    <row customHeight="true" ht="18.51851851851852" r="14">
      <c r="A14" s="306">
        <v>46204</v>
      </c>
      <c r="B14" s="307">
        <f t="shared" si="9"/>
      </c>
      <c r="C14" s="308">
        <v>1000</v>
      </c>
      <c r="D14" s="308">
        <v>0</v>
      </c>
      <c r="E14" s="312">
        <f t="shared" si="7"/>
      </c>
      <c r="F14" s="308">
        <v>800</v>
      </c>
      <c r="G14" s="308">
        <v>800</v>
      </c>
      <c r="H14" s="308">
        <v>1200</v>
      </c>
      <c r="I14" s="308">
        <f t="shared" si="0"/>
      </c>
      <c r="J14" s="314"/>
      <c r="K14" s="311">
        <v>46204</v>
      </c>
      <c r="L14" s="311">
        <f t="shared" si="2"/>
      </c>
      <c r="M14" s="311">
        <f t="shared" si="4"/>
      </c>
      <c r="N14" s="314"/>
      <c r="O14" s="314"/>
      <c r="P14" s="308">
        <v>65</v>
      </c>
      <c r="Q14" s="308">
        <v>30</v>
      </c>
    </row>
    <row customHeight="true" ht="18.51851851851852" r="15">
      <c r="A15" s="306">
        <v>46235</v>
      </c>
      <c r="B15" s="307">
        <f t="shared" si="9"/>
      </c>
      <c r="C15" s="308">
        <v>1000</v>
      </c>
      <c r="D15" s="308">
        <v>0</v>
      </c>
      <c r="E15" s="312">
        <f t="shared" si="7"/>
      </c>
      <c r="F15" s="308">
        <v>800</v>
      </c>
      <c r="G15" s="308">
        <v>800</v>
      </c>
      <c r="H15" s="308">
        <v>800</v>
      </c>
      <c r="I15" s="308">
        <f t="shared" si="0"/>
      </c>
      <c r="J15" s="314"/>
      <c r="K15" s="311">
        <v>46249</v>
      </c>
      <c r="L15" s="311">
        <f t="shared" si="2"/>
      </c>
      <c r="M15" s="311">
        <f t="shared" si="4"/>
      </c>
      <c r="N15" s="314"/>
      <c r="O15" s="314"/>
      <c r="P15" s="308">
        <v>65</v>
      </c>
      <c r="Q15" s="308">
        <v>30</v>
      </c>
    </row>
    <row customHeight="true" ht="18.51851851851852" r="16">
      <c r="A16" s="306">
        <v>46266</v>
      </c>
      <c r="B16" s="307">
        <f t="shared" si="9"/>
      </c>
      <c r="C16" s="308">
        <v>0</v>
      </c>
      <c r="D16" s="308">
        <v>0</v>
      </c>
      <c r="E16" s="312">
        <f t="shared" si="7"/>
      </c>
      <c r="F16" s="308">
        <v>900</v>
      </c>
      <c r="G16" s="308">
        <v>900</v>
      </c>
      <c r="H16" s="308">
        <v>800</v>
      </c>
      <c r="I16" s="308">
        <f t="shared" si="0"/>
      </c>
      <c r="J16" s="314"/>
      <c r="K16" s="311">
        <v>46275</v>
      </c>
      <c r="L16" s="311">
        <f t="shared" si="2"/>
      </c>
      <c r="M16" s="311">
        <f t="shared" si="4"/>
      </c>
      <c r="N16" s="314"/>
      <c r="O16" s="314"/>
      <c r="P16" s="308">
        <v>65</v>
      </c>
      <c r="Q16" s="308">
        <v>30</v>
      </c>
    </row>
    <row customHeight="true" ht="18.51851851851852" r="17">
      <c r="A17" s="306">
        <v>46296</v>
      </c>
      <c r="B17" s="307">
        <f t="shared" si="9"/>
      </c>
      <c r="C17" s="308">
        <v>1000</v>
      </c>
      <c r="D17" s="308">
        <v>0</v>
      </c>
      <c r="E17" s="312">
        <f t="shared" si="7"/>
      </c>
      <c r="F17" s="308">
        <v>1000</v>
      </c>
      <c r="G17" s="308">
        <v>1000</v>
      </c>
      <c r="H17" s="308">
        <v>900</v>
      </c>
      <c r="I17" s="308">
        <f t="shared" si="0"/>
      </c>
      <c r="J17" s="314"/>
      <c r="K17" s="311">
        <v>46296</v>
      </c>
      <c r="L17" s="311">
        <f t="shared" si="2"/>
      </c>
      <c r="M17" s="311">
        <f t="shared" si="4"/>
      </c>
      <c r="N17" s="314"/>
      <c r="O17" s="314"/>
      <c r="P17" s="308">
        <v>65</v>
      </c>
      <c r="Q17" s="308">
        <v>30</v>
      </c>
    </row>
    <row customHeight="true" ht="18.51851851851852" r="18">
      <c r="A18" s="306">
        <v>46327</v>
      </c>
      <c r="B18" s="307">
        <f t="shared" si="9"/>
      </c>
      <c r="C18" s="308">
        <v>1000</v>
      </c>
      <c r="D18" s="308">
        <v>0</v>
      </c>
      <c r="E18" s="312">
        <f t="shared" si="7"/>
      </c>
      <c r="F18" s="308">
        <v>1000</v>
      </c>
      <c r="G18" s="308">
        <v>1000</v>
      </c>
      <c r="H18" s="308">
        <v>1000</v>
      </c>
      <c r="I18" s="308">
        <f t="shared" si="0"/>
      </c>
      <c r="J18" s="314"/>
      <c r="K18" s="311">
        <v>46327</v>
      </c>
      <c r="L18" s="311">
        <f t="shared" si="2"/>
      </c>
      <c r="M18" s="311">
        <f t="shared" si="4"/>
      </c>
      <c r="N18" s="314"/>
      <c r="O18" s="314"/>
      <c r="P18" s="308">
        <v>65</v>
      </c>
      <c r="Q18" s="308">
        <v>30</v>
      </c>
    </row>
    <row customHeight="true" ht="18.51851851851852" r="19">
      <c r="A19" s="317">
        <v>46357</v>
      </c>
      <c r="B19" s="307">
        <f t="shared" si="9"/>
      </c>
      <c r="C19" s="308"/>
      <c r="D19" s="308">
        <v>0</v>
      </c>
      <c r="E19" s="312">
        <f t="shared" si="7"/>
      </c>
      <c r="F19" s="308">
        <v>800</v>
      </c>
      <c r="G19" s="308">
        <v>800</v>
      </c>
      <c r="H19" s="308">
        <v>1000</v>
      </c>
      <c r="I19" s="308">
        <f t="shared" si="0"/>
      </c>
      <c r="J19" s="314"/>
      <c r="K19" s="311"/>
      <c r="L19" s="311">
        <f t="shared" si="2"/>
      </c>
      <c r="M19" s="311">
        <f t="shared" si="4"/>
      </c>
      <c r="N19" s="314"/>
      <c r="O19" s="314"/>
      <c r="P19" s="308">
        <v>65</v>
      </c>
      <c r="Q19" s="308">
        <v>30</v>
      </c>
    </row>
    <row customHeight="true" ht="18.51851851851852" r="20">
      <c r="A20" s="318"/>
      <c r="B20" s="318"/>
      <c r="C20" s="319"/>
      <c r="D20" s="318"/>
      <c r="E20" s="318"/>
      <c r="F20" s="318"/>
      <c r="G20" s="318"/>
      <c r="H20" s="318"/>
      <c r="I20" s="318"/>
      <c r="J20" s="318"/>
      <c r="K20" s="318"/>
      <c r="L20" s="318"/>
      <c r="M20" s="318"/>
      <c r="N20" s="318"/>
      <c r="O20" s="318"/>
      <c r="P20" s="318"/>
      <c r="Q20" s="318"/>
    </row>
    <row customHeight="true" ht="18.51851851851852" r="21">
      <c r="A21" s="305" t="s">
        <v>1183</v>
      </c>
      <c r="B21" s="305" t="s">
        <v>1184</v>
      </c>
      <c r="C21" s="305" t="s">
        <v>1185</v>
      </c>
      <c r="D21" s="305" t="s">
        <v>1186</v>
      </c>
      <c r="E21" s="305" t="s">
        <v>1187</v>
      </c>
      <c r="F21" s="305" t="s">
        <v>1188</v>
      </c>
      <c r="G21" s="305" t="s">
        <v>1189</v>
      </c>
      <c r="H21" s="305" t="s">
        <v>1190</v>
      </c>
      <c r="I21" s="305" t="s">
        <v>1191</v>
      </c>
      <c r="J21" s="305" t="s">
        <v>1192</v>
      </c>
      <c r="K21" s="305" t="s">
        <v>1193</v>
      </c>
      <c r="L21" s="305" t="s">
        <v>1194</v>
      </c>
      <c r="M21" s="305" t="s">
        <v>1195</v>
      </c>
      <c r="N21" s="305" t="s">
        <v>1196</v>
      </c>
      <c r="O21" s="305" t="s">
        <v>1197</v>
      </c>
      <c r="P21" s="305" t="s">
        <v>1198</v>
      </c>
      <c r="Q21" s="305" t="s">
        <v>1199</v>
      </c>
    </row>
    <row customHeight="true" ht="18.51851851851852" r="22">
      <c r="A22" s="306">
        <v>45839</v>
      </c>
      <c r="B22" s="307">
        <v>340</v>
      </c>
      <c r="C22" s="308">
        <v>0</v>
      </c>
      <c r="D22" s="308">
        <v>0</v>
      </c>
      <c r="E22" s="308">
        <f t="shared" ref="E22:E39" si="8">F22-D22</f>
      </c>
      <c r="F22" s="308">
        <v>80</v>
      </c>
      <c r="G22" s="309">
        <v>132</v>
      </c>
      <c r="H22" s="309">
        <v>47</v>
      </c>
      <c r="I22" s="308">
        <f>G22-H22</f>
      </c>
      <c r="J22" s="310"/>
      <c r="K22" s="311"/>
      <c r="L22" s="311"/>
      <c r="M22" s="311"/>
      <c r="N22" s="308"/>
      <c r="O22" s="308"/>
      <c r="P22" s="308">
        <v>60</v>
      </c>
      <c r="Q22" s="308">
        <v>30</v>
      </c>
    </row>
    <row customHeight="true" ht="18.51851851851852" r="23">
      <c r="A23" s="306">
        <v>45870</v>
      </c>
      <c r="B23" s="307">
        <f t="shared" ref="B23:B27" si="10">B22-G22+C22</f>
      </c>
      <c r="C23" s="308"/>
      <c r="D23" s="308">
        <v>0</v>
      </c>
      <c r="E23" s="312">
        <f t="shared" si="8"/>
      </c>
      <c r="F23" s="308">
        <v>120</v>
      </c>
      <c r="G23" s="309">
        <v>204</v>
      </c>
      <c r="H23" s="309">
        <v>167</v>
      </c>
      <c r="I23" s="308">
        <f t="shared" ref="I23:I27" si="1">G23+I22-H23</f>
      </c>
      <c r="J23" s="313"/>
      <c r="K23" s="311"/>
      <c r="L23" s="311">
        <f>K23-55</f>
      </c>
      <c r="M23" s="311">
        <f>L23-55</f>
      </c>
      <c r="N23" s="308"/>
      <c r="O23" s="308"/>
      <c r="P23" s="308">
        <v>60</v>
      </c>
      <c r="Q23" s="308">
        <v>30</v>
      </c>
    </row>
    <row customHeight="true" ht="18.51851851851852" r="24">
      <c r="A24" s="306">
        <v>45901</v>
      </c>
      <c r="B24" s="307">
        <f t="shared" si="10"/>
      </c>
      <c r="C24" s="308">
        <v>500</v>
      </c>
      <c r="D24" s="308">
        <v>0</v>
      </c>
      <c r="E24" s="312">
        <f t="shared" si="8"/>
      </c>
      <c r="F24" s="308">
        <v>140</v>
      </c>
      <c r="G24" s="309">
        <v>232</v>
      </c>
      <c r="H24" s="309">
        <v>109</v>
      </c>
      <c r="I24" s="308">
        <f t="shared" si="1"/>
      </c>
      <c r="J24" s="314" t="s">
        <v>1200</v>
      </c>
      <c r="K24" s="311">
        <v>45931</v>
      </c>
      <c r="L24" s="311">
        <f t="shared" ref="L24:L39" si="3">K24-P24</f>
      </c>
      <c r="M24" s="311">
        <f t="shared" ref="M24:M39" si="5">L24-Q24</f>
      </c>
      <c r="N24" s="314"/>
      <c r="O24" s="314"/>
      <c r="P24" s="308">
        <v>60</v>
      </c>
      <c r="Q24" s="308">
        <v>30</v>
      </c>
    </row>
    <row customHeight="true" ht="18.51851851851852" r="25">
      <c r="A25" s="306">
        <v>45931</v>
      </c>
      <c r="B25" s="307">
        <f t="shared" si="10"/>
      </c>
      <c r="C25" s="308">
        <v>0</v>
      </c>
      <c r="D25" s="308">
        <v>0</v>
      </c>
      <c r="E25" s="312">
        <f t="shared" si="8"/>
      </c>
      <c r="F25" s="308">
        <v>150</v>
      </c>
      <c r="G25" s="309">
        <v>136</v>
      </c>
      <c r="H25" s="309">
        <v>107</v>
      </c>
      <c r="I25" s="308">
        <f t="shared" si="1"/>
      </c>
      <c r="J25" s="314"/>
      <c r="K25" s="311"/>
      <c r="L25" s="311">
        <f t="shared" si="3"/>
      </c>
      <c r="M25" s="311">
        <f t="shared" si="5"/>
      </c>
      <c r="N25" s="314"/>
      <c r="O25" s="314"/>
      <c r="P25" s="308">
        <v>60</v>
      </c>
      <c r="Q25" s="308">
        <v>30</v>
      </c>
    </row>
    <row customHeight="true" ht="18.51851851851852" r="26">
      <c r="A26" s="306">
        <v>45962</v>
      </c>
      <c r="B26" s="307">
        <f t="shared" si="10"/>
      </c>
      <c r="C26" s="308">
        <v>0</v>
      </c>
      <c r="D26" s="308">
        <v>0</v>
      </c>
      <c r="E26" s="312">
        <f t="shared" si="8"/>
      </c>
      <c r="F26" s="308">
        <v>136</v>
      </c>
      <c r="G26" s="309">
        <v>128</v>
      </c>
      <c r="H26" s="309">
        <v>183</v>
      </c>
      <c r="I26" s="308">
        <f t="shared" si="1"/>
      </c>
      <c r="J26" s="314"/>
      <c r="K26" s="311"/>
      <c r="L26" s="311">
        <f t="shared" si="3"/>
      </c>
      <c r="M26" s="311">
        <f t="shared" si="5"/>
      </c>
      <c r="N26" s="314"/>
      <c r="O26" s="314"/>
      <c r="P26" s="308">
        <v>60</v>
      </c>
      <c r="Q26" s="308">
        <v>30</v>
      </c>
    </row>
    <row customHeight="true" ht="18.51851851851852" r="27">
      <c r="A27" s="306">
        <v>45992</v>
      </c>
      <c r="B27" s="307">
        <f t="shared" si="10"/>
      </c>
      <c r="C27" s="308">
        <v>500</v>
      </c>
      <c r="D27" s="308">
        <v>0</v>
      </c>
      <c r="E27" s="312">
        <f t="shared" si="8"/>
      </c>
      <c r="F27" s="308">
        <v>180</v>
      </c>
      <c r="G27" s="308">
        <v>80</v>
      </c>
      <c r="H27" s="308">
        <v>96</v>
      </c>
      <c r="I27" s="308">
        <f t="shared" si="1"/>
      </c>
      <c r="J27" s="314" t="s">
        <v>1200</v>
      </c>
      <c r="K27" s="311">
        <v>45992</v>
      </c>
      <c r="L27" s="311">
        <f t="shared" si="3"/>
      </c>
      <c r="M27" s="311">
        <f t="shared" si="5"/>
      </c>
      <c r="N27" s="314"/>
      <c r="O27" s="314"/>
      <c r="P27" s="308">
        <v>60</v>
      </c>
      <c r="Q27" s="308">
        <v>30</v>
      </c>
    </row>
    <row customHeight="true" ht="18.51851851851852" r="28">
      <c r="A28" s="306">
        <v>46023</v>
      </c>
      <c r="B28" s="307">
        <f t="shared" ref="B28:B39" si="6">B27-F27+C27</f>
      </c>
      <c r="C28" s="308">
        <v>0</v>
      </c>
      <c r="D28" s="308">
        <v>0</v>
      </c>
      <c r="E28" s="312">
        <f t="shared" si="8"/>
      </c>
      <c r="F28" s="308">
        <v>180</v>
      </c>
      <c r="G28" s="314"/>
      <c r="H28" s="308">
        <v>180</v>
      </c>
      <c r="I28" s="314"/>
      <c r="J28" s="314"/>
      <c r="K28" s="311"/>
      <c r="L28" s="311">
        <f t="shared" si="3"/>
      </c>
      <c r="M28" s="311">
        <f t="shared" si="5"/>
      </c>
      <c r="N28" s="314"/>
      <c r="O28" s="314"/>
      <c r="P28" s="308">
        <v>60</v>
      </c>
      <c r="Q28" s="308">
        <v>30</v>
      </c>
    </row>
    <row customHeight="true" ht="18.51851851851852" r="29">
      <c r="A29" s="306">
        <v>46054</v>
      </c>
      <c r="B29" s="307">
        <f t="shared" si="6"/>
      </c>
      <c r="C29" s="316">
        <v>700</v>
      </c>
      <c r="D29" s="308">
        <v>0</v>
      </c>
      <c r="E29" s="312">
        <f t="shared" si="8"/>
      </c>
      <c r="F29" s="308">
        <v>210</v>
      </c>
      <c r="G29" s="314"/>
      <c r="H29" s="308">
        <v>180</v>
      </c>
      <c r="I29" s="314"/>
      <c r="J29" s="314" t="s">
        <v>1201</v>
      </c>
      <c r="K29" s="311">
        <v>46073</v>
      </c>
      <c r="L29" s="311">
        <f t="shared" si="3"/>
      </c>
      <c r="M29" s="311">
        <f t="shared" si="5"/>
      </c>
      <c r="N29" s="314"/>
      <c r="O29" s="314"/>
      <c r="P29" s="308">
        <v>60</v>
      </c>
      <c r="Q29" s="308">
        <v>30</v>
      </c>
    </row>
    <row customHeight="true" ht="18.51851851851852" r="30">
      <c r="A30" s="306">
        <v>46082</v>
      </c>
      <c r="B30" s="307">
        <f t="shared" si="6"/>
      </c>
      <c r="C30" s="308">
        <v>0</v>
      </c>
      <c r="D30" s="308">
        <v>0</v>
      </c>
      <c r="E30" s="312">
        <f t="shared" si="8"/>
      </c>
      <c r="F30" s="308">
        <v>225</v>
      </c>
      <c r="G30" s="314"/>
      <c r="H30" s="308">
        <v>210</v>
      </c>
      <c r="I30" s="314"/>
      <c r="J30" s="314"/>
      <c r="K30" s="311"/>
      <c r="L30" s="311">
        <f t="shared" si="3"/>
      </c>
      <c r="M30" s="311">
        <f t="shared" si="5"/>
      </c>
      <c r="N30" s="314"/>
      <c r="O30" s="314"/>
      <c r="P30" s="308">
        <v>60</v>
      </c>
      <c r="Q30" s="308">
        <v>30</v>
      </c>
    </row>
    <row customHeight="true" ht="18.51851851851852" r="31">
      <c r="A31" s="306">
        <v>46113</v>
      </c>
      <c r="B31" s="307">
        <f t="shared" si="6"/>
      </c>
      <c r="C31" s="308">
        <v>0</v>
      </c>
      <c r="D31" s="308">
        <v>0</v>
      </c>
      <c r="E31" s="312">
        <f t="shared" si="8"/>
      </c>
      <c r="F31" s="308">
        <v>225</v>
      </c>
      <c r="G31" s="314"/>
      <c r="H31" s="308">
        <v>225</v>
      </c>
      <c r="I31" s="314"/>
      <c r="J31" s="314"/>
      <c r="K31" s="311"/>
      <c r="L31" s="311">
        <f t="shared" si="3"/>
      </c>
      <c r="M31" s="311">
        <f t="shared" si="5"/>
      </c>
      <c r="N31" s="314"/>
      <c r="O31" s="314"/>
      <c r="P31" s="308">
        <v>60</v>
      </c>
      <c r="Q31" s="308">
        <v>30</v>
      </c>
    </row>
    <row customHeight="true" ht="18.51851851851852" r="32">
      <c r="A32" s="306">
        <v>46143</v>
      </c>
      <c r="B32" s="307">
        <f t="shared" si="6"/>
      </c>
      <c r="C32" s="316">
        <v>500</v>
      </c>
      <c r="D32" s="308">
        <v>0</v>
      </c>
      <c r="E32" s="312">
        <f t="shared" si="8"/>
      </c>
      <c r="F32" s="308">
        <v>240</v>
      </c>
      <c r="G32" s="314"/>
      <c r="H32" s="308">
        <v>225</v>
      </c>
      <c r="I32" s="314"/>
      <c r="J32" s="314" t="s">
        <v>1202</v>
      </c>
      <c r="K32" s="311">
        <v>46143</v>
      </c>
      <c r="L32" s="311">
        <f t="shared" si="3"/>
      </c>
      <c r="M32" s="311">
        <f t="shared" si="5"/>
      </c>
      <c r="N32" s="314"/>
      <c r="O32" s="314"/>
      <c r="P32" s="308">
        <v>60</v>
      </c>
      <c r="Q32" s="308">
        <v>30</v>
      </c>
    </row>
    <row customHeight="true" ht="18.51851851851852" r="33">
      <c r="A33" s="306">
        <v>46174</v>
      </c>
      <c r="B33" s="307">
        <f t="shared" si="6"/>
      </c>
      <c r="C33" s="308">
        <v>0</v>
      </c>
      <c r="D33" s="308">
        <v>0</v>
      </c>
      <c r="E33" s="312">
        <f t="shared" si="8"/>
      </c>
      <c r="F33" s="308">
        <v>300</v>
      </c>
      <c r="G33" s="314"/>
      <c r="H33" s="308">
        <v>240</v>
      </c>
      <c r="I33" s="314"/>
      <c r="J33" s="314"/>
      <c r="K33" s="311">
        <v>46174</v>
      </c>
      <c r="L33" s="311">
        <f t="shared" si="3"/>
      </c>
      <c r="M33" s="311">
        <f t="shared" si="5"/>
      </c>
      <c r="N33" s="314"/>
      <c r="O33" s="314"/>
      <c r="P33" s="308">
        <v>60</v>
      </c>
      <c r="Q33" s="308">
        <v>30</v>
      </c>
    </row>
    <row customHeight="true" ht="18.51851851851852" r="34">
      <c r="A34" s="306">
        <v>46204</v>
      </c>
      <c r="B34" s="307">
        <f t="shared" si="6"/>
      </c>
      <c r="C34" s="308">
        <v>500</v>
      </c>
      <c r="D34" s="308">
        <v>0</v>
      </c>
      <c r="E34" s="312">
        <f t="shared" si="8"/>
      </c>
      <c r="F34" s="308">
        <v>240</v>
      </c>
      <c r="G34" s="314"/>
      <c r="H34" s="308">
        <v>300</v>
      </c>
      <c r="I34" s="314"/>
      <c r="J34" s="314"/>
      <c r="K34" s="311">
        <v>46204</v>
      </c>
      <c r="L34" s="311">
        <f t="shared" si="3"/>
      </c>
      <c r="M34" s="311">
        <f t="shared" si="5"/>
      </c>
      <c r="N34" s="314"/>
      <c r="O34" s="314"/>
      <c r="P34" s="308">
        <v>60</v>
      </c>
      <c r="Q34" s="308">
        <v>30</v>
      </c>
    </row>
    <row customHeight="true" ht="18.51851851851852" r="35">
      <c r="A35" s="306">
        <v>46235</v>
      </c>
      <c r="B35" s="307">
        <f t="shared" si="6"/>
      </c>
      <c r="C35" s="308">
        <v>0</v>
      </c>
      <c r="D35" s="308">
        <v>0</v>
      </c>
      <c r="E35" s="312">
        <f t="shared" si="8"/>
      </c>
      <c r="F35" s="308">
        <v>275</v>
      </c>
      <c r="G35" s="314"/>
      <c r="H35" s="308">
        <v>240</v>
      </c>
      <c r="I35" s="314"/>
      <c r="J35" s="314"/>
      <c r="K35" s="311"/>
      <c r="L35" s="311">
        <f t="shared" si="3"/>
      </c>
      <c r="M35" s="311">
        <f t="shared" si="5"/>
      </c>
      <c r="N35" s="314"/>
      <c r="O35" s="314"/>
      <c r="P35" s="308">
        <v>60</v>
      </c>
      <c r="Q35" s="308">
        <v>30</v>
      </c>
    </row>
    <row customHeight="true" ht="18.51851851851852" r="36">
      <c r="A36" s="306">
        <v>46266</v>
      </c>
      <c r="B36" s="307">
        <f t="shared" si="6"/>
      </c>
      <c r="C36" s="308">
        <v>500</v>
      </c>
      <c r="D36" s="308">
        <v>0</v>
      </c>
      <c r="E36" s="312">
        <f t="shared" si="8"/>
      </c>
      <c r="F36" s="308">
        <v>330</v>
      </c>
      <c r="G36" s="314"/>
      <c r="H36" s="308">
        <v>275</v>
      </c>
      <c r="I36" s="314"/>
      <c r="J36" s="314"/>
      <c r="K36" s="311">
        <v>46266</v>
      </c>
      <c r="L36" s="311">
        <f t="shared" si="3"/>
      </c>
      <c r="M36" s="311">
        <f t="shared" si="5"/>
      </c>
      <c r="N36" s="314"/>
      <c r="O36" s="314"/>
      <c r="P36" s="308">
        <v>60</v>
      </c>
      <c r="Q36" s="308">
        <v>30</v>
      </c>
    </row>
    <row customHeight="true" ht="18.51851851851852" r="37">
      <c r="A37" s="306">
        <v>46296</v>
      </c>
      <c r="B37" s="307">
        <f t="shared" si="6"/>
      </c>
      <c r="C37" s="308">
        <v>500</v>
      </c>
      <c r="D37" s="308">
        <v>0</v>
      </c>
      <c r="E37" s="312">
        <f t="shared" si="8"/>
      </c>
      <c r="F37" s="308">
        <v>400</v>
      </c>
      <c r="G37" s="314"/>
      <c r="H37" s="308">
        <v>330</v>
      </c>
      <c r="I37" s="314"/>
      <c r="J37" s="314"/>
      <c r="K37" s="311">
        <v>46296</v>
      </c>
      <c r="L37" s="311">
        <f t="shared" si="3"/>
      </c>
      <c r="M37" s="311">
        <f t="shared" si="5"/>
      </c>
      <c r="N37" s="314"/>
      <c r="O37" s="314"/>
      <c r="P37" s="308">
        <v>60</v>
      </c>
      <c r="Q37" s="308">
        <v>30</v>
      </c>
    </row>
    <row customHeight="true" ht="18.51851851851852" r="38">
      <c r="A38" s="306">
        <v>46327</v>
      </c>
      <c r="B38" s="307">
        <f t="shared" si="6"/>
      </c>
      <c r="C38" s="308">
        <v>500</v>
      </c>
      <c r="D38" s="308">
        <v>0</v>
      </c>
      <c r="E38" s="312">
        <f t="shared" si="8"/>
      </c>
      <c r="F38" s="308">
        <v>400</v>
      </c>
      <c r="G38" s="314"/>
      <c r="H38" s="308">
        <v>400</v>
      </c>
      <c r="I38" s="314"/>
      <c r="J38" s="314"/>
      <c r="K38" s="311">
        <v>46327</v>
      </c>
      <c r="L38" s="311">
        <f t="shared" si="3"/>
      </c>
      <c r="M38" s="311">
        <f t="shared" si="5"/>
      </c>
      <c r="N38" s="314"/>
      <c r="O38" s="314"/>
      <c r="P38" s="308">
        <v>60</v>
      </c>
      <c r="Q38" s="308">
        <v>30</v>
      </c>
    </row>
    <row customHeight="true" ht="18.51851851851852" r="39">
      <c r="A39" s="306">
        <v>46357</v>
      </c>
      <c r="B39" s="307">
        <f t="shared" si="6"/>
      </c>
      <c r="C39" s="308">
        <v>0</v>
      </c>
      <c r="D39" s="308">
        <v>0</v>
      </c>
      <c r="E39" s="312">
        <f t="shared" si="8"/>
      </c>
      <c r="F39" s="308">
        <v>300</v>
      </c>
      <c r="G39" s="314"/>
      <c r="H39" s="308">
        <v>400</v>
      </c>
      <c r="I39" s="314"/>
      <c r="J39" s="314"/>
      <c r="K39" s="311"/>
      <c r="L39" s="311">
        <f t="shared" si="3"/>
      </c>
      <c r="M39" s="311">
        <f t="shared" si="5"/>
      </c>
      <c r="N39" s="314"/>
      <c r="O39" s="314"/>
      <c r="P39" s="308">
        <v>60</v>
      </c>
      <c r="Q39" s="308">
        <v>30</v>
      </c>
    </row>
  </sheetData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98FA1C"/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9" min="19" style="0" width="17.933333333333334"/>
    <col collapsed="false" customWidth="true" hidden="false" max="2" min="2" style="0" width="17.4"/>
    <col collapsed="false" customWidth="true" hidden="false" max="6" min="6" style="0" width="17.4"/>
    <col collapsed="false" customWidth="true" hidden="false" max="10" min="10" style="0" width="14.466666666666667"/>
    <col collapsed="false" customWidth="true" hidden="false" max="15" min="15" style="0" width="17.4"/>
    <col collapsed="false" customWidth="true" hidden="false" max="20" min="20" style="0" width="17.933333333333334"/>
    <col collapsed="false" customWidth="true" hidden="false" max="3" min="3" style="0" width="15.8"/>
    <col collapsed="false" customWidth="true" hidden="false" max="7" min="7" style="0" width="17.4"/>
    <col collapsed="false" customWidth="true" hidden="false" max="11" min="11" style="0" width="17.4"/>
    <col collapsed="false" customWidth="true" hidden="false" max="13" min="13" style="0" width="20.733333333333334"/>
    <col collapsed="false" customWidth="true" hidden="false" max="16" min="16" style="0" width="17.4"/>
    <col collapsed="false" customWidth="true" hidden="false" max="17" min="17" style="0" width="17.4"/>
    <col collapsed="false" customWidth="true" hidden="false" max="4" min="4" style="0" width="17.4"/>
    <col collapsed="false" customWidth="true" hidden="false" max="8" min="8" style="0" width="17.4"/>
    <col collapsed="false" customWidth="true" hidden="false" max="12" min="12" style="0" width="20.733333333333334"/>
    <col collapsed="false" customWidth="true" hidden="false" max="14" min="14" style="0" width="17.4"/>
    <col collapsed="false" customWidth="true" hidden="false" max="18" min="18" style="0" width="17.4"/>
    <col collapsed="false" customWidth="true" hidden="false" max="1" min="1" style="0" width="15.266666666666667"/>
    <col collapsed="false" customWidth="true" hidden="false" max="5" min="5" style="0" width="17.4"/>
    <col collapsed="false" customWidth="true" hidden="false" max="9" min="9" style="0" width="15.4"/>
  </cols>
  <sheetData>
    <row customHeight="true" ht="18.51851851851852" r="1">
      <c r="A1" s="320" t="s">
        <v>1203</v>
      </c>
      <c r="B1" s="320" t="s">
        <v>1204</v>
      </c>
      <c r="C1" s="320" t="s">
        <v>1205</v>
      </c>
      <c r="D1" s="320" t="s">
        <v>1206</v>
      </c>
      <c r="E1" s="320" t="s">
        <v>1207</v>
      </c>
      <c r="F1" s="320" t="s">
        <v>1208</v>
      </c>
      <c r="G1" s="320" t="s">
        <v>1209</v>
      </c>
      <c r="H1" s="320" t="s">
        <v>1210</v>
      </c>
      <c r="I1" s="320" t="s">
        <v>1211</v>
      </c>
      <c r="J1" s="320" t="s">
        <v>1212</v>
      </c>
      <c r="K1" s="320" t="s">
        <v>1213</v>
      </c>
      <c r="L1" s="320" t="s">
        <v>1214</v>
      </c>
      <c r="M1" s="320" t="s">
        <v>1215</v>
      </c>
      <c r="N1" s="320" t="s">
        <v>1216</v>
      </c>
      <c r="O1" s="320" t="s">
        <v>1217</v>
      </c>
      <c r="P1" s="320" t="s">
        <v>1218</v>
      </c>
      <c r="Q1" s="320" t="s">
        <v>1219</v>
      </c>
    </row>
    <row customHeight="true" ht="18.51851851851852" r="2">
      <c r="A2" s="321">
        <v>45992</v>
      </c>
      <c r="B2" s="322">
        <v>0</v>
      </c>
      <c r="C2" s="323">
        <v>765</v>
      </c>
      <c r="D2" s="323">
        <v>0</v>
      </c>
      <c r="E2" s="323">
        <f t="shared" ref="E2:E6" si="9">F2-D2</f>
      </c>
      <c r="F2" s="323">
        <v>0</v>
      </c>
      <c r="G2" s="323">
        <v>0</v>
      </c>
      <c r="H2" s="323">
        <v>0</v>
      </c>
      <c r="I2" s="323">
        <f>G2-H2</f>
      </c>
      <c r="J2" s="324" t="s">
        <v>1220</v>
      </c>
      <c r="K2" s="325">
        <v>46006</v>
      </c>
      <c r="L2" s="325">
        <f>K2-P2</f>
      </c>
      <c r="M2" s="325">
        <f>L2-Q2</f>
      </c>
      <c r="N2" s="323"/>
      <c r="O2" s="323"/>
      <c r="P2" s="323">
        <v>55</v>
      </c>
      <c r="Q2" s="323">
        <v>30</v>
      </c>
    </row>
    <row customHeight="true" ht="18.51851851851852" r="3">
      <c r="A3" s="321">
        <v>46023</v>
      </c>
      <c r="B3" s="322">
        <f t="shared" ref="B3:B19" si="0">B2-G2+C2</f>
      </c>
      <c r="C3" s="323">
        <v>0</v>
      </c>
      <c r="D3" s="323">
        <v>0</v>
      </c>
      <c r="E3" s="326">
        <f t="shared" si="9"/>
      </c>
      <c r="F3" s="323">
        <v>200</v>
      </c>
      <c r="G3" s="323">
        <v>200</v>
      </c>
      <c r="H3" s="323"/>
      <c r="I3" s="323">
        <f t="shared" ref="I3:I19" si="6">G3+I2-H3</f>
      </c>
      <c r="J3" s="327"/>
      <c r="K3" s="325"/>
      <c r="L3" s="325">
        <f>K3-55</f>
      </c>
      <c r="M3" s="325">
        <f>L3-55</f>
      </c>
      <c r="N3" s="323"/>
      <c r="O3" s="323"/>
      <c r="P3" s="323">
        <v>55</v>
      </c>
      <c r="Q3" s="323">
        <v>30</v>
      </c>
    </row>
    <row customHeight="true" ht="18.51851851851852" r="4">
      <c r="A4" s="321">
        <v>46054</v>
      </c>
      <c r="B4" s="322">
        <f t="shared" si="0"/>
      </c>
      <c r="C4" s="323">
        <v>0</v>
      </c>
      <c r="D4" s="323">
        <v>0</v>
      </c>
      <c r="E4" s="326">
        <f t="shared" si="9"/>
      </c>
      <c r="F4" s="323">
        <v>300</v>
      </c>
      <c r="G4" s="323">
        <v>300</v>
      </c>
      <c r="H4" s="323"/>
      <c r="I4" s="323">
        <f t="shared" si="6"/>
      </c>
      <c r="J4" s="328"/>
      <c r="K4" s="325"/>
      <c r="L4" s="325">
        <f t="shared" ref="L4:L19" si="2">K4-P4</f>
      </c>
      <c r="M4" s="325">
        <f t="shared" ref="M4:M19" si="4">L4-Q4</f>
      </c>
      <c r="N4" s="328"/>
      <c r="O4" s="328"/>
      <c r="P4" s="323">
        <v>55</v>
      </c>
      <c r="Q4" s="323">
        <v>30</v>
      </c>
    </row>
    <row customHeight="true" ht="18.51851851851852" r="5">
      <c r="A5" s="321">
        <v>46082</v>
      </c>
      <c r="B5" s="322">
        <f t="shared" si="0"/>
      </c>
      <c r="C5" s="323">
        <f>990+450</f>
      </c>
      <c r="D5" s="323">
        <v>0</v>
      </c>
      <c r="E5" s="326">
        <f t="shared" si="9"/>
      </c>
      <c r="F5" s="323">
        <v>400</v>
      </c>
      <c r="G5" s="323">
        <v>400</v>
      </c>
      <c r="H5" s="323"/>
      <c r="I5" s="323">
        <f t="shared" si="6"/>
      </c>
      <c r="J5" s="329" t="s">
        <v>1221</v>
      </c>
      <c r="K5" s="325">
        <v>46096</v>
      </c>
      <c r="L5" s="325">
        <f t="shared" si="2"/>
      </c>
      <c r="M5" s="325">
        <f t="shared" si="4"/>
      </c>
      <c r="N5" s="328"/>
      <c r="O5" s="328"/>
      <c r="P5" s="323">
        <v>55</v>
      </c>
      <c r="Q5" s="323">
        <v>30</v>
      </c>
    </row>
    <row customHeight="true" ht="18.51851851851852" r="6">
      <c r="A6" s="321">
        <v>46113</v>
      </c>
      <c r="B6" s="322">
        <f t="shared" si="0"/>
      </c>
      <c r="C6" s="323">
        <v>0</v>
      </c>
      <c r="D6" s="323">
        <v>0</v>
      </c>
      <c r="E6" s="326">
        <f t="shared" si="9"/>
      </c>
      <c r="F6" s="323">
        <v>600</v>
      </c>
      <c r="G6" s="323">
        <v>600</v>
      </c>
      <c r="H6" s="323"/>
      <c r="I6" s="323">
        <f t="shared" si="6"/>
      </c>
      <c r="J6" s="328"/>
      <c r="K6" s="325"/>
      <c r="L6" s="325">
        <f t="shared" si="2"/>
      </c>
      <c r="M6" s="325">
        <f t="shared" si="4"/>
      </c>
      <c r="N6" s="328"/>
      <c r="O6" s="328"/>
      <c r="P6" s="323">
        <v>55</v>
      </c>
      <c r="Q6" s="323">
        <v>30</v>
      </c>
      <c r="R6" s="330"/>
    </row>
    <row customHeight="true" ht="18.51851851851852" r="7">
      <c r="A7" s="321">
        <v>46143</v>
      </c>
      <c r="B7" s="322">
        <f t="shared" si="0"/>
      </c>
      <c r="C7" s="323">
        <v>990</v>
      </c>
      <c r="D7" s="323">
        <v>0</v>
      </c>
      <c r="E7" s="326">
        <v>900</v>
      </c>
      <c r="F7" s="323">
        <v>600</v>
      </c>
      <c r="G7" s="323">
        <v>600</v>
      </c>
      <c r="H7" s="323"/>
      <c r="I7" s="323">
        <f t="shared" si="6"/>
      </c>
      <c r="J7" s="328"/>
      <c r="K7" s="325">
        <v>46143</v>
      </c>
      <c r="L7" s="325">
        <f t="shared" si="2"/>
      </c>
      <c r="M7" s="325">
        <f t="shared" si="4"/>
      </c>
      <c r="N7" s="328"/>
      <c r="O7" s="328"/>
      <c r="P7" s="323">
        <v>55</v>
      </c>
      <c r="Q7" s="323">
        <v>30</v>
      </c>
    </row>
    <row customHeight="true" ht="18.51851851851852" r="8">
      <c r="A8" s="321">
        <v>46174</v>
      </c>
      <c r="B8" s="322">
        <f t="shared" si="0"/>
      </c>
      <c r="C8" s="323">
        <v>0</v>
      </c>
      <c r="D8" s="323">
        <v>0</v>
      </c>
      <c r="E8" s="326">
        <f t="shared" ref="E8:E19" si="10">F8-D8</f>
      </c>
      <c r="F8" s="323">
        <v>800</v>
      </c>
      <c r="G8" s="323">
        <v>800</v>
      </c>
      <c r="H8" s="323"/>
      <c r="I8" s="323">
        <f t="shared" si="6"/>
      </c>
      <c r="J8" s="328"/>
      <c r="K8" s="325"/>
      <c r="L8" s="325">
        <f t="shared" si="2"/>
      </c>
      <c r="M8" s="325">
        <f t="shared" si="4"/>
      </c>
      <c r="N8" s="328"/>
      <c r="O8" s="328"/>
      <c r="P8" s="323">
        <v>55</v>
      </c>
      <c r="Q8" s="323">
        <v>30</v>
      </c>
    </row>
    <row customHeight="true" ht="18.51851851851852" r="9">
      <c r="A9" s="321">
        <v>46204</v>
      </c>
      <c r="B9" s="322">
        <f t="shared" si="0"/>
      </c>
      <c r="C9" s="323">
        <v>1440</v>
      </c>
      <c r="D9" s="323">
        <v>0</v>
      </c>
      <c r="E9" s="326">
        <f t="shared" si="10"/>
      </c>
      <c r="F9" s="323">
        <v>600</v>
      </c>
      <c r="G9" s="323">
        <v>600</v>
      </c>
      <c r="H9" s="323"/>
      <c r="I9" s="323">
        <f t="shared" si="6"/>
      </c>
      <c r="J9" s="328"/>
      <c r="K9" s="325">
        <v>46204</v>
      </c>
      <c r="L9" s="325">
        <f t="shared" si="2"/>
      </c>
      <c r="M9" s="325">
        <f t="shared" si="4"/>
      </c>
      <c r="N9" s="328"/>
      <c r="O9" s="328"/>
      <c r="P9" s="323">
        <v>55</v>
      </c>
      <c r="Q9" s="323">
        <v>30</v>
      </c>
    </row>
    <row customHeight="true" ht="18.51851851851852" r="10">
      <c r="A10" s="321">
        <v>46235</v>
      </c>
      <c r="B10" s="322">
        <f t="shared" si="0"/>
      </c>
      <c r="C10" s="323">
        <v>0</v>
      </c>
      <c r="D10" s="323">
        <v>0</v>
      </c>
      <c r="E10" s="326">
        <f t="shared" si="10"/>
      </c>
      <c r="F10" s="323">
        <v>600</v>
      </c>
      <c r="G10" s="323">
        <v>600</v>
      </c>
      <c r="H10" s="323"/>
      <c r="I10" s="323">
        <f t="shared" si="6"/>
      </c>
      <c r="J10" s="328"/>
      <c r="K10" s="325"/>
      <c r="L10" s="325">
        <f t="shared" si="2"/>
      </c>
      <c r="M10" s="325">
        <f t="shared" si="4"/>
      </c>
      <c r="N10" s="328"/>
      <c r="O10" s="328"/>
      <c r="P10" s="323">
        <v>55</v>
      </c>
      <c r="Q10" s="323">
        <v>30</v>
      </c>
    </row>
    <row customHeight="true" ht="18.51851851851852" r="11">
      <c r="A11" s="321">
        <v>46266</v>
      </c>
      <c r="B11" s="322">
        <f t="shared" si="0"/>
      </c>
      <c r="C11" s="323">
        <v>0</v>
      </c>
      <c r="D11" s="323">
        <v>0</v>
      </c>
      <c r="E11" s="326">
        <f t="shared" si="10"/>
      </c>
      <c r="F11" s="323">
        <v>600</v>
      </c>
      <c r="G11" s="323">
        <v>600</v>
      </c>
      <c r="H11" s="323"/>
      <c r="I11" s="323">
        <f t="shared" si="6"/>
      </c>
      <c r="J11" s="328"/>
      <c r="K11" s="325"/>
      <c r="L11" s="325">
        <f t="shared" si="2"/>
      </c>
      <c r="M11" s="325">
        <f t="shared" si="4"/>
      </c>
      <c r="N11" s="328"/>
      <c r="O11" s="328"/>
      <c r="P11" s="323">
        <v>55</v>
      </c>
      <c r="Q11" s="323">
        <v>30</v>
      </c>
    </row>
    <row customHeight="true" ht="18.51851851851852" r="12">
      <c r="A12" s="321">
        <v>46296</v>
      </c>
      <c r="B12" s="322">
        <f t="shared" si="0"/>
      </c>
      <c r="C12" s="323">
        <v>0</v>
      </c>
      <c r="D12" s="323">
        <v>0</v>
      </c>
      <c r="E12" s="326">
        <f t="shared" si="10"/>
      </c>
      <c r="F12" s="323">
        <v>800</v>
      </c>
      <c r="G12" s="323">
        <v>800</v>
      </c>
      <c r="H12" s="323"/>
      <c r="I12" s="323">
        <f t="shared" si="6"/>
      </c>
      <c r="J12" s="328"/>
      <c r="K12" s="325"/>
      <c r="L12" s="325">
        <f t="shared" si="2"/>
      </c>
      <c r="M12" s="325">
        <f t="shared" si="4"/>
      </c>
      <c r="N12" s="328"/>
      <c r="O12" s="328"/>
      <c r="P12" s="323">
        <v>55</v>
      </c>
      <c r="Q12" s="323">
        <v>30</v>
      </c>
    </row>
    <row customHeight="true" ht="18.51851851851852" r="13">
      <c r="A13" s="321">
        <v>46327</v>
      </c>
      <c r="B13" s="322">
        <f t="shared" si="0"/>
      </c>
      <c r="C13" s="323">
        <v>0</v>
      </c>
      <c r="D13" s="323">
        <v>0</v>
      </c>
      <c r="E13" s="326">
        <f t="shared" si="10"/>
      </c>
      <c r="F13" s="323">
        <v>1000</v>
      </c>
      <c r="G13" s="323">
        <v>1000</v>
      </c>
      <c r="H13" s="323"/>
      <c r="I13" s="323">
        <f t="shared" si="6"/>
      </c>
      <c r="J13" s="328"/>
      <c r="K13" s="325"/>
      <c r="L13" s="325">
        <f t="shared" si="2"/>
      </c>
      <c r="M13" s="325">
        <f t="shared" si="4"/>
      </c>
      <c r="N13" s="328"/>
      <c r="O13" s="328"/>
      <c r="P13" s="323">
        <v>55</v>
      </c>
      <c r="Q13" s="323">
        <v>30</v>
      </c>
    </row>
    <row customHeight="true" ht="18.51851851851852" r="14">
      <c r="A14" s="321">
        <v>46357</v>
      </c>
      <c r="B14" s="322">
        <f t="shared" si="0"/>
      </c>
      <c r="C14" s="323">
        <v>0</v>
      </c>
      <c r="D14" s="323">
        <v>0</v>
      </c>
      <c r="E14" s="326">
        <f t="shared" si="10"/>
      </c>
      <c r="F14" s="323">
        <v>1000</v>
      </c>
      <c r="G14" s="323">
        <v>1000</v>
      </c>
      <c r="H14" s="323"/>
      <c r="I14" s="323">
        <f t="shared" si="6"/>
      </c>
      <c r="J14" s="328"/>
      <c r="K14" s="325"/>
      <c r="L14" s="325">
        <f t="shared" si="2"/>
      </c>
      <c r="M14" s="325">
        <f t="shared" si="4"/>
      </c>
      <c r="N14" s="328"/>
      <c r="O14" s="328"/>
      <c r="P14" s="323">
        <v>55</v>
      </c>
      <c r="Q14" s="323">
        <v>30</v>
      </c>
    </row>
    <row customHeight="true" ht="18.51851851851852" r="15">
      <c r="A15" s="321">
        <v>46388</v>
      </c>
      <c r="B15" s="322">
        <f t="shared" si="0"/>
      </c>
      <c r="C15" s="323">
        <v>0</v>
      </c>
      <c r="D15" s="323">
        <v>0</v>
      </c>
      <c r="E15" s="326">
        <f t="shared" si="10"/>
      </c>
      <c r="F15" s="323">
        <v>1000</v>
      </c>
      <c r="G15" s="323">
        <v>1000</v>
      </c>
      <c r="H15" s="323"/>
      <c r="I15" s="323">
        <f t="shared" si="6"/>
      </c>
      <c r="J15" s="328"/>
      <c r="K15" s="325"/>
      <c r="L15" s="325">
        <f t="shared" si="2"/>
      </c>
      <c r="M15" s="325">
        <f t="shared" si="4"/>
      </c>
      <c r="N15" s="328"/>
      <c r="O15" s="328"/>
      <c r="P15" s="323">
        <v>55</v>
      </c>
      <c r="Q15" s="323">
        <v>30</v>
      </c>
    </row>
    <row customHeight="true" ht="18.51851851851852" r="16">
      <c r="A16" s="321">
        <v>46419</v>
      </c>
      <c r="B16" s="322">
        <f t="shared" si="0"/>
      </c>
      <c r="C16" s="323">
        <v>0</v>
      </c>
      <c r="D16" s="323">
        <v>0</v>
      </c>
      <c r="E16" s="326">
        <f t="shared" si="10"/>
      </c>
      <c r="F16" s="323">
        <v>1000</v>
      </c>
      <c r="G16" s="323">
        <v>1000</v>
      </c>
      <c r="H16" s="323"/>
      <c r="I16" s="323">
        <f t="shared" si="6"/>
      </c>
      <c r="J16" s="328"/>
      <c r="K16" s="325"/>
      <c r="L16" s="325">
        <f t="shared" si="2"/>
      </c>
      <c r="M16" s="325">
        <f t="shared" si="4"/>
      </c>
      <c r="N16" s="328"/>
      <c r="O16" s="328"/>
      <c r="P16" s="323">
        <v>55</v>
      </c>
      <c r="Q16" s="323">
        <v>30</v>
      </c>
    </row>
    <row customHeight="true" ht="18.51851851851852" r="17">
      <c r="A17" s="321">
        <v>46447</v>
      </c>
      <c r="B17" s="322">
        <f t="shared" si="0"/>
      </c>
      <c r="C17" s="323">
        <v>0</v>
      </c>
      <c r="D17" s="323">
        <v>0</v>
      </c>
      <c r="E17" s="326">
        <f t="shared" si="10"/>
      </c>
      <c r="F17" s="323">
        <v>1000</v>
      </c>
      <c r="G17" s="323">
        <v>1000</v>
      </c>
      <c r="H17" s="323"/>
      <c r="I17" s="323">
        <f t="shared" si="6"/>
      </c>
      <c r="J17" s="328"/>
      <c r="K17" s="325"/>
      <c r="L17" s="325">
        <f t="shared" si="2"/>
      </c>
      <c r="M17" s="325">
        <f t="shared" si="4"/>
      </c>
      <c r="N17" s="328"/>
      <c r="O17" s="328"/>
      <c r="P17" s="323">
        <v>55</v>
      </c>
      <c r="Q17" s="323">
        <v>30</v>
      </c>
    </row>
    <row customHeight="true" ht="18.51851851851852" r="18">
      <c r="A18" s="321">
        <v>46478</v>
      </c>
      <c r="B18" s="322">
        <f t="shared" si="0"/>
      </c>
      <c r="C18" s="323">
        <v>0</v>
      </c>
      <c r="D18" s="323">
        <v>0</v>
      </c>
      <c r="E18" s="326">
        <f t="shared" si="10"/>
      </c>
      <c r="F18" s="323">
        <v>1000</v>
      </c>
      <c r="G18" s="323">
        <v>1000</v>
      </c>
      <c r="H18" s="323"/>
      <c r="I18" s="323">
        <f t="shared" si="6"/>
      </c>
      <c r="J18" s="328"/>
      <c r="K18" s="325"/>
      <c r="L18" s="325">
        <f t="shared" si="2"/>
      </c>
      <c r="M18" s="325">
        <f t="shared" si="4"/>
      </c>
      <c r="N18" s="328"/>
      <c r="O18" s="328"/>
      <c r="P18" s="323">
        <v>55</v>
      </c>
      <c r="Q18" s="323">
        <v>30</v>
      </c>
    </row>
    <row customHeight="true" ht="18.51851851851852" r="19">
      <c r="A19" s="321">
        <v>46508</v>
      </c>
      <c r="B19" s="322">
        <f t="shared" si="0"/>
      </c>
      <c r="C19" s="323">
        <v>0</v>
      </c>
      <c r="D19" s="323">
        <v>0</v>
      </c>
      <c r="E19" s="326">
        <f t="shared" si="10"/>
      </c>
      <c r="F19" s="323">
        <v>1000</v>
      </c>
      <c r="G19" s="323">
        <v>1000</v>
      </c>
      <c r="H19" s="323"/>
      <c r="I19" s="323">
        <f t="shared" si="6"/>
      </c>
      <c r="J19" s="328"/>
      <c r="K19" s="325"/>
      <c r="L19" s="325">
        <f t="shared" si="2"/>
      </c>
      <c r="M19" s="325">
        <f t="shared" si="4"/>
      </c>
      <c r="N19" s="328"/>
      <c r="O19" s="328"/>
      <c r="P19" s="323">
        <v>55</v>
      </c>
      <c r="Q19" s="323">
        <v>30</v>
      </c>
    </row>
    <row customHeight="true" ht="18.51851851851852" r="20">
      <c r="A20" s="331"/>
      <c r="B20" s="331"/>
      <c r="C20" s="332"/>
      <c r="D20" s="331"/>
      <c r="E20" s="331"/>
      <c r="F20" s="331"/>
      <c r="G20" s="331"/>
      <c r="H20" s="331"/>
      <c r="I20" s="331"/>
      <c r="J20" s="331"/>
      <c r="K20" s="331"/>
      <c r="L20" s="331"/>
      <c r="M20" s="331"/>
      <c r="N20" s="331"/>
      <c r="O20" s="331"/>
      <c r="P20" s="331"/>
      <c r="Q20" s="331"/>
    </row>
    <row customHeight="true" ht="18.51851851851852" r="21">
      <c r="A21" s="320" t="s">
        <v>1203</v>
      </c>
      <c r="B21" s="320" t="s">
        <v>1204</v>
      </c>
      <c r="C21" s="320" t="s">
        <v>1205</v>
      </c>
      <c r="D21" s="320" t="s">
        <v>1206</v>
      </c>
      <c r="E21" s="320" t="s">
        <v>1207</v>
      </c>
      <c r="F21" s="320" t="s">
        <v>1208</v>
      </c>
      <c r="G21" s="320" t="s">
        <v>1209</v>
      </c>
      <c r="H21" s="320" t="s">
        <v>1210</v>
      </c>
      <c r="I21" s="320" t="s">
        <v>1211</v>
      </c>
      <c r="J21" s="320" t="s">
        <v>1212</v>
      </c>
      <c r="K21" s="320" t="s">
        <v>1213</v>
      </c>
      <c r="L21" s="320" t="s">
        <v>1214</v>
      </c>
      <c r="M21" s="320" t="s">
        <v>1215</v>
      </c>
      <c r="N21" s="320" t="s">
        <v>1216</v>
      </c>
      <c r="O21" s="320" t="s">
        <v>1217</v>
      </c>
      <c r="P21" s="320" t="s">
        <v>1218</v>
      </c>
      <c r="Q21" s="320" t="s">
        <v>1219</v>
      </c>
    </row>
    <row customHeight="true" ht="18.51851851851852" r="22">
      <c r="A22" s="321">
        <v>45992</v>
      </c>
      <c r="B22" s="322">
        <v>0</v>
      </c>
      <c r="C22" s="323">
        <v>405</v>
      </c>
      <c r="D22" s="323">
        <v>0</v>
      </c>
      <c r="E22" s="323">
        <f t="shared" ref="E22:E39" si="11">F22-D22</f>
      </c>
      <c r="F22" s="323">
        <v>0</v>
      </c>
      <c r="G22" s="323">
        <v>0</v>
      </c>
      <c r="H22" s="323"/>
      <c r="I22" s="323">
        <f>G22-H22</f>
      </c>
      <c r="J22" s="324" t="s">
        <v>1220</v>
      </c>
      <c r="K22" s="325">
        <v>46006</v>
      </c>
      <c r="L22" s="325">
        <f t="shared" ref="L22:L39" si="3">K22-P22</f>
      </c>
      <c r="M22" s="325">
        <f t="shared" ref="M22:M39" si="5">L22-Q22</f>
      </c>
      <c r="N22" s="323"/>
      <c r="O22" s="323"/>
      <c r="P22" s="323">
        <v>55</v>
      </c>
      <c r="Q22" s="323">
        <v>30</v>
      </c>
    </row>
    <row customHeight="true" ht="18.51851851851852" r="23">
      <c r="A23" s="321">
        <v>46023</v>
      </c>
      <c r="B23" s="322">
        <f t="shared" ref="B23:B27" si="1">B22-G22+C22</f>
      </c>
      <c r="C23" s="323">
        <v>0</v>
      </c>
      <c r="D23" s="323">
        <v>0</v>
      </c>
      <c r="E23" s="326">
        <f t="shared" si="11"/>
      </c>
      <c r="F23" s="323">
        <v>90</v>
      </c>
      <c r="G23" s="323">
        <v>90</v>
      </c>
      <c r="H23" s="323"/>
      <c r="I23" s="323">
        <f t="shared" ref="I23:I39" si="7">G23+I22-H23</f>
      </c>
      <c r="J23" s="327"/>
      <c r="K23" s="325"/>
      <c r="L23" s="325">
        <f t="shared" si="3"/>
      </c>
      <c r="M23" s="325">
        <f t="shared" si="5"/>
      </c>
      <c r="N23" s="323"/>
      <c r="O23" s="323"/>
      <c r="P23" s="323">
        <v>55</v>
      </c>
      <c r="Q23" s="323">
        <v>30</v>
      </c>
    </row>
    <row customHeight="true" ht="18.51851851851852" r="24">
      <c r="A24" s="321">
        <v>46054</v>
      </c>
      <c r="B24" s="322">
        <f t="shared" si="1"/>
      </c>
      <c r="C24" s="323">
        <v>0</v>
      </c>
      <c r="D24" s="323">
        <v>0</v>
      </c>
      <c r="E24" s="326">
        <f t="shared" si="11"/>
      </c>
      <c r="F24" s="323">
        <v>150</v>
      </c>
      <c r="G24" s="323">
        <v>150</v>
      </c>
      <c r="H24" s="323"/>
      <c r="I24" s="323">
        <f t="shared" si="7"/>
      </c>
      <c r="J24" s="328"/>
      <c r="K24" s="325"/>
      <c r="L24" s="325">
        <f t="shared" si="3"/>
      </c>
      <c r="M24" s="325">
        <f t="shared" si="5"/>
      </c>
      <c r="N24" s="328"/>
      <c r="O24" s="328"/>
      <c r="P24" s="323">
        <v>55</v>
      </c>
      <c r="Q24" s="323">
        <v>30</v>
      </c>
    </row>
    <row customHeight="true" ht="18.51851851851852" r="25">
      <c r="A25" s="321">
        <v>46082</v>
      </c>
      <c r="B25" s="322">
        <f t="shared" si="1"/>
      </c>
      <c r="C25" s="323">
        <f>450+180</f>
      </c>
      <c r="D25" s="323">
        <v>0</v>
      </c>
      <c r="E25" s="326">
        <f t="shared" si="11"/>
      </c>
      <c r="F25" s="323">
        <v>180</v>
      </c>
      <c r="G25" s="323">
        <v>180</v>
      </c>
      <c r="H25" s="323"/>
      <c r="I25" s="323">
        <f t="shared" si="7"/>
      </c>
      <c r="J25" s="329" t="s">
        <v>1221</v>
      </c>
      <c r="K25" s="325">
        <v>46096</v>
      </c>
      <c r="L25" s="325">
        <f t="shared" si="3"/>
      </c>
      <c r="M25" s="325">
        <f t="shared" si="5"/>
      </c>
      <c r="N25" s="328"/>
      <c r="O25" s="328"/>
      <c r="P25" s="323">
        <v>55</v>
      </c>
      <c r="Q25" s="323">
        <v>30</v>
      </c>
    </row>
    <row customHeight="true" ht="18.51851851851852" r="26">
      <c r="A26" s="321">
        <v>46113</v>
      </c>
      <c r="B26" s="322">
        <f t="shared" si="1"/>
      </c>
      <c r="C26" s="323">
        <v>0</v>
      </c>
      <c r="D26" s="323">
        <v>0</v>
      </c>
      <c r="E26" s="326">
        <f t="shared" si="11"/>
      </c>
      <c r="F26" s="323">
        <v>210</v>
      </c>
      <c r="G26" s="323">
        <v>210</v>
      </c>
      <c r="H26" s="323"/>
      <c r="I26" s="323">
        <f t="shared" si="7"/>
      </c>
      <c r="J26" s="328"/>
      <c r="K26" s="325"/>
      <c r="L26" s="325">
        <f t="shared" si="3"/>
      </c>
      <c r="M26" s="325">
        <f t="shared" si="5"/>
      </c>
      <c r="N26" s="328"/>
      <c r="O26" s="328"/>
      <c r="P26" s="323">
        <v>55</v>
      </c>
      <c r="Q26" s="323">
        <v>30</v>
      </c>
    </row>
    <row customHeight="true" ht="18.51851851851852" r="27">
      <c r="A27" s="321">
        <v>46143</v>
      </c>
      <c r="B27" s="322">
        <f t="shared" si="1"/>
      </c>
      <c r="C27" s="323">
        <v>495</v>
      </c>
      <c r="D27" s="323">
        <v>0</v>
      </c>
      <c r="E27" s="326">
        <f t="shared" si="11"/>
      </c>
      <c r="F27" s="323">
        <v>240</v>
      </c>
      <c r="G27" s="323">
        <v>240</v>
      </c>
      <c r="H27" s="323"/>
      <c r="I27" s="323">
        <f t="shared" si="7"/>
      </c>
      <c r="J27" s="328"/>
      <c r="K27" s="325">
        <v>46143</v>
      </c>
      <c r="L27" s="325">
        <f t="shared" si="3"/>
      </c>
      <c r="M27" s="325">
        <f t="shared" si="5"/>
      </c>
      <c r="N27" s="328"/>
      <c r="O27" s="328"/>
      <c r="P27" s="323">
        <v>55</v>
      </c>
      <c r="Q27" s="323">
        <v>30</v>
      </c>
    </row>
    <row customHeight="true" ht="18.51851851851852" r="28">
      <c r="A28" s="321">
        <v>46174</v>
      </c>
      <c r="B28" s="322">
        <f t="shared" ref="B28:B39" si="8">B27-F27+C27</f>
      </c>
      <c r="C28" s="323">
        <v>0</v>
      </c>
      <c r="D28" s="323">
        <v>0</v>
      </c>
      <c r="E28" s="326">
        <f t="shared" si="11"/>
      </c>
      <c r="F28" s="323">
        <v>240</v>
      </c>
      <c r="G28" s="323">
        <v>240</v>
      </c>
      <c r="H28" s="323"/>
      <c r="I28" s="323">
        <f t="shared" si="7"/>
      </c>
      <c r="J28" s="328"/>
      <c r="K28" s="325"/>
      <c r="L28" s="325">
        <f t="shared" si="3"/>
      </c>
      <c r="M28" s="325">
        <f t="shared" si="5"/>
      </c>
      <c r="N28" s="328"/>
      <c r="O28" s="328"/>
      <c r="P28" s="323">
        <v>55</v>
      </c>
      <c r="Q28" s="323">
        <v>30</v>
      </c>
    </row>
    <row customHeight="true" ht="18.51851851851852" r="29">
      <c r="A29" s="321">
        <v>46204</v>
      </c>
      <c r="B29" s="322">
        <f t="shared" si="8"/>
      </c>
      <c r="C29" s="323">
        <v>0</v>
      </c>
      <c r="D29" s="323">
        <v>0</v>
      </c>
      <c r="E29" s="326">
        <f t="shared" si="11"/>
      </c>
      <c r="F29" s="323">
        <v>270</v>
      </c>
      <c r="G29" s="323">
        <v>270</v>
      </c>
      <c r="H29" s="323"/>
      <c r="I29" s="323">
        <f t="shared" si="7"/>
      </c>
      <c r="J29" s="328"/>
      <c r="K29" s="325"/>
      <c r="L29" s="325">
        <f t="shared" si="3"/>
      </c>
      <c r="M29" s="325">
        <f t="shared" si="5"/>
      </c>
      <c r="N29" s="328"/>
      <c r="O29" s="328"/>
      <c r="P29" s="323">
        <v>55</v>
      </c>
      <c r="Q29" s="323">
        <v>30</v>
      </c>
    </row>
    <row customHeight="true" ht="18.51851851851852" r="30">
      <c r="A30" s="321">
        <v>46235</v>
      </c>
      <c r="B30" s="322">
        <f t="shared" si="8"/>
      </c>
      <c r="C30" s="323">
        <v>0</v>
      </c>
      <c r="D30" s="323">
        <v>0</v>
      </c>
      <c r="E30" s="326">
        <f t="shared" si="11"/>
      </c>
      <c r="F30" s="323">
        <v>270</v>
      </c>
      <c r="G30" s="323">
        <v>270</v>
      </c>
      <c r="H30" s="323"/>
      <c r="I30" s="323">
        <f t="shared" si="7"/>
      </c>
      <c r="J30" s="328"/>
      <c r="K30" s="325"/>
      <c r="L30" s="325">
        <f t="shared" si="3"/>
      </c>
      <c r="M30" s="325">
        <f t="shared" si="5"/>
      </c>
      <c r="N30" s="328"/>
      <c r="O30" s="328"/>
      <c r="P30" s="323">
        <v>55</v>
      </c>
      <c r="Q30" s="323">
        <v>30</v>
      </c>
    </row>
    <row customHeight="true" ht="18.51851851851852" r="31">
      <c r="A31" s="321">
        <v>46266</v>
      </c>
      <c r="B31" s="322">
        <f t="shared" si="8"/>
      </c>
      <c r="C31" s="323">
        <v>0</v>
      </c>
      <c r="D31" s="323">
        <v>0</v>
      </c>
      <c r="E31" s="326">
        <f t="shared" si="11"/>
      </c>
      <c r="F31" s="323">
        <v>300</v>
      </c>
      <c r="G31" s="323">
        <v>300</v>
      </c>
      <c r="H31" s="323"/>
      <c r="I31" s="323">
        <f t="shared" si="7"/>
      </c>
      <c r="J31" s="328"/>
      <c r="K31" s="325"/>
      <c r="L31" s="325">
        <f t="shared" si="3"/>
      </c>
      <c r="M31" s="325">
        <f t="shared" si="5"/>
      </c>
      <c r="N31" s="328"/>
      <c r="O31" s="328"/>
      <c r="P31" s="323">
        <v>55</v>
      </c>
      <c r="Q31" s="323">
        <v>30</v>
      </c>
    </row>
    <row customHeight="true" ht="18.51851851851852" r="32">
      <c r="A32" s="321">
        <v>46296</v>
      </c>
      <c r="B32" s="322">
        <f t="shared" si="8"/>
      </c>
      <c r="C32" s="323">
        <v>0</v>
      </c>
      <c r="D32" s="323">
        <v>0</v>
      </c>
      <c r="E32" s="326">
        <f t="shared" si="11"/>
      </c>
      <c r="F32" s="323">
        <v>300</v>
      </c>
      <c r="G32" s="323">
        <v>300</v>
      </c>
      <c r="H32" s="323"/>
      <c r="I32" s="323">
        <f t="shared" si="7"/>
      </c>
      <c r="J32" s="328"/>
      <c r="K32" s="325"/>
      <c r="L32" s="325">
        <f t="shared" si="3"/>
      </c>
      <c r="M32" s="325">
        <f t="shared" si="5"/>
      </c>
      <c r="N32" s="328"/>
      <c r="O32" s="328"/>
      <c r="P32" s="323">
        <v>55</v>
      </c>
      <c r="Q32" s="323">
        <v>30</v>
      </c>
    </row>
    <row customHeight="true" ht="18.51851851851852" r="33">
      <c r="A33" s="321">
        <v>46327</v>
      </c>
      <c r="B33" s="322">
        <f t="shared" si="8"/>
      </c>
      <c r="C33" s="323">
        <v>0</v>
      </c>
      <c r="D33" s="323">
        <v>0</v>
      </c>
      <c r="E33" s="326">
        <f t="shared" si="11"/>
      </c>
      <c r="F33" s="323">
        <v>300</v>
      </c>
      <c r="G33" s="323">
        <v>300</v>
      </c>
      <c r="H33" s="323"/>
      <c r="I33" s="323">
        <f t="shared" si="7"/>
      </c>
      <c r="J33" s="328"/>
      <c r="K33" s="325"/>
      <c r="L33" s="325">
        <f t="shared" si="3"/>
      </c>
      <c r="M33" s="325">
        <f t="shared" si="5"/>
      </c>
      <c r="N33" s="328"/>
      <c r="O33" s="328"/>
      <c r="P33" s="323">
        <v>55</v>
      </c>
      <c r="Q33" s="323">
        <v>30</v>
      </c>
    </row>
    <row customHeight="true" ht="18.51851851851852" r="34">
      <c r="A34" s="321">
        <v>46357</v>
      </c>
      <c r="B34" s="322">
        <f t="shared" si="8"/>
      </c>
      <c r="C34" s="323">
        <v>0</v>
      </c>
      <c r="D34" s="323">
        <v>0</v>
      </c>
      <c r="E34" s="326">
        <f t="shared" si="11"/>
      </c>
      <c r="F34" s="323">
        <v>300</v>
      </c>
      <c r="G34" s="323">
        <v>300</v>
      </c>
      <c r="H34" s="323"/>
      <c r="I34" s="323">
        <f t="shared" si="7"/>
      </c>
      <c r="J34" s="328"/>
      <c r="K34" s="325"/>
      <c r="L34" s="325">
        <f t="shared" si="3"/>
      </c>
      <c r="M34" s="325">
        <f t="shared" si="5"/>
      </c>
      <c r="N34" s="328"/>
      <c r="O34" s="328"/>
      <c r="P34" s="323">
        <v>55</v>
      </c>
      <c r="Q34" s="323">
        <v>30</v>
      </c>
    </row>
    <row customHeight="true" ht="18.51851851851852" r="35">
      <c r="A35" s="321">
        <v>46388</v>
      </c>
      <c r="B35" s="322">
        <f t="shared" si="8"/>
      </c>
      <c r="C35" s="323">
        <v>0</v>
      </c>
      <c r="D35" s="323">
        <v>0</v>
      </c>
      <c r="E35" s="326">
        <f t="shared" si="11"/>
      </c>
      <c r="F35" s="323">
        <v>300</v>
      </c>
      <c r="G35" s="323">
        <v>300</v>
      </c>
      <c r="H35" s="323"/>
      <c r="I35" s="323">
        <f t="shared" si="7"/>
      </c>
      <c r="J35" s="328"/>
      <c r="K35" s="325"/>
      <c r="L35" s="325">
        <f t="shared" si="3"/>
      </c>
      <c r="M35" s="325">
        <f t="shared" si="5"/>
      </c>
      <c r="N35" s="328"/>
      <c r="O35" s="328"/>
      <c r="P35" s="323">
        <v>55</v>
      </c>
      <c r="Q35" s="323">
        <v>30</v>
      </c>
    </row>
    <row customHeight="true" ht="18.51851851851852" r="36">
      <c r="A36" s="321">
        <v>46419</v>
      </c>
      <c r="B36" s="322">
        <f t="shared" si="8"/>
      </c>
      <c r="C36" s="323">
        <v>0</v>
      </c>
      <c r="D36" s="323">
        <v>0</v>
      </c>
      <c r="E36" s="326">
        <f t="shared" si="11"/>
      </c>
      <c r="F36" s="323">
        <v>300</v>
      </c>
      <c r="G36" s="323">
        <v>300</v>
      </c>
      <c r="H36" s="323"/>
      <c r="I36" s="323">
        <f t="shared" si="7"/>
      </c>
      <c r="J36" s="328"/>
      <c r="K36" s="325"/>
      <c r="L36" s="325">
        <f t="shared" si="3"/>
      </c>
      <c r="M36" s="325">
        <f t="shared" si="5"/>
      </c>
      <c r="N36" s="328"/>
      <c r="O36" s="328"/>
      <c r="P36" s="323">
        <v>55</v>
      </c>
      <c r="Q36" s="323">
        <v>30</v>
      </c>
    </row>
    <row customHeight="true" ht="18.51851851851852" r="37">
      <c r="A37" s="321">
        <v>46447</v>
      </c>
      <c r="B37" s="322">
        <f t="shared" si="8"/>
      </c>
      <c r="C37" s="323">
        <v>0</v>
      </c>
      <c r="D37" s="323">
        <v>0</v>
      </c>
      <c r="E37" s="326">
        <f t="shared" si="11"/>
      </c>
      <c r="F37" s="323">
        <v>300</v>
      </c>
      <c r="G37" s="323">
        <v>300</v>
      </c>
      <c r="H37" s="323"/>
      <c r="I37" s="323">
        <f t="shared" si="7"/>
      </c>
      <c r="J37" s="328"/>
      <c r="K37" s="325"/>
      <c r="L37" s="325">
        <f t="shared" si="3"/>
      </c>
      <c r="M37" s="325">
        <f t="shared" si="5"/>
      </c>
      <c r="N37" s="328"/>
      <c r="O37" s="328"/>
      <c r="P37" s="323">
        <v>55</v>
      </c>
      <c r="Q37" s="323">
        <v>30</v>
      </c>
    </row>
    <row customHeight="true" ht="18.51851851851852" r="38">
      <c r="A38" s="321">
        <v>46478</v>
      </c>
      <c r="B38" s="322">
        <f t="shared" si="8"/>
      </c>
      <c r="C38" s="323">
        <v>0</v>
      </c>
      <c r="D38" s="323">
        <v>0</v>
      </c>
      <c r="E38" s="326">
        <f t="shared" si="11"/>
      </c>
      <c r="F38" s="323">
        <v>300</v>
      </c>
      <c r="G38" s="323">
        <v>300</v>
      </c>
      <c r="H38" s="323"/>
      <c r="I38" s="323">
        <f t="shared" si="7"/>
      </c>
      <c r="J38" s="328"/>
      <c r="K38" s="325"/>
      <c r="L38" s="325">
        <f t="shared" si="3"/>
      </c>
      <c r="M38" s="325">
        <f t="shared" si="5"/>
      </c>
      <c r="N38" s="328"/>
      <c r="O38" s="328"/>
      <c r="P38" s="323">
        <v>55</v>
      </c>
      <c r="Q38" s="323">
        <v>30</v>
      </c>
    </row>
    <row customHeight="true" ht="18.51851851851852" r="39">
      <c r="A39" s="321">
        <v>46508</v>
      </c>
      <c r="B39" s="322">
        <f t="shared" si="8"/>
      </c>
      <c r="C39" s="323">
        <v>0</v>
      </c>
      <c r="D39" s="323">
        <v>0</v>
      </c>
      <c r="E39" s="326">
        <f t="shared" si="11"/>
      </c>
      <c r="F39" s="323">
        <v>300</v>
      </c>
      <c r="G39" s="323">
        <v>300</v>
      </c>
      <c r="H39" s="323"/>
      <c r="I39" s="323">
        <f t="shared" si="7"/>
      </c>
      <c r="J39" s="328"/>
      <c r="K39" s="325"/>
      <c r="L39" s="325">
        <f t="shared" si="3"/>
      </c>
      <c r="M39" s="325">
        <f t="shared" si="5"/>
      </c>
      <c r="N39" s="328"/>
      <c r="O39" s="328"/>
      <c r="P39" s="323">
        <v>55</v>
      </c>
      <c r="Q39" s="323">
        <v>30</v>
      </c>
    </row>
  </sheetData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98FA1C"/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9" min="19" style="0" width="17.933333333333334"/>
    <col collapsed="false" customWidth="true" hidden="false" max="3" min="3" style="0" width="15.8"/>
    <col collapsed="false" customWidth="true" hidden="false" max="7" min="7" style="0" width="17.4"/>
    <col collapsed="false" customWidth="true" hidden="false" max="11" min="11" style="0" width="17.4"/>
    <col collapsed="false" customWidth="true" hidden="false" max="15" min="15" style="0" width="17.4"/>
    <col collapsed="false" customWidth="true" hidden="false" max="18" min="18" style="0" width="17.4"/>
    <col collapsed="false" customWidth="true" hidden="false" max="4" min="4" style="0" width="17.4"/>
    <col collapsed="false" customWidth="true" hidden="false" max="8" min="8" style="0" width="17.4"/>
    <col collapsed="false" customWidth="true" hidden="false" max="12" min="12" style="0" width="20.733333333333334"/>
    <col collapsed="false" customWidth="true" hidden="false" max="16" min="16" style="0" width="17.4"/>
    <col collapsed="false" customWidth="true" hidden="false" max="20" min="20" style="0" width="17.933333333333334"/>
    <col collapsed="false" customWidth="true" hidden="false" max="1" min="1" style="0" width="15.266666666666667"/>
    <col collapsed="false" customWidth="true" hidden="false" max="5" min="5" style="0" width="17.4"/>
    <col collapsed="false" customWidth="true" hidden="false" max="9" min="9" style="0" width="15.4"/>
    <col collapsed="false" customWidth="true" hidden="false" max="13" min="13" style="0" width="20.733333333333334"/>
    <col collapsed="false" customWidth="true" hidden="false" max="2" min="2" style="0" width="17.4"/>
    <col collapsed="false" customWidth="true" hidden="false" max="6" min="6" style="0" width="17.4"/>
    <col collapsed="false" customWidth="true" hidden="false" max="10" min="10" style="0" width="14.466666666666667"/>
    <col collapsed="false" customWidth="true" hidden="false" max="14" min="14" style="0" width="17.4"/>
    <col collapsed="false" customWidth="true" hidden="false" max="17" min="17" style="0" width="17.4"/>
  </cols>
  <sheetData>
    <row customHeight="true" ht="18.51851851851852" r="1">
      <c r="A1" s="333" t="s">
        <v>1222</v>
      </c>
      <c r="B1" s="333" t="s">
        <v>1223</v>
      </c>
      <c r="C1" s="333" t="s">
        <v>1224</v>
      </c>
      <c r="D1" s="333" t="s">
        <v>1225</v>
      </c>
      <c r="E1" s="333" t="s">
        <v>1226</v>
      </c>
      <c r="F1" s="333" t="s">
        <v>1227</v>
      </c>
      <c r="G1" s="333" t="s">
        <v>1228</v>
      </c>
      <c r="H1" s="333" t="s">
        <v>1229</v>
      </c>
      <c r="I1" s="333" t="s">
        <v>1230</v>
      </c>
      <c r="J1" s="333" t="s">
        <v>1231</v>
      </c>
      <c r="K1" s="333" t="s">
        <v>1232</v>
      </c>
      <c r="L1" s="333" t="s">
        <v>1233</v>
      </c>
      <c r="M1" s="333" t="s">
        <v>1234</v>
      </c>
      <c r="N1" s="333" t="s">
        <v>1235</v>
      </c>
      <c r="O1" s="333" t="s">
        <v>1236</v>
      </c>
      <c r="P1" s="333" t="s">
        <v>1237</v>
      </c>
      <c r="Q1" s="333" t="s">
        <v>1238</v>
      </c>
    </row>
    <row customHeight="true" ht="18.51851851851852" r="2">
      <c r="A2" s="334">
        <v>46054</v>
      </c>
      <c r="B2" s="335">
        <v>0</v>
      </c>
      <c r="C2" s="336">
        <v>1760</v>
      </c>
      <c r="D2" s="336">
        <v>0</v>
      </c>
      <c r="E2" s="336">
        <f t="shared" ref="E2:E6" si="6">F2-D2</f>
      </c>
      <c r="F2" s="336">
        <v>300</v>
      </c>
      <c r="G2" s="336">
        <v>300</v>
      </c>
      <c r="H2" s="336"/>
      <c r="I2" s="336">
        <f>G2-H2</f>
      </c>
      <c r="J2" s="337"/>
      <c r="K2" s="338">
        <v>46054</v>
      </c>
      <c r="L2" s="338">
        <f>K2-P2</f>
      </c>
      <c r="M2" s="338">
        <f>L2-Q2</f>
      </c>
      <c r="N2" s="336"/>
      <c r="O2" s="336"/>
      <c r="P2" s="336">
        <v>30</v>
      </c>
      <c r="Q2" s="336">
        <v>30</v>
      </c>
    </row>
    <row customHeight="true" ht="18.51851851851852" r="3">
      <c r="A3" s="334">
        <v>46082</v>
      </c>
      <c r="B3" s="335">
        <f t="shared" ref="B3:B19" si="9">B2-G2+C2</f>
      </c>
      <c r="C3" s="336">
        <v>0</v>
      </c>
      <c r="D3" s="336">
        <v>0</v>
      </c>
      <c r="E3" s="339">
        <f t="shared" si="6"/>
      </c>
      <c r="F3" s="336">
        <v>400</v>
      </c>
      <c r="G3" s="336">
        <v>400</v>
      </c>
      <c r="H3" s="336"/>
      <c r="I3" s="336">
        <f t="shared" ref="I3:I19" si="4">G3+I2-H3</f>
      </c>
      <c r="J3" s="340"/>
      <c r="K3" s="338"/>
      <c r="L3" s="338">
        <f>K3-55</f>
      </c>
      <c r="M3" s="338">
        <f>L3-55</f>
      </c>
      <c r="N3" s="336"/>
      <c r="O3" s="336"/>
      <c r="P3" s="336">
        <v>30</v>
      </c>
      <c r="Q3" s="336">
        <v>30</v>
      </c>
    </row>
    <row customHeight="true" ht="18.51851851851852" r="4">
      <c r="A4" s="334">
        <v>46113</v>
      </c>
      <c r="B4" s="335">
        <f t="shared" si="9"/>
      </c>
      <c r="C4" s="336">
        <v>0</v>
      </c>
      <c r="D4" s="336">
        <v>0</v>
      </c>
      <c r="E4" s="339">
        <f t="shared" si="6"/>
      </c>
      <c r="F4" s="336">
        <v>500</v>
      </c>
      <c r="G4" s="336">
        <v>500</v>
      </c>
      <c r="H4" s="336"/>
      <c r="I4" s="336">
        <f t="shared" si="4"/>
      </c>
      <c r="J4" s="341"/>
      <c r="K4" s="338"/>
      <c r="L4" s="338">
        <f t="shared" ref="L4:L19" si="0">K4-P4</f>
      </c>
      <c r="M4" s="338">
        <f t="shared" ref="M4:M19" si="2">L4-Q4</f>
      </c>
      <c r="N4" s="341"/>
      <c r="O4" s="341"/>
      <c r="P4" s="336">
        <v>30</v>
      </c>
      <c r="Q4" s="336">
        <v>30</v>
      </c>
    </row>
    <row customHeight="true" ht="18.51851851851852" r="5">
      <c r="A5" s="334">
        <v>46143</v>
      </c>
      <c r="B5" s="335">
        <f t="shared" si="9"/>
      </c>
      <c r="C5" s="336">
        <v>1600</v>
      </c>
      <c r="D5" s="336">
        <v>0</v>
      </c>
      <c r="E5" s="339">
        <f t="shared" si="6"/>
      </c>
      <c r="F5" s="336">
        <v>600</v>
      </c>
      <c r="G5" s="336">
        <v>600</v>
      </c>
      <c r="H5" s="336"/>
      <c r="I5" s="336">
        <f t="shared" si="4"/>
      </c>
      <c r="J5" s="341"/>
      <c r="K5" s="338">
        <v>46143</v>
      </c>
      <c r="L5" s="338">
        <f t="shared" si="0"/>
      </c>
      <c r="M5" s="338">
        <f t="shared" si="2"/>
      </c>
      <c r="N5" s="341"/>
      <c r="O5" s="341"/>
      <c r="P5" s="336">
        <v>30</v>
      </c>
      <c r="Q5" s="336">
        <v>30</v>
      </c>
    </row>
    <row customHeight="true" ht="18.51851851851852" r="6">
      <c r="A6" s="334">
        <v>46174</v>
      </c>
      <c r="B6" s="335">
        <f t="shared" si="9"/>
      </c>
      <c r="C6" s="336">
        <v>0</v>
      </c>
      <c r="D6" s="336">
        <v>0</v>
      </c>
      <c r="E6" s="339">
        <f t="shared" si="6"/>
      </c>
      <c r="F6" s="336">
        <v>700</v>
      </c>
      <c r="G6" s="336">
        <v>700</v>
      </c>
      <c r="H6" s="336"/>
      <c r="I6" s="336">
        <f t="shared" si="4"/>
      </c>
      <c r="J6" s="341"/>
      <c r="K6" s="338"/>
      <c r="L6" s="338">
        <f t="shared" si="0"/>
      </c>
      <c r="M6" s="338">
        <f t="shared" si="2"/>
      </c>
      <c r="N6" s="341"/>
      <c r="O6" s="341"/>
      <c r="P6" s="336">
        <v>30</v>
      </c>
      <c r="Q6" s="336">
        <v>30</v>
      </c>
      <c r="R6" s="342">
        <f>I6-87-67</f>
      </c>
    </row>
    <row customHeight="true" ht="18.51851851851852" r="7">
      <c r="A7" s="334">
        <v>46204</v>
      </c>
      <c r="B7" s="335">
        <f t="shared" si="9"/>
      </c>
      <c r="C7" s="336">
        <v>1600</v>
      </c>
      <c r="D7" s="336">
        <v>0</v>
      </c>
      <c r="E7" s="339">
        <v>900</v>
      </c>
      <c r="F7" s="336">
        <v>800</v>
      </c>
      <c r="G7" s="336">
        <v>800</v>
      </c>
      <c r="H7" s="336"/>
      <c r="I7" s="336">
        <f t="shared" si="4"/>
      </c>
      <c r="J7" s="341"/>
      <c r="K7" s="338"/>
      <c r="L7" s="338">
        <f t="shared" si="0"/>
      </c>
      <c r="M7" s="338">
        <f t="shared" si="2"/>
      </c>
      <c r="N7" s="341"/>
      <c r="O7" s="341"/>
      <c r="P7" s="336">
        <v>30</v>
      </c>
      <c r="Q7" s="336">
        <v>30</v>
      </c>
    </row>
    <row customHeight="true" ht="18.51851851851852" r="8">
      <c r="A8" s="334">
        <v>46235</v>
      </c>
      <c r="B8" s="335">
        <f t="shared" si="9"/>
      </c>
      <c r="C8" s="336">
        <v>0</v>
      </c>
      <c r="D8" s="336">
        <v>0</v>
      </c>
      <c r="E8" s="339">
        <f t="shared" ref="E8:E19" si="7">F8-D8</f>
      </c>
      <c r="F8" s="336">
        <v>900</v>
      </c>
      <c r="G8" s="336">
        <v>900</v>
      </c>
      <c r="H8" s="336"/>
      <c r="I8" s="336">
        <f t="shared" si="4"/>
      </c>
      <c r="J8" s="341"/>
      <c r="K8" s="338"/>
      <c r="L8" s="338">
        <f t="shared" si="0"/>
      </c>
      <c r="M8" s="338">
        <f t="shared" si="2"/>
      </c>
      <c r="N8" s="341"/>
      <c r="O8" s="341"/>
      <c r="P8" s="336">
        <v>30</v>
      </c>
      <c r="Q8" s="336">
        <v>30</v>
      </c>
    </row>
    <row customHeight="true" ht="18.51851851851852" r="9">
      <c r="A9" s="334">
        <v>46266</v>
      </c>
      <c r="B9" s="335">
        <f t="shared" si="9"/>
      </c>
      <c r="C9" s="336">
        <v>1600</v>
      </c>
      <c r="D9" s="336">
        <v>0</v>
      </c>
      <c r="E9" s="339">
        <f t="shared" si="7"/>
      </c>
      <c r="F9" s="336">
        <v>1000</v>
      </c>
      <c r="G9" s="336">
        <v>1000</v>
      </c>
      <c r="H9" s="336"/>
      <c r="I9" s="336">
        <f t="shared" si="4"/>
      </c>
      <c r="J9" s="341"/>
      <c r="K9" s="338"/>
      <c r="L9" s="338">
        <f t="shared" si="0"/>
      </c>
      <c r="M9" s="338">
        <f t="shared" si="2"/>
      </c>
      <c r="N9" s="341"/>
      <c r="O9" s="341"/>
      <c r="P9" s="336">
        <v>30</v>
      </c>
      <c r="Q9" s="336">
        <v>30</v>
      </c>
    </row>
    <row customHeight="true" ht="18.51851851851852" r="10">
      <c r="A10" s="334">
        <v>46296</v>
      </c>
      <c r="B10" s="335">
        <f t="shared" si="9"/>
      </c>
      <c r="C10" s="336">
        <v>0</v>
      </c>
      <c r="D10" s="336">
        <v>0</v>
      </c>
      <c r="E10" s="339">
        <f t="shared" si="7"/>
      </c>
      <c r="F10" s="336">
        <v>1000</v>
      </c>
      <c r="G10" s="336">
        <v>1000</v>
      </c>
      <c r="H10" s="336"/>
      <c r="I10" s="336">
        <f t="shared" si="4"/>
      </c>
      <c r="J10" s="341"/>
      <c r="K10" s="338"/>
      <c r="L10" s="338">
        <f t="shared" si="0"/>
      </c>
      <c r="M10" s="338">
        <f t="shared" si="2"/>
      </c>
      <c r="N10" s="341"/>
      <c r="O10" s="341"/>
      <c r="P10" s="336">
        <v>30</v>
      </c>
      <c r="Q10" s="336">
        <v>30</v>
      </c>
    </row>
    <row customHeight="true" ht="18.51851851851852" r="11">
      <c r="A11" s="334">
        <v>46327</v>
      </c>
      <c r="B11" s="335">
        <f t="shared" si="9"/>
      </c>
      <c r="C11" s="336">
        <v>1600</v>
      </c>
      <c r="D11" s="336">
        <v>0</v>
      </c>
      <c r="E11" s="339">
        <f t="shared" si="7"/>
      </c>
      <c r="F11" s="336">
        <v>1000</v>
      </c>
      <c r="G11" s="336">
        <v>1000</v>
      </c>
      <c r="H11" s="336"/>
      <c r="I11" s="336">
        <f t="shared" si="4"/>
      </c>
      <c r="J11" s="341"/>
      <c r="K11" s="338"/>
      <c r="L11" s="338">
        <f t="shared" si="0"/>
      </c>
      <c r="M11" s="338">
        <f t="shared" si="2"/>
      </c>
      <c r="N11" s="341"/>
      <c r="O11" s="341"/>
      <c r="P11" s="336">
        <v>30</v>
      </c>
      <c r="Q11" s="336">
        <v>30</v>
      </c>
    </row>
    <row customHeight="true" ht="18.51851851851852" r="12">
      <c r="A12" s="334">
        <v>46357</v>
      </c>
      <c r="B12" s="335">
        <f t="shared" si="9"/>
      </c>
      <c r="C12" s="336">
        <v>1000</v>
      </c>
      <c r="D12" s="336">
        <v>0</v>
      </c>
      <c r="E12" s="339">
        <f t="shared" si="7"/>
      </c>
      <c r="F12" s="336">
        <v>1000</v>
      </c>
      <c r="G12" s="336">
        <v>1000</v>
      </c>
      <c r="H12" s="336"/>
      <c r="I12" s="336">
        <f t="shared" si="4"/>
      </c>
      <c r="J12" s="341"/>
      <c r="K12" s="338"/>
      <c r="L12" s="338">
        <f t="shared" si="0"/>
      </c>
      <c r="M12" s="338">
        <f t="shared" si="2"/>
      </c>
      <c r="N12" s="341"/>
      <c r="O12" s="341"/>
      <c r="P12" s="336">
        <v>30</v>
      </c>
      <c r="Q12" s="336">
        <v>30</v>
      </c>
    </row>
    <row customHeight="true" ht="18.51851851851852" r="13">
      <c r="A13" s="334">
        <v>46388</v>
      </c>
      <c r="B13" s="335">
        <f t="shared" si="9"/>
      </c>
      <c r="C13" s="336">
        <v>1200</v>
      </c>
      <c r="D13" s="336">
        <v>0</v>
      </c>
      <c r="E13" s="339">
        <f t="shared" si="7"/>
      </c>
      <c r="F13" s="336">
        <v>1000</v>
      </c>
      <c r="G13" s="336">
        <v>1000</v>
      </c>
      <c r="H13" s="336"/>
      <c r="I13" s="336">
        <f t="shared" si="4"/>
      </c>
      <c r="J13" s="341"/>
      <c r="K13" s="338"/>
      <c r="L13" s="338">
        <f t="shared" si="0"/>
      </c>
      <c r="M13" s="338">
        <f t="shared" si="2"/>
      </c>
      <c r="N13" s="341"/>
      <c r="O13" s="341"/>
      <c r="P13" s="336">
        <v>30</v>
      </c>
      <c r="Q13" s="336">
        <v>30</v>
      </c>
    </row>
    <row customHeight="true" ht="18.51851851851852" r="14">
      <c r="A14" s="334">
        <v>46419</v>
      </c>
      <c r="B14" s="335">
        <f t="shared" si="9"/>
      </c>
      <c r="C14" s="336">
        <v>1000</v>
      </c>
      <c r="D14" s="336">
        <v>0</v>
      </c>
      <c r="E14" s="339">
        <f t="shared" si="7"/>
      </c>
      <c r="F14" s="336">
        <v>1000</v>
      </c>
      <c r="G14" s="336">
        <v>1000</v>
      </c>
      <c r="H14" s="336"/>
      <c r="I14" s="336">
        <f t="shared" si="4"/>
      </c>
      <c r="J14" s="341"/>
      <c r="K14" s="338"/>
      <c r="L14" s="338">
        <f t="shared" si="0"/>
      </c>
      <c r="M14" s="338">
        <f t="shared" si="2"/>
      </c>
      <c r="N14" s="341"/>
      <c r="O14" s="341"/>
      <c r="P14" s="336">
        <v>30</v>
      </c>
      <c r="Q14" s="336">
        <v>30</v>
      </c>
    </row>
    <row customHeight="true" ht="18.51851851851852" r="15">
      <c r="A15" s="334">
        <v>46447</v>
      </c>
      <c r="B15" s="335">
        <f t="shared" si="9"/>
      </c>
      <c r="C15" s="336">
        <v>1000</v>
      </c>
      <c r="D15" s="336">
        <v>0</v>
      </c>
      <c r="E15" s="339">
        <f t="shared" si="7"/>
      </c>
      <c r="F15" s="336">
        <v>1000</v>
      </c>
      <c r="G15" s="336">
        <v>1000</v>
      </c>
      <c r="H15" s="336"/>
      <c r="I15" s="336">
        <f t="shared" si="4"/>
      </c>
      <c r="J15" s="341"/>
      <c r="K15" s="338"/>
      <c r="L15" s="338">
        <f t="shared" si="0"/>
      </c>
      <c r="M15" s="338">
        <f t="shared" si="2"/>
      </c>
      <c r="N15" s="341"/>
      <c r="O15" s="341"/>
      <c r="P15" s="336">
        <v>30</v>
      </c>
      <c r="Q15" s="336">
        <v>30</v>
      </c>
    </row>
    <row customHeight="true" ht="18.51851851851852" r="16">
      <c r="A16" s="334">
        <v>46478</v>
      </c>
      <c r="B16" s="335">
        <f t="shared" si="9"/>
      </c>
      <c r="C16" s="336">
        <v>0</v>
      </c>
      <c r="D16" s="336">
        <v>0</v>
      </c>
      <c r="E16" s="339">
        <f t="shared" si="7"/>
      </c>
      <c r="F16" s="336">
        <v>1000</v>
      </c>
      <c r="G16" s="336">
        <v>1000</v>
      </c>
      <c r="H16" s="336"/>
      <c r="I16" s="336">
        <f t="shared" si="4"/>
      </c>
      <c r="J16" s="341"/>
      <c r="K16" s="338"/>
      <c r="L16" s="338">
        <f t="shared" si="0"/>
      </c>
      <c r="M16" s="338">
        <f t="shared" si="2"/>
      </c>
      <c r="N16" s="341"/>
      <c r="O16" s="341"/>
      <c r="P16" s="336">
        <v>30</v>
      </c>
      <c r="Q16" s="336">
        <v>30</v>
      </c>
    </row>
    <row customHeight="true" ht="18.51851851851852" r="17">
      <c r="A17" s="334">
        <v>46508</v>
      </c>
      <c r="B17" s="335">
        <f t="shared" si="9"/>
      </c>
      <c r="C17" s="336">
        <v>1000</v>
      </c>
      <c r="D17" s="336">
        <v>0</v>
      </c>
      <c r="E17" s="339">
        <f t="shared" si="7"/>
      </c>
      <c r="F17" s="336">
        <v>1000</v>
      </c>
      <c r="G17" s="336">
        <v>1000</v>
      </c>
      <c r="H17" s="336"/>
      <c r="I17" s="336">
        <f t="shared" si="4"/>
      </c>
      <c r="J17" s="341"/>
      <c r="K17" s="338"/>
      <c r="L17" s="338">
        <f t="shared" si="0"/>
      </c>
      <c r="M17" s="338">
        <f t="shared" si="2"/>
      </c>
      <c r="N17" s="341"/>
      <c r="O17" s="341"/>
      <c r="P17" s="336">
        <v>30</v>
      </c>
      <c r="Q17" s="336">
        <v>30</v>
      </c>
    </row>
    <row customHeight="true" ht="18.51851851851852" r="18">
      <c r="A18" s="334">
        <v>46539</v>
      </c>
      <c r="B18" s="335">
        <f t="shared" si="9"/>
      </c>
      <c r="C18" s="336">
        <v>1000</v>
      </c>
      <c r="D18" s="336">
        <v>0</v>
      </c>
      <c r="E18" s="339">
        <f t="shared" si="7"/>
      </c>
      <c r="F18" s="336">
        <v>1000</v>
      </c>
      <c r="G18" s="336">
        <v>1000</v>
      </c>
      <c r="H18" s="336"/>
      <c r="I18" s="336">
        <f t="shared" si="4"/>
      </c>
      <c r="J18" s="341"/>
      <c r="K18" s="338"/>
      <c r="L18" s="338">
        <f t="shared" si="0"/>
      </c>
      <c r="M18" s="338">
        <f t="shared" si="2"/>
      </c>
      <c r="N18" s="341"/>
      <c r="O18" s="341"/>
      <c r="P18" s="336">
        <v>30</v>
      </c>
      <c r="Q18" s="336">
        <v>30</v>
      </c>
    </row>
    <row customHeight="true" ht="18.51851851851852" r="19">
      <c r="A19" s="334">
        <v>46569</v>
      </c>
      <c r="B19" s="335">
        <f t="shared" si="9"/>
      </c>
      <c r="C19" s="336"/>
      <c r="D19" s="336">
        <v>0</v>
      </c>
      <c r="E19" s="339">
        <f t="shared" si="7"/>
      </c>
      <c r="F19" s="336">
        <v>1000</v>
      </c>
      <c r="G19" s="336">
        <v>1000</v>
      </c>
      <c r="H19" s="336"/>
      <c r="I19" s="336">
        <f t="shared" si="4"/>
      </c>
      <c r="J19" s="341"/>
      <c r="K19" s="338"/>
      <c r="L19" s="338">
        <f t="shared" si="0"/>
      </c>
      <c r="M19" s="338">
        <f t="shared" si="2"/>
      </c>
      <c r="N19" s="341"/>
      <c r="O19" s="341"/>
      <c r="P19" s="336">
        <v>30</v>
      </c>
      <c r="Q19" s="336">
        <v>30</v>
      </c>
    </row>
    <row customHeight="true" ht="18.51851851851852" r="20">
      <c r="A20" s="343"/>
      <c r="B20" s="343"/>
      <c r="C20" s="344"/>
      <c r="D20" s="343"/>
      <c r="E20" s="343"/>
      <c r="F20" s="343"/>
      <c r="G20" s="343"/>
      <c r="H20" s="343"/>
      <c r="I20" s="343"/>
      <c r="J20" s="343"/>
      <c r="K20" s="343"/>
      <c r="L20" s="343"/>
      <c r="M20" s="343"/>
      <c r="N20" s="343"/>
      <c r="O20" s="343"/>
      <c r="P20" s="343"/>
      <c r="Q20" s="343"/>
    </row>
    <row customHeight="true" ht="18.51851851851852" r="21">
      <c r="A21" s="333" t="s">
        <v>1222</v>
      </c>
      <c r="B21" s="333" t="s">
        <v>1223</v>
      </c>
      <c r="C21" s="333" t="s">
        <v>1224</v>
      </c>
      <c r="D21" s="333" t="s">
        <v>1225</v>
      </c>
      <c r="E21" s="333" t="s">
        <v>1226</v>
      </c>
      <c r="F21" s="333" t="s">
        <v>1227</v>
      </c>
      <c r="G21" s="333" t="s">
        <v>1228</v>
      </c>
      <c r="H21" s="333" t="s">
        <v>1229</v>
      </c>
      <c r="I21" s="333" t="s">
        <v>1230</v>
      </c>
      <c r="J21" s="333" t="s">
        <v>1231</v>
      </c>
      <c r="K21" s="333" t="s">
        <v>1232</v>
      </c>
      <c r="L21" s="333" t="s">
        <v>1233</v>
      </c>
      <c r="M21" s="333" t="s">
        <v>1234</v>
      </c>
      <c r="N21" s="333" t="s">
        <v>1235</v>
      </c>
      <c r="O21" s="333" t="s">
        <v>1236</v>
      </c>
      <c r="P21" s="333" t="s">
        <v>1237</v>
      </c>
      <c r="Q21" s="333" t="s">
        <v>1238</v>
      </c>
    </row>
    <row customHeight="true" ht="18.51851851851852" r="22">
      <c r="A22" s="334">
        <v>46054</v>
      </c>
      <c r="B22" s="335">
        <v>0</v>
      </c>
      <c r="C22" s="336">
        <v>480</v>
      </c>
      <c r="D22" s="336">
        <v>0</v>
      </c>
      <c r="E22" s="336">
        <f t="shared" ref="E22:E39" si="8">F22-D22</f>
      </c>
      <c r="F22" s="336">
        <v>60</v>
      </c>
      <c r="G22" s="336">
        <v>60</v>
      </c>
      <c r="H22" s="336"/>
      <c r="I22" s="336">
        <f>G22-H22</f>
      </c>
      <c r="J22" s="337"/>
      <c r="K22" s="338">
        <v>46054</v>
      </c>
      <c r="L22" s="338">
        <f t="shared" ref="L22:L39" si="1">K22-P22</f>
      </c>
      <c r="M22" s="338">
        <f t="shared" ref="M22:M39" si="3">L22-Q22</f>
      </c>
      <c r="N22" s="336"/>
      <c r="O22" s="336"/>
      <c r="P22" s="336">
        <v>30</v>
      </c>
      <c r="Q22" s="336">
        <v>30</v>
      </c>
    </row>
    <row customHeight="true" ht="18.51851851851852" r="23">
      <c r="A23" s="334">
        <v>46082</v>
      </c>
      <c r="B23" s="335">
        <f t="shared" ref="B23:B27" si="10">B22-G22+C22</f>
      </c>
      <c r="C23" s="336">
        <v>0</v>
      </c>
      <c r="D23" s="336">
        <v>0</v>
      </c>
      <c r="E23" s="339">
        <f t="shared" si="8"/>
      </c>
      <c r="F23" s="336">
        <v>90</v>
      </c>
      <c r="G23" s="336">
        <v>90</v>
      </c>
      <c r="H23" s="336"/>
      <c r="I23" s="336">
        <f t="shared" ref="I23:I26" si="5">G23+I22-H23</f>
      </c>
      <c r="J23" s="340"/>
      <c r="K23" s="338"/>
      <c r="L23" s="338">
        <f t="shared" si="1"/>
      </c>
      <c r="M23" s="338">
        <f t="shared" si="3"/>
      </c>
      <c r="N23" s="336"/>
      <c r="O23" s="336"/>
      <c r="P23" s="336">
        <v>30</v>
      </c>
      <c r="Q23" s="336">
        <v>30</v>
      </c>
    </row>
    <row customHeight="true" ht="18.51851851851852" r="24">
      <c r="A24" s="334">
        <v>46113</v>
      </c>
      <c r="B24" s="335">
        <f t="shared" si="10"/>
      </c>
      <c r="C24" s="336">
        <v>0</v>
      </c>
      <c r="D24" s="336">
        <v>0</v>
      </c>
      <c r="E24" s="339">
        <f t="shared" si="8"/>
      </c>
      <c r="F24" s="336">
        <v>150</v>
      </c>
      <c r="G24" s="336">
        <v>150</v>
      </c>
      <c r="H24" s="336"/>
      <c r="I24" s="336">
        <f t="shared" si="5"/>
      </c>
      <c r="J24" s="341"/>
      <c r="K24" s="338"/>
      <c r="L24" s="338">
        <f t="shared" si="1"/>
      </c>
      <c r="M24" s="338">
        <f t="shared" si="3"/>
      </c>
      <c r="N24" s="341"/>
      <c r="O24" s="341"/>
      <c r="P24" s="336">
        <v>30</v>
      </c>
      <c r="Q24" s="336">
        <v>30</v>
      </c>
    </row>
    <row customHeight="true" ht="18.51851851851852" r="25">
      <c r="A25" s="334">
        <v>46143</v>
      </c>
      <c r="B25" s="335">
        <f t="shared" si="10"/>
      </c>
      <c r="C25" s="336">
        <v>480</v>
      </c>
      <c r="D25" s="336">
        <v>0</v>
      </c>
      <c r="E25" s="339">
        <f t="shared" si="8"/>
      </c>
      <c r="F25" s="336">
        <v>180</v>
      </c>
      <c r="G25" s="336">
        <v>180</v>
      </c>
      <c r="H25" s="336"/>
      <c r="I25" s="336">
        <f t="shared" si="5"/>
      </c>
      <c r="J25" s="341"/>
      <c r="K25" s="338">
        <v>46143</v>
      </c>
      <c r="L25" s="338">
        <f t="shared" si="1"/>
      </c>
      <c r="M25" s="338">
        <f t="shared" si="3"/>
      </c>
      <c r="N25" s="341"/>
      <c r="O25" s="341"/>
      <c r="P25" s="336">
        <v>30</v>
      </c>
      <c r="Q25" s="336">
        <v>30</v>
      </c>
    </row>
    <row customHeight="true" ht="18.51851851851852" r="26">
      <c r="A26" s="334">
        <v>46174</v>
      </c>
      <c r="B26" s="335">
        <f t="shared" si="10"/>
      </c>
      <c r="C26" s="336">
        <v>0</v>
      </c>
      <c r="D26" s="336">
        <v>0</v>
      </c>
      <c r="E26" s="339">
        <f t="shared" si="8"/>
      </c>
      <c r="F26" s="336">
        <v>210</v>
      </c>
      <c r="G26" s="336">
        <v>210</v>
      </c>
      <c r="H26" s="336"/>
      <c r="I26" s="336">
        <f t="shared" si="5"/>
      </c>
      <c r="J26" s="341"/>
      <c r="K26" s="338"/>
      <c r="L26" s="338">
        <f t="shared" si="1"/>
      </c>
      <c r="M26" s="338">
        <f t="shared" si="3"/>
      </c>
      <c r="N26" s="341"/>
      <c r="O26" s="341"/>
      <c r="P26" s="336">
        <v>30</v>
      </c>
      <c r="Q26" s="336">
        <v>30</v>
      </c>
    </row>
    <row customHeight="true" ht="18.51851851851852" r="27">
      <c r="A27" s="334">
        <v>46204</v>
      </c>
      <c r="B27" s="335">
        <f t="shared" si="10"/>
      </c>
      <c r="C27" s="336">
        <v>0</v>
      </c>
      <c r="D27" s="336">
        <v>0</v>
      </c>
      <c r="E27" s="339">
        <f t="shared" si="8"/>
      </c>
      <c r="F27" s="336">
        <v>240</v>
      </c>
      <c r="G27" s="336">
        <v>240</v>
      </c>
      <c r="H27" s="336"/>
      <c r="I27" s="341"/>
      <c r="J27" s="341"/>
      <c r="K27" s="338"/>
      <c r="L27" s="338">
        <f t="shared" si="1"/>
      </c>
      <c r="M27" s="338">
        <f t="shared" si="3"/>
      </c>
      <c r="N27" s="341"/>
      <c r="O27" s="341"/>
      <c r="P27" s="336">
        <v>30</v>
      </c>
      <c r="Q27" s="336">
        <v>30</v>
      </c>
    </row>
    <row customHeight="true" ht="18.51851851851852" r="28">
      <c r="A28" s="334">
        <v>46235</v>
      </c>
      <c r="B28" s="335">
        <f t="shared" ref="B28:B39" si="11">B27-F27+C27</f>
      </c>
      <c r="C28" s="336">
        <v>480</v>
      </c>
      <c r="D28" s="336">
        <v>0</v>
      </c>
      <c r="E28" s="339">
        <f t="shared" si="8"/>
      </c>
      <c r="F28" s="336">
        <v>240</v>
      </c>
      <c r="G28" s="336">
        <v>240</v>
      </c>
      <c r="H28" s="336"/>
      <c r="I28" s="341"/>
      <c r="J28" s="341"/>
      <c r="K28" s="338"/>
      <c r="L28" s="338">
        <f t="shared" si="1"/>
      </c>
      <c r="M28" s="338">
        <f t="shared" si="3"/>
      </c>
      <c r="N28" s="341"/>
      <c r="O28" s="341"/>
      <c r="P28" s="336">
        <v>30</v>
      </c>
      <c r="Q28" s="336">
        <v>30</v>
      </c>
    </row>
    <row customHeight="true" ht="18.51851851851852" r="29">
      <c r="A29" s="334">
        <v>46266</v>
      </c>
      <c r="B29" s="335">
        <f t="shared" si="11"/>
      </c>
      <c r="C29" s="336"/>
      <c r="D29" s="336">
        <v>0</v>
      </c>
      <c r="E29" s="339">
        <f t="shared" si="8"/>
      </c>
      <c r="F29" s="336">
        <v>270</v>
      </c>
      <c r="G29" s="336">
        <v>270</v>
      </c>
      <c r="H29" s="336"/>
      <c r="I29" s="341"/>
      <c r="J29" s="341"/>
      <c r="K29" s="338"/>
      <c r="L29" s="338">
        <f t="shared" si="1"/>
      </c>
      <c r="M29" s="338">
        <f t="shared" si="3"/>
      </c>
      <c r="N29" s="341"/>
      <c r="O29" s="341"/>
      <c r="P29" s="336">
        <v>30</v>
      </c>
      <c r="Q29" s="336">
        <v>30</v>
      </c>
    </row>
    <row customHeight="true" ht="18.51851851851852" r="30">
      <c r="A30" s="334">
        <v>46296</v>
      </c>
      <c r="B30" s="335">
        <f t="shared" si="11"/>
      </c>
      <c r="C30" s="336"/>
      <c r="D30" s="336">
        <v>0</v>
      </c>
      <c r="E30" s="339">
        <f t="shared" si="8"/>
      </c>
      <c r="F30" s="336">
        <v>270</v>
      </c>
      <c r="G30" s="336">
        <v>270</v>
      </c>
      <c r="H30" s="336"/>
      <c r="I30" s="341"/>
      <c r="J30" s="341"/>
      <c r="K30" s="338"/>
      <c r="L30" s="338">
        <f t="shared" si="1"/>
      </c>
      <c r="M30" s="338">
        <f t="shared" si="3"/>
      </c>
      <c r="N30" s="341"/>
      <c r="O30" s="341"/>
      <c r="P30" s="336">
        <v>30</v>
      </c>
      <c r="Q30" s="336">
        <v>30</v>
      </c>
    </row>
    <row customHeight="true" ht="18.51851851851852" r="31">
      <c r="A31" s="334">
        <v>46327</v>
      </c>
      <c r="B31" s="335">
        <f t="shared" si="11"/>
      </c>
      <c r="C31" s="336"/>
      <c r="D31" s="336">
        <v>0</v>
      </c>
      <c r="E31" s="339">
        <f t="shared" si="8"/>
      </c>
      <c r="F31" s="336">
        <v>300</v>
      </c>
      <c r="G31" s="336">
        <v>300</v>
      </c>
      <c r="H31" s="336"/>
      <c r="I31" s="341"/>
      <c r="J31" s="341"/>
      <c r="K31" s="338"/>
      <c r="L31" s="338">
        <f t="shared" si="1"/>
      </c>
      <c r="M31" s="338">
        <f t="shared" si="3"/>
      </c>
      <c r="N31" s="341"/>
      <c r="O31" s="341"/>
      <c r="P31" s="336">
        <v>30</v>
      </c>
      <c r="Q31" s="336">
        <v>30</v>
      </c>
    </row>
    <row customHeight="true" ht="18.51851851851852" r="32">
      <c r="A32" s="334">
        <v>46357</v>
      </c>
      <c r="B32" s="335">
        <f t="shared" si="11"/>
      </c>
      <c r="C32" s="336"/>
      <c r="D32" s="336">
        <v>0</v>
      </c>
      <c r="E32" s="339">
        <f t="shared" si="8"/>
      </c>
      <c r="F32" s="336">
        <v>300</v>
      </c>
      <c r="G32" s="336">
        <v>300</v>
      </c>
      <c r="H32" s="336"/>
      <c r="I32" s="341"/>
      <c r="J32" s="341"/>
      <c r="K32" s="338"/>
      <c r="L32" s="338">
        <f t="shared" si="1"/>
      </c>
      <c r="M32" s="338">
        <f t="shared" si="3"/>
      </c>
      <c r="N32" s="341"/>
      <c r="O32" s="341"/>
      <c r="P32" s="336">
        <v>30</v>
      </c>
      <c r="Q32" s="336">
        <v>30</v>
      </c>
    </row>
    <row customHeight="true" ht="18.51851851851852" r="33">
      <c r="A33" s="334">
        <v>46388</v>
      </c>
      <c r="B33" s="335">
        <f t="shared" si="11"/>
      </c>
      <c r="C33" s="336"/>
      <c r="D33" s="336">
        <v>0</v>
      </c>
      <c r="E33" s="339">
        <f t="shared" si="8"/>
      </c>
      <c r="F33" s="336">
        <v>300</v>
      </c>
      <c r="G33" s="336">
        <v>300</v>
      </c>
      <c r="H33" s="336"/>
      <c r="I33" s="341"/>
      <c r="J33" s="341"/>
      <c r="K33" s="338"/>
      <c r="L33" s="338">
        <f t="shared" si="1"/>
      </c>
      <c r="M33" s="338">
        <f t="shared" si="3"/>
      </c>
      <c r="N33" s="341"/>
      <c r="O33" s="341"/>
      <c r="P33" s="336">
        <v>30</v>
      </c>
      <c r="Q33" s="336">
        <v>30</v>
      </c>
    </row>
    <row customHeight="true" ht="18.51851851851852" r="34">
      <c r="A34" s="334">
        <v>46419</v>
      </c>
      <c r="B34" s="335">
        <f t="shared" si="11"/>
      </c>
      <c r="C34" s="336"/>
      <c r="D34" s="336">
        <v>0</v>
      </c>
      <c r="E34" s="339">
        <f t="shared" si="8"/>
      </c>
      <c r="F34" s="336">
        <v>300</v>
      </c>
      <c r="G34" s="336">
        <v>300</v>
      </c>
      <c r="H34" s="336"/>
      <c r="I34" s="341"/>
      <c r="J34" s="341"/>
      <c r="K34" s="338"/>
      <c r="L34" s="338">
        <f t="shared" si="1"/>
      </c>
      <c r="M34" s="338">
        <f t="shared" si="3"/>
      </c>
      <c r="N34" s="341"/>
      <c r="O34" s="341"/>
      <c r="P34" s="336">
        <v>30</v>
      </c>
      <c r="Q34" s="336">
        <v>30</v>
      </c>
    </row>
    <row customHeight="true" ht="18.51851851851852" r="35">
      <c r="A35" s="334">
        <v>46447</v>
      </c>
      <c r="B35" s="335">
        <f t="shared" si="11"/>
      </c>
      <c r="C35" s="336"/>
      <c r="D35" s="336">
        <v>0</v>
      </c>
      <c r="E35" s="339">
        <f t="shared" si="8"/>
      </c>
      <c r="F35" s="336">
        <v>300</v>
      </c>
      <c r="G35" s="336">
        <v>300</v>
      </c>
      <c r="H35" s="336"/>
      <c r="I35" s="341"/>
      <c r="J35" s="341"/>
      <c r="K35" s="338"/>
      <c r="L35" s="338">
        <f t="shared" si="1"/>
      </c>
      <c r="M35" s="338">
        <f t="shared" si="3"/>
      </c>
      <c r="N35" s="341"/>
      <c r="O35" s="341"/>
      <c r="P35" s="336">
        <v>30</v>
      </c>
      <c r="Q35" s="336">
        <v>30</v>
      </c>
    </row>
    <row customHeight="true" ht="18.51851851851852" r="36">
      <c r="A36" s="334">
        <v>46478</v>
      </c>
      <c r="B36" s="335">
        <f t="shared" si="11"/>
      </c>
      <c r="C36" s="336"/>
      <c r="D36" s="336">
        <v>0</v>
      </c>
      <c r="E36" s="339">
        <f t="shared" si="8"/>
      </c>
      <c r="F36" s="336">
        <v>300</v>
      </c>
      <c r="G36" s="336">
        <v>300</v>
      </c>
      <c r="H36" s="336"/>
      <c r="I36" s="341"/>
      <c r="J36" s="341"/>
      <c r="K36" s="338"/>
      <c r="L36" s="338">
        <f t="shared" si="1"/>
      </c>
      <c r="M36" s="338">
        <f t="shared" si="3"/>
      </c>
      <c r="N36" s="341"/>
      <c r="O36" s="341"/>
      <c r="P36" s="336">
        <v>30</v>
      </c>
      <c r="Q36" s="336">
        <v>30</v>
      </c>
    </row>
    <row customHeight="true" ht="18.51851851851852" r="37">
      <c r="A37" s="334">
        <v>46508</v>
      </c>
      <c r="B37" s="335">
        <f t="shared" si="11"/>
      </c>
      <c r="C37" s="336"/>
      <c r="D37" s="336">
        <v>0</v>
      </c>
      <c r="E37" s="339">
        <f t="shared" si="8"/>
      </c>
      <c r="F37" s="336">
        <v>300</v>
      </c>
      <c r="G37" s="336">
        <v>300</v>
      </c>
      <c r="H37" s="336"/>
      <c r="I37" s="341"/>
      <c r="J37" s="341"/>
      <c r="K37" s="338"/>
      <c r="L37" s="338">
        <f t="shared" si="1"/>
      </c>
      <c r="M37" s="338">
        <f t="shared" si="3"/>
      </c>
      <c r="N37" s="341"/>
      <c r="O37" s="341"/>
      <c r="P37" s="336">
        <v>30</v>
      </c>
      <c r="Q37" s="336">
        <v>30</v>
      </c>
    </row>
    <row customHeight="true" ht="18.51851851851852" r="38">
      <c r="A38" s="334">
        <v>46539</v>
      </c>
      <c r="B38" s="335">
        <f t="shared" si="11"/>
      </c>
      <c r="C38" s="336"/>
      <c r="D38" s="336">
        <v>0</v>
      </c>
      <c r="E38" s="339">
        <f t="shared" si="8"/>
      </c>
      <c r="F38" s="336">
        <v>300</v>
      </c>
      <c r="G38" s="336">
        <v>300</v>
      </c>
      <c r="H38" s="336"/>
      <c r="I38" s="341"/>
      <c r="J38" s="341"/>
      <c r="K38" s="338"/>
      <c r="L38" s="338">
        <f t="shared" si="1"/>
      </c>
      <c r="M38" s="338">
        <f t="shared" si="3"/>
      </c>
      <c r="N38" s="341"/>
      <c r="O38" s="341"/>
      <c r="P38" s="336">
        <v>30</v>
      </c>
      <c r="Q38" s="336">
        <v>30</v>
      </c>
    </row>
    <row customHeight="true" ht="18.51851851851852" r="39">
      <c r="A39" s="334">
        <v>46569</v>
      </c>
      <c r="B39" s="335">
        <f t="shared" si="11"/>
      </c>
      <c r="C39" s="336"/>
      <c r="D39" s="336">
        <v>0</v>
      </c>
      <c r="E39" s="339">
        <f t="shared" si="8"/>
      </c>
      <c r="F39" s="336">
        <v>300</v>
      </c>
      <c r="G39" s="336">
        <v>300</v>
      </c>
      <c r="H39" s="336"/>
      <c r="I39" s="341"/>
      <c r="J39" s="341"/>
      <c r="K39" s="338"/>
      <c r="L39" s="338">
        <f t="shared" si="1"/>
      </c>
      <c r="M39" s="338">
        <f t="shared" si="3"/>
      </c>
      <c r="N39" s="341"/>
      <c r="O39" s="341"/>
      <c r="P39" s="336">
        <v>30</v>
      </c>
      <c r="Q39" s="336">
        <v>30</v>
      </c>
    </row>
  </sheetData>
</worksheet>
</file>

<file path=xl/worksheets/sheet1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9" min="19" style="0" width="17.933333333333334"/>
    <col collapsed="false" customWidth="true" hidden="false" max="4" min="4" style="0" width="17.4"/>
    <col collapsed="false" customWidth="true" hidden="false" max="8" min="8" style="0" width="17.4"/>
    <col collapsed="false" customWidth="true" hidden="false" max="12" min="12" style="0" width="17.4"/>
    <col collapsed="false" customWidth="true" hidden="false" max="16" min="16" style="0" width="17.4"/>
    <col collapsed="false" customWidth="true" hidden="false" max="18" min="18" style="0" width="17.4"/>
    <col collapsed="false" customWidth="true" hidden="false" max="3" min="3" style="0" width="17.4"/>
    <col collapsed="false" customWidth="true" hidden="false" max="7" min="7" style="0" width="17.4"/>
    <col collapsed="false" customWidth="true" hidden="false" max="11" min="11" style="0" width="17.4"/>
    <col collapsed="false" customWidth="true" hidden="false" max="15" min="15" style="0" width="17.4"/>
    <col collapsed="false" customWidth="true" hidden="false" max="17" min="17" style="0" width="17.4"/>
    <col collapsed="false" customWidth="true" hidden="false" max="2" min="2" style="0" width="17.4"/>
    <col collapsed="false" customWidth="true" hidden="false" max="6" min="6" style="0" width="17.4"/>
    <col collapsed="false" customWidth="true" hidden="false" max="10" min="10" style="0" width="17.4"/>
    <col collapsed="false" customWidth="true" hidden="false" max="14" min="14" style="0" width="17.4"/>
    <col collapsed="false" customWidth="true" hidden="false" max="20" min="20" style="0" width="17.933333333333334"/>
    <col collapsed="false" customWidth="true" hidden="false" max="1" min="1" style="0" width="146.06666666666666"/>
    <col collapsed="false" customWidth="true" hidden="false" max="5" min="5" style="0" width="17.4"/>
    <col collapsed="false" customWidth="true" hidden="false" max="9" min="9" style="0" width="17.4"/>
    <col collapsed="false" customWidth="true" hidden="false" max="13" min="13" style="0" width="17.4"/>
  </cols>
  <sheetData>
    <row customHeight="true" ht="18.51851851851852" r="1">
      <c r="A1" s="345" t="s">
        <v>1239</v>
      </c>
    </row>
    <row customHeight="true" ht="18.51851851851852" r="2">
      <c r="A2" s="346" t="s">
        <v>1240</v>
      </c>
    </row>
    <row customHeight="true" ht="18.51851851851852" r="3">
      <c r="A3" s="346" t="s">
        <v>1241</v>
      </c>
    </row>
    <row customHeight="true" ht="18.51851851851852" r="4">
      <c r="A4" s="346" t="s">
        <v>1242</v>
      </c>
    </row>
    <row customHeight="true" ht="18.51851851851852" r="5">
      <c r="A5" s="347"/>
    </row>
    <row customHeight="true" ht="18.51851851851852" r="6">
      <c r="A6" s="347"/>
    </row>
    <row customHeight="true" ht="18.51851851851852" r="7">
      <c r="A7" s="346" t="s">
        <v>1243</v>
      </c>
    </row>
    <row customHeight="true" ht="18.51851851851852" r="8">
      <c r="A8" s="346" t="s">
        <v>1244</v>
      </c>
    </row>
    <row customHeight="true" ht="18.51851851851852" r="9">
      <c r="A9" s="346" t="s">
        <v>1245</v>
      </c>
    </row>
    <row customHeight="true" ht="18.51851851851852" r="10">
      <c r="A10" s="347"/>
    </row>
    <row customHeight="true" ht="18.51851851851852" r="11">
      <c r="A11" s="347"/>
    </row>
    <row customHeight="true" ht="18.51851851851852" r="12">
      <c r="A12" s="347"/>
    </row>
    <row customHeight="true" ht="18.51851851851852" r="13">
      <c r="A13" s="347"/>
    </row>
    <row customHeight="true" ht="18.51851851851852" r="14">
      <c r="A14" s="346" t="s">
        <v>1246</v>
      </c>
    </row>
    <row customHeight="true" ht="18.51851851851852" r="15">
      <c r="A15" s="348" t="s">
        <v>1247</v>
      </c>
    </row>
    <row customHeight="true" ht="18.51851851851852" r="16">
      <c r="A16" s="346" t="s">
        <v>1248</v>
      </c>
    </row>
    <row customHeight="true" ht="18.51851851851852" r="17">
      <c r="A17" s="347"/>
    </row>
    <row customHeight="true" ht="18.51851851851852" r="18">
      <c r="A18" s="347"/>
    </row>
    <row customHeight="true" ht="18.51851851851852" r="19">
      <c r="A19" s="347"/>
    </row>
    <row customHeight="true" ht="18.51851851851852" r="20">
      <c r="A20" s="347"/>
    </row>
    <row customHeight="true" ht="18.51851851851852" r="21">
      <c r="A21" s="346" t="s">
        <v>1249</v>
      </c>
    </row>
    <row customHeight="true" ht="18.51851851851852" r="22">
      <c r="A22" s="346" t="s">
        <v>1250</v>
      </c>
    </row>
    <row customHeight="true" ht="18.51851851851852" r="23">
      <c r="A23" s="347"/>
    </row>
    <row customHeight="true" ht="18.51851851851852" r="24">
      <c r="A24" s="347"/>
    </row>
    <row customHeight="true" ht="18.51851851851852" r="25">
      <c r="A25" s="346" t="s">
        <v>1251</v>
      </c>
    </row>
  </sheetData>
  <hyperlinks>
    <hyperlink ref="A9" display="https://www.tiktok.com/@/video/7509602854680710443?shop_region=US" r:id="rId1"/>
    <hyperlink ref="A15" display="https://www.tiktok.com/@/video/7510281518846135582?shop_region=US" r:id="rId2"/>
    <hyperlink ref="A21" display="https://www.tiktok.com/@/video/7512217482250177838?shop_region=US" r:id="rId3"/>
    <hyperlink ref="A25" display="https://www.tiktok.com/@/video/7513258934547860779?shop_region=US" r:id="rId4"/>
    <hyperlink ref="A3" display="https://www.tiktok.com/@/video/7505007970158185771?shop_region=US" r:id="rId5"/>
    <hyperlink ref="A7" display="https://www.tiktok.com/@/video/7509468659413372206?shop_region=US" r:id="rId6"/>
    <hyperlink ref="A8" display="https://www.tiktok.com/@/video/7507463120143600939?shop_region=US" r:id="rId7"/>
    <hyperlink ref="A14" display="https://www.tiktok.com/@/video/7512260049553607966?shop_region=US" r:id="rId8"/>
    <hyperlink ref="A16" display="https://www.tiktok.com/@/video/7512121539337194782?shop_region=US" r:id="rId9"/>
    <hyperlink ref="A22" display="https://www.tiktok.com/@/video/7510822530660289823?shop_region=US" r:id="rId10"/>
    <hyperlink ref="A2" display="https://www.tiktok.com/@/video/7507733538158972191?shop_region=US" r:id="rId11"/>
    <hyperlink ref="A4" display="https://www.tiktok.com/@/video/7510315444860063022?shop_region=US" r:id="rId12"/>
  </hyperlinks>
</worksheet>
</file>

<file path=xl/worksheets/sheet1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" min="2" style="0" width="17.4"/>
    <col collapsed="false" customWidth="true" hidden="false" max="6" min="6" style="0" width="17.4"/>
    <col collapsed="false" customWidth="true" hidden="false" max="10" min="10" style="0" width="17.4"/>
    <col collapsed="false" customWidth="true" hidden="false" max="14" min="14" style="0" width="17.4"/>
    <col collapsed="false" customWidth="true" hidden="false" max="18" min="18" style="0" width="17.4"/>
    <col collapsed="false" customWidth="true" hidden="false" max="3" min="3" style="0" width="17.4"/>
    <col collapsed="false" customWidth="true" hidden="false" max="7" min="7" style="0" width="17.4"/>
    <col collapsed="false" customWidth="true" hidden="false" max="11" min="11" style="0" width="17.4"/>
    <col collapsed="false" customWidth="true" hidden="false" max="15" min="15" style="0" width="17.4"/>
    <col collapsed="false" customWidth="true" hidden="false" max="19" min="19" style="0" width="17.933333333333334"/>
    <col collapsed="false" customWidth="true" hidden="false" max="4" min="4" style="0" width="17.4"/>
    <col collapsed="false" customWidth="true" hidden="false" max="8" min="8" style="0" width="17.4"/>
    <col collapsed="false" customWidth="true" hidden="false" max="12" min="12" style="0" width="17.4"/>
    <col collapsed="false" customWidth="true" hidden="false" max="16" min="16" style="0" width="17.4"/>
    <col collapsed="false" customWidth="true" hidden="false" max="20" min="20" style="0" width="17.933333333333334"/>
    <col collapsed="false" customWidth="true" hidden="false" max="1" min="1" style="0" width="8.066666666666666"/>
    <col collapsed="false" customWidth="true" hidden="false" max="5" min="5" style="0" width="17.4"/>
    <col collapsed="false" customWidth="true" hidden="false" max="9" min="9" style="0" width="17.4"/>
    <col collapsed="false" customWidth="true" hidden="false" max="13" min="13" style="0" width="17.4"/>
    <col collapsed="false" customWidth="true" hidden="false" max="17" min="17" style="0" width="17.4"/>
  </cols>
  <sheetData>
    <row customHeight="true" ht="18.51851851851852" r="1">
      <c r="A1" s="349" t="s">
        <v>1252</v>
      </c>
      <c r="B1" s="350">
        <v>0.1695</v>
      </c>
      <c r="D1" s="351">
        <v>0.19</v>
      </c>
      <c r="F1" s="351">
        <v>0.3</v>
      </c>
      <c r="G1" s="349"/>
    </row>
    <row customHeight="true" ht="18.51851851851852" r="2">
      <c r="A2" s="349" t="s">
        <v>1253</v>
      </c>
      <c r="B2" s="350">
        <v>0.198</v>
      </c>
      <c r="D2" s="351">
        <v>0.2</v>
      </c>
      <c r="F2" s="351">
        <v>0.1</v>
      </c>
    </row>
    <row customHeight="true" ht="18.51851851851852" r="3">
      <c r="A3" s="349" t="s">
        <v>1254</v>
      </c>
      <c r="B3" s="350">
        <v>0.1846</v>
      </c>
      <c r="D3" s="351">
        <v>0.22</v>
      </c>
      <c r="F3" s="351">
        <v>0.3</v>
      </c>
    </row>
    <row customHeight="true" ht="18.51851851851852" r="4">
      <c r="A4" s="349" t="s">
        <v>1255</v>
      </c>
      <c r="B4" s="350">
        <v>0.1646</v>
      </c>
      <c r="D4" s="351">
        <v>0.21</v>
      </c>
      <c r="F4" s="351">
        <v>0.3</v>
      </c>
    </row>
    <row customHeight="true" ht="18.51851851851852" r="5">
      <c r="A5" s="349" t="s">
        <v>1256</v>
      </c>
      <c r="B5" s="350">
        <v>0.158</v>
      </c>
      <c r="D5" s="351">
        <v>0.2</v>
      </c>
    </row>
    <row customHeight="true" ht="18.51851851851852" r="6">
      <c r="A6" s="349" t="s">
        <v>1257</v>
      </c>
      <c r="B6" s="350">
        <v>0.158</v>
      </c>
    </row>
    <row customHeight="true" ht="18.51851851851852" r="7">
      <c r="A7" s="349" t="s">
        <v>1258</v>
      </c>
      <c r="B7" s="350">
        <v>0.223</v>
      </c>
    </row>
    <row customHeight="true" ht="18.51851851851852" r="8">
      <c r="A8" s="349" t="s">
        <v>1259</v>
      </c>
      <c r="B8" s="350">
        <v>0.158</v>
      </c>
    </row>
    <row customHeight="true" ht="18.51851851851852" r="9">
      <c r="A9" s="349" t="s">
        <v>1260</v>
      </c>
    </row>
    <row customHeight="true" ht="18.51851851851852" r="10">
      <c r="B10" s="349" t="s">
        <v>1261</v>
      </c>
      <c r="D10" s="349" t="s">
        <v>1262</v>
      </c>
      <c r="F10" s="352" t="s">
        <v>1263</v>
      </c>
    </row>
    <row customHeight="true" ht="18.51851851851852" r="11"/>
    <row customHeight="true" ht="18.51851851851852" r="12">
      <c r="A12" s="349" t="s">
        <v>1252</v>
      </c>
      <c r="B12" s="350">
        <v>0.188</v>
      </c>
      <c r="C12" s="349"/>
      <c r="D12" s="351">
        <v>0.19</v>
      </c>
      <c r="E12" s="349"/>
      <c r="F12" s="351">
        <v>0.3</v>
      </c>
      <c r="G12" s="349"/>
      <c r="H12" s="349"/>
      <c r="I12" s="349"/>
      <c r="J12" s="349"/>
      <c r="K12" s="349"/>
      <c r="L12" s="349"/>
      <c r="M12" s="349"/>
      <c r="N12" s="349"/>
      <c r="O12" s="349"/>
      <c r="P12" s="349"/>
      <c r="Q12" s="349"/>
      <c r="R12" s="349"/>
    </row>
    <row customHeight="true" ht="18.51851851851852" r="13">
      <c r="A13" s="349" t="s">
        <v>1253</v>
      </c>
      <c r="B13" s="350">
        <v>0.188</v>
      </c>
      <c r="C13" s="349"/>
      <c r="D13" s="351">
        <v>0.2</v>
      </c>
      <c r="E13" s="349"/>
      <c r="F13" s="351">
        <v>0.1</v>
      </c>
      <c r="G13" s="349"/>
      <c r="H13" s="349"/>
      <c r="I13" s="349"/>
      <c r="J13" s="349"/>
      <c r="K13" s="349"/>
      <c r="L13" s="349"/>
      <c r="M13" s="349"/>
      <c r="N13" s="349"/>
      <c r="O13" s="349"/>
      <c r="P13" s="349"/>
      <c r="Q13" s="349"/>
      <c r="R13" s="349"/>
    </row>
    <row customHeight="true" ht="18.51851851851852" r="14">
      <c r="A14" s="349" t="s">
        <v>1254</v>
      </c>
      <c r="B14" s="350">
        <v>0.188</v>
      </c>
      <c r="C14" s="349"/>
      <c r="D14" s="351">
        <v>0.22</v>
      </c>
      <c r="E14" s="349"/>
      <c r="F14" s="351">
        <v>0.3</v>
      </c>
      <c r="G14" s="349"/>
      <c r="H14" s="349"/>
      <c r="I14" s="349"/>
      <c r="J14" s="349"/>
      <c r="K14" s="349"/>
      <c r="L14" s="349"/>
      <c r="M14" s="349"/>
      <c r="N14" s="349"/>
      <c r="O14" s="349"/>
      <c r="P14" s="349"/>
      <c r="Q14" s="349"/>
      <c r="R14" s="349"/>
    </row>
    <row customHeight="true" ht="18.51851851851852" r="15">
      <c r="A15" s="349" t="s">
        <v>1255</v>
      </c>
      <c r="B15" s="350">
        <v>0.188</v>
      </c>
      <c r="C15" s="349"/>
      <c r="D15" s="351">
        <v>0.21</v>
      </c>
      <c r="E15" s="349"/>
      <c r="F15" s="351">
        <v>0.3</v>
      </c>
      <c r="G15" s="349"/>
      <c r="H15" s="349"/>
      <c r="I15" s="349"/>
      <c r="J15" s="349"/>
      <c r="K15" s="349"/>
      <c r="L15" s="349"/>
      <c r="M15" s="349"/>
      <c r="N15" s="349"/>
      <c r="O15" s="349"/>
      <c r="P15" s="349"/>
      <c r="Q15" s="349"/>
      <c r="R15" s="349"/>
    </row>
    <row customHeight="true" ht="18.51851851851852" r="16">
      <c r="A16" s="349" t="s">
        <v>1256</v>
      </c>
      <c r="B16" s="350">
        <v>0.178</v>
      </c>
      <c r="C16" s="349"/>
      <c r="D16" s="351">
        <v>0.2</v>
      </c>
      <c r="E16" s="349"/>
      <c r="F16" s="349"/>
      <c r="G16" s="349"/>
      <c r="H16" s="349"/>
      <c r="I16" s="349"/>
      <c r="J16" s="349"/>
      <c r="K16" s="349"/>
      <c r="L16" s="349"/>
      <c r="M16" s="349"/>
      <c r="N16" s="349"/>
      <c r="O16" s="349"/>
      <c r="P16" s="349"/>
      <c r="Q16" s="349"/>
      <c r="R16" s="349"/>
    </row>
    <row customHeight="true" ht="18.51851851851852" r="17">
      <c r="A17" s="349" t="s">
        <v>1257</v>
      </c>
      <c r="B17" s="350">
        <v>0.188</v>
      </c>
      <c r="C17" s="349"/>
      <c r="D17" s="349"/>
      <c r="E17" s="349"/>
      <c r="F17" s="349"/>
      <c r="G17" s="349"/>
      <c r="H17" s="349"/>
      <c r="I17" s="349"/>
      <c r="J17" s="349"/>
      <c r="K17" s="349"/>
      <c r="L17" s="349"/>
      <c r="M17" s="349"/>
      <c r="N17" s="349"/>
      <c r="O17" s="349"/>
      <c r="P17" s="349"/>
      <c r="Q17" s="349"/>
      <c r="R17" s="349"/>
    </row>
    <row customHeight="true" ht="18.51851851851852" r="18">
      <c r="A18" s="349" t="s">
        <v>1258</v>
      </c>
      <c r="B18" s="350">
        <v>0.188</v>
      </c>
      <c r="C18" s="349"/>
      <c r="D18" s="349"/>
      <c r="E18" s="349"/>
      <c r="F18" s="349"/>
      <c r="G18" s="349"/>
      <c r="H18" s="349"/>
      <c r="I18" s="349"/>
      <c r="J18" s="349"/>
      <c r="K18" s="349"/>
      <c r="L18" s="349"/>
      <c r="M18" s="349"/>
      <c r="N18" s="349"/>
      <c r="O18" s="349"/>
      <c r="P18" s="349"/>
      <c r="Q18" s="349"/>
      <c r="R18" s="349"/>
    </row>
    <row customHeight="true" ht="18.51851851851852" r="19">
      <c r="A19" s="349" t="s">
        <v>1259</v>
      </c>
      <c r="B19" s="350">
        <v>0.188</v>
      </c>
      <c r="C19" s="349"/>
      <c r="D19" s="349"/>
      <c r="E19" s="349"/>
      <c r="F19" s="349"/>
      <c r="G19" s="349"/>
      <c r="H19" s="349"/>
      <c r="I19" s="349"/>
      <c r="J19" s="349"/>
      <c r="K19" s="349"/>
      <c r="L19" s="349"/>
      <c r="M19" s="349"/>
      <c r="N19" s="349"/>
      <c r="O19" s="349"/>
      <c r="P19" s="349"/>
      <c r="Q19" s="349"/>
      <c r="R19" s="349"/>
    </row>
    <row customHeight="true" ht="18.51851851851852" r="20">
      <c r="A20" s="349" t="s">
        <v>1264</v>
      </c>
      <c r="B20" s="349"/>
      <c r="C20" s="349"/>
      <c r="D20" s="349"/>
      <c r="E20" s="349"/>
      <c r="F20" s="349"/>
      <c r="G20" s="349"/>
      <c r="H20" s="349"/>
      <c r="I20" s="349"/>
      <c r="J20" s="349"/>
      <c r="K20" s="349"/>
      <c r="L20" s="349"/>
      <c r="M20" s="349"/>
      <c r="N20" s="349"/>
      <c r="O20" s="349"/>
      <c r="P20" s="349"/>
      <c r="Q20" s="349"/>
      <c r="R20" s="349"/>
    </row>
    <row customHeight="true" ht="18.51851851851852" r="21">
      <c r="A21" s="349"/>
      <c r="B21" s="349" t="s">
        <v>1261</v>
      </c>
      <c r="C21" s="349"/>
      <c r="D21" s="349" t="s">
        <v>1262</v>
      </c>
      <c r="E21" s="349"/>
      <c r="F21" s="352" t="s">
        <v>1263</v>
      </c>
      <c r="G21" s="349"/>
      <c r="H21" s="349"/>
      <c r="I21" s="349"/>
      <c r="J21" s="349"/>
      <c r="K21" s="349"/>
      <c r="L21" s="349"/>
      <c r="M21" s="349"/>
      <c r="N21" s="349"/>
      <c r="O21" s="349"/>
      <c r="P21" s="349"/>
      <c r="Q21" s="349"/>
      <c r="R21" s="349"/>
    </row>
    <row r="22">
      <c r="A22" s="353"/>
      <c r="B22" s="353"/>
      <c r="C22" s="353"/>
      <c r="D22" s="353"/>
      <c r="E22" s="353"/>
      <c r="F22" s="354"/>
      <c r="G22" s="35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</row>
    <row r="23">
      <c r="A23" s="353"/>
      <c r="B23" s="353"/>
      <c r="C23" s="353"/>
      <c r="D23" s="353"/>
      <c r="E23" s="353"/>
      <c r="F23" s="354"/>
      <c r="G23" s="353"/>
      <c r="H23" s="353"/>
      <c r="I23" s="353"/>
      <c r="J23" s="353"/>
      <c r="K23" s="353"/>
      <c r="L23" s="353"/>
      <c r="M23" s="353"/>
      <c r="N23" s="353"/>
      <c r="O23" s="353"/>
      <c r="P23" s="353"/>
      <c r="Q23" s="353"/>
      <c r="R23" s="353"/>
    </row>
    <row r="24">
      <c r="A24" s="353"/>
      <c r="B24" s="353"/>
      <c r="C24" s="353"/>
      <c r="D24" s="353"/>
      <c r="E24" s="353"/>
      <c r="F24" s="354"/>
      <c r="G24" s="353"/>
      <c r="H24" s="353"/>
      <c r="I24" s="353"/>
      <c r="J24" s="353"/>
      <c r="K24" s="353"/>
      <c r="L24" s="353"/>
      <c r="M24" s="353"/>
      <c r="N24" s="353"/>
      <c r="O24" s="353"/>
      <c r="P24" s="353"/>
      <c r="Q24" s="353"/>
      <c r="R24" s="353"/>
    </row>
    <row r="25">
      <c r="A25" s="353"/>
      <c r="B25" s="353"/>
      <c r="C25" s="353"/>
      <c r="D25" s="353"/>
      <c r="E25" s="353"/>
      <c r="F25" s="354"/>
      <c r="G25" s="353"/>
      <c r="H25" s="353"/>
      <c r="I25" s="353"/>
      <c r="J25" s="353"/>
      <c r="K25" s="353"/>
      <c r="L25" s="353"/>
      <c r="M25" s="353"/>
      <c r="N25" s="353"/>
      <c r="O25" s="353"/>
      <c r="P25" s="353"/>
      <c r="Q25" s="353"/>
      <c r="R25" s="353"/>
    </row>
    <row r="26">
      <c r="A26" s="353"/>
      <c r="B26" s="353"/>
      <c r="C26" s="353"/>
      <c r="D26" s="353"/>
      <c r="E26" s="353"/>
      <c r="F26" s="354"/>
      <c r="G26" s="353"/>
      <c r="H26" s="353"/>
      <c r="I26" s="353"/>
      <c r="J26" s="353"/>
      <c r="K26" s="353"/>
      <c r="L26" s="353"/>
      <c r="M26" s="353"/>
      <c r="N26" s="353"/>
      <c r="O26" s="353"/>
      <c r="P26" s="353"/>
      <c r="Q26" s="353"/>
      <c r="R26" s="353"/>
    </row>
    <row r="27">
      <c r="A27" s="353"/>
      <c r="B27" s="353"/>
      <c r="C27" s="353"/>
      <c r="D27" s="353"/>
      <c r="E27" s="353"/>
      <c r="F27" s="354"/>
      <c r="G27" s="353"/>
      <c r="H27" s="353"/>
      <c r="I27" s="353"/>
      <c r="J27" s="353"/>
      <c r="K27" s="353"/>
      <c r="L27" s="353"/>
      <c r="M27" s="353"/>
      <c r="N27" s="353"/>
      <c r="O27" s="353"/>
      <c r="P27" s="353"/>
      <c r="Q27" s="353"/>
      <c r="R27" s="353"/>
    </row>
    <row r="28">
      <c r="A28" s="353"/>
      <c r="B28" s="353"/>
      <c r="C28" s="353"/>
      <c r="D28" s="353"/>
      <c r="E28" s="353"/>
      <c r="F28" s="354"/>
      <c r="G28" s="353"/>
      <c r="H28" s="353"/>
      <c r="I28" s="353"/>
      <c r="J28" s="353"/>
      <c r="K28" s="353"/>
      <c r="L28" s="353"/>
      <c r="M28" s="353"/>
      <c r="N28" s="353"/>
      <c r="O28" s="353"/>
      <c r="P28" s="353"/>
      <c r="Q28" s="353"/>
      <c r="R28" s="353"/>
    </row>
    <row r="29">
      <c r="A29" s="353"/>
      <c r="B29" s="353"/>
      <c r="C29" s="353"/>
      <c r="D29" s="353"/>
      <c r="E29" s="353"/>
      <c r="F29" s="354"/>
      <c r="G29" s="353"/>
      <c r="H29" s="353"/>
      <c r="I29" s="353"/>
      <c r="J29" s="353"/>
      <c r="K29" s="353"/>
      <c r="L29" s="353"/>
      <c r="M29" s="353"/>
      <c r="N29" s="353"/>
      <c r="O29" s="353"/>
      <c r="P29" s="353"/>
      <c r="Q29" s="353"/>
      <c r="R29" s="353"/>
    </row>
    <row r="30">
      <c r="A30" s="353"/>
      <c r="B30" s="353"/>
      <c r="C30" s="353"/>
      <c r="D30" s="353"/>
      <c r="E30" s="353"/>
      <c r="F30" s="354"/>
      <c r="G30" s="353"/>
      <c r="H30" s="353"/>
      <c r="I30" s="353"/>
      <c r="J30" s="353"/>
      <c r="K30" s="353"/>
      <c r="L30" s="353"/>
      <c r="M30" s="353"/>
      <c r="N30" s="353"/>
      <c r="O30" s="353"/>
      <c r="P30" s="353"/>
      <c r="Q30" s="353"/>
      <c r="R30" s="353"/>
    </row>
    <row r="31">
      <c r="A31" s="353"/>
      <c r="B31" s="353"/>
      <c r="C31" s="353"/>
      <c r="D31" s="353"/>
      <c r="E31" s="353"/>
      <c r="F31" s="354"/>
      <c r="G31" s="353"/>
      <c r="H31" s="353"/>
      <c r="I31" s="353"/>
      <c r="J31" s="353"/>
      <c r="K31" s="353"/>
      <c r="L31" s="353"/>
      <c r="M31" s="353"/>
      <c r="N31" s="353"/>
      <c r="O31" s="353"/>
      <c r="P31" s="353"/>
      <c r="Q31" s="353"/>
      <c r="R31" s="353"/>
    </row>
    <row r="32">
      <c r="A32" s="353"/>
      <c r="B32" s="353"/>
      <c r="C32" s="353"/>
      <c r="D32" s="353"/>
      <c r="E32" s="353"/>
      <c r="F32" s="354"/>
      <c r="G32" s="353"/>
      <c r="H32" s="353"/>
      <c r="I32" s="353"/>
      <c r="J32" s="353"/>
      <c r="K32" s="353"/>
      <c r="L32" s="353"/>
      <c r="M32" s="353"/>
      <c r="N32" s="353"/>
      <c r="O32" s="353"/>
      <c r="P32" s="353"/>
      <c r="Q32" s="353"/>
      <c r="R32" s="353"/>
    </row>
    <row r="33">
      <c r="A33" s="353"/>
      <c r="B33" s="353"/>
      <c r="C33" s="353"/>
      <c r="D33" s="353"/>
      <c r="E33" s="353"/>
      <c r="F33" s="354"/>
      <c r="G33" s="353"/>
      <c r="H33" s="353"/>
      <c r="I33" s="353"/>
      <c r="J33" s="353"/>
      <c r="K33" s="353"/>
      <c r="L33" s="353"/>
      <c r="M33" s="353"/>
      <c r="N33" s="353"/>
      <c r="O33" s="353"/>
      <c r="P33" s="353"/>
      <c r="Q33" s="353"/>
      <c r="R33" s="353"/>
    </row>
    <row r="34">
      <c r="A34" s="353"/>
      <c r="B34" s="353"/>
      <c r="C34" s="353"/>
      <c r="D34" s="353"/>
      <c r="E34" s="353"/>
      <c r="F34" s="354"/>
      <c r="G34" s="353"/>
      <c r="H34" s="353"/>
      <c r="I34" s="353"/>
      <c r="J34" s="353"/>
      <c r="K34" s="353"/>
      <c r="L34" s="353"/>
      <c r="M34" s="353"/>
      <c r="N34" s="353"/>
      <c r="O34" s="353"/>
      <c r="P34" s="353"/>
      <c r="Q34" s="353"/>
      <c r="R34" s="353"/>
    </row>
    <row r="35">
      <c r="A35" s="353"/>
      <c r="B35" s="353"/>
      <c r="C35" s="353"/>
      <c r="D35" s="353"/>
      <c r="E35" s="353"/>
      <c r="F35" s="354"/>
      <c r="G35" s="353"/>
      <c r="H35" s="353"/>
      <c r="I35" s="353"/>
      <c r="J35" s="353"/>
      <c r="K35" s="353"/>
      <c r="L35" s="353"/>
      <c r="M35" s="353"/>
      <c r="N35" s="353"/>
      <c r="O35" s="353"/>
      <c r="P35" s="353"/>
      <c r="Q35" s="353"/>
      <c r="R35" s="353"/>
    </row>
    <row r="36">
      <c r="A36" s="353"/>
      <c r="B36" s="353"/>
      <c r="C36" s="353"/>
      <c r="D36" s="353"/>
      <c r="E36" s="353"/>
      <c r="F36" s="354"/>
      <c r="G36" s="353"/>
      <c r="H36" s="353"/>
      <c r="I36" s="353"/>
      <c r="J36" s="353"/>
      <c r="K36" s="353"/>
      <c r="L36" s="353"/>
      <c r="M36" s="353"/>
      <c r="N36" s="353"/>
      <c r="O36" s="353"/>
      <c r="P36" s="353"/>
      <c r="Q36" s="353"/>
      <c r="R36" s="353"/>
    </row>
    <row r="37">
      <c r="A37" s="353"/>
      <c r="B37" s="353"/>
      <c r="C37" s="353"/>
      <c r="D37" s="353"/>
      <c r="E37" s="353"/>
      <c r="F37" s="354"/>
      <c r="G37" s="353"/>
      <c r="H37" s="353"/>
      <c r="I37" s="353"/>
      <c r="J37" s="353"/>
      <c r="K37" s="353"/>
      <c r="L37" s="353"/>
      <c r="M37" s="353"/>
      <c r="N37" s="353"/>
      <c r="O37" s="353"/>
      <c r="P37" s="353"/>
      <c r="Q37" s="353"/>
      <c r="R37" s="353"/>
    </row>
    <row r="38">
      <c r="A38" s="353"/>
      <c r="B38" s="353"/>
      <c r="C38" s="353"/>
      <c r="D38" s="353"/>
      <c r="E38" s="353"/>
      <c r="F38" s="354"/>
      <c r="G38" s="353"/>
      <c r="H38" s="353"/>
      <c r="I38" s="353"/>
      <c r="J38" s="353"/>
      <c r="K38" s="353"/>
      <c r="L38" s="353"/>
      <c r="M38" s="353"/>
      <c r="N38" s="353"/>
      <c r="O38" s="353"/>
      <c r="P38" s="353"/>
      <c r="Q38" s="353"/>
      <c r="R38" s="353"/>
    </row>
    <row r="39">
      <c r="A39" s="353"/>
      <c r="B39" s="353"/>
      <c r="C39" s="353"/>
      <c r="D39" s="353"/>
      <c r="E39" s="353"/>
      <c r="F39" s="354"/>
      <c r="G39" s="353"/>
      <c r="H39" s="353"/>
      <c r="I39" s="353"/>
      <c r="J39" s="353"/>
      <c r="K39" s="353"/>
      <c r="L39" s="353"/>
      <c r="M39" s="353"/>
      <c r="N39" s="353"/>
      <c r="O39" s="353"/>
      <c r="P39" s="353"/>
      <c r="Q39" s="353"/>
      <c r="R39" s="353"/>
    </row>
    <row r="40">
      <c r="A40" s="353"/>
      <c r="B40" s="353"/>
      <c r="C40" s="353"/>
      <c r="D40" s="353"/>
      <c r="E40" s="353"/>
      <c r="F40" s="354"/>
      <c r="G40" s="353"/>
      <c r="H40" s="353"/>
      <c r="I40" s="353"/>
      <c r="J40" s="353"/>
      <c r="K40" s="353"/>
      <c r="L40" s="353"/>
      <c r="M40" s="353"/>
      <c r="N40" s="353"/>
      <c r="O40" s="353"/>
      <c r="P40" s="353"/>
      <c r="Q40" s="353"/>
      <c r="R40" s="353"/>
    </row>
    <row r="41">
      <c r="A41" s="353"/>
      <c r="B41" s="353"/>
      <c r="C41" s="353"/>
      <c r="D41" s="353"/>
      <c r="E41" s="353"/>
      <c r="F41" s="354"/>
      <c r="G41" s="353"/>
      <c r="H41" s="353"/>
      <c r="I41" s="353"/>
      <c r="J41" s="353"/>
      <c r="K41" s="353"/>
      <c r="L41" s="353"/>
      <c r="M41" s="353"/>
      <c r="N41" s="353"/>
      <c r="O41" s="353"/>
      <c r="P41" s="353"/>
      <c r="Q41" s="353"/>
      <c r="R41" s="353"/>
    </row>
    <row r="42">
      <c r="A42" s="353"/>
      <c r="B42" s="353"/>
      <c r="C42" s="353"/>
      <c r="D42" s="353"/>
      <c r="E42" s="353"/>
      <c r="F42" s="354"/>
      <c r="G42" s="353"/>
      <c r="H42" s="353"/>
      <c r="I42" s="353"/>
      <c r="J42" s="353"/>
      <c r="K42" s="353"/>
      <c r="L42" s="353"/>
      <c r="M42" s="353"/>
      <c r="N42" s="353"/>
      <c r="O42" s="353"/>
      <c r="P42" s="353"/>
      <c r="Q42" s="353"/>
      <c r="R42" s="353"/>
    </row>
    <row r="43">
      <c r="A43" s="353"/>
      <c r="B43" s="353"/>
      <c r="C43" s="353"/>
      <c r="D43" s="353"/>
      <c r="E43" s="353"/>
      <c r="F43" s="354"/>
      <c r="G43" s="353"/>
      <c r="H43" s="353"/>
      <c r="I43" s="353"/>
      <c r="J43" s="353"/>
      <c r="K43" s="353"/>
      <c r="L43" s="353"/>
      <c r="M43" s="353"/>
      <c r="N43" s="353"/>
      <c r="O43" s="353"/>
      <c r="P43" s="353"/>
      <c r="Q43" s="353"/>
      <c r="R43" s="353"/>
    </row>
    <row r="44">
      <c r="A44" s="353"/>
      <c r="B44" s="353"/>
      <c r="C44" s="353"/>
      <c r="D44" s="353"/>
      <c r="E44" s="353"/>
      <c r="F44" s="354"/>
      <c r="G44" s="353"/>
      <c r="H44" s="353"/>
      <c r="I44" s="353"/>
      <c r="J44" s="353"/>
      <c r="K44" s="353"/>
      <c r="L44" s="353"/>
      <c r="M44" s="353"/>
      <c r="N44" s="353"/>
      <c r="O44" s="353"/>
      <c r="P44" s="353"/>
      <c r="Q44" s="353"/>
      <c r="R44" s="353"/>
    </row>
    <row r="45">
      <c r="A45" s="353"/>
      <c r="B45" s="353"/>
      <c r="C45" s="353"/>
      <c r="D45" s="353"/>
      <c r="E45" s="353"/>
      <c r="F45" s="354"/>
      <c r="G45" s="353"/>
      <c r="H45" s="353"/>
      <c r="I45" s="353"/>
      <c r="J45" s="353"/>
      <c r="K45" s="353"/>
      <c r="L45" s="353"/>
      <c r="M45" s="353"/>
      <c r="N45" s="353"/>
      <c r="O45" s="353"/>
      <c r="P45" s="353"/>
      <c r="Q45" s="353"/>
      <c r="R45" s="353"/>
    </row>
    <row r="46">
      <c r="A46" s="353"/>
      <c r="B46" s="353"/>
      <c r="C46" s="353"/>
      <c r="D46" s="353"/>
      <c r="E46" s="353"/>
      <c r="F46" s="354"/>
      <c r="G46" s="353"/>
      <c r="H46" s="353"/>
      <c r="I46" s="353"/>
      <c r="J46" s="353"/>
      <c r="K46" s="353"/>
      <c r="L46" s="353"/>
      <c r="M46" s="353"/>
      <c r="N46" s="353"/>
      <c r="O46" s="353"/>
      <c r="P46" s="353"/>
      <c r="Q46" s="353"/>
      <c r="R46" s="353"/>
    </row>
    <row r="47">
      <c r="A47" s="353"/>
      <c r="B47" s="353"/>
      <c r="C47" s="353"/>
      <c r="D47" s="353"/>
      <c r="E47" s="353"/>
      <c r="F47" s="354"/>
      <c r="G47" s="353"/>
      <c r="H47" s="353"/>
      <c r="I47" s="353"/>
      <c r="J47" s="353"/>
      <c r="K47" s="353"/>
      <c r="L47" s="353"/>
      <c r="M47" s="353"/>
      <c r="N47" s="353"/>
      <c r="O47" s="353"/>
      <c r="P47" s="353"/>
      <c r="Q47" s="353"/>
      <c r="R47" s="353"/>
    </row>
    <row r="48">
      <c r="A48" s="353"/>
      <c r="B48" s="353"/>
      <c r="C48" s="353"/>
      <c r="D48" s="353"/>
      <c r="E48" s="353"/>
      <c r="F48" s="354"/>
      <c r="G48" s="353"/>
      <c r="H48" s="353"/>
      <c r="I48" s="353"/>
      <c r="J48" s="353"/>
      <c r="K48" s="353"/>
      <c r="L48" s="353"/>
      <c r="M48" s="353"/>
      <c r="N48" s="353"/>
      <c r="O48" s="353"/>
      <c r="P48" s="353"/>
      <c r="Q48" s="353"/>
      <c r="R48" s="353"/>
    </row>
    <row r="49">
      <c r="A49" s="353"/>
      <c r="B49" s="353"/>
      <c r="C49" s="353"/>
      <c r="D49" s="353"/>
      <c r="E49" s="353"/>
      <c r="F49" s="354"/>
      <c r="G49" s="353"/>
      <c r="H49" s="353"/>
      <c r="I49" s="353"/>
      <c r="J49" s="353"/>
      <c r="K49" s="353"/>
      <c r="L49" s="353"/>
      <c r="M49" s="353"/>
      <c r="N49" s="353"/>
      <c r="O49" s="353"/>
      <c r="P49" s="353"/>
      <c r="Q49" s="353"/>
      <c r="R49" s="353"/>
    </row>
    <row r="50">
      <c r="A50" s="353"/>
      <c r="B50" s="353"/>
      <c r="C50" s="353"/>
      <c r="D50" s="353"/>
      <c r="E50" s="353"/>
      <c r="F50" s="354"/>
      <c r="G50" s="353"/>
      <c r="H50" s="353"/>
      <c r="I50" s="353"/>
      <c r="J50" s="353"/>
      <c r="K50" s="353"/>
      <c r="L50" s="353"/>
      <c r="M50" s="353"/>
      <c r="N50" s="353"/>
      <c r="O50" s="353"/>
      <c r="P50" s="353"/>
      <c r="Q50" s="353"/>
      <c r="R50" s="353"/>
    </row>
    <row r="51">
      <c r="A51" s="353"/>
      <c r="B51" s="353"/>
      <c r="C51" s="353"/>
      <c r="D51" s="353"/>
      <c r="E51" s="353"/>
      <c r="F51" s="354"/>
      <c r="G51" s="353"/>
      <c r="H51" s="353"/>
      <c r="I51" s="353"/>
      <c r="J51" s="353"/>
      <c r="K51" s="353"/>
      <c r="L51" s="353"/>
      <c r="M51" s="353"/>
      <c r="N51" s="353"/>
      <c r="O51" s="353"/>
      <c r="P51" s="353"/>
      <c r="Q51" s="353"/>
      <c r="R51" s="353"/>
    </row>
    <row r="52">
      <c r="A52" s="353"/>
      <c r="B52" s="353"/>
      <c r="C52" s="353"/>
      <c r="D52" s="353"/>
      <c r="E52" s="353"/>
      <c r="F52" s="354"/>
      <c r="G52" s="353"/>
      <c r="H52" s="353"/>
      <c r="I52" s="353"/>
      <c r="J52" s="353"/>
      <c r="K52" s="353"/>
      <c r="L52" s="353"/>
      <c r="M52" s="353"/>
      <c r="N52" s="353"/>
      <c r="O52" s="353"/>
      <c r="P52" s="353"/>
      <c r="Q52" s="353"/>
      <c r="R52" s="353"/>
    </row>
    <row r="53">
      <c r="A53" s="353"/>
      <c r="B53" s="353"/>
      <c r="C53" s="353"/>
      <c r="D53" s="353"/>
      <c r="E53" s="353"/>
      <c r="F53" s="354"/>
      <c r="G53" s="353"/>
      <c r="H53" s="353"/>
      <c r="I53" s="353"/>
      <c r="J53" s="353"/>
      <c r="K53" s="353"/>
      <c r="L53" s="353"/>
      <c r="M53" s="353"/>
      <c r="N53" s="353"/>
      <c r="O53" s="353"/>
      <c r="P53" s="353"/>
      <c r="Q53" s="353"/>
      <c r="R53" s="353"/>
    </row>
    <row r="54">
      <c r="A54" s="353"/>
      <c r="B54" s="353"/>
      <c r="C54" s="353"/>
      <c r="D54" s="353"/>
      <c r="E54" s="353"/>
      <c r="F54" s="354"/>
      <c r="G54" s="353"/>
      <c r="H54" s="353"/>
      <c r="I54" s="353"/>
      <c r="J54" s="353"/>
      <c r="K54" s="353"/>
      <c r="L54" s="353"/>
      <c r="M54" s="353"/>
      <c r="N54" s="353"/>
      <c r="O54" s="353"/>
      <c r="P54" s="353"/>
      <c r="Q54" s="353"/>
      <c r="R54" s="353"/>
    </row>
    <row r="55">
      <c r="A55" s="353"/>
      <c r="B55" s="353"/>
      <c r="C55" s="353"/>
      <c r="D55" s="353"/>
      <c r="E55" s="353"/>
      <c r="F55" s="354"/>
      <c r="G55" s="353"/>
      <c r="H55" s="353"/>
      <c r="I55" s="353"/>
      <c r="J55" s="353"/>
      <c r="K55" s="353"/>
      <c r="L55" s="353"/>
      <c r="M55" s="353"/>
      <c r="N55" s="353"/>
      <c r="O55" s="353"/>
      <c r="P55" s="353"/>
      <c r="Q55" s="353"/>
      <c r="R55" s="353"/>
    </row>
    <row r="56">
      <c r="A56" s="353"/>
      <c r="B56" s="353"/>
      <c r="C56" s="353"/>
      <c r="D56" s="353"/>
      <c r="E56" s="353"/>
      <c r="F56" s="354"/>
      <c r="G56" s="353"/>
      <c r="H56" s="353"/>
      <c r="I56" s="353"/>
      <c r="J56" s="353"/>
      <c r="K56" s="353"/>
      <c r="L56" s="353"/>
      <c r="M56" s="353"/>
      <c r="N56" s="353"/>
      <c r="O56" s="353"/>
      <c r="P56" s="353"/>
      <c r="Q56" s="353"/>
      <c r="R56" s="353"/>
    </row>
    <row r="57">
      <c r="A57" s="353"/>
      <c r="B57" s="353"/>
      <c r="C57" s="353"/>
      <c r="D57" s="353"/>
      <c r="E57" s="353"/>
      <c r="F57" s="354"/>
      <c r="G57" s="353"/>
      <c r="H57" s="353"/>
      <c r="I57" s="353"/>
      <c r="J57" s="353"/>
      <c r="K57" s="353"/>
      <c r="L57" s="353"/>
      <c r="M57" s="353"/>
      <c r="N57" s="353"/>
      <c r="O57" s="353"/>
      <c r="P57" s="353"/>
      <c r="Q57" s="353"/>
      <c r="R57" s="353"/>
    </row>
    <row r="58">
      <c r="A58" s="353"/>
      <c r="B58" s="353"/>
      <c r="C58" s="353"/>
      <c r="D58" s="353"/>
      <c r="E58" s="353"/>
      <c r="F58" s="354"/>
      <c r="G58" s="353"/>
      <c r="H58" s="353"/>
      <c r="I58" s="353"/>
      <c r="J58" s="353"/>
      <c r="K58" s="353"/>
      <c r="L58" s="353"/>
      <c r="M58" s="353"/>
      <c r="N58" s="353"/>
      <c r="O58" s="353"/>
      <c r="P58" s="353"/>
      <c r="Q58" s="353"/>
      <c r="R58" s="353"/>
    </row>
    <row r="59">
      <c r="A59" s="353"/>
      <c r="B59" s="353"/>
      <c r="C59" s="353"/>
      <c r="D59" s="353"/>
      <c r="E59" s="353"/>
      <c r="F59" s="354"/>
      <c r="G59" s="353"/>
      <c r="H59" s="353"/>
      <c r="I59" s="353"/>
      <c r="J59" s="353"/>
      <c r="K59" s="353"/>
      <c r="L59" s="353"/>
      <c r="M59" s="353"/>
      <c r="N59" s="353"/>
      <c r="O59" s="353"/>
      <c r="P59" s="353"/>
      <c r="Q59" s="353"/>
      <c r="R59" s="353"/>
    </row>
    <row r="60">
      <c r="A60" s="353"/>
      <c r="B60" s="353"/>
      <c r="C60" s="353"/>
      <c r="D60" s="353"/>
      <c r="E60" s="353"/>
      <c r="F60" s="354"/>
      <c r="G60" s="353"/>
      <c r="H60" s="353"/>
      <c r="I60" s="353"/>
      <c r="J60" s="353"/>
      <c r="K60" s="353"/>
      <c r="L60" s="353"/>
      <c r="M60" s="353"/>
      <c r="N60" s="353"/>
      <c r="O60" s="353"/>
      <c r="P60" s="353"/>
      <c r="Q60" s="353"/>
      <c r="R60" s="353"/>
    </row>
    <row r="61">
      <c r="A61" s="353"/>
      <c r="B61" s="353"/>
      <c r="C61" s="353"/>
      <c r="D61" s="353"/>
      <c r="E61" s="353"/>
      <c r="F61" s="354"/>
      <c r="G61" s="353"/>
      <c r="H61" s="353"/>
      <c r="I61" s="353"/>
      <c r="J61" s="353"/>
      <c r="K61" s="353"/>
      <c r="L61" s="353"/>
      <c r="M61" s="353"/>
      <c r="N61" s="353"/>
      <c r="O61" s="353"/>
      <c r="P61" s="353"/>
      <c r="Q61" s="353"/>
      <c r="R61" s="353"/>
    </row>
    <row r="62">
      <c r="A62" s="353"/>
      <c r="B62" s="353"/>
      <c r="C62" s="353"/>
      <c r="D62" s="353"/>
      <c r="E62" s="353"/>
      <c r="F62" s="354"/>
      <c r="G62" s="353"/>
      <c r="H62" s="353"/>
      <c r="I62" s="353"/>
      <c r="J62" s="353"/>
      <c r="K62" s="353"/>
      <c r="L62" s="353"/>
      <c r="M62" s="353"/>
      <c r="N62" s="353"/>
      <c r="O62" s="353"/>
      <c r="P62" s="353"/>
      <c r="Q62" s="353"/>
      <c r="R62" s="353"/>
    </row>
    <row r="63">
      <c r="A63" s="353"/>
      <c r="B63" s="353"/>
      <c r="C63" s="353"/>
      <c r="D63" s="353"/>
      <c r="E63" s="353"/>
      <c r="F63" s="354"/>
      <c r="G63" s="353"/>
      <c r="H63" s="353"/>
      <c r="I63" s="353"/>
      <c r="J63" s="353"/>
      <c r="K63" s="353"/>
      <c r="L63" s="353"/>
      <c r="M63" s="353"/>
      <c r="N63" s="353"/>
      <c r="O63" s="353"/>
      <c r="P63" s="353"/>
      <c r="Q63" s="353"/>
      <c r="R63" s="353"/>
    </row>
    <row r="64">
      <c r="A64" s="353"/>
      <c r="B64" s="353"/>
      <c r="C64" s="353"/>
      <c r="D64" s="353"/>
      <c r="E64" s="353"/>
      <c r="F64" s="354"/>
      <c r="G64" s="353"/>
      <c r="H64" s="353"/>
      <c r="I64" s="353"/>
      <c r="J64" s="353"/>
      <c r="K64" s="353"/>
      <c r="L64" s="353"/>
      <c r="M64" s="353"/>
      <c r="N64" s="353"/>
      <c r="O64" s="353"/>
      <c r="P64" s="353"/>
      <c r="Q64" s="353"/>
      <c r="R64" s="353"/>
    </row>
    <row r="65">
      <c r="A65" s="353"/>
      <c r="B65" s="353"/>
      <c r="C65" s="353"/>
      <c r="D65" s="353"/>
      <c r="E65" s="353"/>
      <c r="F65" s="354"/>
      <c r="G65" s="353"/>
      <c r="H65" s="353"/>
      <c r="I65" s="353"/>
      <c r="J65" s="353"/>
      <c r="K65" s="353"/>
      <c r="L65" s="353"/>
      <c r="M65" s="353"/>
      <c r="N65" s="353"/>
      <c r="O65" s="353"/>
      <c r="P65" s="353"/>
      <c r="Q65" s="353"/>
      <c r="R65" s="353"/>
    </row>
    <row r="66">
      <c r="A66" s="353"/>
      <c r="B66" s="353"/>
      <c r="C66" s="353"/>
      <c r="D66" s="353"/>
      <c r="E66" s="353"/>
      <c r="F66" s="354"/>
      <c r="G66" s="353"/>
      <c r="H66" s="353"/>
      <c r="I66" s="353"/>
      <c r="J66" s="353"/>
      <c r="K66" s="353"/>
      <c r="L66" s="353"/>
      <c r="M66" s="353"/>
      <c r="N66" s="353"/>
      <c r="O66" s="353"/>
      <c r="P66" s="353"/>
      <c r="Q66" s="353"/>
      <c r="R66" s="353"/>
    </row>
    <row r="67">
      <c r="A67" s="353"/>
      <c r="B67" s="353"/>
      <c r="C67" s="353"/>
      <c r="D67" s="353"/>
      <c r="E67" s="353"/>
      <c r="F67" s="354"/>
      <c r="G67" s="353"/>
      <c r="H67" s="353"/>
      <c r="I67" s="353"/>
      <c r="J67" s="353"/>
      <c r="K67" s="353"/>
      <c r="L67" s="353"/>
      <c r="M67" s="353"/>
      <c r="N67" s="353"/>
      <c r="O67" s="353"/>
      <c r="P67" s="353"/>
      <c r="Q67" s="353"/>
      <c r="R67" s="353"/>
    </row>
    <row r="68">
      <c r="A68" s="353"/>
      <c r="B68" s="353"/>
      <c r="C68" s="353"/>
      <c r="D68" s="353"/>
      <c r="E68" s="353"/>
      <c r="F68" s="354"/>
      <c r="G68" s="353"/>
      <c r="H68" s="353"/>
      <c r="I68" s="353"/>
      <c r="J68" s="353"/>
      <c r="K68" s="353"/>
      <c r="L68" s="353"/>
      <c r="M68" s="353"/>
      <c r="N68" s="353"/>
      <c r="O68" s="353"/>
      <c r="P68" s="353"/>
      <c r="Q68" s="353"/>
      <c r="R68" s="353"/>
    </row>
    <row r="69">
      <c r="A69" s="353"/>
      <c r="B69" s="353"/>
      <c r="C69" s="353"/>
      <c r="D69" s="353"/>
      <c r="E69" s="353"/>
      <c r="F69" s="354"/>
      <c r="G69" s="353"/>
      <c r="H69" s="353"/>
      <c r="I69" s="353"/>
      <c r="J69" s="353"/>
      <c r="K69" s="353"/>
      <c r="L69" s="353"/>
      <c r="M69" s="353"/>
      <c r="N69" s="353"/>
      <c r="O69" s="353"/>
      <c r="P69" s="353"/>
      <c r="Q69" s="353"/>
      <c r="R69" s="353"/>
    </row>
    <row r="70">
      <c r="A70" s="353"/>
      <c r="B70" s="353"/>
      <c r="C70" s="353"/>
      <c r="D70" s="353"/>
      <c r="E70" s="353"/>
      <c r="F70" s="354"/>
      <c r="G70" s="353"/>
      <c r="H70" s="353"/>
      <c r="I70" s="353"/>
      <c r="J70" s="353"/>
      <c r="K70" s="353"/>
      <c r="L70" s="353"/>
      <c r="M70" s="353"/>
      <c r="N70" s="353"/>
      <c r="O70" s="353"/>
      <c r="P70" s="353"/>
      <c r="Q70" s="353"/>
      <c r="R70" s="353"/>
    </row>
    <row r="71">
      <c r="A71" s="353"/>
      <c r="B71" s="353"/>
      <c r="C71" s="353"/>
      <c r="D71" s="353"/>
      <c r="E71" s="353"/>
      <c r="F71" s="354"/>
      <c r="G71" s="353"/>
      <c r="H71" s="353"/>
      <c r="I71" s="353"/>
      <c r="J71" s="353"/>
      <c r="K71" s="353"/>
      <c r="L71" s="353"/>
      <c r="M71" s="353"/>
      <c r="N71" s="353"/>
      <c r="O71" s="353"/>
      <c r="P71" s="353"/>
      <c r="Q71" s="353"/>
      <c r="R71" s="353"/>
    </row>
    <row r="72">
      <c r="A72" s="353"/>
      <c r="B72" s="353"/>
      <c r="C72" s="353"/>
      <c r="D72" s="353"/>
      <c r="E72" s="353"/>
      <c r="F72" s="354"/>
      <c r="G72" s="353"/>
      <c r="H72" s="353"/>
      <c r="I72" s="353"/>
      <c r="J72" s="353"/>
      <c r="K72" s="353"/>
      <c r="L72" s="353"/>
      <c r="M72" s="353"/>
      <c r="N72" s="353"/>
      <c r="O72" s="353"/>
      <c r="P72" s="353"/>
      <c r="Q72" s="353"/>
      <c r="R72" s="353"/>
    </row>
    <row r="73">
      <c r="A73" s="353"/>
      <c r="B73" s="353"/>
      <c r="C73" s="353"/>
      <c r="D73" s="353"/>
      <c r="E73" s="353"/>
      <c r="F73" s="354"/>
      <c r="G73" s="353"/>
      <c r="H73" s="353"/>
      <c r="I73" s="353"/>
      <c r="J73" s="353"/>
      <c r="K73" s="353"/>
      <c r="L73" s="353"/>
      <c r="M73" s="353"/>
      <c r="N73" s="353"/>
      <c r="O73" s="353"/>
      <c r="P73" s="353"/>
      <c r="Q73" s="353"/>
      <c r="R73" s="353"/>
    </row>
    <row r="74">
      <c r="A74" s="353"/>
      <c r="B74" s="353"/>
      <c r="C74" s="353"/>
      <c r="D74" s="353"/>
      <c r="E74" s="353"/>
      <c r="F74" s="354"/>
      <c r="G74" s="353"/>
      <c r="H74" s="353"/>
      <c r="I74" s="353"/>
      <c r="J74" s="353"/>
      <c r="K74" s="353"/>
      <c r="L74" s="353"/>
      <c r="M74" s="353"/>
      <c r="N74" s="353"/>
      <c r="O74" s="353"/>
      <c r="P74" s="353"/>
      <c r="Q74" s="353"/>
      <c r="R74" s="353"/>
    </row>
    <row r="75">
      <c r="A75" s="353"/>
      <c r="B75" s="353"/>
      <c r="C75" s="353"/>
      <c r="D75" s="353"/>
      <c r="E75" s="353"/>
      <c r="F75" s="354"/>
      <c r="G75" s="353"/>
      <c r="H75" s="353"/>
      <c r="I75" s="353"/>
      <c r="J75" s="353"/>
      <c r="K75" s="353"/>
      <c r="L75" s="353"/>
      <c r="M75" s="353"/>
      <c r="N75" s="353"/>
      <c r="O75" s="353"/>
      <c r="P75" s="353"/>
      <c r="Q75" s="353"/>
      <c r="R75" s="353"/>
    </row>
    <row r="76">
      <c r="A76" s="353"/>
      <c r="B76" s="353"/>
      <c r="C76" s="353"/>
      <c r="D76" s="353"/>
      <c r="E76" s="353"/>
      <c r="F76" s="354"/>
      <c r="G76" s="353"/>
      <c r="H76" s="353"/>
      <c r="I76" s="353"/>
      <c r="J76" s="353"/>
      <c r="K76" s="353"/>
      <c r="L76" s="353"/>
      <c r="M76" s="353"/>
      <c r="N76" s="353"/>
      <c r="O76" s="353"/>
      <c r="P76" s="353"/>
      <c r="Q76" s="353"/>
      <c r="R76" s="353"/>
    </row>
    <row r="77">
      <c r="A77" s="353"/>
      <c r="B77" s="353"/>
      <c r="C77" s="353"/>
      <c r="D77" s="353"/>
      <c r="E77" s="353"/>
      <c r="F77" s="354"/>
      <c r="G77" s="353"/>
      <c r="H77" s="353"/>
      <c r="I77" s="353"/>
      <c r="J77" s="353"/>
      <c r="K77" s="353"/>
      <c r="L77" s="353"/>
      <c r="M77" s="353"/>
      <c r="N77" s="353"/>
      <c r="O77" s="353"/>
      <c r="P77" s="353"/>
      <c r="Q77" s="353"/>
      <c r="R77" s="353"/>
    </row>
    <row r="78">
      <c r="A78" s="353"/>
      <c r="B78" s="353"/>
      <c r="C78" s="353"/>
      <c r="D78" s="353"/>
      <c r="E78" s="353"/>
      <c r="F78" s="354"/>
      <c r="G78" s="353"/>
      <c r="H78" s="353"/>
      <c r="I78" s="353"/>
      <c r="J78" s="353"/>
      <c r="K78" s="353"/>
      <c r="L78" s="353"/>
      <c r="M78" s="353"/>
      <c r="N78" s="353"/>
      <c r="O78" s="353"/>
      <c r="P78" s="353"/>
      <c r="Q78" s="353"/>
      <c r="R78" s="353"/>
    </row>
    <row r="79">
      <c r="A79" s="353"/>
      <c r="B79" s="353"/>
      <c r="C79" s="353"/>
      <c r="D79" s="353"/>
      <c r="E79" s="353"/>
      <c r="F79" s="354"/>
      <c r="G79" s="353"/>
      <c r="H79" s="353"/>
      <c r="I79" s="353"/>
      <c r="J79" s="353"/>
      <c r="K79" s="353"/>
      <c r="L79" s="353"/>
      <c r="M79" s="353"/>
      <c r="N79" s="353"/>
      <c r="O79" s="353"/>
      <c r="P79" s="353"/>
      <c r="Q79" s="353"/>
      <c r="R79" s="353"/>
    </row>
    <row r="80">
      <c r="A80" s="353"/>
      <c r="B80" s="353"/>
      <c r="C80" s="353"/>
      <c r="D80" s="353"/>
      <c r="E80" s="353"/>
      <c r="F80" s="354"/>
      <c r="G80" s="353"/>
      <c r="H80" s="353"/>
      <c r="I80" s="353"/>
      <c r="J80" s="353"/>
      <c r="K80" s="353"/>
      <c r="L80" s="353"/>
      <c r="M80" s="353"/>
      <c r="N80" s="353"/>
      <c r="O80" s="353"/>
      <c r="P80" s="353"/>
      <c r="Q80" s="353"/>
      <c r="R80" s="353"/>
    </row>
    <row r="81">
      <c r="A81" s="353"/>
      <c r="B81" s="353"/>
      <c r="C81" s="353"/>
      <c r="D81" s="353"/>
      <c r="E81" s="353"/>
      <c r="F81" s="354"/>
      <c r="G81" s="353"/>
      <c r="H81" s="353"/>
      <c r="I81" s="353"/>
      <c r="J81" s="353"/>
      <c r="K81" s="353"/>
      <c r="L81" s="353"/>
      <c r="M81" s="353"/>
      <c r="N81" s="353"/>
      <c r="O81" s="353"/>
      <c r="P81" s="353"/>
      <c r="Q81" s="353"/>
      <c r="R81" s="353"/>
    </row>
    <row r="82">
      <c r="A82" s="353"/>
      <c r="B82" s="353"/>
      <c r="C82" s="353"/>
      <c r="D82" s="353"/>
      <c r="E82" s="353"/>
      <c r="F82" s="354"/>
      <c r="G82" s="353"/>
      <c r="H82" s="353"/>
      <c r="I82" s="353"/>
      <c r="J82" s="353"/>
      <c r="K82" s="353"/>
      <c r="L82" s="353"/>
      <c r="M82" s="353"/>
      <c r="N82" s="353"/>
      <c r="O82" s="353"/>
      <c r="P82" s="353"/>
      <c r="Q82" s="353"/>
      <c r="R82" s="353"/>
    </row>
    <row r="83">
      <c r="A83" s="353"/>
      <c r="B83" s="353"/>
      <c r="C83" s="353"/>
      <c r="D83" s="353"/>
      <c r="E83" s="353"/>
      <c r="F83" s="354"/>
      <c r="G83" s="353"/>
      <c r="H83" s="353"/>
      <c r="I83" s="353"/>
      <c r="J83" s="353"/>
      <c r="K83" s="353"/>
      <c r="L83" s="353"/>
      <c r="M83" s="353"/>
      <c r="N83" s="353"/>
      <c r="O83" s="353"/>
      <c r="P83" s="353"/>
      <c r="Q83" s="353"/>
      <c r="R83" s="353"/>
    </row>
    <row r="84">
      <c r="A84" s="353"/>
      <c r="B84" s="353"/>
      <c r="C84" s="353"/>
      <c r="D84" s="353"/>
      <c r="E84" s="353"/>
      <c r="F84" s="354"/>
      <c r="G84" s="353"/>
      <c r="H84" s="353"/>
      <c r="I84" s="353"/>
      <c r="J84" s="353"/>
      <c r="K84" s="353"/>
      <c r="L84" s="353"/>
      <c r="M84" s="353"/>
      <c r="N84" s="353"/>
      <c r="O84" s="353"/>
      <c r="P84" s="353"/>
      <c r="Q84" s="353"/>
      <c r="R84" s="353"/>
    </row>
    <row r="85">
      <c r="A85" s="353"/>
      <c r="B85" s="353"/>
      <c r="C85" s="353"/>
      <c r="D85" s="353"/>
      <c r="E85" s="353"/>
      <c r="F85" s="354"/>
      <c r="G85" s="353"/>
      <c r="H85" s="353"/>
      <c r="I85" s="353"/>
      <c r="J85" s="353"/>
      <c r="K85" s="353"/>
      <c r="L85" s="353"/>
      <c r="M85" s="353"/>
      <c r="N85" s="353"/>
      <c r="O85" s="353"/>
      <c r="P85" s="353"/>
      <c r="Q85" s="353"/>
      <c r="R85" s="353"/>
    </row>
    <row r="86">
      <c r="A86" s="353"/>
      <c r="B86" s="353"/>
      <c r="C86" s="353"/>
      <c r="D86" s="353"/>
      <c r="E86" s="353"/>
      <c r="F86" s="354"/>
      <c r="G86" s="353"/>
      <c r="H86" s="353"/>
      <c r="I86" s="353"/>
      <c r="J86" s="353"/>
      <c r="K86" s="353"/>
      <c r="L86" s="353"/>
      <c r="M86" s="353"/>
      <c r="N86" s="353"/>
      <c r="O86" s="353"/>
      <c r="P86" s="353"/>
      <c r="Q86" s="353"/>
      <c r="R86" s="353"/>
    </row>
    <row r="87">
      <c r="A87" s="353"/>
      <c r="B87" s="353"/>
      <c r="C87" s="353"/>
      <c r="D87" s="353"/>
      <c r="E87" s="353"/>
      <c r="F87" s="354"/>
      <c r="G87" s="353"/>
      <c r="H87" s="353"/>
      <c r="I87" s="353"/>
      <c r="J87" s="353"/>
      <c r="K87" s="353"/>
      <c r="L87" s="353"/>
      <c r="M87" s="353"/>
      <c r="N87" s="353"/>
      <c r="O87" s="353"/>
      <c r="P87" s="353"/>
      <c r="Q87" s="353"/>
      <c r="R87" s="353"/>
    </row>
    <row r="88">
      <c r="A88" s="353"/>
      <c r="B88" s="353"/>
      <c r="C88" s="353"/>
      <c r="D88" s="353"/>
      <c r="E88" s="353"/>
      <c r="F88" s="354"/>
      <c r="G88" s="353"/>
      <c r="H88" s="353"/>
      <c r="I88" s="353"/>
      <c r="J88" s="353"/>
      <c r="K88" s="353"/>
      <c r="L88" s="353"/>
      <c r="M88" s="353"/>
      <c r="N88" s="353"/>
      <c r="O88" s="353"/>
      <c r="P88" s="353"/>
      <c r="Q88" s="353"/>
      <c r="R88" s="353"/>
    </row>
    <row r="89">
      <c r="A89" s="353"/>
      <c r="B89" s="353"/>
      <c r="C89" s="353"/>
      <c r="D89" s="353"/>
      <c r="E89" s="353"/>
      <c r="F89" s="354"/>
      <c r="G89" s="353"/>
      <c r="H89" s="353"/>
      <c r="I89" s="353"/>
      <c r="J89" s="353"/>
      <c r="K89" s="353"/>
      <c r="L89" s="353"/>
      <c r="M89" s="353"/>
      <c r="N89" s="353"/>
      <c r="O89" s="353"/>
      <c r="P89" s="353"/>
      <c r="Q89" s="353"/>
      <c r="R89" s="353"/>
    </row>
    <row r="90">
      <c r="A90" s="353"/>
      <c r="B90" s="353"/>
      <c r="C90" s="353"/>
      <c r="D90" s="353"/>
      <c r="E90" s="353"/>
      <c r="F90" s="354"/>
      <c r="G90" s="353"/>
      <c r="H90" s="353"/>
      <c r="I90" s="353"/>
      <c r="J90" s="353"/>
      <c r="K90" s="353"/>
      <c r="L90" s="353"/>
      <c r="M90" s="353"/>
      <c r="N90" s="353"/>
      <c r="O90" s="353"/>
      <c r="P90" s="353"/>
      <c r="Q90" s="353"/>
      <c r="R90" s="353"/>
    </row>
    <row r="91">
      <c r="A91" s="353"/>
      <c r="B91" s="353"/>
      <c r="C91" s="353"/>
      <c r="D91" s="353"/>
      <c r="E91" s="353"/>
      <c r="F91" s="354"/>
      <c r="G91" s="353"/>
      <c r="H91" s="353"/>
      <c r="I91" s="353"/>
      <c r="J91" s="353"/>
      <c r="K91" s="353"/>
      <c r="L91" s="353"/>
      <c r="M91" s="353"/>
      <c r="N91" s="353"/>
      <c r="O91" s="353"/>
      <c r="P91" s="353"/>
      <c r="Q91" s="353"/>
      <c r="R91" s="353"/>
    </row>
    <row r="92">
      <c r="A92" s="353"/>
      <c r="B92" s="353"/>
      <c r="C92" s="353"/>
      <c r="D92" s="353"/>
      <c r="E92" s="353"/>
      <c r="F92" s="354"/>
      <c r="G92" s="353"/>
      <c r="H92" s="353"/>
      <c r="I92" s="353"/>
      <c r="J92" s="353"/>
      <c r="K92" s="353"/>
      <c r="L92" s="353"/>
      <c r="M92" s="353"/>
      <c r="N92" s="353"/>
      <c r="O92" s="353"/>
      <c r="P92" s="353"/>
      <c r="Q92" s="353"/>
      <c r="R92" s="353"/>
    </row>
    <row r="93">
      <c r="A93" s="353"/>
      <c r="B93" s="353"/>
      <c r="C93" s="353"/>
      <c r="D93" s="353"/>
      <c r="E93" s="353"/>
      <c r="F93" s="354"/>
      <c r="G93" s="353"/>
      <c r="H93" s="353"/>
      <c r="I93" s="353"/>
      <c r="J93" s="353"/>
      <c r="K93" s="353"/>
      <c r="L93" s="353"/>
      <c r="M93" s="353"/>
      <c r="N93" s="353"/>
      <c r="O93" s="353"/>
      <c r="P93" s="353"/>
      <c r="Q93" s="353"/>
      <c r="R93" s="353"/>
    </row>
    <row r="94">
      <c r="A94" s="353"/>
      <c r="B94" s="353"/>
      <c r="C94" s="353"/>
      <c r="D94" s="353"/>
      <c r="E94" s="353"/>
      <c r="F94" s="354"/>
      <c r="G94" s="353"/>
      <c r="H94" s="353"/>
      <c r="I94" s="353"/>
      <c r="J94" s="353"/>
      <c r="K94" s="353"/>
      <c r="L94" s="353"/>
      <c r="M94" s="353"/>
      <c r="N94" s="353"/>
      <c r="O94" s="353"/>
      <c r="P94" s="353"/>
      <c r="Q94" s="353"/>
      <c r="R94" s="353"/>
    </row>
    <row r="95">
      <c r="A95" s="353"/>
      <c r="B95" s="353"/>
      <c r="C95" s="353"/>
      <c r="D95" s="353"/>
      <c r="E95" s="353"/>
      <c r="F95" s="354"/>
      <c r="G95" s="353"/>
      <c r="H95" s="353"/>
      <c r="I95" s="353"/>
      <c r="J95" s="353"/>
      <c r="K95" s="353"/>
      <c r="L95" s="353"/>
      <c r="M95" s="353"/>
      <c r="N95" s="353"/>
      <c r="O95" s="353"/>
      <c r="P95" s="353"/>
      <c r="Q95" s="353"/>
      <c r="R95" s="353"/>
    </row>
    <row r="96">
      <c r="A96" s="353"/>
      <c r="B96" s="353"/>
      <c r="C96" s="353"/>
      <c r="D96" s="353"/>
      <c r="E96" s="353"/>
      <c r="F96" s="354"/>
      <c r="G96" s="353"/>
      <c r="H96" s="353"/>
      <c r="I96" s="353"/>
      <c r="J96" s="353"/>
      <c r="K96" s="353"/>
      <c r="L96" s="353"/>
      <c r="M96" s="353"/>
      <c r="N96" s="353"/>
      <c r="O96" s="353"/>
      <c r="P96" s="353"/>
      <c r="Q96" s="353"/>
      <c r="R96" s="353"/>
    </row>
    <row r="97">
      <c r="A97" s="353"/>
      <c r="B97" s="353"/>
      <c r="C97" s="353"/>
      <c r="D97" s="353"/>
      <c r="E97" s="353"/>
      <c r="F97" s="354"/>
      <c r="G97" s="353"/>
      <c r="H97" s="353"/>
      <c r="I97" s="353"/>
      <c r="J97" s="353"/>
      <c r="K97" s="353"/>
      <c r="L97" s="353"/>
      <c r="M97" s="353"/>
      <c r="N97" s="353"/>
      <c r="O97" s="353"/>
      <c r="P97" s="353"/>
      <c r="Q97" s="353"/>
      <c r="R97" s="353"/>
    </row>
    <row r="98">
      <c r="A98" s="353"/>
      <c r="B98" s="353"/>
      <c r="C98" s="353"/>
      <c r="D98" s="353"/>
      <c r="E98" s="353"/>
      <c r="F98" s="354"/>
      <c r="G98" s="353"/>
      <c r="H98" s="353"/>
      <c r="I98" s="353"/>
      <c r="J98" s="353"/>
      <c r="K98" s="353"/>
      <c r="L98" s="353"/>
      <c r="M98" s="353"/>
      <c r="N98" s="353"/>
      <c r="O98" s="353"/>
      <c r="P98" s="353"/>
      <c r="Q98" s="353"/>
      <c r="R98" s="353"/>
    </row>
    <row r="99">
      <c r="A99" s="353"/>
      <c r="B99" s="353"/>
      <c r="C99" s="353"/>
      <c r="D99" s="353"/>
      <c r="E99" s="353"/>
      <c r="F99" s="354"/>
      <c r="G99" s="353"/>
      <c r="H99" s="353"/>
      <c r="I99" s="353"/>
      <c r="J99" s="353"/>
      <c r="K99" s="353"/>
      <c r="L99" s="353"/>
      <c r="M99" s="353"/>
      <c r="N99" s="353"/>
      <c r="O99" s="353"/>
      <c r="P99" s="353"/>
      <c r="Q99" s="353"/>
      <c r="R99" s="353"/>
    </row>
    <row r="100">
      <c r="A100" s="353"/>
      <c r="B100" s="353"/>
      <c r="C100" s="353"/>
      <c r="D100" s="353"/>
      <c r="E100" s="353"/>
      <c r="F100" s="354"/>
      <c r="G100" s="353"/>
      <c r="H100" s="353"/>
      <c r="I100" s="353"/>
      <c r="J100" s="353"/>
      <c r="K100" s="353"/>
      <c r="L100" s="353"/>
      <c r="M100" s="353"/>
      <c r="N100" s="353"/>
      <c r="O100" s="353"/>
      <c r="P100" s="353"/>
      <c r="Q100" s="353"/>
      <c r="R100" s="353"/>
    </row>
    <row r="101">
      <c r="A101" s="353"/>
      <c r="B101" s="353"/>
      <c r="C101" s="353"/>
      <c r="D101" s="353"/>
      <c r="E101" s="353"/>
      <c r="F101" s="354"/>
      <c r="G101" s="353"/>
      <c r="H101" s="353"/>
      <c r="I101" s="353"/>
      <c r="J101" s="353"/>
      <c r="K101" s="353"/>
      <c r="L101" s="353"/>
      <c r="M101" s="353"/>
      <c r="N101" s="353"/>
      <c r="O101" s="353"/>
      <c r="P101" s="353"/>
      <c r="Q101" s="353"/>
      <c r="R101" s="353"/>
    </row>
    <row r="102">
      <c r="A102" s="353"/>
      <c r="B102" s="353"/>
      <c r="C102" s="353"/>
      <c r="D102" s="353"/>
      <c r="E102" s="353"/>
      <c r="F102" s="354"/>
      <c r="G102" s="353"/>
      <c r="H102" s="353"/>
      <c r="I102" s="353"/>
      <c r="J102" s="353"/>
      <c r="K102" s="353"/>
      <c r="L102" s="353"/>
      <c r="M102" s="353"/>
      <c r="N102" s="353"/>
      <c r="O102" s="353"/>
      <c r="P102" s="353"/>
      <c r="Q102" s="353"/>
      <c r="R102" s="353"/>
    </row>
    <row r="103">
      <c r="A103" s="353"/>
      <c r="B103" s="353"/>
      <c r="C103" s="353"/>
      <c r="D103" s="353"/>
      <c r="E103" s="353"/>
      <c r="F103" s="354"/>
      <c r="G103" s="353"/>
      <c r="H103" s="353"/>
      <c r="I103" s="353"/>
      <c r="J103" s="353"/>
      <c r="K103" s="353"/>
      <c r="L103" s="353"/>
      <c r="M103" s="353"/>
      <c r="N103" s="353"/>
      <c r="O103" s="353"/>
      <c r="P103" s="353"/>
      <c r="Q103" s="353"/>
      <c r="R103" s="353"/>
    </row>
    <row r="104">
      <c r="A104" s="353"/>
      <c r="B104" s="353"/>
      <c r="C104" s="353"/>
      <c r="D104" s="353"/>
      <c r="E104" s="353"/>
      <c r="F104" s="354"/>
      <c r="G104" s="353"/>
      <c r="H104" s="353"/>
      <c r="I104" s="353"/>
      <c r="J104" s="353"/>
      <c r="K104" s="353"/>
      <c r="L104" s="353"/>
      <c r="M104" s="353"/>
      <c r="N104" s="353"/>
      <c r="O104" s="353"/>
      <c r="P104" s="353"/>
      <c r="Q104" s="353"/>
      <c r="R104" s="353"/>
    </row>
    <row r="105">
      <c r="A105" s="353"/>
      <c r="B105" s="353"/>
      <c r="C105" s="353"/>
      <c r="D105" s="353"/>
      <c r="E105" s="353"/>
      <c r="F105" s="354"/>
      <c r="G105" s="353"/>
      <c r="H105" s="353"/>
      <c r="I105" s="353"/>
      <c r="J105" s="353"/>
      <c r="K105" s="353"/>
      <c r="L105" s="353"/>
      <c r="M105" s="353"/>
      <c r="N105" s="353"/>
      <c r="O105" s="353"/>
      <c r="P105" s="353"/>
      <c r="Q105" s="353"/>
      <c r="R105" s="353"/>
    </row>
    <row r="106">
      <c r="A106" s="353"/>
      <c r="B106" s="353"/>
      <c r="C106" s="353"/>
      <c r="D106" s="353"/>
      <c r="E106" s="353"/>
      <c r="F106" s="354"/>
      <c r="G106" s="353"/>
      <c r="H106" s="353"/>
      <c r="I106" s="353"/>
      <c r="J106" s="353"/>
      <c r="K106" s="353"/>
      <c r="L106" s="353"/>
      <c r="M106" s="353"/>
      <c r="N106" s="353"/>
      <c r="O106" s="353"/>
      <c r="P106" s="353"/>
      <c r="Q106" s="353"/>
      <c r="R106" s="353"/>
    </row>
    <row r="107">
      <c r="A107" s="353"/>
      <c r="B107" s="353"/>
      <c r="C107" s="353"/>
      <c r="D107" s="353"/>
      <c r="E107" s="353"/>
      <c r="F107" s="354"/>
      <c r="G107" s="353"/>
      <c r="H107" s="353"/>
      <c r="I107" s="353"/>
      <c r="J107" s="353"/>
      <c r="K107" s="353"/>
      <c r="L107" s="353"/>
      <c r="M107" s="353"/>
      <c r="N107" s="353"/>
      <c r="O107" s="353"/>
      <c r="P107" s="353"/>
      <c r="Q107" s="353"/>
      <c r="R107" s="353"/>
    </row>
    <row r="108">
      <c r="A108" s="353"/>
      <c r="B108" s="353"/>
      <c r="C108" s="353"/>
      <c r="D108" s="353"/>
      <c r="E108" s="353"/>
      <c r="F108" s="354"/>
      <c r="G108" s="353"/>
      <c r="H108" s="353"/>
      <c r="I108" s="353"/>
      <c r="J108" s="353"/>
      <c r="K108" s="353"/>
      <c r="L108" s="353"/>
      <c r="M108" s="353"/>
      <c r="N108" s="353"/>
      <c r="O108" s="353"/>
      <c r="P108" s="353"/>
      <c r="Q108" s="353"/>
      <c r="R108" s="353"/>
    </row>
    <row r="109">
      <c r="A109" s="353"/>
      <c r="B109" s="353"/>
      <c r="C109" s="353"/>
      <c r="D109" s="353"/>
      <c r="E109" s="353"/>
      <c r="F109" s="354"/>
      <c r="G109" s="353"/>
      <c r="H109" s="353"/>
      <c r="I109" s="353"/>
      <c r="J109" s="353"/>
      <c r="K109" s="353"/>
      <c r="L109" s="353"/>
      <c r="M109" s="353"/>
      <c r="N109" s="353"/>
      <c r="O109" s="353"/>
      <c r="P109" s="353"/>
      <c r="Q109" s="353"/>
      <c r="R109" s="353"/>
    </row>
    <row r="110">
      <c r="A110" s="353"/>
      <c r="B110" s="353"/>
      <c r="C110" s="353"/>
      <c r="D110" s="353"/>
      <c r="E110" s="353"/>
      <c r="F110" s="354"/>
      <c r="G110" s="353"/>
      <c r="H110" s="353"/>
      <c r="I110" s="353"/>
      <c r="J110" s="353"/>
      <c r="K110" s="353"/>
      <c r="L110" s="353"/>
      <c r="M110" s="353"/>
      <c r="N110" s="353"/>
      <c r="O110" s="353"/>
      <c r="P110" s="353"/>
      <c r="Q110" s="353"/>
      <c r="R110" s="353"/>
    </row>
    <row r="111">
      <c r="A111" s="353"/>
      <c r="B111" s="353"/>
      <c r="C111" s="353"/>
      <c r="D111" s="353"/>
      <c r="E111" s="353"/>
      <c r="F111" s="354"/>
      <c r="G111" s="353"/>
      <c r="H111" s="353"/>
      <c r="I111" s="353"/>
      <c r="J111" s="353"/>
      <c r="K111" s="353"/>
      <c r="L111" s="353"/>
      <c r="M111" s="353"/>
      <c r="N111" s="353"/>
      <c r="O111" s="353"/>
      <c r="P111" s="353"/>
      <c r="Q111" s="353"/>
      <c r="R111" s="353"/>
    </row>
    <row r="112">
      <c r="A112" s="353"/>
      <c r="B112" s="353"/>
      <c r="C112" s="353"/>
      <c r="D112" s="353"/>
      <c r="E112" s="353"/>
      <c r="F112" s="354"/>
      <c r="G112" s="353"/>
      <c r="H112" s="353"/>
      <c r="I112" s="353"/>
      <c r="J112" s="353"/>
      <c r="K112" s="353"/>
      <c r="L112" s="353"/>
      <c r="M112" s="353"/>
      <c r="N112" s="353"/>
      <c r="O112" s="353"/>
      <c r="P112" s="353"/>
      <c r="Q112" s="353"/>
      <c r="R112" s="353"/>
    </row>
    <row r="113">
      <c r="A113" s="353"/>
      <c r="B113" s="353"/>
      <c r="C113" s="353"/>
      <c r="D113" s="353"/>
      <c r="E113" s="353"/>
      <c r="F113" s="354"/>
      <c r="G113" s="353"/>
      <c r="H113" s="353"/>
      <c r="I113" s="353"/>
      <c r="J113" s="353"/>
      <c r="K113" s="353"/>
      <c r="L113" s="353"/>
      <c r="M113" s="353"/>
      <c r="N113" s="353"/>
      <c r="O113" s="353"/>
      <c r="P113" s="353"/>
      <c r="Q113" s="353"/>
      <c r="R113" s="353"/>
    </row>
    <row r="114">
      <c r="A114" s="353"/>
      <c r="B114" s="353"/>
      <c r="C114" s="353"/>
      <c r="D114" s="353"/>
      <c r="E114" s="353"/>
      <c r="F114" s="354"/>
      <c r="G114" s="353"/>
      <c r="H114" s="353"/>
      <c r="I114" s="353"/>
      <c r="J114" s="353"/>
      <c r="K114" s="353"/>
      <c r="L114" s="353"/>
      <c r="M114" s="353"/>
      <c r="N114" s="353"/>
      <c r="O114" s="353"/>
      <c r="P114" s="353"/>
      <c r="Q114" s="353"/>
      <c r="R114" s="353"/>
    </row>
    <row r="115">
      <c r="A115" s="353"/>
      <c r="B115" s="353"/>
      <c r="C115" s="353"/>
      <c r="D115" s="353"/>
      <c r="E115" s="353"/>
      <c r="F115" s="354"/>
      <c r="G115" s="353"/>
      <c r="H115" s="353"/>
      <c r="I115" s="353"/>
      <c r="J115" s="353"/>
      <c r="K115" s="353"/>
      <c r="L115" s="353"/>
      <c r="M115" s="353"/>
      <c r="N115" s="353"/>
      <c r="O115" s="353"/>
      <c r="P115" s="353"/>
      <c r="Q115" s="353"/>
      <c r="R115" s="353"/>
    </row>
    <row r="116">
      <c r="A116" s="353"/>
      <c r="B116" s="353"/>
      <c r="C116" s="353"/>
      <c r="D116" s="353"/>
      <c r="E116" s="353"/>
      <c r="F116" s="354"/>
      <c r="G116" s="353"/>
      <c r="H116" s="353"/>
      <c r="I116" s="353"/>
      <c r="J116" s="353"/>
      <c r="K116" s="353"/>
      <c r="L116" s="353"/>
      <c r="M116" s="353"/>
      <c r="N116" s="353"/>
      <c r="O116" s="353"/>
      <c r="P116" s="353"/>
      <c r="Q116" s="353"/>
      <c r="R116" s="353"/>
    </row>
    <row r="117">
      <c r="A117" s="353"/>
      <c r="B117" s="353"/>
      <c r="C117" s="353"/>
      <c r="D117" s="353"/>
      <c r="E117" s="353"/>
      <c r="F117" s="354"/>
      <c r="G117" s="353"/>
      <c r="H117" s="353"/>
      <c r="I117" s="353"/>
      <c r="J117" s="353"/>
      <c r="K117" s="353"/>
      <c r="L117" s="353"/>
      <c r="M117" s="353"/>
      <c r="N117" s="353"/>
      <c r="O117" s="353"/>
      <c r="P117" s="353"/>
      <c r="Q117" s="353"/>
      <c r="R117" s="353"/>
    </row>
    <row r="118">
      <c r="A118" s="353"/>
      <c r="B118" s="353"/>
      <c r="C118" s="353"/>
      <c r="D118" s="353"/>
      <c r="E118" s="353"/>
      <c r="F118" s="354"/>
      <c r="G118" s="353"/>
      <c r="H118" s="353"/>
      <c r="I118" s="353"/>
      <c r="J118" s="353"/>
      <c r="K118" s="353"/>
      <c r="L118" s="353"/>
      <c r="M118" s="353"/>
      <c r="N118" s="353"/>
      <c r="O118" s="353"/>
      <c r="P118" s="353"/>
      <c r="Q118" s="353"/>
      <c r="R118" s="353"/>
    </row>
    <row r="119">
      <c r="A119" s="353"/>
      <c r="B119" s="353"/>
      <c r="C119" s="353"/>
      <c r="D119" s="353"/>
      <c r="E119" s="353"/>
      <c r="F119" s="354"/>
      <c r="G119" s="353"/>
      <c r="H119" s="353"/>
      <c r="I119" s="353"/>
      <c r="J119" s="353"/>
      <c r="K119" s="353"/>
      <c r="L119" s="353"/>
      <c r="M119" s="353"/>
      <c r="N119" s="353"/>
      <c r="O119" s="353"/>
      <c r="P119" s="353"/>
      <c r="Q119" s="353"/>
      <c r="R119" s="353"/>
    </row>
    <row r="120">
      <c r="A120" s="353"/>
      <c r="B120" s="353"/>
      <c r="C120" s="353"/>
      <c r="D120" s="353"/>
      <c r="E120" s="353"/>
      <c r="F120" s="354"/>
      <c r="G120" s="353"/>
      <c r="H120" s="353"/>
      <c r="I120" s="353"/>
      <c r="J120" s="353"/>
      <c r="K120" s="353"/>
      <c r="L120" s="353"/>
      <c r="M120" s="353"/>
      <c r="N120" s="353"/>
      <c r="O120" s="353"/>
      <c r="P120" s="353"/>
      <c r="Q120" s="353"/>
      <c r="R120" s="353"/>
    </row>
    <row r="121">
      <c r="A121" s="353"/>
      <c r="B121" s="353"/>
      <c r="C121" s="353"/>
      <c r="D121" s="353"/>
      <c r="E121" s="353"/>
      <c r="F121" s="354"/>
      <c r="G121" s="353"/>
      <c r="H121" s="353"/>
      <c r="I121" s="353"/>
      <c r="J121" s="353"/>
      <c r="K121" s="353"/>
      <c r="L121" s="353"/>
      <c r="M121" s="353"/>
      <c r="N121" s="353"/>
      <c r="O121" s="353"/>
      <c r="P121" s="353"/>
      <c r="Q121" s="353"/>
      <c r="R121" s="353"/>
    </row>
    <row r="122">
      <c r="A122" s="353"/>
      <c r="B122" s="353"/>
      <c r="C122" s="353"/>
      <c r="D122" s="353"/>
      <c r="E122" s="353"/>
      <c r="F122" s="354"/>
      <c r="G122" s="353"/>
      <c r="H122" s="353"/>
      <c r="I122" s="353"/>
      <c r="J122" s="353"/>
      <c r="K122" s="353"/>
      <c r="L122" s="353"/>
      <c r="M122" s="353"/>
      <c r="N122" s="353"/>
      <c r="O122" s="353"/>
      <c r="P122" s="353"/>
      <c r="Q122" s="353"/>
      <c r="R122" s="353"/>
    </row>
    <row r="123">
      <c r="A123" s="353"/>
      <c r="B123" s="353"/>
      <c r="C123" s="353"/>
      <c r="D123" s="353"/>
      <c r="E123" s="353"/>
      <c r="F123" s="354"/>
      <c r="G123" s="353"/>
      <c r="H123" s="353"/>
      <c r="I123" s="353"/>
      <c r="J123" s="353"/>
      <c r="K123" s="353"/>
      <c r="L123" s="353"/>
      <c r="M123" s="353"/>
      <c r="N123" s="353"/>
      <c r="O123" s="353"/>
      <c r="P123" s="353"/>
      <c r="Q123" s="353"/>
      <c r="R123" s="353"/>
    </row>
    <row r="124">
      <c r="A124" s="353"/>
      <c r="B124" s="353"/>
      <c r="C124" s="353"/>
      <c r="D124" s="353"/>
      <c r="E124" s="353"/>
      <c r="F124" s="354"/>
      <c r="G124" s="353"/>
      <c r="H124" s="353"/>
      <c r="I124" s="353"/>
      <c r="J124" s="353"/>
      <c r="K124" s="353"/>
      <c r="L124" s="353"/>
      <c r="M124" s="353"/>
      <c r="N124" s="353"/>
      <c r="O124" s="353"/>
      <c r="P124" s="353"/>
      <c r="Q124" s="353"/>
      <c r="R124" s="353"/>
    </row>
    <row r="125">
      <c r="A125" s="353"/>
      <c r="B125" s="353"/>
      <c r="C125" s="353"/>
      <c r="D125" s="353"/>
      <c r="E125" s="353"/>
      <c r="F125" s="354"/>
      <c r="G125" s="353"/>
      <c r="H125" s="353"/>
      <c r="I125" s="353"/>
      <c r="J125" s="353"/>
      <c r="K125" s="353"/>
      <c r="L125" s="353"/>
      <c r="M125" s="353"/>
      <c r="N125" s="353"/>
      <c r="O125" s="353"/>
      <c r="P125" s="353"/>
      <c r="Q125" s="353"/>
      <c r="R125" s="353"/>
    </row>
    <row r="126">
      <c r="A126" s="353"/>
      <c r="B126" s="353"/>
      <c r="C126" s="353"/>
      <c r="D126" s="353"/>
      <c r="E126" s="353"/>
      <c r="F126" s="354"/>
      <c r="G126" s="353"/>
      <c r="H126" s="353"/>
      <c r="I126" s="353"/>
      <c r="J126" s="353"/>
      <c r="K126" s="353"/>
      <c r="L126" s="353"/>
      <c r="M126" s="353"/>
      <c r="N126" s="353"/>
      <c r="O126" s="353"/>
      <c r="P126" s="353"/>
      <c r="Q126" s="353"/>
      <c r="R126" s="353"/>
    </row>
    <row r="127">
      <c r="A127" s="353"/>
      <c r="B127" s="353"/>
      <c r="C127" s="353"/>
      <c r="D127" s="353"/>
      <c r="E127" s="353"/>
      <c r="F127" s="354"/>
      <c r="G127" s="353"/>
      <c r="H127" s="353"/>
      <c r="I127" s="353"/>
      <c r="J127" s="353"/>
      <c r="K127" s="353"/>
      <c r="L127" s="353"/>
      <c r="M127" s="353"/>
      <c r="N127" s="353"/>
      <c r="O127" s="353"/>
      <c r="P127" s="353"/>
      <c r="Q127" s="353"/>
      <c r="R127" s="353"/>
    </row>
    <row r="128">
      <c r="A128" s="353"/>
      <c r="B128" s="353"/>
      <c r="C128" s="353"/>
      <c r="D128" s="353"/>
      <c r="E128" s="353"/>
      <c r="F128" s="354"/>
      <c r="G128" s="353"/>
      <c r="H128" s="353"/>
      <c r="I128" s="353"/>
      <c r="J128" s="353"/>
      <c r="K128" s="353"/>
      <c r="L128" s="353"/>
      <c r="M128" s="353"/>
      <c r="N128" s="353"/>
      <c r="O128" s="353"/>
      <c r="P128" s="353"/>
      <c r="Q128" s="353"/>
      <c r="R128" s="353"/>
    </row>
    <row r="129">
      <c r="A129" s="353"/>
      <c r="B129" s="353"/>
      <c r="C129" s="353"/>
      <c r="D129" s="353"/>
      <c r="E129" s="353"/>
      <c r="F129" s="354"/>
      <c r="G129" s="353"/>
      <c r="H129" s="353"/>
      <c r="I129" s="353"/>
      <c r="J129" s="353"/>
      <c r="K129" s="353"/>
      <c r="L129" s="353"/>
      <c r="M129" s="353"/>
      <c r="N129" s="353"/>
      <c r="O129" s="353"/>
      <c r="P129" s="353"/>
      <c r="Q129" s="353"/>
      <c r="R129" s="353"/>
    </row>
    <row r="130">
      <c r="A130" s="353"/>
      <c r="B130" s="353"/>
      <c r="C130" s="353"/>
      <c r="D130" s="353"/>
      <c r="E130" s="353"/>
      <c r="F130" s="354"/>
      <c r="G130" s="353"/>
      <c r="H130" s="353"/>
      <c r="I130" s="353"/>
      <c r="J130" s="353"/>
      <c r="K130" s="353"/>
      <c r="L130" s="353"/>
      <c r="M130" s="353"/>
      <c r="N130" s="353"/>
      <c r="O130" s="353"/>
      <c r="P130" s="353"/>
      <c r="Q130" s="353"/>
      <c r="R130" s="353"/>
    </row>
    <row r="131">
      <c r="A131" s="353"/>
      <c r="B131" s="353"/>
      <c r="C131" s="353"/>
      <c r="D131" s="353"/>
      <c r="E131" s="353"/>
      <c r="F131" s="354"/>
      <c r="G131" s="353"/>
      <c r="H131" s="353"/>
      <c r="I131" s="353"/>
      <c r="J131" s="353"/>
      <c r="K131" s="353"/>
      <c r="L131" s="353"/>
      <c r="M131" s="353"/>
      <c r="N131" s="353"/>
      <c r="O131" s="353"/>
      <c r="P131" s="353"/>
      <c r="Q131" s="353"/>
      <c r="R131" s="353"/>
    </row>
    <row r="132">
      <c r="A132" s="353"/>
      <c r="B132" s="353"/>
      <c r="C132" s="353"/>
      <c r="D132" s="353"/>
      <c r="E132" s="353"/>
      <c r="F132" s="354"/>
      <c r="G132" s="353"/>
      <c r="H132" s="353"/>
      <c r="I132" s="353"/>
      <c r="J132" s="353"/>
      <c r="K132" s="353"/>
      <c r="L132" s="353"/>
      <c r="M132" s="353"/>
      <c r="N132" s="353"/>
      <c r="O132" s="353"/>
      <c r="P132" s="353"/>
      <c r="Q132" s="353"/>
      <c r="R132" s="353"/>
    </row>
    <row r="133">
      <c r="A133" s="353"/>
      <c r="B133" s="353"/>
      <c r="C133" s="353"/>
      <c r="D133" s="353"/>
      <c r="E133" s="353"/>
      <c r="F133" s="354"/>
      <c r="G133" s="353"/>
      <c r="H133" s="353"/>
      <c r="I133" s="353"/>
      <c r="J133" s="353"/>
      <c r="K133" s="353"/>
      <c r="L133" s="353"/>
      <c r="M133" s="353"/>
      <c r="N133" s="353"/>
      <c r="O133" s="353"/>
      <c r="P133" s="353"/>
      <c r="Q133" s="353"/>
      <c r="R133" s="353"/>
    </row>
    <row r="134">
      <c r="A134" s="353"/>
      <c r="B134" s="353"/>
      <c r="C134" s="353"/>
      <c r="D134" s="353"/>
      <c r="E134" s="353"/>
      <c r="F134" s="354"/>
      <c r="G134" s="353"/>
      <c r="H134" s="353"/>
      <c r="I134" s="353"/>
      <c r="J134" s="353"/>
      <c r="K134" s="353"/>
      <c r="L134" s="353"/>
      <c r="M134" s="353"/>
      <c r="N134" s="353"/>
      <c r="O134" s="353"/>
      <c r="P134" s="353"/>
      <c r="Q134" s="353"/>
      <c r="R134" s="353"/>
    </row>
    <row r="135">
      <c r="A135" s="353"/>
      <c r="B135" s="353"/>
      <c r="C135" s="353"/>
      <c r="D135" s="353"/>
      <c r="E135" s="353"/>
      <c r="F135" s="354"/>
      <c r="G135" s="353"/>
      <c r="H135" s="353"/>
      <c r="I135" s="353"/>
      <c r="J135" s="353"/>
      <c r="K135" s="353"/>
      <c r="L135" s="353"/>
      <c r="M135" s="353"/>
      <c r="N135" s="353"/>
      <c r="O135" s="353"/>
      <c r="P135" s="353"/>
      <c r="Q135" s="353"/>
      <c r="R135" s="353"/>
    </row>
    <row r="136">
      <c r="A136" s="353"/>
      <c r="B136" s="353"/>
      <c r="C136" s="353"/>
      <c r="D136" s="353"/>
      <c r="E136" s="353"/>
      <c r="F136" s="354"/>
      <c r="G136" s="353"/>
      <c r="H136" s="353"/>
      <c r="I136" s="353"/>
      <c r="J136" s="353"/>
      <c r="K136" s="353"/>
      <c r="L136" s="353"/>
      <c r="M136" s="353"/>
      <c r="N136" s="353"/>
      <c r="O136" s="353"/>
      <c r="P136" s="353"/>
      <c r="Q136" s="353"/>
      <c r="R136" s="353"/>
    </row>
    <row r="137">
      <c r="A137" s="353"/>
      <c r="B137" s="353"/>
      <c r="C137" s="353"/>
      <c r="D137" s="353"/>
      <c r="E137" s="353"/>
      <c r="F137" s="354"/>
      <c r="G137" s="353"/>
      <c r="H137" s="353"/>
      <c r="I137" s="353"/>
      <c r="J137" s="353"/>
      <c r="K137" s="353"/>
      <c r="L137" s="353"/>
      <c r="M137" s="353"/>
      <c r="N137" s="353"/>
      <c r="O137" s="353"/>
      <c r="P137" s="353"/>
      <c r="Q137" s="353"/>
      <c r="R137" s="353"/>
    </row>
    <row r="138">
      <c r="A138" s="353"/>
      <c r="B138" s="353"/>
      <c r="C138" s="353"/>
      <c r="D138" s="353"/>
      <c r="E138" s="353"/>
      <c r="F138" s="354"/>
      <c r="G138" s="353"/>
      <c r="H138" s="353"/>
      <c r="I138" s="353"/>
      <c r="J138" s="353"/>
      <c r="K138" s="353"/>
      <c r="L138" s="353"/>
      <c r="M138" s="353"/>
      <c r="N138" s="353"/>
      <c r="O138" s="353"/>
      <c r="P138" s="353"/>
      <c r="Q138" s="353"/>
      <c r="R138" s="353"/>
    </row>
    <row r="139">
      <c r="A139" s="353"/>
      <c r="B139" s="353"/>
      <c r="C139" s="353"/>
      <c r="D139" s="353"/>
      <c r="E139" s="353"/>
      <c r="F139" s="354"/>
      <c r="G139" s="353"/>
      <c r="H139" s="353"/>
      <c r="I139" s="353"/>
      <c r="J139" s="353"/>
      <c r="K139" s="353"/>
      <c r="L139" s="353"/>
      <c r="M139" s="353"/>
      <c r="N139" s="353"/>
      <c r="O139" s="353"/>
      <c r="P139" s="353"/>
      <c r="Q139" s="353"/>
      <c r="R139" s="353"/>
    </row>
    <row r="140">
      <c r="A140" s="353"/>
      <c r="B140" s="353"/>
      <c r="C140" s="353"/>
      <c r="D140" s="353"/>
      <c r="E140" s="353"/>
      <c r="F140" s="354"/>
      <c r="G140" s="353"/>
      <c r="H140" s="353"/>
      <c r="I140" s="353"/>
      <c r="J140" s="353"/>
      <c r="K140" s="353"/>
      <c r="L140" s="353"/>
      <c r="M140" s="353"/>
      <c r="N140" s="353"/>
      <c r="O140" s="353"/>
      <c r="P140" s="353"/>
      <c r="Q140" s="353"/>
      <c r="R140" s="353"/>
    </row>
    <row r="141">
      <c r="A141" s="353"/>
      <c r="B141" s="353"/>
      <c r="C141" s="353"/>
      <c r="D141" s="353"/>
      <c r="E141" s="353"/>
      <c r="F141" s="354"/>
      <c r="G141" s="353"/>
      <c r="H141" s="353"/>
      <c r="I141" s="353"/>
      <c r="J141" s="353"/>
      <c r="K141" s="353"/>
      <c r="L141" s="353"/>
      <c r="M141" s="353"/>
      <c r="N141" s="353"/>
      <c r="O141" s="353"/>
      <c r="P141" s="353"/>
      <c r="Q141" s="353"/>
      <c r="R141" s="353"/>
    </row>
    <row r="142">
      <c r="A142" s="353"/>
      <c r="B142" s="353"/>
      <c r="C142" s="353"/>
      <c r="D142" s="353"/>
      <c r="E142" s="353"/>
      <c r="F142" s="354"/>
      <c r="G142" s="353"/>
      <c r="H142" s="353"/>
      <c r="I142" s="353"/>
      <c r="J142" s="353"/>
      <c r="K142" s="353"/>
      <c r="L142" s="353"/>
      <c r="M142" s="353"/>
      <c r="N142" s="353"/>
      <c r="O142" s="353"/>
      <c r="P142" s="353"/>
      <c r="Q142" s="353"/>
      <c r="R142" s="353"/>
    </row>
    <row r="143">
      <c r="A143" s="353"/>
      <c r="B143" s="353"/>
      <c r="C143" s="353"/>
      <c r="D143" s="353"/>
      <c r="E143" s="353"/>
      <c r="F143" s="354"/>
      <c r="G143" s="353"/>
      <c r="H143" s="353"/>
      <c r="I143" s="353"/>
      <c r="J143" s="353"/>
      <c r="K143" s="353"/>
      <c r="L143" s="353"/>
      <c r="M143" s="353"/>
      <c r="N143" s="353"/>
      <c r="O143" s="353"/>
      <c r="P143" s="353"/>
      <c r="Q143" s="353"/>
      <c r="R143" s="353"/>
    </row>
    <row r="144">
      <c r="A144" s="353"/>
      <c r="B144" s="353"/>
      <c r="C144" s="353"/>
      <c r="D144" s="353"/>
      <c r="E144" s="353"/>
      <c r="F144" s="354"/>
      <c r="G144" s="353"/>
      <c r="H144" s="353"/>
      <c r="I144" s="353"/>
      <c r="J144" s="353"/>
      <c r="K144" s="353"/>
      <c r="L144" s="353"/>
      <c r="M144" s="353"/>
      <c r="N144" s="353"/>
      <c r="O144" s="353"/>
      <c r="P144" s="353"/>
      <c r="Q144" s="353"/>
      <c r="R144" s="353"/>
    </row>
    <row r="145">
      <c r="A145" s="353"/>
      <c r="B145" s="353"/>
      <c r="C145" s="353"/>
      <c r="D145" s="353"/>
      <c r="E145" s="353"/>
      <c r="F145" s="354"/>
      <c r="G145" s="353"/>
      <c r="H145" s="353"/>
      <c r="I145" s="353"/>
      <c r="J145" s="353"/>
      <c r="K145" s="353"/>
      <c r="L145" s="353"/>
      <c r="M145" s="353"/>
      <c r="N145" s="353"/>
      <c r="O145" s="353"/>
      <c r="P145" s="353"/>
      <c r="Q145" s="353"/>
      <c r="R145" s="353"/>
    </row>
    <row r="146">
      <c r="A146" s="353"/>
      <c r="B146" s="353"/>
      <c r="C146" s="353"/>
      <c r="D146" s="353"/>
      <c r="E146" s="353"/>
      <c r="F146" s="354"/>
      <c r="G146" s="353"/>
      <c r="H146" s="353"/>
      <c r="I146" s="353"/>
      <c r="J146" s="353"/>
      <c r="K146" s="353"/>
      <c r="L146" s="353"/>
      <c r="M146" s="353"/>
      <c r="N146" s="353"/>
      <c r="O146" s="353"/>
      <c r="P146" s="353"/>
      <c r="Q146" s="353"/>
      <c r="R146" s="353"/>
    </row>
    <row r="147">
      <c r="A147" s="353"/>
      <c r="B147" s="353"/>
      <c r="C147" s="353"/>
      <c r="D147" s="353"/>
      <c r="E147" s="353"/>
      <c r="F147" s="354"/>
      <c r="G147" s="353"/>
      <c r="H147" s="353"/>
      <c r="I147" s="353"/>
      <c r="J147" s="353"/>
      <c r="K147" s="353"/>
      <c r="L147" s="353"/>
      <c r="M147" s="353"/>
      <c r="N147" s="353"/>
      <c r="O147" s="353"/>
      <c r="P147" s="353"/>
      <c r="Q147" s="353"/>
      <c r="R147" s="353"/>
    </row>
    <row r="148">
      <c r="A148" s="353"/>
      <c r="B148" s="353"/>
      <c r="C148" s="353"/>
      <c r="D148" s="353"/>
      <c r="E148" s="353"/>
      <c r="F148" s="354"/>
      <c r="G148" s="353"/>
      <c r="H148" s="353"/>
      <c r="I148" s="353"/>
      <c r="J148" s="353"/>
      <c r="K148" s="353"/>
      <c r="L148" s="353"/>
      <c r="M148" s="353"/>
      <c r="N148" s="353"/>
      <c r="O148" s="353"/>
      <c r="P148" s="353"/>
      <c r="Q148" s="353"/>
      <c r="R148" s="353"/>
    </row>
    <row r="149">
      <c r="A149" s="353"/>
      <c r="B149" s="353"/>
      <c r="C149" s="353"/>
      <c r="D149" s="353"/>
      <c r="E149" s="353"/>
      <c r="F149" s="354"/>
      <c r="G149" s="353"/>
      <c r="H149" s="353"/>
      <c r="I149" s="353"/>
      <c r="J149" s="353"/>
      <c r="K149" s="353"/>
      <c r="L149" s="353"/>
      <c r="M149" s="353"/>
      <c r="N149" s="353"/>
      <c r="O149" s="353"/>
      <c r="P149" s="353"/>
      <c r="Q149" s="353"/>
      <c r="R149" s="353"/>
    </row>
    <row r="150">
      <c r="A150" s="353"/>
      <c r="B150" s="353"/>
      <c r="C150" s="353"/>
      <c r="D150" s="353"/>
      <c r="E150" s="353"/>
      <c r="F150" s="354"/>
      <c r="G150" s="353"/>
      <c r="H150" s="353"/>
      <c r="I150" s="353"/>
      <c r="J150" s="353"/>
      <c r="K150" s="353"/>
      <c r="L150" s="353"/>
      <c r="M150" s="353"/>
      <c r="N150" s="353"/>
      <c r="O150" s="353"/>
      <c r="P150" s="353"/>
      <c r="Q150" s="353"/>
      <c r="R150" s="353"/>
    </row>
    <row r="151">
      <c r="A151" s="353"/>
      <c r="B151" s="353"/>
      <c r="C151" s="353"/>
      <c r="D151" s="353"/>
      <c r="E151" s="353"/>
      <c r="F151" s="354"/>
      <c r="G151" s="353"/>
      <c r="H151" s="353"/>
      <c r="I151" s="353"/>
      <c r="J151" s="353"/>
      <c r="K151" s="353"/>
      <c r="L151" s="353"/>
      <c r="M151" s="353"/>
      <c r="N151" s="353"/>
      <c r="O151" s="353"/>
      <c r="P151" s="353"/>
      <c r="Q151" s="353"/>
      <c r="R151" s="353"/>
    </row>
    <row r="152">
      <c r="A152" s="353"/>
      <c r="B152" s="353"/>
      <c r="C152" s="353"/>
      <c r="D152" s="353"/>
      <c r="E152" s="353"/>
      <c r="F152" s="354"/>
      <c r="G152" s="353"/>
      <c r="H152" s="353"/>
      <c r="I152" s="353"/>
      <c r="J152" s="353"/>
      <c r="K152" s="353"/>
      <c r="L152" s="353"/>
      <c r="M152" s="353"/>
      <c r="N152" s="353"/>
      <c r="O152" s="353"/>
      <c r="P152" s="353"/>
      <c r="Q152" s="353"/>
      <c r="R152" s="353"/>
    </row>
    <row r="153">
      <c r="A153" s="353"/>
      <c r="B153" s="353"/>
      <c r="C153" s="353"/>
      <c r="D153" s="353"/>
      <c r="E153" s="353"/>
      <c r="F153" s="354"/>
      <c r="G153" s="353"/>
      <c r="H153" s="353"/>
      <c r="I153" s="353"/>
      <c r="J153" s="353"/>
      <c r="K153" s="353"/>
      <c r="L153" s="353"/>
      <c r="M153" s="353"/>
      <c r="N153" s="353"/>
      <c r="O153" s="353"/>
      <c r="P153" s="353"/>
      <c r="Q153" s="353"/>
      <c r="R153" s="353"/>
    </row>
    <row r="154">
      <c r="A154" s="353"/>
      <c r="B154" s="353"/>
      <c r="C154" s="353"/>
      <c r="D154" s="353"/>
      <c r="E154" s="353"/>
      <c r="F154" s="354"/>
      <c r="G154" s="353"/>
      <c r="H154" s="353"/>
      <c r="I154" s="353"/>
      <c r="J154" s="353"/>
      <c r="K154" s="353"/>
      <c r="L154" s="353"/>
      <c r="M154" s="353"/>
      <c r="N154" s="353"/>
      <c r="O154" s="353"/>
      <c r="P154" s="353"/>
      <c r="Q154" s="353"/>
      <c r="R154" s="353"/>
    </row>
    <row r="155">
      <c r="A155" s="353"/>
      <c r="B155" s="353"/>
      <c r="C155" s="353"/>
      <c r="D155" s="353"/>
      <c r="E155" s="353"/>
      <c r="F155" s="354"/>
      <c r="G155" s="353"/>
      <c r="H155" s="353"/>
      <c r="I155" s="353"/>
      <c r="J155" s="353"/>
      <c r="K155" s="353"/>
      <c r="L155" s="353"/>
      <c r="M155" s="353"/>
      <c r="N155" s="353"/>
      <c r="O155" s="353"/>
      <c r="P155" s="353"/>
      <c r="Q155" s="353"/>
      <c r="R155" s="353"/>
    </row>
    <row r="156">
      <c r="A156" s="353"/>
      <c r="B156" s="353"/>
      <c r="C156" s="353"/>
      <c r="D156" s="353"/>
      <c r="E156" s="353"/>
      <c r="F156" s="354"/>
      <c r="G156" s="353"/>
      <c r="H156" s="353"/>
      <c r="I156" s="353"/>
      <c r="J156" s="353"/>
      <c r="K156" s="353"/>
      <c r="L156" s="353"/>
      <c r="M156" s="353"/>
      <c r="N156" s="353"/>
      <c r="O156" s="353"/>
      <c r="P156" s="353"/>
      <c r="Q156" s="353"/>
      <c r="R156" s="353"/>
    </row>
    <row r="157">
      <c r="A157" s="353"/>
      <c r="B157" s="353"/>
      <c r="C157" s="353"/>
      <c r="D157" s="353"/>
      <c r="E157" s="353"/>
      <c r="F157" s="354"/>
      <c r="G157" s="353"/>
      <c r="H157" s="353"/>
      <c r="I157" s="353"/>
      <c r="J157" s="353"/>
      <c r="K157" s="353"/>
      <c r="L157" s="353"/>
      <c r="M157" s="353"/>
      <c r="N157" s="353"/>
      <c r="O157" s="353"/>
      <c r="P157" s="353"/>
      <c r="Q157" s="353"/>
      <c r="R157" s="353"/>
    </row>
    <row r="158">
      <c r="A158" s="353"/>
      <c r="B158" s="353"/>
      <c r="C158" s="353"/>
      <c r="D158" s="353"/>
      <c r="E158" s="353"/>
      <c r="F158" s="354"/>
      <c r="G158" s="353"/>
      <c r="H158" s="353"/>
      <c r="I158" s="353"/>
      <c r="J158" s="353"/>
      <c r="K158" s="353"/>
      <c r="L158" s="353"/>
      <c r="M158" s="353"/>
      <c r="N158" s="353"/>
      <c r="O158" s="353"/>
      <c r="P158" s="353"/>
      <c r="Q158" s="353"/>
      <c r="R158" s="353"/>
    </row>
    <row r="159">
      <c r="A159" s="353"/>
      <c r="B159" s="353"/>
      <c r="C159" s="353"/>
      <c r="D159" s="353"/>
      <c r="E159" s="353"/>
      <c r="F159" s="354"/>
      <c r="G159" s="353"/>
      <c r="H159" s="353"/>
      <c r="I159" s="353"/>
      <c r="J159" s="353"/>
      <c r="K159" s="353"/>
      <c r="L159" s="353"/>
      <c r="M159" s="353"/>
      <c r="N159" s="353"/>
      <c r="O159" s="353"/>
      <c r="P159" s="353"/>
      <c r="Q159" s="353"/>
      <c r="R159" s="353"/>
    </row>
    <row r="160">
      <c r="A160" s="353"/>
      <c r="B160" s="353"/>
      <c r="C160" s="353"/>
      <c r="D160" s="353"/>
      <c r="E160" s="353"/>
      <c r="F160" s="354"/>
      <c r="G160" s="353"/>
      <c r="H160" s="353"/>
      <c r="I160" s="353"/>
      <c r="J160" s="353"/>
      <c r="K160" s="353"/>
      <c r="L160" s="353"/>
      <c r="M160" s="353"/>
      <c r="N160" s="353"/>
      <c r="O160" s="353"/>
      <c r="P160" s="353"/>
      <c r="Q160" s="353"/>
      <c r="R160" s="353"/>
    </row>
    <row r="161">
      <c r="A161" s="353"/>
      <c r="B161" s="353"/>
      <c r="C161" s="353"/>
      <c r="D161" s="353"/>
      <c r="E161" s="353"/>
      <c r="F161" s="354"/>
      <c r="G161" s="353"/>
      <c r="H161" s="353"/>
      <c r="I161" s="353"/>
      <c r="J161" s="353"/>
      <c r="K161" s="353"/>
      <c r="L161" s="353"/>
      <c r="M161" s="353"/>
      <c r="N161" s="353"/>
      <c r="O161" s="353"/>
      <c r="P161" s="353"/>
      <c r="Q161" s="353"/>
      <c r="R161" s="353"/>
    </row>
    <row r="162">
      <c r="A162" s="353"/>
      <c r="B162" s="353"/>
      <c r="C162" s="353"/>
      <c r="D162" s="353"/>
      <c r="E162" s="353"/>
      <c r="F162" s="354"/>
      <c r="G162" s="353"/>
      <c r="H162" s="353"/>
      <c r="I162" s="353"/>
      <c r="J162" s="353"/>
      <c r="K162" s="353"/>
      <c r="L162" s="353"/>
      <c r="M162" s="353"/>
      <c r="N162" s="353"/>
      <c r="O162" s="353"/>
      <c r="P162" s="353"/>
      <c r="Q162" s="353"/>
      <c r="R162" s="353"/>
    </row>
    <row r="163">
      <c r="A163" s="353"/>
      <c r="B163" s="353"/>
      <c r="C163" s="353"/>
      <c r="D163" s="353"/>
      <c r="E163" s="353"/>
      <c r="F163" s="354"/>
      <c r="G163" s="353"/>
      <c r="H163" s="353"/>
      <c r="I163" s="353"/>
      <c r="J163" s="353"/>
      <c r="K163" s="353"/>
      <c r="L163" s="353"/>
      <c r="M163" s="353"/>
      <c r="N163" s="353"/>
      <c r="O163" s="353"/>
      <c r="P163" s="353"/>
      <c r="Q163" s="353"/>
      <c r="R163" s="353"/>
    </row>
    <row r="164">
      <c r="A164" s="353"/>
      <c r="B164" s="353"/>
      <c r="C164" s="353"/>
      <c r="D164" s="353"/>
      <c r="E164" s="353"/>
      <c r="F164" s="354"/>
      <c r="G164" s="353"/>
      <c r="H164" s="353"/>
      <c r="I164" s="353"/>
      <c r="J164" s="353"/>
      <c r="K164" s="353"/>
      <c r="L164" s="353"/>
      <c r="M164" s="353"/>
      <c r="N164" s="353"/>
      <c r="O164" s="353"/>
      <c r="P164" s="353"/>
      <c r="Q164" s="353"/>
      <c r="R164" s="353"/>
    </row>
    <row r="165">
      <c r="A165" s="353"/>
      <c r="B165" s="353"/>
      <c r="C165" s="353"/>
      <c r="D165" s="353"/>
      <c r="E165" s="353"/>
      <c r="F165" s="354"/>
      <c r="G165" s="353"/>
      <c r="H165" s="353"/>
      <c r="I165" s="353"/>
      <c r="J165" s="353"/>
      <c r="K165" s="353"/>
      <c r="L165" s="353"/>
      <c r="M165" s="353"/>
      <c r="N165" s="353"/>
      <c r="O165" s="353"/>
      <c r="P165" s="353"/>
      <c r="Q165" s="353"/>
      <c r="R165" s="353"/>
    </row>
    <row r="166">
      <c r="A166" s="353"/>
      <c r="B166" s="353"/>
      <c r="C166" s="353"/>
      <c r="D166" s="353"/>
      <c r="E166" s="353"/>
      <c r="F166" s="354"/>
      <c r="G166" s="353"/>
      <c r="H166" s="353"/>
      <c r="I166" s="353"/>
      <c r="J166" s="353"/>
      <c r="K166" s="353"/>
      <c r="L166" s="353"/>
      <c r="M166" s="353"/>
      <c r="N166" s="353"/>
      <c r="O166" s="353"/>
      <c r="P166" s="353"/>
      <c r="Q166" s="353"/>
      <c r="R166" s="353"/>
    </row>
    <row r="167">
      <c r="A167" s="353"/>
      <c r="B167" s="353"/>
      <c r="C167" s="353"/>
      <c r="D167" s="353"/>
      <c r="E167" s="353"/>
      <c r="F167" s="354"/>
      <c r="G167" s="353"/>
      <c r="H167" s="353"/>
      <c r="I167" s="353"/>
      <c r="J167" s="353"/>
      <c r="K167" s="353"/>
      <c r="L167" s="353"/>
      <c r="M167" s="353"/>
      <c r="N167" s="353"/>
      <c r="O167" s="353"/>
      <c r="P167" s="353"/>
      <c r="Q167" s="353"/>
      <c r="R167" s="353"/>
    </row>
    <row r="168">
      <c r="A168" s="353"/>
      <c r="B168" s="353"/>
      <c r="C168" s="353"/>
      <c r="D168" s="353"/>
      <c r="E168" s="353"/>
      <c r="F168" s="354"/>
      <c r="G168" s="353"/>
      <c r="H168" s="353"/>
      <c r="I168" s="353"/>
      <c r="J168" s="353"/>
      <c r="K168" s="353"/>
      <c r="L168" s="353"/>
      <c r="M168" s="353"/>
      <c r="N168" s="353"/>
      <c r="O168" s="353"/>
      <c r="P168" s="353"/>
      <c r="Q168" s="353"/>
      <c r="R168" s="353"/>
    </row>
    <row r="169">
      <c r="A169" s="353"/>
      <c r="B169" s="353"/>
      <c r="C169" s="353"/>
      <c r="D169" s="353"/>
      <c r="E169" s="353"/>
      <c r="F169" s="354"/>
      <c r="G169" s="353"/>
      <c r="H169" s="353"/>
      <c r="I169" s="353"/>
      <c r="J169" s="353"/>
      <c r="K169" s="353"/>
      <c r="L169" s="353"/>
      <c r="M169" s="353"/>
      <c r="N169" s="353"/>
      <c r="O169" s="353"/>
      <c r="P169" s="353"/>
      <c r="Q169" s="353"/>
      <c r="R169" s="353"/>
    </row>
    <row r="170">
      <c r="A170" s="353"/>
      <c r="B170" s="353"/>
      <c r="C170" s="353"/>
      <c r="D170" s="353"/>
      <c r="E170" s="353"/>
      <c r="F170" s="354"/>
      <c r="G170" s="353"/>
      <c r="H170" s="353"/>
      <c r="I170" s="353"/>
      <c r="J170" s="353"/>
      <c r="K170" s="353"/>
      <c r="L170" s="353"/>
      <c r="M170" s="353"/>
      <c r="N170" s="353"/>
      <c r="O170" s="353"/>
      <c r="P170" s="353"/>
      <c r="Q170" s="353"/>
      <c r="R170" s="353"/>
    </row>
    <row r="171">
      <c r="A171" s="353"/>
      <c r="B171" s="353"/>
      <c r="C171" s="353"/>
      <c r="D171" s="353"/>
      <c r="E171" s="353"/>
      <c r="F171" s="354"/>
      <c r="G171" s="353"/>
      <c r="H171" s="353"/>
      <c r="I171" s="353"/>
      <c r="J171" s="353"/>
      <c r="K171" s="353"/>
      <c r="L171" s="353"/>
      <c r="M171" s="353"/>
      <c r="N171" s="353"/>
      <c r="O171" s="353"/>
      <c r="P171" s="353"/>
      <c r="Q171" s="353"/>
      <c r="R171" s="353"/>
    </row>
    <row r="172">
      <c r="A172" s="353"/>
      <c r="B172" s="353"/>
      <c r="C172" s="353"/>
      <c r="D172" s="353"/>
      <c r="E172" s="353"/>
      <c r="F172" s="354"/>
      <c r="G172" s="353"/>
      <c r="H172" s="353"/>
      <c r="I172" s="353"/>
      <c r="J172" s="353"/>
      <c r="K172" s="353"/>
      <c r="L172" s="353"/>
      <c r="M172" s="353"/>
      <c r="N172" s="353"/>
      <c r="O172" s="353"/>
      <c r="P172" s="353"/>
      <c r="Q172" s="353"/>
      <c r="R172" s="353"/>
    </row>
    <row r="173">
      <c r="A173" s="353"/>
      <c r="B173" s="353"/>
      <c r="C173" s="353"/>
      <c r="D173" s="353"/>
      <c r="E173" s="353"/>
      <c r="F173" s="354"/>
      <c r="G173" s="353"/>
      <c r="H173" s="353"/>
      <c r="I173" s="353"/>
      <c r="J173" s="353"/>
      <c r="K173" s="353"/>
      <c r="L173" s="353"/>
      <c r="M173" s="353"/>
      <c r="N173" s="353"/>
      <c r="O173" s="353"/>
      <c r="P173" s="353"/>
      <c r="Q173" s="353"/>
      <c r="R173" s="353"/>
    </row>
    <row r="174">
      <c r="A174" s="353"/>
      <c r="B174" s="353"/>
      <c r="C174" s="353"/>
      <c r="D174" s="353"/>
      <c r="E174" s="353"/>
      <c r="F174" s="354"/>
      <c r="G174" s="353"/>
      <c r="H174" s="353"/>
      <c r="I174" s="353"/>
      <c r="J174" s="353"/>
      <c r="K174" s="353"/>
      <c r="L174" s="353"/>
      <c r="M174" s="353"/>
      <c r="N174" s="353"/>
      <c r="O174" s="353"/>
      <c r="P174" s="353"/>
      <c r="Q174" s="353"/>
      <c r="R174" s="353"/>
    </row>
    <row r="175">
      <c r="A175" s="353"/>
      <c r="B175" s="353"/>
      <c r="C175" s="353"/>
      <c r="D175" s="353"/>
      <c r="E175" s="353"/>
      <c r="F175" s="354"/>
      <c r="G175" s="353"/>
      <c r="H175" s="353"/>
      <c r="I175" s="353"/>
      <c r="J175" s="353"/>
      <c r="K175" s="353"/>
      <c r="L175" s="353"/>
      <c r="M175" s="353"/>
      <c r="N175" s="353"/>
      <c r="O175" s="353"/>
      <c r="P175" s="353"/>
      <c r="Q175" s="353"/>
      <c r="R175" s="353"/>
    </row>
    <row r="176">
      <c r="A176" s="353"/>
      <c r="B176" s="353"/>
      <c r="C176" s="353"/>
      <c r="D176" s="353"/>
      <c r="E176" s="353"/>
      <c r="F176" s="354"/>
      <c r="G176" s="353"/>
      <c r="H176" s="353"/>
      <c r="I176" s="353"/>
      <c r="J176" s="353"/>
      <c r="K176" s="353"/>
      <c r="L176" s="353"/>
      <c r="M176" s="353"/>
      <c r="N176" s="353"/>
      <c r="O176" s="353"/>
      <c r="P176" s="353"/>
      <c r="Q176" s="353"/>
      <c r="R176" s="353"/>
    </row>
    <row r="177">
      <c r="A177" s="353"/>
      <c r="B177" s="353"/>
      <c r="C177" s="353"/>
      <c r="D177" s="353"/>
      <c r="E177" s="353"/>
      <c r="F177" s="354"/>
      <c r="G177" s="353"/>
      <c r="H177" s="353"/>
      <c r="I177" s="353"/>
      <c r="J177" s="353"/>
      <c r="K177" s="353"/>
      <c r="L177" s="353"/>
      <c r="M177" s="353"/>
      <c r="N177" s="353"/>
      <c r="O177" s="353"/>
      <c r="P177" s="353"/>
      <c r="Q177" s="353"/>
      <c r="R177" s="353"/>
    </row>
    <row r="178">
      <c r="A178" s="353"/>
      <c r="B178" s="353"/>
      <c r="C178" s="353"/>
      <c r="D178" s="353"/>
      <c r="E178" s="353"/>
      <c r="F178" s="354"/>
      <c r="G178" s="353"/>
      <c r="H178" s="353"/>
      <c r="I178" s="353"/>
      <c r="J178" s="353"/>
      <c r="K178" s="353"/>
      <c r="L178" s="353"/>
      <c r="M178" s="353"/>
      <c r="N178" s="353"/>
      <c r="O178" s="353"/>
      <c r="P178" s="353"/>
      <c r="Q178" s="353"/>
      <c r="R178" s="353"/>
    </row>
    <row r="179">
      <c r="A179" s="353"/>
      <c r="B179" s="353"/>
      <c r="C179" s="353"/>
      <c r="D179" s="353"/>
      <c r="E179" s="353"/>
      <c r="F179" s="354"/>
      <c r="G179" s="353"/>
      <c r="H179" s="353"/>
      <c r="I179" s="353"/>
      <c r="J179" s="353"/>
      <c r="K179" s="353"/>
      <c r="L179" s="353"/>
      <c r="M179" s="353"/>
      <c r="N179" s="353"/>
      <c r="O179" s="353"/>
      <c r="P179" s="353"/>
      <c r="Q179" s="353"/>
      <c r="R179" s="353"/>
    </row>
    <row r="180">
      <c r="A180" s="353"/>
      <c r="B180" s="353"/>
      <c r="C180" s="353"/>
      <c r="D180" s="353"/>
      <c r="E180" s="353"/>
      <c r="F180" s="354"/>
      <c r="G180" s="353"/>
      <c r="H180" s="353"/>
      <c r="I180" s="353"/>
      <c r="J180" s="353"/>
      <c r="K180" s="353"/>
      <c r="L180" s="353"/>
      <c r="M180" s="353"/>
      <c r="N180" s="353"/>
      <c r="O180" s="353"/>
      <c r="P180" s="353"/>
      <c r="Q180" s="353"/>
      <c r="R180" s="353"/>
    </row>
    <row r="181">
      <c r="A181" s="353"/>
      <c r="B181" s="353"/>
      <c r="C181" s="353"/>
      <c r="D181" s="353"/>
      <c r="E181" s="353"/>
      <c r="F181" s="354"/>
      <c r="G181" s="353"/>
      <c r="H181" s="353"/>
      <c r="I181" s="353"/>
      <c r="J181" s="353"/>
      <c r="K181" s="353"/>
      <c r="L181" s="353"/>
      <c r="M181" s="353"/>
      <c r="N181" s="353"/>
      <c r="O181" s="353"/>
      <c r="P181" s="353"/>
      <c r="Q181" s="353"/>
      <c r="R181" s="353"/>
    </row>
    <row r="182">
      <c r="A182" s="353"/>
      <c r="B182" s="353"/>
      <c r="C182" s="353"/>
      <c r="D182" s="353"/>
      <c r="E182" s="353"/>
      <c r="F182" s="354"/>
      <c r="G182" s="353"/>
      <c r="H182" s="353"/>
      <c r="I182" s="353"/>
      <c r="J182" s="353"/>
      <c r="K182" s="353"/>
      <c r="L182" s="353"/>
      <c r="M182" s="353"/>
      <c r="N182" s="353"/>
      <c r="O182" s="353"/>
      <c r="P182" s="353"/>
      <c r="Q182" s="353"/>
      <c r="R182" s="353"/>
    </row>
    <row r="183">
      <c r="A183" s="353"/>
      <c r="B183" s="353"/>
      <c r="C183" s="353"/>
      <c r="D183" s="353"/>
      <c r="E183" s="353"/>
      <c r="F183" s="354"/>
      <c r="G183" s="353"/>
      <c r="H183" s="353"/>
      <c r="I183" s="353"/>
      <c r="J183" s="353"/>
      <c r="K183" s="353"/>
      <c r="L183" s="353"/>
      <c r="M183" s="353"/>
      <c r="N183" s="353"/>
      <c r="O183" s="353"/>
      <c r="P183" s="353"/>
      <c r="Q183" s="353"/>
      <c r="R183" s="353"/>
    </row>
    <row r="184">
      <c r="A184" s="353"/>
      <c r="B184" s="353"/>
      <c r="C184" s="353"/>
      <c r="D184" s="353"/>
      <c r="E184" s="353"/>
      <c r="F184" s="354"/>
      <c r="G184" s="353"/>
      <c r="H184" s="353"/>
      <c r="I184" s="353"/>
      <c r="J184" s="353"/>
      <c r="K184" s="353"/>
      <c r="L184" s="353"/>
      <c r="M184" s="353"/>
      <c r="N184" s="353"/>
      <c r="O184" s="353"/>
      <c r="P184" s="353"/>
      <c r="Q184" s="353"/>
      <c r="R184" s="353"/>
    </row>
    <row r="185">
      <c r="A185" s="353"/>
      <c r="B185" s="353"/>
      <c r="C185" s="353"/>
      <c r="D185" s="353"/>
      <c r="E185" s="353"/>
      <c r="F185" s="354"/>
      <c r="G185" s="353"/>
      <c r="H185" s="353"/>
      <c r="I185" s="353"/>
      <c r="J185" s="353"/>
      <c r="K185" s="353"/>
      <c r="L185" s="353"/>
      <c r="M185" s="353"/>
      <c r="N185" s="353"/>
      <c r="O185" s="353"/>
      <c r="P185" s="353"/>
      <c r="Q185" s="353"/>
      <c r="R185" s="353"/>
    </row>
    <row r="186">
      <c r="A186" s="353"/>
      <c r="B186" s="353"/>
      <c r="C186" s="353"/>
      <c r="D186" s="353"/>
      <c r="E186" s="353"/>
      <c r="F186" s="354"/>
      <c r="G186" s="353"/>
      <c r="H186" s="353"/>
      <c r="I186" s="353"/>
      <c r="J186" s="353"/>
      <c r="K186" s="353"/>
      <c r="L186" s="353"/>
      <c r="M186" s="353"/>
      <c r="N186" s="353"/>
      <c r="O186" s="353"/>
      <c r="P186" s="353"/>
      <c r="Q186" s="353"/>
      <c r="R186" s="353"/>
    </row>
    <row r="187">
      <c r="A187" s="353"/>
      <c r="B187" s="353"/>
      <c r="C187" s="353"/>
      <c r="D187" s="353"/>
      <c r="E187" s="353"/>
      <c r="F187" s="354"/>
      <c r="G187" s="353"/>
      <c r="H187" s="353"/>
      <c r="I187" s="353"/>
      <c r="J187" s="353"/>
      <c r="K187" s="353"/>
      <c r="L187" s="353"/>
      <c r="M187" s="353"/>
      <c r="N187" s="353"/>
      <c r="O187" s="353"/>
      <c r="P187" s="353"/>
      <c r="Q187" s="353"/>
      <c r="R187" s="353"/>
    </row>
    <row r="188">
      <c r="A188" s="353"/>
      <c r="B188" s="353"/>
      <c r="C188" s="353"/>
      <c r="D188" s="353"/>
      <c r="E188" s="353"/>
      <c r="F188" s="354"/>
      <c r="G188" s="353"/>
      <c r="H188" s="353"/>
      <c r="I188" s="353"/>
      <c r="J188" s="353"/>
      <c r="K188" s="353"/>
      <c r="L188" s="353"/>
      <c r="M188" s="353"/>
      <c r="N188" s="353"/>
      <c r="O188" s="353"/>
      <c r="P188" s="353"/>
      <c r="Q188" s="353"/>
      <c r="R188" s="353"/>
    </row>
    <row r="189">
      <c r="A189" s="353"/>
      <c r="B189" s="353"/>
      <c r="C189" s="353"/>
      <c r="D189" s="353"/>
      <c r="E189" s="353"/>
      <c r="F189" s="354"/>
      <c r="G189" s="353"/>
      <c r="H189" s="353"/>
      <c r="I189" s="353"/>
      <c r="J189" s="353"/>
      <c r="K189" s="353"/>
      <c r="L189" s="353"/>
      <c r="M189" s="353"/>
      <c r="N189" s="353"/>
      <c r="O189" s="353"/>
      <c r="P189" s="353"/>
      <c r="Q189" s="353"/>
      <c r="R189" s="353"/>
    </row>
    <row r="190">
      <c r="A190" s="353"/>
      <c r="B190" s="353"/>
      <c r="C190" s="353"/>
      <c r="D190" s="353"/>
      <c r="E190" s="353"/>
      <c r="F190" s="354"/>
      <c r="G190" s="353"/>
      <c r="H190" s="353"/>
      <c r="I190" s="353"/>
      <c r="J190" s="353"/>
      <c r="K190" s="353"/>
      <c r="L190" s="353"/>
      <c r="M190" s="353"/>
      <c r="N190" s="353"/>
      <c r="O190" s="353"/>
      <c r="P190" s="353"/>
      <c r="Q190" s="353"/>
      <c r="R190" s="353"/>
    </row>
    <row r="191">
      <c r="A191" s="353"/>
      <c r="B191" s="353"/>
      <c r="C191" s="353"/>
      <c r="D191" s="353"/>
      <c r="E191" s="353"/>
      <c r="F191" s="354"/>
      <c r="G191" s="353"/>
      <c r="H191" s="353"/>
      <c r="I191" s="353"/>
      <c r="J191" s="353"/>
      <c r="K191" s="353"/>
      <c r="L191" s="353"/>
      <c r="M191" s="353"/>
      <c r="N191" s="353"/>
      <c r="O191" s="353"/>
      <c r="P191" s="353"/>
      <c r="Q191" s="353"/>
      <c r="R191" s="353"/>
    </row>
    <row r="192">
      <c r="A192" s="353"/>
      <c r="B192" s="353"/>
      <c r="C192" s="353"/>
      <c r="D192" s="353"/>
      <c r="E192" s="353"/>
      <c r="F192" s="354"/>
      <c r="G192" s="353"/>
      <c r="H192" s="353"/>
      <c r="I192" s="353"/>
      <c r="J192" s="353"/>
      <c r="K192" s="353"/>
      <c r="L192" s="353"/>
      <c r="M192" s="353"/>
      <c r="N192" s="353"/>
      <c r="O192" s="353"/>
      <c r="P192" s="353"/>
      <c r="Q192" s="353"/>
      <c r="R192" s="353"/>
    </row>
    <row r="193">
      <c r="A193" s="353"/>
      <c r="B193" s="353"/>
      <c r="C193" s="353"/>
      <c r="D193" s="353"/>
      <c r="E193" s="353"/>
      <c r="F193" s="354"/>
      <c r="G193" s="353"/>
      <c r="H193" s="353"/>
      <c r="I193" s="353"/>
      <c r="J193" s="353"/>
      <c r="K193" s="353"/>
      <c r="L193" s="353"/>
      <c r="M193" s="353"/>
      <c r="N193" s="353"/>
      <c r="O193" s="353"/>
      <c r="P193" s="353"/>
      <c r="Q193" s="353"/>
      <c r="R193" s="353"/>
    </row>
    <row r="194">
      <c r="A194" s="353"/>
      <c r="B194" s="353"/>
      <c r="C194" s="353"/>
      <c r="D194" s="353"/>
      <c r="E194" s="353"/>
      <c r="F194" s="354"/>
      <c r="G194" s="353"/>
      <c r="H194" s="353"/>
      <c r="I194" s="353"/>
      <c r="J194" s="353"/>
      <c r="K194" s="353"/>
      <c r="L194" s="353"/>
      <c r="M194" s="353"/>
      <c r="N194" s="353"/>
      <c r="O194" s="353"/>
      <c r="P194" s="353"/>
      <c r="Q194" s="353"/>
      <c r="R194" s="353"/>
    </row>
    <row r="195">
      <c r="A195" s="353"/>
      <c r="B195" s="353"/>
      <c r="C195" s="353"/>
      <c r="D195" s="353"/>
      <c r="E195" s="353"/>
      <c r="F195" s="354"/>
      <c r="G195" s="353"/>
      <c r="H195" s="353"/>
      <c r="I195" s="353"/>
      <c r="J195" s="353"/>
      <c r="K195" s="353"/>
      <c r="L195" s="353"/>
      <c r="M195" s="353"/>
      <c r="N195" s="353"/>
      <c r="O195" s="353"/>
      <c r="P195" s="353"/>
      <c r="Q195" s="353"/>
      <c r="R195" s="353"/>
    </row>
    <row r="196">
      <c r="A196" s="353"/>
      <c r="B196" s="353"/>
      <c r="C196" s="353"/>
      <c r="D196" s="353"/>
      <c r="E196" s="353"/>
      <c r="F196" s="354"/>
      <c r="G196" s="353"/>
      <c r="H196" s="353"/>
      <c r="I196" s="353"/>
      <c r="J196" s="353"/>
      <c r="K196" s="353"/>
      <c r="L196" s="353"/>
      <c r="M196" s="353"/>
      <c r="N196" s="353"/>
      <c r="O196" s="353"/>
      <c r="P196" s="353"/>
      <c r="Q196" s="353"/>
      <c r="R196" s="353"/>
    </row>
    <row r="197">
      <c r="A197" s="353"/>
      <c r="B197" s="353"/>
      <c r="C197" s="353"/>
      <c r="D197" s="353"/>
      <c r="E197" s="353"/>
      <c r="F197" s="354"/>
      <c r="G197" s="353"/>
      <c r="H197" s="353"/>
      <c r="I197" s="353"/>
      <c r="J197" s="353"/>
      <c r="K197" s="353"/>
      <c r="L197" s="353"/>
      <c r="M197" s="353"/>
      <c r="N197" s="353"/>
      <c r="O197" s="353"/>
      <c r="P197" s="353"/>
      <c r="Q197" s="353"/>
      <c r="R197" s="353"/>
    </row>
    <row r="198">
      <c r="A198" s="353"/>
      <c r="B198" s="353"/>
      <c r="C198" s="353"/>
      <c r="D198" s="353"/>
      <c r="E198" s="353"/>
      <c r="F198" s="354"/>
      <c r="G198" s="353"/>
      <c r="H198" s="353"/>
      <c r="I198" s="353"/>
      <c r="J198" s="353"/>
      <c r="K198" s="353"/>
      <c r="L198" s="353"/>
      <c r="M198" s="353"/>
      <c r="N198" s="353"/>
      <c r="O198" s="353"/>
      <c r="P198" s="353"/>
      <c r="Q198" s="353"/>
      <c r="R198" s="353"/>
    </row>
    <row r="199">
      <c r="A199" s="353"/>
      <c r="B199" s="353"/>
      <c r="C199" s="353"/>
      <c r="D199" s="353"/>
      <c r="E199" s="353"/>
      <c r="F199" s="354"/>
      <c r="G199" s="353"/>
      <c r="H199" s="353"/>
      <c r="I199" s="353"/>
      <c r="J199" s="353"/>
      <c r="K199" s="353"/>
      <c r="L199" s="353"/>
      <c r="M199" s="353"/>
      <c r="N199" s="353"/>
      <c r="O199" s="353"/>
      <c r="P199" s="353"/>
      <c r="Q199" s="353"/>
      <c r="R199" s="353"/>
    </row>
    <row r="200">
      <c r="A200" s="353"/>
      <c r="B200" s="353"/>
      <c r="C200" s="353"/>
      <c r="D200" s="353"/>
      <c r="E200" s="353"/>
      <c r="F200" s="354"/>
      <c r="G200" s="353"/>
      <c r="H200" s="353"/>
      <c r="I200" s="353"/>
      <c r="J200" s="353"/>
      <c r="K200" s="353"/>
      <c r="L200" s="353"/>
      <c r="M200" s="353"/>
      <c r="N200" s="353"/>
      <c r="O200" s="353"/>
      <c r="P200" s="353"/>
      <c r="Q200" s="353"/>
      <c r="R200" s="353"/>
    </row>
    <row r="201">
      <c r="A201" s="353"/>
      <c r="B201" s="353"/>
      <c r="C201" s="353"/>
      <c r="D201" s="353"/>
      <c r="E201" s="353"/>
      <c r="F201" s="354"/>
      <c r="G201" s="353"/>
      <c r="H201" s="353"/>
      <c r="I201" s="353"/>
      <c r="J201" s="353"/>
      <c r="K201" s="353"/>
      <c r="L201" s="353"/>
      <c r="M201" s="353"/>
      <c r="N201" s="353"/>
      <c r="O201" s="353"/>
      <c r="P201" s="353"/>
      <c r="Q201" s="353"/>
      <c r="R201" s="353"/>
    </row>
    <row r="202">
      <c r="A202" s="353"/>
      <c r="B202" s="353"/>
      <c r="C202" s="353"/>
      <c r="D202" s="353"/>
      <c r="E202" s="353"/>
      <c r="F202" s="354"/>
      <c r="G202" s="353"/>
      <c r="H202" s="353"/>
      <c r="I202" s="353"/>
      <c r="J202" s="353"/>
      <c r="K202" s="353"/>
      <c r="L202" s="353"/>
      <c r="M202" s="353"/>
      <c r="N202" s="353"/>
      <c r="O202" s="353"/>
      <c r="P202" s="353"/>
      <c r="Q202" s="353"/>
      <c r="R202" s="353"/>
    </row>
    <row r="203">
      <c r="A203" s="353"/>
      <c r="B203" s="353"/>
      <c r="C203" s="353"/>
      <c r="D203" s="353"/>
      <c r="E203" s="353"/>
      <c r="F203" s="354"/>
      <c r="G203" s="353"/>
      <c r="H203" s="353"/>
      <c r="I203" s="353"/>
      <c r="J203" s="353"/>
      <c r="K203" s="353"/>
      <c r="L203" s="353"/>
      <c r="M203" s="353"/>
      <c r="N203" s="353"/>
      <c r="O203" s="353"/>
      <c r="P203" s="353"/>
      <c r="Q203" s="353"/>
      <c r="R203" s="353"/>
    </row>
    <row r="204">
      <c r="A204" s="353"/>
      <c r="B204" s="353"/>
      <c r="C204" s="353"/>
      <c r="D204" s="353"/>
      <c r="E204" s="353"/>
      <c r="F204" s="354"/>
      <c r="G204" s="353"/>
      <c r="H204" s="353"/>
      <c r="I204" s="353"/>
      <c r="J204" s="353"/>
      <c r="K204" s="353"/>
      <c r="L204" s="353"/>
      <c r="M204" s="353"/>
      <c r="N204" s="353"/>
      <c r="O204" s="353"/>
      <c r="P204" s="353"/>
      <c r="Q204" s="353"/>
      <c r="R204" s="353"/>
    </row>
    <row r="205">
      <c r="A205" s="353"/>
      <c r="B205" s="353"/>
      <c r="C205" s="353"/>
      <c r="D205" s="353"/>
      <c r="E205" s="353"/>
      <c r="F205" s="354"/>
      <c r="G205" s="353"/>
      <c r="H205" s="353"/>
      <c r="I205" s="353"/>
      <c r="J205" s="353"/>
      <c r="K205" s="353"/>
      <c r="L205" s="353"/>
      <c r="M205" s="353"/>
      <c r="N205" s="353"/>
      <c r="O205" s="353"/>
      <c r="P205" s="353"/>
      <c r="Q205" s="353"/>
      <c r="R205" s="353"/>
    </row>
    <row r="206">
      <c r="A206" s="353"/>
      <c r="B206" s="353"/>
      <c r="C206" s="353"/>
      <c r="D206" s="353"/>
      <c r="E206" s="353"/>
      <c r="F206" s="354"/>
      <c r="G206" s="353"/>
      <c r="H206" s="353"/>
      <c r="I206" s="353"/>
      <c r="J206" s="353"/>
      <c r="K206" s="353"/>
      <c r="L206" s="353"/>
      <c r="M206" s="353"/>
      <c r="N206" s="353"/>
      <c r="O206" s="353"/>
      <c r="P206" s="353"/>
      <c r="Q206" s="353"/>
      <c r="R206" s="353"/>
    </row>
    <row r="207">
      <c r="A207" s="353"/>
      <c r="B207" s="353"/>
      <c r="C207" s="353"/>
      <c r="D207" s="353"/>
      <c r="E207" s="353"/>
      <c r="F207" s="354"/>
      <c r="G207" s="353"/>
      <c r="H207" s="353"/>
      <c r="I207" s="353"/>
      <c r="J207" s="353"/>
      <c r="K207" s="353"/>
      <c r="L207" s="353"/>
      <c r="M207" s="353"/>
      <c r="N207" s="353"/>
      <c r="O207" s="353"/>
      <c r="P207" s="353"/>
      <c r="Q207" s="353"/>
      <c r="R207" s="353"/>
    </row>
    <row r="208">
      <c r="A208" s="353"/>
      <c r="B208" s="353"/>
      <c r="C208" s="353"/>
      <c r="D208" s="353"/>
      <c r="E208" s="353"/>
      <c r="F208" s="354"/>
      <c r="G208" s="353"/>
      <c r="H208" s="353"/>
      <c r="I208" s="353"/>
      <c r="J208" s="353"/>
      <c r="K208" s="353"/>
      <c r="L208" s="353"/>
      <c r="M208" s="353"/>
      <c r="N208" s="353"/>
      <c r="O208" s="353"/>
      <c r="P208" s="353"/>
      <c r="Q208" s="353"/>
      <c r="R208" s="353"/>
    </row>
    <row r="209">
      <c r="A209" s="353"/>
      <c r="B209" s="353"/>
      <c r="C209" s="353"/>
      <c r="D209" s="353"/>
      <c r="E209" s="353"/>
      <c r="F209" s="354"/>
      <c r="G209" s="353"/>
      <c r="H209" s="353"/>
      <c r="I209" s="353"/>
      <c r="J209" s="353"/>
      <c r="K209" s="353"/>
      <c r="L209" s="353"/>
      <c r="M209" s="353"/>
      <c r="N209" s="353"/>
      <c r="O209" s="353"/>
      <c r="P209" s="353"/>
      <c r="Q209" s="353"/>
      <c r="R209" s="353"/>
    </row>
    <row r="210">
      <c r="A210" s="353"/>
      <c r="B210" s="353"/>
      <c r="C210" s="353"/>
      <c r="D210" s="353"/>
      <c r="E210" s="353"/>
      <c r="F210" s="354"/>
      <c r="G210" s="353"/>
      <c r="H210" s="353"/>
      <c r="I210" s="353"/>
      <c r="J210" s="353"/>
      <c r="K210" s="353"/>
      <c r="L210" s="353"/>
      <c r="M210" s="353"/>
      <c r="N210" s="353"/>
      <c r="O210" s="353"/>
      <c r="P210" s="353"/>
      <c r="Q210" s="353"/>
      <c r="R210" s="353"/>
    </row>
    <row r="211">
      <c r="A211" s="353"/>
      <c r="B211" s="353"/>
      <c r="C211" s="353"/>
      <c r="D211" s="353"/>
      <c r="E211" s="353"/>
      <c r="F211" s="354"/>
      <c r="G211" s="353"/>
      <c r="H211" s="353"/>
      <c r="I211" s="353"/>
      <c r="J211" s="353"/>
      <c r="K211" s="353"/>
      <c r="L211" s="353"/>
      <c r="M211" s="353"/>
      <c r="N211" s="353"/>
      <c r="O211" s="353"/>
      <c r="P211" s="353"/>
      <c r="Q211" s="353"/>
      <c r="R211" s="353"/>
    </row>
    <row r="212">
      <c r="A212" s="353"/>
      <c r="B212" s="353"/>
      <c r="C212" s="353"/>
      <c r="D212" s="353"/>
      <c r="E212" s="353"/>
      <c r="F212" s="354"/>
      <c r="G212" s="353"/>
      <c r="H212" s="353"/>
      <c r="I212" s="353"/>
      <c r="J212" s="353"/>
      <c r="K212" s="353"/>
      <c r="L212" s="353"/>
      <c r="M212" s="353"/>
      <c r="N212" s="353"/>
      <c r="O212" s="353"/>
      <c r="P212" s="353"/>
      <c r="Q212" s="353"/>
      <c r="R212" s="353"/>
    </row>
    <row r="213">
      <c r="A213" s="353"/>
      <c r="B213" s="353"/>
      <c r="C213" s="353"/>
      <c r="D213" s="353"/>
      <c r="E213" s="353"/>
      <c r="F213" s="354"/>
      <c r="G213" s="353"/>
      <c r="H213" s="353"/>
      <c r="I213" s="353"/>
      <c r="J213" s="353"/>
      <c r="K213" s="353"/>
      <c r="L213" s="353"/>
      <c r="M213" s="353"/>
      <c r="N213" s="353"/>
      <c r="O213" s="353"/>
      <c r="P213" s="353"/>
      <c r="Q213" s="353"/>
      <c r="R213" s="353"/>
    </row>
    <row r="214">
      <c r="A214" s="353"/>
      <c r="B214" s="353"/>
      <c r="C214" s="353"/>
      <c r="D214" s="353"/>
      <c r="E214" s="353"/>
      <c r="F214" s="354"/>
      <c r="G214" s="353"/>
      <c r="H214" s="353"/>
      <c r="I214" s="353"/>
      <c r="J214" s="353"/>
      <c r="K214" s="353"/>
      <c r="L214" s="353"/>
      <c r="M214" s="353"/>
      <c r="N214" s="353"/>
      <c r="O214" s="353"/>
      <c r="P214" s="353"/>
      <c r="Q214" s="353"/>
      <c r="R214" s="353"/>
    </row>
    <row r="215">
      <c r="A215" s="353"/>
      <c r="B215" s="353"/>
      <c r="C215" s="353"/>
      <c r="D215" s="353"/>
      <c r="E215" s="353"/>
      <c r="F215" s="354"/>
      <c r="G215" s="353"/>
      <c r="H215" s="353"/>
      <c r="I215" s="353"/>
      <c r="J215" s="353"/>
      <c r="K215" s="353"/>
      <c r="L215" s="353"/>
      <c r="M215" s="353"/>
      <c r="N215" s="353"/>
      <c r="O215" s="353"/>
      <c r="P215" s="353"/>
      <c r="Q215" s="353"/>
      <c r="R215" s="353"/>
    </row>
    <row r="216">
      <c r="A216" s="353"/>
      <c r="B216" s="353"/>
      <c r="C216" s="353"/>
      <c r="D216" s="353"/>
      <c r="E216" s="353"/>
      <c r="F216" s="354"/>
      <c r="G216" s="353"/>
      <c r="H216" s="353"/>
      <c r="I216" s="353"/>
      <c r="J216" s="353"/>
      <c r="K216" s="353"/>
      <c r="L216" s="353"/>
      <c r="M216" s="353"/>
      <c r="N216" s="353"/>
      <c r="O216" s="353"/>
      <c r="P216" s="353"/>
      <c r="Q216" s="353"/>
      <c r="R216" s="353"/>
    </row>
    <row r="217">
      <c r="A217" s="353"/>
      <c r="B217" s="353"/>
      <c r="C217" s="353"/>
      <c r="D217" s="353"/>
      <c r="E217" s="353"/>
      <c r="F217" s="354"/>
      <c r="G217" s="353"/>
      <c r="H217" s="353"/>
      <c r="I217" s="353"/>
      <c r="J217" s="353"/>
      <c r="K217" s="353"/>
      <c r="L217" s="353"/>
      <c r="M217" s="353"/>
      <c r="N217" s="353"/>
      <c r="O217" s="353"/>
      <c r="P217" s="353"/>
      <c r="Q217" s="353"/>
      <c r="R217" s="353"/>
    </row>
    <row r="218">
      <c r="A218" s="353"/>
      <c r="B218" s="353"/>
      <c r="C218" s="353"/>
      <c r="D218" s="353"/>
      <c r="E218" s="353"/>
      <c r="F218" s="354"/>
      <c r="G218" s="353"/>
      <c r="H218" s="353"/>
      <c r="I218" s="353"/>
      <c r="J218" s="353"/>
      <c r="K218" s="353"/>
      <c r="L218" s="353"/>
      <c r="M218" s="353"/>
      <c r="N218" s="353"/>
      <c r="O218" s="353"/>
      <c r="P218" s="353"/>
      <c r="Q218" s="353"/>
      <c r="R218" s="353"/>
    </row>
    <row r="219">
      <c r="A219" s="353"/>
      <c r="B219" s="353"/>
      <c r="C219" s="353"/>
      <c r="D219" s="353"/>
      <c r="E219" s="353"/>
      <c r="F219" s="354"/>
      <c r="G219" s="353"/>
      <c r="H219" s="353"/>
      <c r="I219" s="353"/>
      <c r="J219" s="353"/>
      <c r="K219" s="353"/>
      <c r="L219" s="353"/>
      <c r="M219" s="353"/>
      <c r="N219" s="353"/>
      <c r="O219" s="353"/>
      <c r="P219" s="353"/>
      <c r="Q219" s="353"/>
      <c r="R219" s="353"/>
    </row>
    <row r="220">
      <c r="A220" s="353"/>
      <c r="B220" s="353"/>
      <c r="C220" s="353"/>
      <c r="D220" s="353"/>
      <c r="E220" s="353"/>
      <c r="F220" s="354"/>
      <c r="G220" s="353"/>
      <c r="H220" s="353"/>
      <c r="I220" s="353"/>
      <c r="J220" s="353"/>
      <c r="K220" s="353"/>
      <c r="L220" s="353"/>
      <c r="M220" s="353"/>
      <c r="N220" s="353"/>
      <c r="O220" s="353"/>
      <c r="P220" s="353"/>
      <c r="Q220" s="353"/>
      <c r="R220" s="353"/>
    </row>
    <row r="221">
      <c r="A221" s="353"/>
      <c r="B221" s="353"/>
      <c r="C221" s="353"/>
      <c r="D221" s="353"/>
      <c r="E221" s="353"/>
      <c r="F221" s="354"/>
      <c r="G221" s="353"/>
      <c r="H221" s="353"/>
      <c r="I221" s="353"/>
      <c r="J221" s="353"/>
      <c r="K221" s="353"/>
      <c r="L221" s="353"/>
      <c r="M221" s="353"/>
      <c r="N221" s="353"/>
      <c r="O221" s="353"/>
      <c r="P221" s="353"/>
      <c r="Q221" s="353"/>
      <c r="R221" s="353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