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3.xml" ContentType="application/vnd.openxmlformats-officedocument.spreadsheetml.comments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4.xml" ContentType="application/vnd.openxmlformats-officedocument.spreadsheetml.comments+xml"/>
  <Override PartName="/xl/worksheets/sheet12.xml" ContentType="application/vnd.openxmlformats-officedocument.spreadsheetml.worksheet+xml"/>
  <Override PartName="/xl/comments5.xml" ContentType="application/vnd.openxmlformats-officedocument.spreadsheetml.comments+xml"/>
  <Override PartName="/xl/worksheets/sheet13.xml" ContentType="application/vnd.openxmlformats-officedocument.spreadsheetml.worksheet+xml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产品信息" sheetId="2" r:id="rId5"/>
    <sheet name="美国DF核算" sheetId="3" r:id="rId6"/>
    <sheet name="美国SC毛利测算" sheetId="4" r:id="rId7"/>
    <sheet name="欧洲SC毛利测算" sheetId="5" r:id="rId8"/>
    <sheet name="美国VC毛利测算" sheetId="6" r:id="rId9"/>
    <sheet name="欧洲VC毛利测算" sheetId="7" r:id="rId10"/>
    <sheet name="促销活动报名" sheetId="8" r:id="rId11"/>
    <sheet name="美国DI毛利测算" sheetId="9" r:id="rId12"/>
    <sheet name="欧洲DI毛利测算" sheetId="10" r:id="rId13"/>
    <sheet name="2025欧洲listing SOP流程" sheetId="11" r:id="rId14"/>
    <sheet name="发货物流价格" sheetId="12" r:id="rId15"/>
    <sheet name="TK视频链接" sheetId="13" r:id="rId16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T2" authorId="0" shapeId="0" xr:uid="{9b4108f0-c992-4cd4-a892-858a8fb2e668}">
      <text>
        <r>
          <rPr>
            <b val="false"/>
            <i val="false"/>
            <strike val="false"/>
            <sz val="10"/>
            <color rgb="FF000000"/>
          </rPr>
          <t>包税</t>
        </r>
      </text>
    </comment>
    <comment ref="V2" authorId="0" shapeId="0" xr:uid="{05197f3d-ec7b-4c6c-8b08-8f05250ee4b1}">
      <text>
        <r>
          <rPr>
            <b val="false"/>
            <i val="false"/>
            <strike val="false"/>
            <sz val="12"/>
            <color rgb="FF000000"/>
          </rPr>
          <t>包税</t>
        </r>
      </text>
    </comment>
    <comment ref="T5" authorId="0" shapeId="0" xr:uid="{e35010b1-0ace-4ee1-8aac-dad0e8c68a1d}">
      <text>
        <r>
          <rPr>
            <b val="false"/>
            <i val="false"/>
            <strike val="false"/>
            <sz val="12"/>
            <color rgb="FF000000"/>
          </rPr>
          <t>包税</t>
        </r>
      </text>
    </comment>
    <comment ref="V5" authorId="0" shapeId="0" xr:uid="{9b816dbf-e1fd-415a-a26e-968ef5bd7c6f}">
      <text>
        <r>
          <rPr>
            <b val="false"/>
            <i val="false"/>
            <strike val="false"/>
            <sz val="12"/>
            <color rgb="FF000000"/>
          </rPr>
          <t>包税</t>
        </r>
      </text>
    </comment>
    <comment ref="B8" authorId="0" shapeId="0" xr:uid="{afa2370b-e984-44da-af2e-31adeaaa90f8}">
      <text>
        <r>
          <rPr>
            <b val="false"/>
            <i val="false"/>
            <strike val="false"/>
            <sz val="9"/>
            <color rgb="FF000000"/>
          </rPr>
          <t>DU-8OG7-EMPI</t>
        </r>
      </text>
    </comment>
    <comment ref="V11" authorId="0" shapeId="0" xr:uid="{ea1d5b93-f455-4aff-bd93-c85fe32a8dab}">
      <text>
        <r>
          <rPr>
            <b val="false"/>
            <i val="false"/>
            <strike val="false"/>
            <sz val="12"/>
            <color rgb="FF000000"/>
          </rPr>
          <t>包税</t>
        </r>
      </text>
    </comment>
    <comment ref="T14" authorId="0" shapeId="0" xr:uid="{17e8d00d-f902-4af3-815c-a5659225d08a}">
      <text>
        <r>
          <rPr>
            <b val="false"/>
            <i val="false"/>
            <strike val="false"/>
            <sz val="12"/>
            <color rgb="FF000000"/>
          </rPr>
          <t>包税</t>
        </r>
      </text>
    </comment>
    <comment ref="V14" authorId="0" shapeId="0" xr:uid="{7e837dc9-c749-4f9b-9d36-545b79727c84}">
      <text>
        <r>
          <rPr>
            <b val="false"/>
            <i val="false"/>
            <strike val="false"/>
            <sz val="12"/>
            <color rgb="FF000000"/>
          </rPr>
          <t>包税</t>
        </r>
      </text>
    </comment>
    <comment ref="T17" authorId="0" shapeId="0" xr:uid="{43457671-5fb5-4071-80c5-a2312046bde5}">
      <text>
        <r>
          <rPr>
            <b val="false"/>
            <i val="false"/>
            <strike val="false"/>
            <sz val="10"/>
            <color rgb="FF000000"/>
          </rPr>
          <t>包税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I1" authorId="0" shapeId="0" xr:uid="{db848230-51c5-49c5-b386-a659e3d6f8f5}">
      <text>
        <r>
          <rPr>
            <b val="false"/>
            <i val="false"/>
            <strike val="false"/>
            <sz val="12"/>
            <color rgb="FF000000"/>
          </rPr>
          <t xml:space="preserve">PO主供应商代码：ZU7MJ
PO托盘供应商代码：ZU208
DI供应商代码：J671X
DF供应商代码：ZOKK6</t>
        </r>
      </text>
    </comment>
    <comment ref="O1" authorId="0" shapeId="0" xr:uid="{a43295db-80a0-4ca3-b54a-a7407fc6ab0f}">
      <text>
        <r>
          <rPr>
            <b val="false"/>
            <i val="false"/>
            <strike val="false"/>
            <sz val="12"/>
            <color rgb="FF000000"/>
          </rPr>
          <t xml:space="preserve">Net PPM=(不含税销售额-POcost总金额+佣金）/不含税销售额
=(J1-I1+I1*0.12-J1*0.1)/(J1*0.9)
未扣减折扣</t>
        </r>
      </text>
    </comment>
    <comment ref="Q1" authorId="0" shapeId="0" xr:uid="{26f79bea-fc5b-4b23-b491-e4f437db7917}">
      <text>
        <r>
          <rPr>
            <b val="false"/>
            <i val="false"/>
            <strike val="false"/>
            <sz val="12"/>
            <color rgb="FF000000"/>
          </rPr>
          <t>人民币：不含税采购成本+头程</t>
        </r>
      </text>
    </comment>
    <comment ref="S1" authorId="0" shapeId="0" xr:uid="{458976b7-c35a-4f78-852b-e4f862e65a14}">
      <text>
        <r>
          <rPr>
            <b val="false"/>
            <i val="false"/>
            <strike val="false"/>
            <sz val="12"/>
            <color rgb="FF000000"/>
          </rPr>
          <t xml:space="preserve">促销费/cost price
不是前台价的折扣比例！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G1" authorId="0" shapeId="0" xr:uid="{f964a1b6-096d-4788-a096-317be28bca0d}">
      <text>
        <r>
          <rPr>
            <b val="false"/>
            <i val="false"/>
            <strike val="false"/>
            <sz val="12"/>
            <color rgb="FF000000"/>
          </rPr>
          <t xml:space="preserve">PO主供应商代码：ZU208
PO托盘供应商代码：ZU7MJ
DI供应商代码：J671X
</t>
        </r>
      </text>
    </comment>
    <comment ref="O1" authorId="0" shapeId="0" xr:uid="{71401e66-76ba-4c64-a370-43479fc8b638}">
      <text>
        <r>
          <rPr>
            <b val="false"/>
            <i val="false"/>
            <strike val="false"/>
            <sz val="12"/>
            <color rgb="FF000000"/>
          </rPr>
          <t>人民币：不含税采购成本+头程</t>
        </r>
      </text>
    </comment>
    <comment ref="R1" authorId="0" shapeId="0" xr:uid="{656e8b8d-b064-4c49-9c2b-e0663bb33009}">
      <text>
        <r>
          <rPr>
            <b val="false"/>
            <i val="false"/>
            <strike val="false"/>
            <sz val="12"/>
            <color rgb="FF000000"/>
          </rPr>
          <t>外币兑人民币</t>
        </r>
      </text>
    </comment>
    <comment ref="S1" authorId="0" shapeId="0" xr:uid="{ed983281-2b0b-4e27-889e-cee6c7db112a}">
      <text>
        <r>
          <rPr>
            <b val="false"/>
            <i val="false"/>
            <strike val="false"/>
            <sz val="12"/>
            <color rgb="FF000000"/>
          </rPr>
          <t>广告费/PO价</t>
        </r>
      </text>
    </comment>
    <comment ref="T1" authorId="0" shapeId="0" xr:uid="{ac6936d3-b969-4dd3-a577-d40551ebc1ce}">
      <text>
        <r>
          <rPr>
            <b val="false"/>
            <i val="false"/>
            <strike val="false"/>
            <sz val="12"/>
            <color rgb="FF000000"/>
          </rPr>
          <t xml:space="preserve">促销费/PO价
不是前台价的折扣比例！！</t>
        </r>
      </text>
    </comment>
    <comment ref="V1" authorId="0" shapeId="0" xr:uid="{bf7fef44-bda7-4991-a531-ef6ea91de7e8}">
      <text>
        <r>
          <rPr>
            <b val="false"/>
            <i val="false"/>
            <strike val="false"/>
            <sz val="12"/>
            <color rgb="FF000000"/>
          </rPr>
          <t>”不含税采购价+头程“占比</t>
        </r>
      </text>
    </comment>
    <comment ref="X1" authorId="0" shapeId="0" xr:uid="{8b6f41dd-1e87-4c51-8656-36d4dfac3091}">
      <text>
        <r>
          <rPr>
            <b val="false"/>
            <i val="false"/>
            <strike val="false"/>
            <sz val="12"/>
            <color rgb="FF000000"/>
          </rPr>
          <t>DI无佣，普通PO佣金19%+2%</t>
        </r>
      </text>
    </comment>
    <comment ref="AC1" authorId="0" shapeId="0" xr:uid="{4b3860c1-72f2-491b-a30f-8a779f7b9777}">
      <text>
        <r>
          <rPr>
            <b val="false"/>
            <i val="false"/>
            <strike val="false"/>
            <sz val="12"/>
            <color rgb="FF000000"/>
          </rPr>
          <t xml:space="preserve">优先匹配财务采购成本&amp;头程；
其次匹配马帮采购成本；
最后匹配原始成本记录信息。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1" authorId="0" shapeId="0" xr:uid="{12590fdb-199c-476e-8fdd-78184dea70f3}">
      <text>
        <r>
          <rPr>
            <b val="false"/>
            <i val="false"/>
            <strike val="false"/>
            <sz val="9"/>
            <color rgb="FF000000"/>
          </rPr>
          <t xml:space="preserve">战略款 (目标是小类头部,以私模或产品本身有绝对的 优势和体量为主,日销150单以上,利润10%-15%,备货不能断货)
主推款 (小众化/蓝海产品,毛利高,季节性产品,非持续性发展产品,需要快进快出的产品,日销30以上,利润25%以上(空派至少15%以上),高毛利的尽量少断货,季节产品以快进快出为主;)
品牌 
利润款
季节款
主推款
基础款</t>
        </r>
      </text>
    </comment>
    <comment ref="K1" authorId="0" shapeId="0" xr:uid="{f098c1a3-23f4-4918-81a5-a3eee7e62d9e}">
      <text>
        <r>
          <rPr>
            <b val="false"/>
            <i val="false"/>
            <strike val="false"/>
            <sz val="12"/>
            <color rgb="FF000000"/>
          </rPr>
          <t xml:space="preserve">阳亚运:
PENDING
-------------------------
</t>
        </r>
        <r>
          <rPr>
            <b val="false"/>
            <i val="false"/>
            <strike val="false"/>
            <sz val="9"/>
            <color rgb="FF000000"/>
          </rPr>
          <t>pending待定</t>
        </r>
      </text>
    </comment>
    <comment ref="L1" authorId="0" shapeId="0" xr:uid="{35f6e69e-54a6-426e-9643-23358ec01c45}">
      <text>
        <r>
          <rPr>
            <b val="false"/>
            <i val="false"/>
            <strike val="false"/>
            <sz val="9"/>
            <color rgb="FF000000"/>
          </rPr>
          <t xml:space="preserve">环节1:种子链接布局：
1.为了链接的冷启动准备，提前一个月  发货给种子链接，（5-10个链接，每个2-3个 vine）可以空派，一定要和主推链接错开，立项之后和开发沟通最优的解决方案；
2.做种子链接的时候考虑是否要做网红视频，和自拍视频，可以一起规划样品。
3.一个产品可以给10-50个产品做种子链接，链接可以是5-25条，具体根据类目评论或者参考竞对的评论布局；
4.为推广前期维护评论做准备；
5.新品评论节奏安排
6.测评</t>
        </r>
      </text>
    </comment>
    <comment ref="M1" authorId="0" shapeId="0" xr:uid="{8f08c0b0-913a-4ff7-af09-af46afc669b5}">
      <text>
        <r>
          <rPr>
            <b val="false"/>
            <i val="false"/>
            <strike val="false"/>
            <sz val="9"/>
            <color rgb="FF000000"/>
          </rPr>
          <t xml:space="preserve">竞对信息收集-发货前任务   项目跟进表完整
1. 竞对的评论怎么布局的，时间节奏是什么样的？
2. 站外是否有规划，价格折扣比是多少 效果如何？
3. 秒杀活动效果如何？对应BD效果的显著性如何
4. 广告节奏是怎样的，怎么配合的？
5. 广告ROI,竞价 CPC， 单个广告成本CPA ，
ACOS分析 TACOS分析</t>
        </r>
      </text>
    </comment>
    <comment ref="N1" authorId="0" shapeId="0" xr:uid="{c0540694-cee3-406d-8654-5b4cb8486afc}">
      <text>
        <r>
          <rPr>
            <b val="false"/>
            <i val="false"/>
            <strike val="false"/>
            <sz val="9"/>
            <color rgb="FF000000"/>
          </rPr>
          <t xml:space="preserve">
多变体和其他站点布局 情况  -发货前任务:
1.判断产品是否能多变体售卖;
2.北美考虑加拿大站点是否布局;</t>
        </r>
      </text>
    </comment>
    <comment ref="O1" authorId="0" shapeId="0" xr:uid="{50bfc2ef-1b0e-4262-9fa2-9e7d473299a2}">
      <text>
        <r>
          <rPr>
            <b val="false"/>
            <i val="false"/>
            <strike val="false"/>
            <sz val="9"/>
            <color rgb="FF000000"/>
          </rPr>
          <t xml:space="preserve">建立关键词库- 上架前任务:
1. SIF  卖家精灵：关键词反查/关键词挖掘
2. Helium10:cerebro    H10 keepa PC 西柚找词 积目数据 ABA(自己asin放前面，然后选3-4个类目榜靠前且和自己产品同类型的竞品)下载下来汇总成全流量词表，筛选出评分8-10分相关度高的词
3. 后台ABA 报告：转化高的词
4. 高频词：QA/Review 板块
5. 直接方式：竞品标题及文案词 
6. SIF:竞品广告词 CPC广告架构分析
7. 亚马逊导航栏下拉关键词
8. 其它工具查词(基本大同小异)H10 keepa PC 西柚找词 积目数据
H10 keepa PC 西柚找词 积目数据
新品关键词优化路径： 
①选取10个竞品ASIN  SIF多产品对比，流量布局， 
②选取20个ASIN竞品  在卖家精灵（关键词优化 - 拓展流量词） 流量拓展=关键词优化 - 拓展流量词 按照畅销变体 拓展，下载数据，做关键词词库追踪，需要要AI智能体打标和分类，做关键词词库追踪数据
③ 用核心关键词搜索，去亚马逊前台抓取50-100类目相关竞品做SIF关键词收集 放关键词收集蓝 做相关性筛查，关键词词库+消费者洞察  
④ 要在后台商机探测器 关键词 份额，确定大词有哪些 做大词，   
⑤查看 SIF关键词中竞争格局-- 自然流量份额分布， 在售产品 自然流量分布
⑦ 关键词CPC情况（具体看是 在哪个类目下）
</t>
        </r>
      </text>
    </comment>
    <comment ref="P1" authorId="0" shapeId="0" xr:uid="{37170fe7-7949-476f-924f-9fca0e3cd3a6}">
      <text>
        <r>
          <rPr>
            <b val="false"/>
            <i val="false"/>
            <strike val="false"/>
            <sz val="9"/>
            <color rgb="FF000000"/>
          </rPr>
          <t xml:space="preserve">
环节1:布局关键词收录布局 埋词技巧-上架前任务
创建链接务必按照以下标准，因为后期无法更改亚马逊的抓取数据
1. 做关键词收录布局，页面关键词出现频次大于3次，属于高频词；
2. 后台创链接发货时，就要注意权威链接和收录问题，写好完整标题，注意用空格-空格百分百收录；
3. 后台关键属性填全，不知道填的就填空格，保证不被跳过；
4. 标题，五点，QA和图片中埋词，使核心关键词成为高频词；
:5  “ - " 空 杠 空  百分百收录，IT思维运营</t>
        </r>
      </text>
    </comment>
    <comment ref="Q1" authorId="0" shapeId="0" xr:uid="{09d37652-ec10-4e39-a08c-22f88a9b7c7b}">
      <text>
        <r>
          <rPr>
            <b val="false"/>
            <i val="false"/>
            <strike val="false"/>
            <sz val="9"/>
            <color rgb="FF000000"/>
          </rPr>
          <t xml:space="preserve">
在线项目跟进表  listing 完成情况  -发货前任务
1.在立项之后；项目跟进表， 
2.表格中的定价表和目标表的更新；</t>
        </r>
      </text>
    </comment>
    <comment ref="T1" authorId="0" shapeId="0" xr:uid="{db9ca028-0938-4226-b8ab-354d3156a4da}">
      <text>
        <r>
          <rPr>
            <b val="false"/>
            <i val="false"/>
            <strike val="false"/>
            <sz val="9"/>
            <color rgb="FF000000"/>
          </rPr>
          <t xml:space="preserve">
透明计划 布局情况  -发货前任务
根据商标TM/R标的状态来看是否需要做透明计划，在备货前就要考虑
透明计划SOP-ASIN注册+代码请求及下载+OPR开启启</t>
        </r>
      </text>
    </comment>
    <comment ref="W1" authorId="0" shapeId="0" xr:uid="{ca6d19a7-f8c8-4a12-838b-055486f275ae}">
      <text>
        <r>
          <rPr>
            <b val="false"/>
            <i val="false"/>
            <strike val="false"/>
            <sz val="9"/>
            <color rgb="FF000000"/>
          </rPr>
          <t xml:space="preserve">备货规划  -发货前任务
1.根据项目跟进表以阶段性目标排名来定备货数量;
2.做出阶段性的出货数量和出货时间
备货-发货的流程及标准
XXX-项目跟进表--XXXX人-时间--新品
XXX产品-备货申请--xx人--xx时间.xlsx--老品</t>
        </r>
      </text>
    </comment>
    <comment ref="X1" authorId="0" shapeId="0" xr:uid="{adf37a8c-6a4d-4ae1-90d5-2c0dc72910bf}">
      <text>
        <r>
          <rPr>
            <b val="false"/>
            <i val="false"/>
            <strike val="false"/>
            <sz val="9"/>
            <color rgb="FF000000"/>
          </rPr>
          <t xml:space="preserve">备货规划  -发货前任务
1.根据项目跟进表以阶段性目标排名来定备货数量;
2.做出阶段性的出货数量和出货时间
备货-发货的流程及标准
XXX-项目跟进表--XXXX人-时间--新品
XXX产品-备货申请--xx人--xx时间.xlsx--老品</t>
        </r>
      </text>
    </comment>
    <comment ref="AA1" authorId="0" shapeId="0" xr:uid="{325f5944-9101-477e-8268-55782e7bceb1}">
      <text>
        <r>
          <rPr>
            <b val="false"/>
            <i val="false"/>
            <strike val="false"/>
            <sz val="9"/>
            <color rgb="FF000000"/>
          </rPr>
          <t xml:space="preserve">
时效：
空运15天 卡航30 铁路40 海运45</t>
        </r>
      </text>
    </comment>
    <comment ref="AC1" authorId="0" shapeId="0" xr:uid="{97928665-d7b1-46a1-b2dd-ca969d96b8c0}">
      <text>
        <r>
          <rPr>
            <b val="false"/>
            <i val="false"/>
            <strike val="false"/>
            <sz val="9"/>
            <color rgb="FF000000"/>
          </rPr>
          <t xml:space="preserve">
环节1:开发包材需求表-发货前任务
1. 由开发部门  提供需求表给设计，设计师自己主导设计，运营协助 检查修改确定最终版本
2. 提需求时，考虑产品包装说明书，是否印刷社媒二维码/售后落地页（可邀评）；
3. 同时需要配售后卡；</t>
        </r>
      </text>
    </comment>
    <comment ref="AE1" authorId="0" shapeId="0" xr:uid="{518e71c5-17c1-423c-8c9b-cbdb2a1697dc}">
      <text>
        <r>
          <rPr>
            <b val="false"/>
            <i val="false"/>
            <strike val="false"/>
            <sz val="9"/>
            <color rgb="FF000000"/>
          </rPr>
          <t xml:space="preserve">
环节2:布局直评-发货后
每个ASIN可上10条以内，质保7天到30天，提交后7-10天左右显示，提交10条后会提示限制留直评，此时自己和竞对都无法再给这条链接上直评（防止前期被竞对上直评差评）；</t>
        </r>
      </text>
    </comment>
    <comment ref="AF1" authorId="0" shapeId="0" xr:uid="{8841f205-3561-400c-930a-3a06ed869dbe}">
      <text>
        <r>
          <rPr>
            <b val="false"/>
            <i val="false"/>
            <strike val="false"/>
            <sz val="9"/>
            <color rgb="FF000000"/>
          </rPr>
          <t xml:space="preserve">
环节2:运营产品图片需求表--发货后  模板 ：  xx-图片需求表-时间
1.在新品出货一周后务必完结任务
2.注意给到需要我们需要打标签关键词，方便美工填写图片属性中做埋词
3. 运营根据竞对的信息，把对方做的比较好的点 提供给设计</t>
        </r>
      </text>
    </comment>
    <comment ref="AY1" authorId="0" shapeId="0" xr:uid="{0612e476-4459-46f4-84a8-3bd726562eb8}">
      <text>
        <r>
          <rPr>
            <b val="false"/>
            <i val="false"/>
            <strike val="false"/>
            <sz val="9"/>
            <color rgb="FF000000"/>
          </rPr>
          <t xml:space="preserve">
环节2:运营提供自拍视频需求表-上架前任务  模板     xx-视频需求表-时间
开箱，功能，卖点，售后等等，自己拍摄视频 注意质感（场景布置+灯光+戴手套）提前购买道具 场景物品 工具</t>
        </r>
      </text>
    </comment>
    <comment ref="AZ1" authorId="0" shapeId="0" xr:uid="{51eba575-b874-45b2-ab91-a35f0af19ed6}">
      <text>
        <r>
          <rPr>
            <b val="false"/>
            <i val="false"/>
            <strike val="false"/>
            <sz val="9"/>
            <color rgb="FF000000"/>
          </rPr>
          <t xml:space="preserve">环节2:运营提供自拍视频需求表-上架前任务  模板     xx-视频需求表-时间
开箱，功能，卖点，售后等等，自己拍摄视频 注意质感（场景布置+灯光+戴手套）提前购买道具 场景物品 工具</t>
        </r>
      </text>
    </comment>
    <comment ref="BA1" authorId="0" shapeId="0" xr:uid="{632508f9-8f66-4aa7-817a-abfaa18ba02c}">
      <text>
        <r>
          <rPr>
            <b val="false"/>
            <i val="false"/>
            <strike val="false"/>
            <sz val="9"/>
            <color rgb="FF000000"/>
          </rPr>
          <t xml:space="preserve">
环节2:网红视频-上架前任务
需要提前给到剧本，让网红按剧本进行产品介绍
需要提前给到脚本，让网红按脚本进行产品介绍  
红人合作拍摄视频流程及标准</t>
        </r>
      </text>
    </comment>
    <comment ref="BC1" authorId="0" shapeId="0" xr:uid="{436a63a4-96d1-4915-9a8c-942ea127e3ad}">
      <text>
        <r>
          <rPr>
            <b val="false"/>
            <i val="false"/>
            <strike val="false"/>
            <sz val="9"/>
            <color rgb="FF000000"/>
          </rPr>
          <t xml:space="preserve">
品牌故事 -上架前任务
一个账号可以两个品牌故事线。
协调好情感故事与专业能力协调，需要有类似十几年专业生产经验、几位专业工程师设计开发等</t>
        </r>
      </text>
    </comment>
    <comment ref="BD1" authorId="0" shapeId="0" xr:uid="{176c56b1-1aa1-47a9-83b7-3d226c71a0f0}">
      <text>
        <r>
          <rPr>
            <b val="false"/>
            <i val="false"/>
            <strike val="false"/>
            <sz val="9"/>
            <color rgb="FF000000"/>
          </rPr>
          <t xml:space="preserve">
品牌旗舰店装修 -上架前任务
1.需要有合理夸张的数据图片，奠定客户信任基础
2.展示的产品必须是合理搭配，展示位给到主推款，不能出现停售产品
3.产品 风格 ， 品牌调性</t>
        </r>
      </text>
    </comment>
    <comment ref="BF1" authorId="0" shapeId="0" xr:uid="{da945896-1b08-495f-84e3-eaf21210fe11}">
      <text>
        <r>
          <rPr>
            <b val="false"/>
            <i val="false"/>
            <strike val="false"/>
            <sz val="9"/>
            <color rgb="FF000000"/>
          </rPr>
          <t xml:space="preserve">环节3:QA-上架后任务
1.参考竞对的评价和QA，站在买家的角度来提问题；
2.前期安排3-5条，找靠谱的服务商上；
3.QA埋标题五点图片中同样的高频词；
4. 测评与QA对接流程</t>
        </r>
      </text>
    </comment>
    <comment ref="BG1" authorId="0" shapeId="0" xr:uid="{268ae5d5-ad34-4514-beab-1af25e4cc48f}">
      <text>
        <r>
          <rPr>
            <b val="false"/>
            <i val="false"/>
            <strike val="false"/>
            <sz val="9"/>
            <color rgb="FF000000"/>
          </rPr>
          <t xml:space="preserve">
很重要：SIF  卖家精灵 H10查看收录词 情况
检查asin收录，节点，类目，  -上架前任务
asin收录，节点，类目，是否被标记，敏感词等等；
（开发部门需协助提供相关属性配置数据）开case刷新标题和五点，留存Case ID当证据，防止恶搞
防止竞争对手 恶意差评，标记成人，篡改类目 节点，独立站上架listing，时间戳，投诉，做证据</t>
        </r>
      </text>
    </comment>
    <comment ref="BH1" authorId="0" shapeId="0" xr:uid="{6fb3c876-4850-46ac-8212-1d6884e100fc}">
      <text>
        <r>
          <rPr>
            <b val="false"/>
            <i val="false"/>
            <strike val="false"/>
            <sz val="9"/>
            <color rgb="FF000000"/>
          </rPr>
          <t xml:space="preserve">检查产品属性填写完成度
Listing的属性必须全部填写（防被跟卖篡改信息和成人标记）
很重要：防止竞争对手 恶意差评，标记成人，篡改类目 节点，独立站上架listing，时间戳，投诉，做证据
SIF  卖家精灵 H10查看收录词 情况
检查asin收录，节点，类目，  -上架前任务
asin收录，节点，类目，是否被标记，敏感词等等；
（开发部门需协助提供相关属性配置数据）开case刷新标题和五点，留存Case ID当证据，防止恶搞
防止竞争对手 恶意差评，标记成人，篡改类目 节点，独立站上架listing，时间戳，投诉，做证据</t>
        </r>
      </text>
    </comment>
    <comment ref="BI1" authorId="0" shapeId="0" xr:uid="{c7588471-8bb3-49b8-a32e-4d62005440c4}">
      <text>
        <r>
          <rPr>
            <b val="false"/>
            <i val="false"/>
            <strike val="false"/>
            <sz val="9"/>
            <color rgb="FF000000"/>
          </rPr>
          <t xml:space="preserve">环节3:产品关联-上架后任务
1.   new model（手动添加）老带新需要注意2者价差设定，中文case不行就英语状态下绑定
2.   系统自动强关联（半手动）成本+配件必须关联上，且配件链接重点突出品牌正品概念。
3.   A+页面关联（手动添加）ASIN数据属性对比
4   一起购买 FBT
5.自动 广告  SD展示广告，流量位，防御+攻击策略
6.视频，主图5+视频以上，红人，联盟影响，影响者计划视频，QA  REVIEW视频布局</t>
        </r>
      </text>
    </comment>
    <comment ref="BJ1" authorId="0" shapeId="0" xr:uid="{6547ede0-164a-4218-95e3-0fe0e48cd986}">
      <text>
        <r>
          <rPr>
            <b val="false"/>
            <i val="false"/>
            <strike val="false"/>
            <sz val="9"/>
            <color rgb="FF000000"/>
          </rPr>
          <t xml:space="preserve">
环节3:划线价-激活listing思路
设置listing price高价，做高折扣，利用自己的买手号出第一单（不留评）有些类目需要3-5单最近30天内操作，收货之后调回原价，就会出现划线价；买手账号下单， 留评论；
步骤如下：
设置listing price高价，做高折扣，利用自己的买手号出第一单（不留评）有些类目需要3-5单最近30天内操作，收货之后调回原价，就会出现划线价；买手账号下单， 留评论；
设置高价，做高折扣，利用自己的买手号出第一单（不留评），收货之后调回原价，就会出现划线价；；
新品评论节奏安排 HX划线价  明信片 
注意事项 不用留评论</t>
        </r>
      </text>
    </comment>
    <comment ref="BN1" authorId="0" shapeId="0" xr:uid="{43fc9638-bad8-4541-a52d-1fbdbb61019a}">
      <text>
        <r>
          <rPr>
            <b val="false"/>
            <i val="false"/>
            <strike val="false"/>
            <sz val="9"/>
            <color rgb="FF000000"/>
          </rPr>
          <t xml:space="preserve">环节3:关键词上首页-推广前期准备
免评单：开售后结合划线价和五星评论的布局一起来看自己链接的转化，增长趋势和关键词的排名，不够目标的用免评单来凑，同时免评单也可以稀释一下留评率；
切记：
1.转化率要高于竞对和类目平均值；
2.要一直保证增长的趋势；
3.一系列操作下来必须要有至少两个关键词的排名在第一页；
关于如何选择刷单关键词：
1.关键词要非常贴合自身产品；
2.选择一些小词中长尾词，卖家精灵SPR值较小，出几单就容易出现在前三页的词，这一步应在整理关键词库时就提前制定；
评论布局表   评论布局表安排
xxx-项目跟进表--XXXX人-时间  
新品评论节奏</t>
        </r>
      </text>
    </comment>
    <comment ref="BO1" authorId="0" shapeId="0" xr:uid="{5212354f-faea-41e2-b82a-2f0d657fcede}">
      <text>
        <r>
          <rPr>
            <b val="false"/>
            <i val="false"/>
            <strike val="false"/>
            <sz val="9"/>
            <color rgb="FF000000"/>
          </rPr>
          <t xml:space="preserve">环节3:站外辅助--推广中的配合
1.站外放单之前一定要有评论，保证转化率；
2.站外放单是配合五星评论的逐步完成和关键词上首页的；所以这个里面的时间节奏要把握好；
3.站外有站外的节奏，务必先规划站外计划表：3.站外有站外的节奏,务必先规划站外计划表:
 站外冷启动打收录方式推新品
xxx-项目跟进表-xxxx人-时间 
买手号下单
测评
</t>
        </r>
      </text>
    </comment>
    <comment ref="BP1" authorId="0" shapeId="0" xr:uid="{4bfa247b-509b-419c-957e-f1b5db2844aa}">
      <text>
        <r>
          <rPr>
            <b val="false"/>
            <i val="false"/>
            <strike val="false"/>
            <sz val="9"/>
            <color rgb="FF000000"/>
          </rPr>
          <t xml:space="preserve">环节3:关键词上首页-推广前期准备
免评单：开售后结合划线价和五星评论的布局一起来看自己链接的转化，增长趋势和关键词的排名，不够目标的用免评单来凑，同时免评单也可以稀释一下留评率；
切记：
1.转化率要高于竞对和类目平均值；
2.要一直保证增长的趋势；
3.一系列操作下来必须要有至少两个关键词的排名在第一页；
关于如何选择刷单关键词：
1.关键词要非常贴合自身产品；
2.选择一些小词中长尾词，卖家精灵SPR值较小，出几单就容易出现在前三页的词，这一步应在整理关键词库时就提前制定；
评论布局表   评论布局表安排
xxx-项目跟进表--XXXX人-时间  
新品评论节奏</t>
        </r>
      </text>
    </comment>
    <comment ref="BQ1" authorId="0" shapeId="0" xr:uid="{1b741b4e-e345-4bc9-b9c3-a7510b902b75}">
      <text>
        <r>
          <rPr>
            <b val="false"/>
            <i val="false"/>
            <strike val="false"/>
            <sz val="9"/>
            <color rgb="FF000000"/>
          </rPr>
          <t xml:space="preserve">环节3:五星评论布局-推广前期准备
1. 一开售后--有节奏合理规划5-20个好评，以合并种子为主，实在不行真人测评同时还可以刷关键词排名；评论布局表
2.服务商补单
3. 开售后--万一被别人上差评的备用方案，可以提前准备好种子链接
新品评论节奏安排;
xxx-项目跟进表-xxxx人-时间
环节3:五星评论布局-推广前期准备
1. 一开售后--有节奏合理规划5-20个好评，以合并种子为主，实在不行真人测评同时还可以刷关键词排名；评论布局表
3. 开售后--万一被别人上差评的备用方案，可以提前准备好种子链接
新品评论节奏安排;
xxx-项目跟进表-xxxx人-时间</t>
        </r>
      </text>
    </comment>
    <comment ref="BR1" authorId="0" shapeId="0" xr:uid="{c1512992-e441-41d1-92b3-cebf839e475c}">
      <text>
        <r>
          <rPr>
            <b val="false"/>
            <i val="false"/>
            <strike val="false"/>
            <sz val="9"/>
            <color rgb="FF000000"/>
          </rPr>
          <t xml:space="preserve">五星评论完结时间
评论数据根据产品定位来判断，逐步上评，上评率控制在5%以内</t>
        </r>
      </text>
    </comment>
    <comment ref="BT1" authorId="0" shapeId="0" xr:uid="{12a49517-027b-4067-ad46-ea7b25387bbd}">
      <text>
        <r>
          <rPr>
            <b val="false"/>
            <i val="false"/>
            <strike val="false"/>
            <sz val="9"/>
            <color rgb="FF000000"/>
          </rPr>
          <t xml:space="preserve">
A:文案(埋词)用SIF关键词格局  西柚找词，（SIF, H10  卖家精灵也可以）
1. 标题：最重要的关键词放标题，标题要秉承可读性，可搜索性，不重复的原则，忌关键词堆砌； 一般格式：核心词+主参数(主卖点)+核心词+主特色+应用场景(适用范围/适用人群)（一般200字符内，除介词外单词首字母大写(不同国家语言习惯不一样，具体跟对应国家走) 避免主观评价(最畅销，最受欢迎等)）
2. 五点描述：提炼产品的核心卖点和痛点，对应痛点提出解决方案--从买家的角度而非卖家的角度去写--每一点前面都要有总结性的短语--前面3点重要性大于后面2点 最重要：注意埋词
3. 后台ST：一般是250字符以内(可能有的类目更少)--前台描述页面放不下的词 --不要重复使用用过的关键词--可以不使用介词，冠词等连接词 --可以全部用小写字母--用半角空格分隔词语，不要用其他标点符号--勿使用其他品牌名称，asin等--千万不要放与产品不相关的词
4. 商品详情描述 (长描述 )--在 做A+之前会显示在前台页面，做A+之后会显示在买家购买页面（做A+前：参考五行描述，对产品的卖点和痛点做一些阐述；对于功能性产品将五行中没有明确的 参数，细节可以罗列到这里。(简言之把自己当成产品经理来介绍自己的产品)也要注意埋词。
5.做A+后：补充前台文案没有出现或者不能出现的细节，包括本店的品牌优势以及服务保障等，让 客户更放心购买。继续埋词）
6.收录词 分析 特征词 分析 拓展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1" authorId="0" shapeId="0" xr:uid="{93668d47-a930-48b2-9016-6891e2c814ef}">
      <text>
        <r>
          <rPr>
            <b val="false"/>
            <i val="false"/>
            <strike val="false"/>
            <sz val="9"/>
            <color rgb="FF000000"/>
          </rPr>
          <t xml:space="preserve">+34%  +50%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<sst xmlns="http://schemas.openxmlformats.org/spreadsheetml/2006/main" count="853" uniqueCount="853">
  <si>
    <t xml:space="preserve">  </t>
  </si>
  <si>
    <t xml:space="preserve">SKU</t>
  </si>
  <si>
    <t xml:space="preserve">ASIN</t>
  </si>
  <si>
    <t xml:space="preserve">ERP SKU</t>
  </si>
  <si>
    <t xml:space="preserve">产品名称</t>
  </si>
  <si>
    <t xml:space="preserve">采购成本（含税）</t>
  </si>
  <si>
    <t xml:space="preserve">长cm（单）</t>
  </si>
  <si>
    <t xml:space="preserve">宽cm（单）</t>
  </si>
  <si>
    <t xml:space="preserve">高cm（单）</t>
  </si>
  <si>
    <t xml:space="preserve">重量Kg（单）</t>
  </si>
  <si>
    <t xml:space="preserve">装箱数</t>
  </si>
  <si>
    <t xml:space="preserve">长cm（箱）</t>
  </si>
  <si>
    <t xml:space="preserve">宽cm（箱）</t>
  </si>
  <si>
    <t xml:space="preserve">高cm（箱）</t>
  </si>
  <si>
    <t xml:space="preserve">重量Kg（箱）</t>
  </si>
  <si>
    <t xml:space="preserve">体积重</t>
  </si>
  <si>
    <t xml:space="preserve">体积</t>
  </si>
  <si>
    <t xml:space="preserve">重量体积</t>
  </si>
  <si>
    <t xml:space="preserve">首单</t>
  </si>
  <si>
    <t xml:space="preserve">空运</t>
  </si>
  <si>
    <t xml:space="preserve">美森/卡航</t>
  </si>
  <si>
    <t xml:space="preserve">铁路</t>
  </si>
  <si>
    <t xml:space="preserve">海运</t>
  </si>
  <si>
    <t xml:space="preserve">Z0001US</t>
  </si>
  <si>
    <t xml:space="preserve">B0F2FT16RB</t>
  </si>
  <si>
    <t xml:space="preserve">US-P2-B</t>
  </si>
  <si>
    <t xml:space="preserve">HYCHIKA-P2-电动牙刷(黑）</t>
  </si>
  <si>
    <t xml:space="preserve">Z0001EU</t>
  </si>
  <si>
    <t xml:space="preserve">B0F1F6W85W</t>
  </si>
  <si>
    <t xml:space="preserve">EU-P2-B</t>
  </si>
  <si>
    <t xml:space="preserve">Z0001UK</t>
  </si>
  <si>
    <t xml:space="preserve">B0F1F5JSWK</t>
  </si>
  <si>
    <t xml:space="preserve">UK-P2-B</t>
  </si>
  <si>
    <t xml:space="preserve">Z0002US</t>
  </si>
  <si>
    <t xml:space="preserve">B0F3GR9D5Z</t>
  </si>
  <si>
    <t xml:space="preserve">US-P2-W</t>
  </si>
  <si>
    <t xml:space="preserve">HYCHIKA-P2-电动牙刷(白）</t>
  </si>
  <si>
    <t xml:space="preserve">Z0002EU</t>
  </si>
  <si>
    <t xml:space="preserve">B0F1TQRVJK</t>
  </si>
  <si>
    <t xml:space="preserve">EU-P2-W</t>
  </si>
  <si>
    <t xml:space="preserve">Z0002UK</t>
  </si>
  <si>
    <t xml:space="preserve">B0F1TWR4BJ</t>
  </si>
  <si>
    <t xml:space="preserve">UK-P2-W</t>
  </si>
  <si>
    <t xml:space="preserve">R0001US</t>
  </si>
  <si>
    <t xml:space="preserve">B0F3CK5TDN</t>
  </si>
  <si>
    <t xml:space="preserve">US-MV2501</t>
  </si>
  <si>
    <t xml:space="preserve">HYCHIKA-MV2501-除螨仪</t>
  </si>
  <si>
    <t xml:space="preserve">R0001EU</t>
  </si>
  <si>
    <t xml:space="preserve">B0F1F7J8V3</t>
  </si>
  <si>
    <t xml:space="preserve">EU-MV2501</t>
  </si>
  <si>
    <t xml:space="preserve">R0001UK</t>
  </si>
  <si>
    <t xml:space="preserve">B0F1F535PC</t>
  </si>
  <si>
    <t xml:space="preserve">UK-MV2501</t>
  </si>
  <si>
    <t xml:space="preserve">Z0003US</t>
  </si>
  <si>
    <t xml:space="preserve">US-TH01-B</t>
  </si>
  <si>
    <t xml:space="preserve">HYCHIKA-TH01-电动牙刷刷头(黑）</t>
  </si>
  <si>
    <t xml:space="preserve">Z0003EU</t>
  </si>
  <si>
    <t xml:space="preserve">X002DTVFL7</t>
  </si>
  <si>
    <t xml:space="preserve">EU-TH01-B</t>
  </si>
  <si>
    <t xml:space="preserve">Z0003UK</t>
  </si>
  <si>
    <t xml:space="preserve">B0F8ZQ88FH</t>
  </si>
  <si>
    <t xml:space="preserve">UK-TH01-B</t>
  </si>
  <si>
    <t xml:space="preserve">Z0004US</t>
  </si>
  <si>
    <t xml:space="preserve">US-TH01-W</t>
  </si>
  <si>
    <t xml:space="preserve">HYCHIKA-TH01-电动牙刷刷头(白）</t>
  </si>
  <si>
    <t xml:space="preserve">Z0004EU</t>
  </si>
  <si>
    <t xml:space="preserve">X002E0QJ25</t>
  </si>
  <si>
    <t xml:space="preserve">EU-TH01-W</t>
  </si>
  <si>
    <t xml:space="preserve">Z0004UK</t>
  </si>
  <si>
    <t xml:space="preserve">B0F8ZHHW6M</t>
  </si>
  <si>
    <t xml:space="preserve">UK-TH01-W</t>
  </si>
  <si>
    <t xml:space="preserve">MK-PP3H-WW2M  </t>
  </si>
  <si>
    <t xml:space="preserve">B0FG7L3M7C</t>
  </si>
  <si>
    <t xml:space="preserve">US-GT05</t>
  </si>
  <si>
    <t xml:space="preserve">HYCHIKA-GT05--假牙清洗机</t>
  </si>
  <si>
    <t xml:space="preserve">
K2-X29L-9NI8</t>
  </si>
  <si>
    <t xml:space="preserve">HYCHIKA-GT05--假牙清洗机
海军店</t>
  </si>
  <si>
    <t xml:space="preserve">XU-I69Z-JXRH</t>
  </si>
  <si>
    <t xml:space="preserve">B0FXF7WZZ3</t>
  </si>
  <si>
    <t xml:space="preserve">Z0005EU</t>
  </si>
  <si>
    <t xml:space="preserve">B0FGQ77SRF</t>
  </si>
  <si>
    <t xml:space="preserve">EU-GT05</t>
  </si>
  <si>
    <t xml:space="preserve">Z0005UK</t>
  </si>
  <si>
    <t xml:space="preserve">B0FGQFBJQR</t>
  </si>
  <si>
    <t xml:space="preserve">UK-GT05</t>
  </si>
  <si>
    <t xml:space="preserve">Z0006EU</t>
  </si>
  <si>
    <t xml:space="preserve">B0FXLSB51W</t>
  </si>
  <si>
    <t xml:space="preserve">EU-GT05-B</t>
  </si>
  <si>
    <t xml:space="preserve">HYCHIKA-GT05--假牙清洗机（黑）</t>
  </si>
  <si>
    <t xml:space="preserve">US</t>
  </si>
  <si>
    <t xml:space="preserve">LED面部按摩器</t>
  </si>
  <si>
    <t xml:space="preserve">EU</t>
  </si>
  <si>
    <t xml:space="preserve">UK</t>
  </si>
  <si>
    <t xml:space="preserve">智能电子口喷德国</t>
  </si>
  <si>
    <t xml:space="preserve">智能电子口喷英国</t>
  </si>
  <si>
    <t xml:space="preserve">运输方式</t>
  </si>
  <si>
    <t xml:space="preserve">美森</t>
  </si>
  <si>
    <t xml:space="preserve">时效</t>
  </si>
  <si>
    <t xml:space="preserve">15天</t>
  </si>
  <si>
    <t xml:space="preserve">25天</t>
  </si>
  <si>
    <t xml:space="preserve">45天</t>
  </si>
  <si>
    <t xml:space="preserve">EU/UK</t>
  </si>
  <si>
    <t xml:space="preserve">卡航</t>
  </si>
  <si>
    <t xml:space="preserve">30天</t>
  </si>
  <si>
    <t xml:space="preserve">40天</t>
  </si>
  <si>
    <t xml:space="preserve">65天</t>
  </si>
  <si>
    <t xml:space="preserve">渠道</t>
  </si>
  <si>
    <t xml:space="preserve">渠道SKU</t>
  </si>
  <si>
    <t xml:space="preserve">供货价</t>
  </si>
  <si>
    <t xml:space="preserve">出库费</t>
  </si>
  <si>
    <t xml:space="preserve">ASIN</t>
  </si>
  <si>
    <t xml:space="preserve">SKU</t>
  </si>
  <si>
    <t xml:space="preserve">产品名称</t>
  </si>
  <si>
    <t xml:space="preserve">品牌</t>
  </si>
  <si>
    <t xml:space="preserve">供应商代码</t>
  </si>
  <si>
    <t xml:space="preserve">DF cost price</t>
  </si>
  <si>
    <t xml:space="preserve">建议售价
亚马逊售价-外币</t>
  </si>
  <si>
    <t xml:space="preserve">毛利
外币</t>
  </si>
  <si>
    <t xml:space="preserve">毛利率</t>
  </si>
  <si>
    <t xml:space="preserve">Profit Margin (%)</t>
  </si>
  <si>
    <t xml:space="preserve">Net
PPM</t>
  </si>
  <si>
    <t xml:space="preserve">亚马逊毛利
外币</t>
  </si>
  <si>
    <t xml:space="preserve">成本</t>
  </si>
  <si>
    <t xml:space="preserve">广告占比</t>
  </si>
  <si>
    <t xml:space="preserve">促销占比</t>
  </si>
  <si>
    <t xml:space="preserve">其他占比</t>
  </si>
  <si>
    <t xml:space="preserve">成本占比</t>
  </si>
  <si>
    <t xml:space="preserve">佣金占比</t>
  </si>
  <si>
    <t xml:space="preserve">广告
外币</t>
  </si>
  <si>
    <t xml:space="preserve">促销
外币</t>
  </si>
  <si>
    <t xml:space="preserve">其它
外币</t>
  </si>
  <si>
    <t xml:space="preserve">佣金
外币</t>
  </si>
  <si>
    <t xml:space="preserve">海外仓库存</t>
  </si>
  <si>
    <t xml:space="preserve">VC前台库存</t>
  </si>
  <si>
    <t xml:space="preserve">大健云仓</t>
  </si>
  <si>
    <t xml:space="preserve">W2938P336074</t>
  </si>
  <si>
    <t xml:space="preserve">R2938P336074</t>
  </si>
  <si>
    <t xml:space="preserve">4头烤炉</t>
  </si>
  <si>
    <t xml:space="preserve">HYCHIKA</t>
  </si>
  <si>
    <t xml:space="preserve">ZOKK6</t>
  </si>
  <si>
    <t xml:space="preserve">W2938P336104</t>
  </si>
  <si>
    <t xml:space="preserve">R2938P336104</t>
  </si>
  <si>
    <t xml:space="preserve">3头烤炉</t>
  </si>
  <si>
    <t xml:space="preserve">W2938P332357</t>
  </si>
  <si>
    <t xml:space="preserve">R2938P332357</t>
  </si>
  <si>
    <t xml:space="preserve">6头烤炉+1侧炉</t>
  </si>
  <si>
    <t xml:space="preserve">W2019P296677</t>
  </si>
  <si>
    <t xml:space="preserve">Z2019P296677</t>
  </si>
  <si>
    <t xml:space="preserve">油桶搬运架</t>
  </si>
  <si>
    <t xml:space="preserve">W2019P233061</t>
  </si>
  <si>
    <t xml:space="preserve">Z2019P233061</t>
  </si>
  <si>
    <t xml:space="preserve">板材搬运架</t>
  </si>
  <si>
    <t xml:space="preserve">W2019P320656</t>
  </si>
  <si>
    <t xml:space="preserve">Z2019P320656</t>
  </si>
  <si>
    <t xml:space="preserve">板材运输车-SL</t>
  </si>
  <si>
    <t xml:space="preserve">W3280P348674</t>
  </si>
  <si>
    <t xml:space="preserve">Z3280P348674</t>
  </si>
  <si>
    <t xml:space="preserve">三合一推车</t>
  </si>
  <si>
    <t xml:space="preserve">品名</t>
  </si>
  <si>
    <t xml:space="preserve">售价</t>
  </si>
  <si>
    <t xml:space="preserve">汇率</t>
  </si>
  <si>
    <t xml:space="preserve">进价（￥不含税价）</t>
  </si>
  <si>
    <t xml:space="preserve">进价（$）</t>
  </si>
  <si>
    <t xml:space="preserve">头程￥</t>
  </si>
  <si>
    <t xml:space="preserve">头程（$）</t>
  </si>
  <si>
    <t xml:space="preserve">成本合计</t>
  </si>
  <si>
    <t xml:space="preserve">抽佣比例</t>
  </si>
  <si>
    <t xml:space="preserve">佣金</t>
  </si>
  <si>
    <t xml:space="preserve">配送费</t>
  </si>
  <si>
    <t xml:space="preserve">毛利</t>
  </si>
  <si>
    <t xml:space="preserve">毛利率</t>
  </si>
  <si>
    <t xml:space="preserve">仓库调拨费</t>
  </si>
  <si>
    <t xml:space="preserve">退货</t>
  </si>
  <si>
    <t xml:space="preserve">送测</t>
  </si>
  <si>
    <t xml:space="preserve">广告</t>
  </si>
  <si>
    <t xml:space="preserve">备注</t>
  </si>
  <si>
    <t xml:space="preserve">采购比</t>
  </si>
  <si>
    <t xml:space="preserve">头程占比</t>
  </si>
  <si>
    <t xml:space="preserve">尾程占比</t>
  </si>
  <si>
    <t xml:space="preserve">空运</t>
  </si>
  <si>
    <t xml:space="preserve">超声电动牙刷-白</t>
  </si>
  <si>
    <t xml:space="preserve">超声电动牙刷-黑</t>
  </si>
  <si>
    <t xml:space="preserve">海运</t>
  </si>
  <si>
    <t xml:space="preserve">临时</t>
  </si>
  <si>
    <t xml:space="preserve">刷头</t>
  </si>
  <si>
    <t xml:space="preserve">除螨仪-灰</t>
  </si>
  <si>
    <t xml:space="preserve">物流运费总账单金额59259.1，发货数量1000</t>
  </si>
  <si>
    <t xml:space="preserve">除螨仪-灰(折扣-20%）</t>
  </si>
  <si>
    <t xml:space="preserve">除螨仪-灰(折扣-25%）</t>
  </si>
  <si>
    <t xml:space="preserve">除螨仪-灰(折扣-PD）</t>
  </si>
  <si>
    <t xml:space="preserve">超声波清洁器（页面价）</t>
  </si>
  <si>
    <t xml:space="preserve">超声波清洁器（大促价）</t>
  </si>
  <si>
    <t xml:space="preserve">超声波清洁器(折扣-PD）</t>
  </si>
  <si>
    <t xml:space="preserve">超声波清洁器（大促价40%off）</t>
  </si>
  <si>
    <t xml:space="preserve">牙刷亏损测算</t>
  </si>
  <si>
    <t xml:space="preserve">单个毛利</t>
  </si>
  <si>
    <t xml:space="preserve">数量</t>
  </si>
  <si>
    <t xml:space="preserve">总毛利RMB</t>
  </si>
  <si>
    <t xml:space="preserve">品名</t>
  </si>
  <si>
    <t xml:space="preserve">售价</t>
  </si>
  <si>
    <t xml:space="preserve">汇率</t>
  </si>
  <si>
    <t xml:space="preserve">进价（￥不含税价）</t>
  </si>
  <si>
    <t xml:space="preserve">进价（当地币种）</t>
  </si>
  <si>
    <t xml:space="preserve">头程￥</t>
  </si>
  <si>
    <t xml:space="preserve">头程（$）</t>
  </si>
  <si>
    <t xml:space="preserve">成本合计</t>
  </si>
  <si>
    <t xml:space="preserve">抽佣比例</t>
  </si>
  <si>
    <t xml:space="preserve">佣金</t>
  </si>
  <si>
    <t xml:space="preserve">VAT税率</t>
  </si>
  <si>
    <t xml:space="preserve">税</t>
  </si>
  <si>
    <t xml:space="preserve">配送费</t>
  </si>
  <si>
    <t xml:space="preserve">毛利</t>
  </si>
  <si>
    <t xml:space="preserve">毛利率</t>
  </si>
  <si>
    <t xml:space="preserve">调拨费</t>
  </si>
  <si>
    <t xml:space="preserve">退货</t>
  </si>
  <si>
    <t xml:space="preserve">送测</t>
  </si>
  <si>
    <t xml:space="preserve">广告</t>
  </si>
  <si>
    <t xml:space="preserve">备注</t>
  </si>
  <si>
    <t xml:space="preserve">采购比</t>
  </si>
  <si>
    <t xml:space="preserve">头程占比</t>
  </si>
  <si>
    <t xml:space="preserve">尾程占比</t>
  </si>
  <si>
    <t xml:space="preserve">超声波清洁机-英</t>
  </si>
  <si>
    <t xml:space="preserve">固定成本合计约25</t>
  </si>
  <si>
    <t xml:space="preserve">超声波清洁机-德</t>
  </si>
  <si>
    <t xml:space="preserve">超声波清洁机-法</t>
  </si>
  <si>
    <t xml:space="preserve">固定成本合计约27</t>
  </si>
  <si>
    <t xml:space="preserve">超声波清洁机-意</t>
  </si>
  <si>
    <t xml:space="preserve">固定成本合计约26</t>
  </si>
  <si>
    <t xml:space="preserve">超声波清洁机-西</t>
  </si>
  <si>
    <t xml:space="preserve">固定成本合计约24</t>
  </si>
  <si>
    <t xml:space="preserve">刷头-德</t>
  </si>
  <si>
    <t xml:space="preserve">刷头-法</t>
  </si>
  <si>
    <t xml:space="preserve">刷头-意</t>
  </si>
  <si>
    <t xml:space="preserve">刷头-西</t>
  </si>
  <si>
    <t xml:space="preserve">牙刷白色-德</t>
  </si>
  <si>
    <t xml:space="preserve">牙刷白色-法</t>
  </si>
  <si>
    <t xml:space="preserve">牙刷白色-意</t>
  </si>
  <si>
    <t xml:space="preserve">牙刷白色-西</t>
  </si>
  <si>
    <t xml:space="preserve">牙刷白色-英</t>
  </si>
  <si>
    <t xml:space="preserve">类型</t>
  </si>
  <si>
    <t xml:space="preserve">ASIN</t>
  </si>
  <si>
    <t xml:space="preserve">运营</t>
  </si>
  <si>
    <t xml:space="preserve">SKU</t>
  </si>
  <si>
    <t xml:space="preserve">产品名称</t>
  </si>
  <si>
    <t xml:space="preserve">品牌</t>
  </si>
  <si>
    <t xml:space="preserve">供应商代码</t>
  </si>
  <si>
    <t xml:space="preserve">cost price
外币</t>
  </si>
  <si>
    <t xml:space="preserve">建议售价
亚马逊售价-外币</t>
  </si>
  <si>
    <t xml:space="preserve">毛利
外币</t>
  </si>
  <si>
    <t xml:space="preserve">毛利率</t>
  </si>
  <si>
    <t xml:space="preserve">Profit Margin (%)</t>
  </si>
  <si>
    <t xml:space="preserve">NET PPM</t>
  </si>
  <si>
    <t xml:space="preserve">亚马逊毛利
外币</t>
  </si>
  <si>
    <t xml:space="preserve">成本</t>
  </si>
  <si>
    <t xml:space="preserve">海外仓
操作费</t>
  </si>
  <si>
    <t xml:space="preserve">装箱数</t>
  </si>
  <si>
    <t xml:space="preserve">汇率</t>
  </si>
  <si>
    <t xml:space="preserve">广告占比</t>
  </si>
  <si>
    <t xml:space="preserve">促销占比</t>
  </si>
  <si>
    <t xml:space="preserve">其他占比</t>
  </si>
  <si>
    <t xml:space="preserve">成本占比</t>
  </si>
  <si>
    <t xml:space="preserve">尾程占比</t>
  </si>
  <si>
    <t xml:space="preserve">佣金占比</t>
  </si>
  <si>
    <t xml:space="preserve">广告
外币</t>
  </si>
  <si>
    <t xml:space="preserve">促销
外币</t>
  </si>
  <si>
    <t xml:space="preserve">其它
外币</t>
  </si>
  <si>
    <t xml:space="preserve">佣金
外币</t>
  </si>
  <si>
    <t xml:space="preserve">采购成本
 ¥含税</t>
  </si>
  <si>
    <t xml:space="preserve">采购成本
 ¥不含税</t>
  </si>
  <si>
    <t xml:space="preserve">头程 
RMB</t>
  </si>
  <si>
    <t xml:space="preserve">采购占比</t>
  </si>
  <si>
    <t xml:space="preserve">头程占比</t>
  </si>
  <si>
    <t xml:space="preserve">PO</t>
  </si>
  <si>
    <t xml:space="preserve">B0F3CK5TDN</t>
  </si>
  <si>
    <t xml:space="preserve">罗会娟</t>
  </si>
  <si>
    <t xml:space="preserve">R0001US</t>
  </si>
  <si>
    <t xml:space="preserve">HYCHIKA-MV2501-除螨仪</t>
  </si>
  <si>
    <t xml:space="preserve">HYCHIKA</t>
  </si>
  <si>
    <t xml:space="preserve">ZU7MJ</t>
  </si>
  <si>
    <t xml:space="preserve">DI</t>
  </si>
  <si>
    <t xml:space="preserve">J671X</t>
  </si>
  <si>
    <t xml:space="preserve">B0F2FT16RB</t>
  </si>
  <si>
    <t xml:space="preserve">Z0001US</t>
  </si>
  <si>
    <t xml:space="preserve">HYCHIKA-P2-电动牙刷</t>
  </si>
  <si>
    <t xml:space="preserve">B0FG7L3M7C</t>
  </si>
  <si>
    <t xml:space="preserve">MK-PP3H-WW2M  </t>
  </si>
  <si>
    <t xml:space="preserve">HYCHIKA-GT05-假牙清洗机</t>
  </si>
  <si>
    <t xml:space="preserve">站点</t>
  </si>
  <si>
    <t xml:space="preserve">SKU</t>
  </si>
  <si>
    <t xml:space="preserve">ASIN</t>
  </si>
  <si>
    <t xml:space="preserve">产品名称</t>
  </si>
  <si>
    <t xml:space="preserve">PO售价
外币</t>
  </si>
  <si>
    <t xml:space="preserve">建议售价(含税)
亚马逊售价-外币</t>
  </si>
  <si>
    <t xml:space="preserve">成交价
(含税）</t>
  </si>
  <si>
    <t xml:space="preserve">成交价
(不含税）</t>
  </si>
  <si>
    <t xml:space="preserve">毛利
外币</t>
  </si>
  <si>
    <t xml:space="preserve">毛利率</t>
  </si>
  <si>
    <t xml:space="preserve">建议售价
不含税外币</t>
  </si>
  <si>
    <t xml:space="preserve">Profit Margin (%)</t>
  </si>
  <si>
    <t xml:space="preserve">亚马逊毛利
外币</t>
  </si>
  <si>
    <t xml:space="preserve">成本</t>
  </si>
  <si>
    <t xml:space="preserve">二程外币</t>
  </si>
  <si>
    <t xml:space="preserve">装箱数</t>
  </si>
  <si>
    <t xml:space="preserve">汇率</t>
  </si>
  <si>
    <t xml:space="preserve">广告
占比</t>
  </si>
  <si>
    <t xml:space="preserve">前台广告
占比</t>
  </si>
  <si>
    <t xml:space="preserve">促销
占比</t>
  </si>
  <si>
    <t xml:space="preserve">其他
占比</t>
  </si>
  <si>
    <t xml:space="preserve">成本
占比</t>
  </si>
  <si>
    <t xml:space="preserve">尾程
占比</t>
  </si>
  <si>
    <t xml:space="preserve">佣金
占比</t>
  </si>
  <si>
    <t xml:space="preserve">广告
外币</t>
  </si>
  <si>
    <t xml:space="preserve">促销
外币</t>
  </si>
  <si>
    <t xml:space="preserve">其它
外币</t>
  </si>
  <si>
    <t xml:space="preserve">佣金
外币</t>
  </si>
  <si>
    <t xml:space="preserve">采购成本
 ¥含税</t>
  </si>
  <si>
    <t xml:space="preserve">采购成本
 ¥不含税</t>
  </si>
  <si>
    <t xml:space="preserve">头程
外币</t>
  </si>
  <si>
    <t xml:space="preserve">采购占比</t>
  </si>
  <si>
    <t xml:space="preserve">头程占比</t>
  </si>
  <si>
    <t xml:space="preserve">头程 
RMB</t>
  </si>
  <si>
    <t xml:space="preserve">NET PPM</t>
  </si>
  <si>
    <t xml:space="preserve">2025年
3月</t>
  </si>
  <si>
    <t xml:space="preserve">4月</t>
  </si>
  <si>
    <t xml:space="preserve">5月</t>
  </si>
  <si>
    <t xml:space="preserve">6月</t>
  </si>
  <si>
    <t xml:space="preserve">7月</t>
  </si>
  <si>
    <t xml:space="preserve">8月</t>
  </si>
  <si>
    <t xml:space="preserve">9月</t>
  </si>
  <si>
    <t xml:space="preserve">10月</t>
  </si>
  <si>
    <t xml:space="preserve">11月</t>
  </si>
  <si>
    <t xml:space="preserve">12月</t>
  </si>
  <si>
    <t xml:space="preserve">24年
1月</t>
  </si>
  <si>
    <t xml:space="preserve">2月</t>
  </si>
  <si>
    <t xml:space="preserve">3月</t>
  </si>
  <si>
    <t xml:space="preserve">25年
1月</t>
  </si>
  <si>
    <t xml:space="preserve">PO价
监控</t>
  </si>
  <si>
    <t xml:space="preserve">运营</t>
  </si>
  <si>
    <t xml:space="preserve">UK</t>
  </si>
  <si>
    <t xml:space="preserve">Z0002UK</t>
  </si>
  <si>
    <t xml:space="preserve">B0F1TWR4BJ</t>
  </si>
  <si>
    <t xml:space="preserve">电动牙刷英国 （15%）</t>
  </si>
  <si>
    <t xml:space="preserve">☆</t>
  </si>
  <si>
    <t xml:space="preserve">UK BD</t>
  </si>
  <si>
    <t xml:space="preserve">电动牙刷英国 BD活动价</t>
  </si>
  <si>
    <t xml:space="preserve">电动牙刷英国 </t>
  </si>
  <si>
    <t xml:space="preserve">电动牙刷英国 （10%）</t>
  </si>
  <si>
    <t xml:space="preserve">电动牙刷（coupon-0%）</t>
  </si>
  <si>
    <t xml:space="preserve">电动牙刷（coupon-10%）</t>
  </si>
  <si>
    <t xml:space="preserve">电动牙刷（coupon-15%）测算</t>
  </si>
  <si>
    <t xml:space="preserve">电动牙刷（coupon-0%）测算</t>
  </si>
  <si>
    <t xml:space="preserve">DE</t>
  </si>
  <si>
    <t xml:space="preserve">Z0002EU</t>
  </si>
  <si>
    <t xml:space="preserve">B0F1TQRVJK</t>
  </si>
  <si>
    <t xml:space="preserve">FR</t>
  </si>
  <si>
    <t xml:space="preserve">IT</t>
  </si>
  <si>
    <t xml:space="preserve">电动牙刷（coupon-15%）</t>
  </si>
  <si>
    <t xml:space="preserve">ES</t>
  </si>
  <si>
    <t xml:space="preserve">电动牙刷新品（coupon-0%）测算</t>
  </si>
  <si>
    <t xml:space="preserve">NL</t>
  </si>
  <si>
    <t xml:space="preserve">电动牙刷荷兰</t>
  </si>
  <si>
    <t xml:space="preserve">PL</t>
  </si>
  <si>
    <t xml:space="preserve">电动牙刷波兰</t>
  </si>
  <si>
    <t xml:space="preserve">SE</t>
  </si>
  <si>
    <t xml:space="preserve">电动牙刷瑞典</t>
  </si>
  <si>
    <t xml:space="preserve">BE</t>
  </si>
  <si>
    <t xml:space="preserve">电动牙刷比利时</t>
  </si>
  <si>
    <t xml:space="preserve">Z0005UK</t>
  </si>
  <si>
    <t xml:space="preserve">B0FGQFBJQR</t>
  </si>
  <si>
    <t xml:space="preserve">假牙清洗机（coupon-0%）</t>
  </si>
  <si>
    <t xml:space="preserve">假牙清洗机（coupon-15%）</t>
  </si>
  <si>
    <t xml:space="preserve">Z0005EU</t>
  </si>
  <si>
    <t xml:space="preserve">B0FGQ77SRF</t>
  </si>
  <si>
    <t xml:space="preserve">假牙清洗机</t>
  </si>
  <si>
    <t xml:space="preserve">面部按摩器</t>
  </si>
  <si>
    <t xml:space="preserve">新品</t>
  </si>
  <si>
    <t xml:space="preserve">假牙消毒盒（coupon-0%）</t>
  </si>
  <si>
    <t xml:space="preserve">站点</t>
  </si>
  <si>
    <t xml:space="preserve">活动类型</t>
  </si>
  <si>
    <t xml:space="preserve">活动名称</t>
  </si>
  <si>
    <t xml:space="preserve">周期</t>
  </si>
  <si>
    <t xml:space="preserve">活动价格</t>
  </si>
  <si>
    <t xml:space="preserve">折扣</t>
  </si>
  <si>
    <t xml:space="preserve">毛利</t>
  </si>
  <si>
    <t xml:space="preserve">预算广告上限</t>
  </si>
  <si>
    <t xml:space="preserve">活动数量</t>
  </si>
  <si>
    <t xml:space="preserve">实际数量</t>
  </si>
  <si>
    <t xml:space="preserve">DE</t>
  </si>
  <si>
    <t xml:space="preserve">BD</t>
  </si>
  <si>
    <t xml:space="preserve">P2-电动牙刷黑色</t>
  </si>
  <si>
    <t xml:space="preserve">10.7-10.8</t>
  </si>
  <si>
    <t xml:space="preserve">P2-电动牙刷白色</t>
  </si>
  <si>
    <t xml:space="preserve">IT</t>
  </si>
  <si>
    <t xml:space="preserve">ES</t>
  </si>
  <si>
    <t xml:space="preserve">10.4-10.8</t>
  </si>
  <si>
    <t xml:space="preserve">FR</t>
  </si>
  <si>
    <t xml:space="preserve">UK</t>
  </si>
  <si>
    <t xml:space="preserve">10.6-10.8</t>
  </si>
  <si>
    <t xml:space="preserve">US</t>
  </si>
  <si>
    <t xml:space="preserve">GT05-假牙清洗机</t>
  </si>
  <si>
    <t xml:space="preserve">9.30-10.8</t>
  </si>
  <si>
    <t xml:space="preserve">10.12-10.19</t>
  </si>
  <si>
    <t xml:space="preserve">10.22-10.31</t>
  </si>
  <si>
    <t xml:space="preserve">10.18-10.26</t>
  </si>
  <si>
    <t xml:space="preserve">10.23-10.31</t>
  </si>
  <si>
    <t xml:space="preserve">10.24-10.31</t>
  </si>
  <si>
    <t xml:space="preserve">10.30-11.7</t>
  </si>
  <si>
    <t xml:space="preserve">因库存问题 已取消</t>
  </si>
  <si>
    <t xml:space="preserve">11.1-11.7</t>
  </si>
  <si>
    <t xml:space="preserve">/</t>
  </si>
  <si>
    <t xml:space="preserve">SC跑（XLN）</t>
  </si>
  <si>
    <t xml:space="preserve">11.4-11.7</t>
  </si>
  <si>
    <t xml:space="preserve">广告已关</t>
  </si>
  <si>
    <t xml:space="preserve">11.8-11.14</t>
  </si>
  <si>
    <t xml:space="preserve">11.15-11.19</t>
  </si>
  <si>
    <t xml:space="preserve">广告已调</t>
  </si>
  <si>
    <t xml:space="preserve">已取消</t>
  </si>
  <si>
    <t xml:space="preserve">11.20-12.3</t>
  </si>
  <si>
    <t xml:space="preserve">11.4-11.10</t>
  </si>
  <si>
    <t xml:space="preserve">11.9-11.14</t>
  </si>
  <si>
    <t xml:space="preserve">VC</t>
  </si>
  <si>
    <t xml:space="preserve">11.11-11.19</t>
  </si>
  <si>
    <t xml:space="preserve">需检查广告</t>
  </si>
  <si>
    <t xml:space="preserve">报错</t>
  </si>
  <si>
    <t xml:space="preserve">活动前检查数量</t>
  </si>
  <si>
    <t xml:space="preserve">11.20-12.03</t>
  </si>
  <si>
    <t xml:space="preserve">11.20-12.01</t>
  </si>
  <si>
    <t xml:space="preserve">12.1-12.14</t>
  </si>
  <si>
    <t xml:space="preserve">放弃，设置优惠券5英镑</t>
  </si>
  <si>
    <t xml:space="preserve">已 取消活动，并设置折扣</t>
  </si>
  <si>
    <t xml:space="preserve">12.4-12.17</t>
  </si>
  <si>
    <t xml:space="preserve">继续</t>
  </si>
  <si>
    <t xml:space="preserve">放弃，设置优惠券5欧</t>
  </si>
  <si>
    <t xml:space="preserve">重新设置优惠</t>
  </si>
  <si>
    <t xml:space="preserve">放弃，设置优惠券3欧</t>
  </si>
  <si>
    <t xml:space="preserve">已设</t>
  </si>
  <si>
    <t xml:space="preserve">12.5-12.18</t>
  </si>
  <si>
    <t xml:space="preserve">SC</t>
  </si>
  <si>
    <t xml:space="preserve">改到SC报活动</t>
  </si>
  <si>
    <t xml:space="preserve">12.7-12.13</t>
  </si>
  <si>
    <t xml:space="preserve">已取消，需重设优惠券（报错  暂未设）</t>
  </si>
  <si>
    <t xml:space="preserve">12.15-12.29</t>
  </si>
  <si>
    <t xml:space="preserve">取消</t>
  </si>
  <si>
    <t xml:space="preserve">12.18-12.31</t>
  </si>
  <si>
    <t xml:space="preserve">12.19-1.01</t>
  </si>
  <si>
    <t xml:space="preserve">GT05-假牙清洗机黑色</t>
  </si>
  <si>
    <t xml:space="preserve">12.22-1.04</t>
  </si>
  <si>
    <t xml:space="preserve">12.15-12.21</t>
  </si>
  <si>
    <t xml:space="preserve">5欧折扣</t>
  </si>
  <si>
    <t xml:space="preserve">GT05-假牙清洗机白色</t>
  </si>
  <si>
    <t xml:space="preserve">12.13-12.26</t>
  </si>
  <si>
    <t xml:space="preserve">站点</t>
  </si>
  <si>
    <t xml:space="preserve">SKU</t>
  </si>
  <si>
    <t xml:space="preserve">ASIN</t>
  </si>
  <si>
    <t xml:space="preserve">产品名称</t>
  </si>
  <si>
    <t xml:space="preserve">Brand</t>
  </si>
  <si>
    <t xml:space="preserve">原PO售价
外币</t>
  </si>
  <si>
    <t xml:space="preserve">原建议售价(含税)
亚马逊售价-外币</t>
  </si>
  <si>
    <t xml:space="preserve">后台PO价</t>
  </si>
  <si>
    <t xml:space="preserve">对比
PO价</t>
  </si>
  <si>
    <t xml:space="preserve">PO售价
外币</t>
  </si>
  <si>
    <t xml:space="preserve">建议售价(含税)
亚马逊售价-外币</t>
  </si>
  <si>
    <t xml:space="preserve">毛利
外币</t>
  </si>
  <si>
    <t xml:space="preserve">毛利率</t>
  </si>
  <si>
    <t xml:space="preserve">建议售价
不含税外币</t>
  </si>
  <si>
    <t xml:space="preserve">Profit Margin (%)</t>
  </si>
  <si>
    <t xml:space="preserve">亚马逊毛利
外币</t>
  </si>
  <si>
    <t xml:space="preserve">成本</t>
  </si>
  <si>
    <t xml:space="preserve">尾程
外币</t>
  </si>
  <si>
    <t xml:space="preserve">装箱数</t>
  </si>
  <si>
    <t xml:space="preserve">汇率</t>
  </si>
  <si>
    <t xml:space="preserve">广告占比</t>
  </si>
  <si>
    <t xml:space="preserve">促销占比</t>
  </si>
  <si>
    <t xml:space="preserve">其他占比</t>
  </si>
  <si>
    <t xml:space="preserve">成本占比</t>
  </si>
  <si>
    <t xml:space="preserve">尾程占比</t>
  </si>
  <si>
    <t xml:space="preserve">佣金占比</t>
  </si>
  <si>
    <t xml:space="preserve">广告
外币</t>
  </si>
  <si>
    <t xml:space="preserve">促销
外币</t>
  </si>
  <si>
    <t xml:space="preserve">其它
外币</t>
  </si>
  <si>
    <t xml:space="preserve">佣金
外币</t>
  </si>
  <si>
    <t xml:space="preserve">采购成本
 ¥含税</t>
  </si>
  <si>
    <t xml:space="preserve">采购成本
 ¥不含税</t>
  </si>
  <si>
    <t xml:space="preserve">头程 
*1.5</t>
  </si>
  <si>
    <t xml:space="preserve">采购占比</t>
  </si>
  <si>
    <t xml:space="preserve">头程占比</t>
  </si>
  <si>
    <t xml:space="preserve">头程 
RMB</t>
  </si>
  <si>
    <t xml:space="preserve">23年
3月</t>
  </si>
  <si>
    <t xml:space="preserve">4月</t>
  </si>
  <si>
    <t xml:space="preserve">5月</t>
  </si>
  <si>
    <t xml:space="preserve">6月</t>
  </si>
  <si>
    <t xml:space="preserve">7月</t>
  </si>
  <si>
    <t xml:space="preserve">8月</t>
  </si>
  <si>
    <t xml:space="preserve">9月</t>
  </si>
  <si>
    <t xml:space="preserve">10月</t>
  </si>
  <si>
    <t xml:space="preserve">11月</t>
  </si>
  <si>
    <t xml:space="preserve">12月</t>
  </si>
  <si>
    <t xml:space="preserve">24年
1月</t>
  </si>
  <si>
    <t xml:space="preserve">2月</t>
  </si>
  <si>
    <t xml:space="preserve">3月</t>
  </si>
  <si>
    <t xml:space="preserve">25年
1月</t>
  </si>
  <si>
    <t xml:space="preserve">PO价
监控</t>
  </si>
  <si>
    <t xml:space="preserve">运营</t>
  </si>
  <si>
    <t xml:space="preserve">UK</t>
  </si>
  <si>
    <t xml:space="preserve">HYCHIKA</t>
  </si>
  <si>
    <t xml:space="preserve">☆</t>
  </si>
  <si>
    <t xml:space="preserve">DE</t>
  </si>
  <si>
    <t xml:space="preserve">FR</t>
  </si>
  <si>
    <t xml:space="preserve">IT</t>
  </si>
  <si>
    <t xml:space="preserve">ES</t>
  </si>
  <si>
    <t xml:space="preserve">NL</t>
  </si>
  <si>
    <t xml:space="preserve">PL</t>
  </si>
  <si>
    <t xml:space="preserve">SE</t>
  </si>
  <si>
    <t xml:space="preserve">BE</t>
  </si>
  <si>
    <t xml:space="preserve">站点</t>
  </si>
  <si>
    <t xml:space="preserve">SKU</t>
  </si>
  <si>
    <t xml:space="preserve">ASIN</t>
  </si>
  <si>
    <t xml:space="preserve">产品名称</t>
  </si>
  <si>
    <t xml:space="preserve">Brand</t>
  </si>
  <si>
    <t xml:space="preserve">原PO售价
外币</t>
  </si>
  <si>
    <t xml:space="preserve">原建议售价(含税)
亚马逊售价-外币</t>
  </si>
  <si>
    <t xml:space="preserve">后台PO价</t>
  </si>
  <si>
    <t xml:space="preserve">对比
PO价</t>
  </si>
  <si>
    <t xml:space="preserve">PO售价
外币</t>
  </si>
  <si>
    <t xml:space="preserve">建议售价(含税)
亚马逊售价-外币</t>
  </si>
  <si>
    <t xml:space="preserve">毛利
外币</t>
  </si>
  <si>
    <t xml:space="preserve">毛利率</t>
  </si>
  <si>
    <t xml:space="preserve">建议售价
不含税外币</t>
  </si>
  <si>
    <t xml:space="preserve">Profit Margin (%)</t>
  </si>
  <si>
    <t xml:space="preserve">亚马逊毛利
外币</t>
  </si>
  <si>
    <t xml:space="preserve">成本</t>
  </si>
  <si>
    <t xml:space="preserve">尾程
外币</t>
  </si>
  <si>
    <t xml:space="preserve">装箱数</t>
  </si>
  <si>
    <t xml:space="preserve">汇率</t>
  </si>
  <si>
    <t xml:space="preserve">广告占比</t>
  </si>
  <si>
    <t xml:space="preserve">促销占比</t>
  </si>
  <si>
    <t xml:space="preserve">其他占比</t>
  </si>
  <si>
    <t xml:space="preserve">成本占比</t>
  </si>
  <si>
    <t xml:space="preserve">尾程占比</t>
  </si>
  <si>
    <t xml:space="preserve">佣金占比</t>
  </si>
  <si>
    <t xml:space="preserve">广告
外币</t>
  </si>
  <si>
    <t xml:space="preserve">促销
外币</t>
  </si>
  <si>
    <t xml:space="preserve">其它
外币</t>
  </si>
  <si>
    <t xml:space="preserve">佣金
外币</t>
  </si>
  <si>
    <t xml:space="preserve">采购成本
 ¥含税</t>
  </si>
  <si>
    <t xml:space="preserve">采购成本
 ¥不含税</t>
  </si>
  <si>
    <t xml:space="preserve">头程 
*1.5</t>
  </si>
  <si>
    <t xml:space="preserve">采购占比</t>
  </si>
  <si>
    <t xml:space="preserve">头程占比</t>
  </si>
  <si>
    <t xml:space="preserve">头程 
RMB</t>
  </si>
  <si>
    <t xml:space="preserve">23年
3月</t>
  </si>
  <si>
    <t xml:space="preserve">4月</t>
  </si>
  <si>
    <t xml:space="preserve">5月</t>
  </si>
  <si>
    <t xml:space="preserve">6月</t>
  </si>
  <si>
    <t xml:space="preserve">7月</t>
  </si>
  <si>
    <t xml:space="preserve">8月</t>
  </si>
  <si>
    <t xml:space="preserve">9月</t>
  </si>
  <si>
    <t xml:space="preserve">10月</t>
  </si>
  <si>
    <t xml:space="preserve">11月</t>
  </si>
  <si>
    <t xml:space="preserve">12月</t>
  </si>
  <si>
    <t xml:space="preserve">24年
1月</t>
  </si>
  <si>
    <t xml:space="preserve">2月</t>
  </si>
  <si>
    <t xml:space="preserve">3月</t>
  </si>
  <si>
    <t xml:space="preserve">25年
1月</t>
  </si>
  <si>
    <t xml:space="preserve">PO价
监控</t>
  </si>
  <si>
    <t xml:space="preserve">运营</t>
  </si>
  <si>
    <t xml:space="preserve">UK</t>
  </si>
  <si>
    <t xml:space="preserve">Z0002UK</t>
  </si>
  <si>
    <t xml:space="preserve">B0F1TWR4BJ</t>
  </si>
  <si>
    <t xml:space="preserve">电动牙刷英国 </t>
  </si>
  <si>
    <t xml:space="preserve">HYCHIKA</t>
  </si>
  <si>
    <t xml:space="preserve">☆</t>
  </si>
  <si>
    <t xml:space="preserve">DE</t>
  </si>
  <si>
    <t xml:space="preserve">Z0002EU</t>
  </si>
  <si>
    <t xml:space="preserve">B0F1TQRVJK</t>
  </si>
  <si>
    <t xml:space="preserve">电动牙刷德国</t>
  </si>
  <si>
    <t xml:space="preserve">FR</t>
  </si>
  <si>
    <t xml:space="preserve">电动牙刷法国</t>
  </si>
  <si>
    <t xml:space="preserve">IT</t>
  </si>
  <si>
    <t xml:space="preserve">电动牙刷意大利</t>
  </si>
  <si>
    <t xml:space="preserve">ES</t>
  </si>
  <si>
    <t xml:space="preserve">电动牙刷西班牙</t>
  </si>
  <si>
    <t xml:space="preserve">NL</t>
  </si>
  <si>
    <t xml:space="preserve">电动牙刷荷兰</t>
  </si>
  <si>
    <t xml:space="preserve">PL</t>
  </si>
  <si>
    <t xml:space="preserve">电动牙刷波兰</t>
  </si>
  <si>
    <t xml:space="preserve">SE</t>
  </si>
  <si>
    <t xml:space="preserve">电动牙刷瑞典</t>
  </si>
  <si>
    <t xml:space="preserve">BE</t>
  </si>
  <si>
    <t xml:space="preserve">电动牙刷比利时</t>
  </si>
  <si>
    <t xml:space="preserve">SKU</t>
  </si>
  <si>
    <t xml:space="preserve">ASIN</t>
  </si>
  <si>
    <t xml:space="preserve">产品名称</t>
  </si>
  <si>
    <t xml:space="preserve">产品分配时间</t>
  </si>
  <si>
    <t xml:space="preserve">产品定位</t>
  </si>
  <si>
    <t xml:space="preserve">品牌 </t>
  </si>
  <si>
    <t xml:space="preserve">店铺</t>
  </si>
  <si>
    <t xml:space="preserve">站点</t>
  </si>
  <si>
    <t xml:space="preserve">开发人员</t>
  </si>
  <si>
    <t xml:space="preserve"> 产品认领人</t>
  </si>
  <si>
    <t xml:space="preserve">部门主管</t>
  </si>
  <si>
    <t xml:space="preserve">环节1:种子链接布局</t>
  </si>
  <si>
    <t xml:space="preserve">竞对信息收集-发货前任务 </t>
  </si>
  <si>
    <t xml:space="preserve">多变体和其他站点布局 情况  -发货前任务</t>
  </si>
  <si>
    <t xml:space="preserve">建立关键词库- 上架前任务</t>
  </si>
  <si>
    <t xml:space="preserve">环节1:布局关键词收录布局 埋词技巧-上架前任务</t>
  </si>
  <si>
    <t xml:space="preserve">项目跟进表  完成情况  -发货前任务</t>
  </si>
  <si>
    <t xml:space="preserve">市场调研</t>
  </si>
  <si>
    <t xml:space="preserve">新品推广计划，广告</t>
  </si>
  <si>
    <t xml:space="preserve">透明计划 布局情况  -发货前任务</t>
  </si>
  <si>
    <t xml:space="preserve">盈利模型分析</t>
  </si>
  <si>
    <t xml:space="preserve">欧洲除螨仪  VC 选品利润测算表_EU V1.0欧洲五国</t>
  </si>
  <si>
    <t xml:space="preserve">备货规划  -发货前任务</t>
  </si>
  <si>
    <t xml:space="preserve">ASIN   </t>
  </si>
  <si>
    <t xml:space="preserve"># 出货数量</t>
  </si>
  <si>
    <t xml:space="preserve">#具体出货时间</t>
  </si>
  <si>
    <t xml:space="preserve">预计到货时间(FBA)</t>
  </si>
  <si>
    <t xml:space="preserve">开售时间 手动填写</t>
  </si>
  <si>
    <t xml:space="preserve">环节1:开发包材需求表-发货前任务</t>
  </si>
  <si>
    <t xml:space="preserve">开发提交包材需求的具体时间</t>
  </si>
  <si>
    <t xml:space="preserve">环节2:布局直评-发货后</t>
  </si>
  <si>
    <t xml:space="preserve">环节2:运营产品图片需求表--发货后  </t>
  </si>
  <si>
    <t xml:space="preserve">运营提交产品图片需求时间</t>
  </si>
  <si>
    <t xml:space="preserve">运营提交产品视频需求时间</t>
  </si>
  <si>
    <t xml:space="preserve">Review</t>
  </si>
  <si>
    <t xml:space="preserve">运营提交产品测评需求时间</t>
  </si>
  <si>
    <t xml:space="preserve">客服部完成测评时间</t>
  </si>
  <si>
    <t xml:space="preserve">Q&amp;A</t>
  </si>
  <si>
    <t xml:space="preserve">运营提交产品问答需求时间</t>
  </si>
  <si>
    <t xml:space="preserve">客服部完成问答时间</t>
  </si>
  <si>
    <t xml:space="preserve">主图视频</t>
  </si>
  <si>
    <t xml:space="preserve">设计部完成视频时间</t>
  </si>
  <si>
    <t xml:space="preserve">Related Videos</t>
  </si>
  <si>
    <t xml:space="preserve">运营提交产品相关视频需求时间</t>
  </si>
  <si>
    <t xml:space="preserve">推广部完成视频时间</t>
  </si>
  <si>
    <t xml:space="preserve">环节2:开发产品图片需求表--发货后</t>
  </si>
  <si>
    <t xml:space="preserve">开发提交产品设计需求时间</t>
  </si>
  <si>
    <t xml:space="preserve">产品图片完结时间</t>
  </si>
  <si>
    <t xml:space="preserve">环节2:检查图片详情属性-关键词打标</t>
  </si>
  <si>
    <t xml:space="preserve">环节2:运营提供自拍视频需求表-上架前任务</t>
  </si>
  <si>
    <t xml:space="preserve">运营提供自拍视频需求表时间</t>
  </si>
  <si>
    <t xml:space="preserve">环节2:网红视频-上架前任务</t>
  </si>
  <si>
    <t xml:space="preserve">视频完结时间 -上架前任务</t>
  </si>
  <si>
    <t xml:space="preserve">品牌故事 -上架前任务</t>
  </si>
  <si>
    <t xml:space="preserve">品牌旗舰店装修 -上架前任务</t>
  </si>
  <si>
    <t xml:space="preserve">环节2:上架前任务完结时间</t>
  </si>
  <si>
    <t xml:space="preserve">环节3:QA-上架后任务</t>
  </si>
  <si>
    <t xml:space="preserve">检查asin收录，节点，类目，  -上架前任务</t>
  </si>
  <si>
    <t xml:space="preserve">检查产品属性填写完成度</t>
  </si>
  <si>
    <t xml:space="preserve">环节3:产品关联-上架后任务</t>
  </si>
  <si>
    <t xml:space="preserve">环节3:划线价-激活listing</t>
  </si>
  <si>
    <t xml:space="preserve">环节3:划线价完结时间</t>
  </si>
  <si>
    <t xml:space="preserve">环节3:listing审核时间</t>
  </si>
  <si>
    <t xml:space="preserve">环节3:该listing完成度 %</t>
  </si>
  <si>
    <t xml:space="preserve">环节3:关键词上首页-推广前期准备</t>
  </si>
  <si>
    <t xml:space="preserve">环节3:站外辅助--推广中的配合</t>
  </si>
  <si>
    <t xml:space="preserve">关键上首页完结时间</t>
  </si>
  <si>
    <t xml:space="preserve">环节3:五星评论布局-推广前期准备</t>
  </si>
  <si>
    <t xml:space="preserve">五星评论完结时间</t>
  </si>
  <si>
    <t xml:space="preserve">父记录</t>
  </si>
  <si>
    <t xml:space="preserve">A:文案(埋词)</t>
  </si>
  <si>
    <t/>
    <r>
      <rPr>
        <u val="single"/>
        <color theme="10"/>
      </rPr>
      <t>关键词库搭建</t>
    </r>
  </si>
  <si>
    <t xml:space="preserve">完成情况</t>
  </si>
  <si>
    <t xml:space="preserve">项目跟进表</t>
  </si>
  <si>
    <t xml:space="preserve">备选</t>
  </si>
  <si>
    <t xml:space="preserve">参考资料</t>
  </si>
  <si>
    <t xml:space="preserve">Z0001EU</t>
  </si>
  <si>
    <t xml:space="preserve">B0F1F6W85W</t>
  </si>
  <si>
    <t xml:space="preserve">SC电动牙刷黑色 德国站</t>
  </si>
  <si>
    <t xml:space="preserve">主推款</t>
  </si>
  <si>
    <t xml:space="preserve">HYCHIKA</t>
  </si>
  <si>
    <t xml:space="preserve">祥乐牛 EU+US和tiktok店铺</t>
  </si>
  <si>
    <t xml:space="preserve">DE</t>
  </si>
  <si>
    <t xml:space="preserve">马孝飞</t>
  </si>
  <si>
    <t xml:space="preserve">阳亚运</t>
  </si>
  <si>
    <t xml:space="preserve">X</t>
  </si>
  <si>
    <t xml:space="preserve">NO</t>
  </si>
  <si>
    <t xml:space="preserve">-</t>
  </si>
  <si>
    <t xml:space="preserve">YES 布局多变体 合并国际评论，VINE</t>
  </si>
  <si>
    <t/>
    <r>
      <rPr>
        <u val="single"/>
        <color theme="10"/>
      </rPr>
      <t xml:space="preserve">德国 电动牙刷关键词收集数据-德国标题2关键词库搭建</t>
    </r>
  </si>
  <si>
    <t xml:space="preserve">YES</t>
  </si>
  <si>
    <t/>
    <r>
      <rPr>
        <u val="single"/>
        <color theme="10"/>
      </rPr>
      <t xml:space="preserve">德国电动牙刷- 项目跟进表-阳亚运-20250325</t>
    </r>
  </si>
  <si>
    <t/>
    <r>
      <rPr>
        <u val="single"/>
        <color theme="10"/>
      </rPr>
      <t>市调</t>
    </r>
  </si>
  <si>
    <t/>
    <r>
      <rPr>
        <u val="single"/>
        <color theme="10"/>
      </rPr>
      <t xml:space="preserve">电动牙刷德国ASIN 定投广告</t>
    </r>
  </si>
  <si>
    <t/>
    <r>
      <rPr>
        <u val="single"/>
        <color theme="10"/>
      </rPr>
      <t xml:space="preserve">电动牙刷VC 选品利润测算表_EU V1.0欧洲五国</t>
    </r>
  </si>
  <si>
    <t xml:space="preserve">SC电动牙刷黑色 德国站432空运</t>
  </si>
  <si>
    <t xml:space="preserve">1+10+10VP+10VINE</t>
  </si>
  <si>
    <t xml:space="preserve">3组</t>
  </si>
  <si>
    <t/>
    <r>
      <rPr>
        <u val="single"/>
        <color theme="10"/>
      </rPr>
      <t xml:space="preserve">3.1关键词库高效搭建策略方法.pdf </t>
    </r>
  </si>
  <si>
    <t xml:space="preserve">已完成</t>
  </si>
  <si>
    <t/>
    <r>
      <rPr>
        <u val="single"/>
        <color theme="10"/>
      </rPr>
      <t>项目跟进表模板</t>
    </r>
  </si>
  <si>
    <t/>
    <r>
      <rPr>
        <u val="single"/>
        <color theme="10"/>
      </rPr>
      <t>Listing后台全属性填写标准</t>
    </r>
  </si>
  <si>
    <t xml:space="preserve">Z0001UK</t>
  </si>
  <si>
    <t xml:space="preserve">B0F1F5JSWK</t>
  </si>
  <si>
    <t xml:space="preserve">SC电动牙刷黑色 英国站</t>
  </si>
  <si>
    <t xml:space="preserve">UK</t>
  </si>
  <si>
    <t/>
    <r>
      <rPr>
        <u val="single"/>
        <color theme="10"/>
      </rPr>
      <t xml:space="preserve">英国 电动牙刷关键词收集数据-德国标题2关键词库搭建</t>
    </r>
  </si>
  <si>
    <t/>
    <r>
      <rPr>
        <u val="single"/>
        <color theme="10"/>
      </rPr>
      <t xml:space="preserve">英国电动牙刷- 项目跟进表-阳亚运-20250325</t>
    </r>
  </si>
  <si>
    <t xml:space="preserve">SC电动牙刷黑色 英国站270空运</t>
  </si>
  <si>
    <t/>
    <r>
      <rPr>
        <u val="single"/>
        <color theme="10"/>
      </rPr>
      <t>项目跟进表--20241016</t>
    </r>
  </si>
  <si>
    <t xml:space="preserve">Z0002EU</t>
  </si>
  <si>
    <t xml:space="preserve">B0F1TQRVJK</t>
  </si>
  <si>
    <t xml:space="preserve">SC电动牙刷白色 德国站</t>
  </si>
  <si>
    <t xml:space="preserve">SC电动牙刷白色 德国站432空运</t>
  </si>
  <si>
    <t xml:space="preserve">Z0002UK</t>
  </si>
  <si>
    <t xml:space="preserve">B0F1TWR4BJ</t>
  </si>
  <si>
    <t xml:space="preserve">SC电动牙刷白色 英国站</t>
  </si>
  <si>
    <t xml:space="preserve">SC电动牙刷白色 英国站270空运</t>
  </si>
  <si>
    <t xml:space="preserve">B0F1F7J8V3</t>
  </si>
  <si>
    <t xml:space="preserve">R0001EU</t>
  </si>
  <si>
    <t/>
    <r>
      <rPr>
        <u val="single"/>
        <color theme="10"/>
      </rPr>
      <t>https://shimo.im/sheets/xaLcxBgvfrrvr6At/x4LSY</t>
    </r>
  </si>
  <si>
    <t xml:space="preserve">SC除螨仪灰色 德国站</t>
  </si>
  <si>
    <t xml:space="preserve">唐高峰</t>
  </si>
  <si>
    <t/>
    <r>
      <rPr>
        <u val="single"/>
        <color theme="10"/>
      </rPr>
      <t>德国除螨仪竞品分析</t>
    </r>
  </si>
  <si>
    <t/>
    <r>
      <rPr>
        <u val="single"/>
        <color theme="10"/>
      </rPr>
      <t>德国除螨仪标题和关键词库搭建</t>
    </r>
  </si>
  <si>
    <t/>
    <r>
      <rPr>
        <u val="single"/>
        <color theme="10"/>
      </rPr>
      <t xml:space="preserve">德国除螨仪 - 项目跟进表-阳亚运-20250325</t>
    </r>
  </si>
  <si>
    <t/>
    <r>
      <rPr>
        <u val="single"/>
        <color theme="10"/>
      </rPr>
      <t>除螨仪市调</t>
    </r>
  </si>
  <si>
    <t/>
    <r>
      <rPr>
        <u val="single"/>
        <color theme="10"/>
      </rPr>
      <t xml:space="preserve">德国除螨仪的推广计划——德国除螨仪 欧洲</t>
    </r>
  </si>
  <si>
    <t/>
    <r>
      <rPr>
        <u val="single"/>
        <color theme="10"/>
      </rPr>
      <t xml:space="preserve">德国除螨仪 -盈利模型分析</t>
    </r>
  </si>
  <si>
    <t/>
    <r>
      <rPr>
        <u val="single"/>
        <color theme="10"/>
      </rPr>
      <t xml:space="preserve">欧洲除螨仪 VC 选品利润测算表_EU V1.0欧洲五国</t>
    </r>
  </si>
  <si>
    <t xml:space="preserve">SC除螨仪灰色 德国站360铁路</t>
  </si>
  <si>
    <t xml:space="preserve">1+10+9VP+2VINE</t>
  </si>
  <si>
    <t xml:space="preserve">R0001UK</t>
  </si>
  <si>
    <t xml:space="preserve">B0F1F535PC</t>
  </si>
  <si>
    <t xml:space="preserve">SC除螨仪灰色 英国站</t>
  </si>
  <si>
    <t/>
    <r>
      <rPr>
        <u val="single"/>
        <color theme="10"/>
      </rPr>
      <t xml:space="preserve">英国除螨仪标题 关键词库搭建</t>
    </r>
  </si>
  <si>
    <t/>
    <r>
      <rPr>
        <u val="single"/>
        <color theme="10"/>
      </rPr>
      <t xml:space="preserve">英国除螨仪 - 项目跟进表-阳亚运-20250325</t>
    </r>
  </si>
  <si>
    <t/>
    <r>
      <rPr>
        <u val="single"/>
        <color theme="10"/>
      </rPr>
      <t>市调</t>
    </r>
  </si>
  <si>
    <t/>
    <r>
      <rPr>
        <u val="single"/>
        <color theme="10"/>
      </rPr>
      <t xml:space="preserve">欧洲五国VC选品利润测算表EU V10</t>
    </r>
  </si>
  <si>
    <t xml:space="preserve">SC除螨仪灰色 英国站160铁路</t>
  </si>
  <si>
    <t xml:space="preserve">VC电动牙刷黑色 德国站</t>
  </si>
  <si>
    <t xml:space="preserve">VC1_EU</t>
  </si>
  <si>
    <t xml:space="preserve">关键词词库查看SC</t>
  </si>
  <si>
    <t xml:space="preserve">项目跟进表查看SC</t>
  </si>
  <si>
    <t xml:space="preserve">VC电动牙刷黑色 德国站  540卡航1080</t>
  </si>
  <si>
    <t xml:space="preserve">VC电动牙刷黑色 德国站  540铁路0</t>
  </si>
  <si>
    <t xml:space="preserve">VC电动牙刷黑色 英国站</t>
  </si>
  <si>
    <t xml:space="preserve">VC电动牙刷黑色 英国站 540卡航</t>
  </si>
  <si>
    <t xml:space="preserve">VC电动牙刷白色 德国站</t>
  </si>
  <si>
    <t xml:space="preserve">VC电动牙刷白色 德国站  540卡航1080</t>
  </si>
  <si>
    <t xml:space="preserve">VC电动牙刷白色 德国站  540铁路0</t>
  </si>
  <si>
    <t xml:space="preserve">VC电动牙刷白色 英国站</t>
  </si>
  <si>
    <t xml:space="preserve">VC电动牙刷白色 英国站 540卡航</t>
  </si>
  <si>
    <t xml:space="preserve">VC除螨仪灰色 德国站</t>
  </si>
  <si>
    <t xml:space="preserve">VC除螨仪灰色 德国站 340卡航</t>
  </si>
  <si>
    <t xml:space="preserve">VC除螨仪灰色 德国站 1140海运</t>
  </si>
  <si>
    <t xml:space="preserve">VC除螨仪灰色 英国站</t>
  </si>
  <si>
    <t xml:space="preserve">VC除螨仪灰色 英国站 340海运</t>
  </si>
  <si>
    <t xml:space="preserve">Z0005EU</t>
  </si>
  <si>
    <t xml:space="preserve">B0FGQ77SRF</t>
  </si>
  <si>
    <t xml:space="preserve">SC牙套超声波清洗机 德国站</t>
  </si>
  <si>
    <t/>
    <r>
      <rPr>
        <u val="single"/>
        <color theme="10"/>
      </rPr>
      <t>德国超声波清洗机竞争程度分析</t>
    </r>
  </si>
  <si>
    <t/>
    <r>
      <rPr>
        <u val="single"/>
        <color theme="10"/>
      </rPr>
      <t>德国牙套超声波清洗机标题和关键词库搭建</t>
    </r>
  </si>
  <si>
    <t/>
    <r>
      <rPr>
        <u val="single"/>
        <color theme="10"/>
      </rPr>
      <t>超声波清洗机市调</t>
    </r>
  </si>
  <si>
    <t xml:space="preserve">Z0005UK</t>
  </si>
  <si>
    <t xml:space="preserve">B0FGQFBJQR</t>
  </si>
  <si>
    <t xml:space="preserve">SC牙套超声波清洗机 英国站</t>
  </si>
  <si>
    <t xml:space="preserve">MK-PP3H-WW2M  </t>
  </si>
  <si>
    <t xml:space="preserve">SC牙套超声波清洗机 美国站</t>
  </si>
  <si>
    <t xml:space="preserve">SC杆式吸尘器 德国站</t>
  </si>
  <si>
    <t/>
    <r>
      <rPr>
        <u val="single"/>
        <color theme="10"/>
      </rPr>
      <t>杆式吸尘器竞品分析-84ASIN</t>
    </r>
  </si>
  <si>
    <t/>
    <r>
      <rPr>
        <u val="single"/>
        <color theme="10"/>
      </rPr>
      <t>杆式吸尘器市调</t>
    </r>
  </si>
  <si>
    <t xml:space="preserve">SC杆式吸尘器 英国站</t>
  </si>
  <si>
    <t xml:space="preserve">KJ100</t>
  </si>
  <si>
    <t xml:space="preserve">SC空气净化器德国站</t>
  </si>
  <si>
    <t/>
    <r>
      <rPr>
        <u val="single"/>
        <color theme="10"/>
      </rPr>
      <t xml:space="preserve">空气净化器 竞品分析</t>
    </r>
  </si>
  <si>
    <t/>
    <r>
      <rPr>
        <u val="single"/>
        <color theme="10"/>
      </rPr>
      <t>德国空气净化器标题和关键词库搭建</t>
    </r>
  </si>
  <si>
    <t/>
    <r>
      <rPr>
        <u val="single"/>
        <color theme="10"/>
      </rPr>
      <t xml:space="preserve">德国空气净化器 - 项目跟进表-阳亚运-20250611</t>
    </r>
  </si>
  <si>
    <t/>
    <r>
      <rPr>
        <u val="single"/>
        <color theme="10"/>
      </rPr>
      <t>空气净化器市调</t>
    </r>
  </si>
  <si>
    <t xml:space="preserve">SC空气净化器英国站</t>
  </si>
  <si>
    <t/>
    <r>
      <rPr>
        <u val="single"/>
        <color theme="10"/>
      </rPr>
      <t xml:space="preserve">英国空气净化器 - 项目跟进表-阳亚运-20250611</t>
    </r>
  </si>
  <si>
    <t xml:space="preserve">VC空气净化器  德国站</t>
  </si>
  <si>
    <t xml:space="preserve">VC空气净化器  英国站</t>
  </si>
  <si>
    <t xml:space="preserve">YC-RY</t>
  </si>
  <si>
    <t xml:space="preserve">牙齿美白德国</t>
  </si>
  <si>
    <t xml:space="preserve">牙齿美白英国</t>
  </si>
  <si>
    <t xml:space="preserve">YY</t>
  </si>
  <si>
    <t xml:space="preserve">面部按摩器德国</t>
  </si>
  <si>
    <t/>
    <r>
      <rPr>
        <u val="single"/>
        <color theme="10"/>
      </rPr>
      <t>市调</t>
    </r>
  </si>
  <si>
    <t xml:space="preserve">面部按摩器英国</t>
  </si>
  <si>
    <t xml:space="preserve">WH</t>
  </si>
  <si>
    <t xml:space="preserve">雾化器德国</t>
  </si>
  <si>
    <t xml:space="preserve">雾化器英国</t>
  </si>
  <si>
    <t xml:space="preserve">SOSO</t>
  </si>
  <si>
    <t xml:space="preserve">智能电子口喷美国</t>
  </si>
  <si>
    <t/>
    <r>
      <rPr>
        <u val="single"/>
        <color theme="10"/>
      </rPr>
      <t>智能电子口喷美国</t>
    </r>
  </si>
  <si>
    <t/>
    <r>
      <rPr>
        <u val="single"/>
        <color theme="10"/>
      </rPr>
      <t xml:space="preserve">US 口喷市调 SIF所有数据oral spray</t>
    </r>
  </si>
  <si>
    <t/>
    <r>
      <rPr>
        <u val="single"/>
        <color theme="10"/>
      </rPr>
      <t xml:space="preserve">US口喷市调 Tik Tok所有数据ALL</t>
    </r>
  </si>
  <si>
    <t xml:space="preserve">智能电子口喷德国</t>
  </si>
  <si>
    <t/>
    <r>
      <rPr>
        <u val="single"/>
        <color theme="10"/>
      </rPr>
      <t xml:space="preserve">DE 口腔喷雾剂Mundsprays(卖家精灵)</t>
    </r>
  </si>
  <si>
    <t xml:space="preserve">智能电子口喷英国</t>
  </si>
  <si>
    <t/>
    <r>
      <rPr>
        <u val="single"/>
        <color theme="10"/>
      </rPr>
      <t>UK(口腔喷雾剂)Sprays</t>
    </r>
  </si>
  <si>
    <t xml:space="preserve">R0004UK</t>
  </si>
  <si>
    <t xml:space="preserve">B0FFGHJ575</t>
  </si>
  <si>
    <t xml:space="preserve">RS1棘轮螺丝刀套装英国，</t>
  </si>
  <si>
    <t xml:space="preserve">R0004EU</t>
  </si>
  <si>
    <t xml:space="preserve">RS1棘轮螺丝刀套装，欧洲</t>
  </si>
  <si>
    <t xml:space="preserve">HM0006-EU-XLN</t>
  </si>
  <si>
    <t xml:space="preserve">B0FFGKNZNN</t>
  </si>
  <si>
    <t xml:space="preserve">T2225启动电源&amp;充气泵，</t>
  </si>
  <si>
    <t xml:space="preserve">HM0003-EU-XLN</t>
  </si>
  <si>
    <t xml:space="preserve">B0FFG95G7F</t>
  </si>
  <si>
    <t xml:space="preserve">HPS39精密螺丝刀套装，</t>
  </si>
  <si>
    <t xml:space="preserve">HM0002-EU-XLN</t>
  </si>
  <si>
    <t xml:space="preserve">B0FFLJ2HMW</t>
  </si>
  <si>
    <t xml:space="preserve">HES62电动精密螺丝刀，</t>
  </si>
  <si>
    <t xml:space="preserve">HM0007EU-XLN</t>
  </si>
  <si>
    <t xml:space="preserve">B0FFGM2W7H</t>
  </si>
  <si>
    <t xml:space="preserve">EGSl11电烙铁套装，</t>
  </si>
  <si>
    <t xml:space="preserve">HM0008EU-XLN</t>
  </si>
  <si>
    <t xml:space="preserve">B0FFGLFC4X</t>
  </si>
  <si>
    <t xml:space="preserve">ESG11电动精密螺丝批套件，</t>
  </si>
  <si>
    <t xml:space="preserve">/</t>
  </si>
  <si>
    <t xml:space="preserve">VC025手持吸尘器</t>
  </si>
  <si>
    <t xml:space="preserve">空净</t>
  </si>
  <si>
    <t xml:space="preserve">UV杀菌牙刷架</t>
  </si>
  <si>
    <t xml:space="preserve">HM0001UK-XLN</t>
  </si>
  <si>
    <t xml:space="preserve">B0FFGQXWGT</t>
  </si>
  <si>
    <t xml:space="preserve">VC025手持吸尘器英国</t>
  </si>
  <si>
    <t xml:space="preserve">HM0001EU-XLN</t>
  </si>
  <si>
    <t xml:space="preserve">VC025手持吸尘器欧洲</t>
  </si>
  <si>
    <t xml:space="preserve">中文名</t>
  </si>
  <si>
    <t xml:space="preserve">国家</t>
  </si>
  <si>
    <t xml:space="preserve">渠道</t>
  </si>
  <si>
    <t xml:space="preserve">数量</t>
  </si>
  <si>
    <t xml:space="preserve">计费重</t>
  </si>
  <si>
    <t xml:space="preserve">单价</t>
  </si>
  <si>
    <t xml:space="preserve">报关+清关</t>
  </si>
  <si>
    <t xml:space="preserve">关税</t>
  </si>
  <si>
    <t xml:space="preserve">总费用</t>
  </si>
  <si>
    <t xml:space="preserve">HYCHIKA-MV2501-除螨仪</t>
  </si>
  <si>
    <t xml:space="preserve">US</t>
  </si>
  <si>
    <t xml:space="preserve">美森</t>
  </si>
  <si>
    <t xml:space="preserve">普船</t>
  </si>
  <si>
    <t xml:space="preserve">降关税</t>
  </si>
  <si>
    <t xml:space="preserve">EU</t>
  </si>
  <si>
    <t xml:space="preserve">铁路</t>
  </si>
  <si>
    <t xml:space="preserve">整柜</t>
  </si>
  <si>
    <t xml:space="preserve">UK</t>
  </si>
  <si>
    <t xml:space="preserve">海运</t>
  </si>
  <si>
    <t xml:space="preserve">视频链接</t>
  </si>
  <si>
    <t/>
    <r>
      <rPr>
        <u val="single"/>
        <color theme="10"/>
      </rPr>
      <t>https://www.tiktok.com/@/video/7507733538158972191?shop_region=US</t>
    </r>
  </si>
  <si>
    <t/>
    <r>
      <rPr>
        <u val="single"/>
        <color theme="10"/>
      </rPr>
      <t>https://www.tiktok.com/@/video/7505007970158185771?shop_region=US</t>
    </r>
  </si>
  <si>
    <t/>
    <r>
      <rPr>
        <u val="single"/>
        <color theme="10"/>
      </rPr>
      <t>https://www.tiktok.com/@/video/7510315444860063022?shop_region=US</t>
    </r>
  </si>
  <si>
    <t/>
    <r>
      <rPr>
        <u val="single"/>
        <color theme="10"/>
      </rPr>
      <t>https://www.tiktok.com/@/video/7509468659413372206?shop_region=US</t>
    </r>
  </si>
  <si>
    <t/>
    <r>
      <rPr>
        <u val="single"/>
        <color theme="10"/>
      </rPr>
      <t>https://www.tiktok.com/@/video/7507463120143600939?shop_region=US</t>
    </r>
  </si>
  <si>
    <t/>
    <r>
      <rPr>
        <u val="single"/>
        <color theme="10"/>
      </rPr>
      <t>https://www.tiktok.com/@/video/7509602854680710443?shop_region=US</t>
    </r>
  </si>
  <si>
    <t/>
    <r>
      <rPr>
        <u val="single"/>
        <color theme="10"/>
      </rPr>
      <t>https://www.tiktok.com/@/video/7512260049553607966?shop_region=US</t>
    </r>
  </si>
  <si>
    <t/>
    <r>
      <rPr>
        <u val="single"/>
        <color theme="10"/>
      </rPr>
      <t>https://www.tiktok.com/@/video/7510281518846135582?shop_region=US</t>
    </r>
  </si>
  <si>
    <t/>
    <r>
      <rPr>
        <u val="single"/>
        <color theme="10"/>
      </rPr>
      <t>https://www.tiktok.com/@/video/7512121539337194782?shop_region=US</t>
    </r>
  </si>
  <si>
    <t/>
    <r>
      <rPr>
        <u val="single"/>
        <color theme="10"/>
      </rPr>
      <t>https://www.tiktok.com/@/video/7512217482250177838?shop_region=US</t>
    </r>
  </si>
  <si>
    <t/>
    <r>
      <rPr>
        <u val="single"/>
        <color theme="10"/>
      </rPr>
      <t>https://www.tiktok.com/@/video/7510822530660289823?shop_region=US</t>
    </r>
  </si>
  <si>
    <t/>
    <r>
      <rPr>
        <u val="single"/>
        <color theme="10"/>
      </rPr>
      <t>https://www.tiktok.com/@/video/7513258934547860779?shop_region=US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</si>
</sst>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8">
    <numFmt numFmtId="164" formatCode="0.00"/>
    <numFmt numFmtId="165" formatCode="0.0"/>
    <numFmt numFmtId="166" formatCode="\¥#,##0.00_);[Red]\(\¥#,##0.00\)"/>
    <numFmt numFmtId="167" formatCode="0.00_);[Red]\(0.00\)"/>
    <numFmt numFmtId="168" formatCode="&quot;$&quot;#,##0.00;[Red]\-&quot;$&quot;#,##0.00"/>
    <numFmt numFmtId="169" formatCode="0.00_ ;[Red]\-0.00\ "/>
    <numFmt numFmtId="170" formatCode="0.0%"/>
    <numFmt numFmtId="171" formatCode="0.00%"/>
    <numFmt numFmtId="172" formatCode="&quot;$&quot;#,##0;[Red]\-&quot;$&quot;#,##0"/>
    <numFmt numFmtId="173" formatCode="0.0_ ;[Red]\-0.0\ "/>
    <numFmt numFmtId="174" formatCode="0%"/>
    <numFmt numFmtId="175" formatCode="0.0"/>
    <numFmt numFmtId="176" formatCode="0.00_);[Red]\(0.00\)"/>
    <numFmt numFmtId="177" formatCode="0%"/>
    <numFmt numFmtId="178" formatCode="&quot;$&quot;#,##0.00_);[Red]\(&quot;$&quot;#,##0.00\)"/>
    <numFmt numFmtId="179" formatCode="0.00%"/>
    <numFmt numFmtId="180" formatCode="0.00_);[Red]\(0.00\)"/>
    <numFmt numFmtId="181" formatCode="0%"/>
    <numFmt numFmtId="182" formatCode="&quot;£&quot;#,##0.00_);[Red]\(&quot;£&quot;#,##0.00\)"/>
    <numFmt numFmtId="183" formatCode="&quot;€&quot;#,##0.00_);[Red]\(&quot;€&quot;#,##0.00\)"/>
    <numFmt numFmtId="184" formatCode="&quot;$&quot;#,##0.00_);[Red]\(&quot;$&quot;#,##0.00\)"/>
    <numFmt numFmtId="185" formatCode="\¥#,##0.00_);[Red]\(\¥#,##0.00\)"/>
    <numFmt numFmtId="186" formatCode="0.00_);[Red]\(0.00\)"/>
    <numFmt numFmtId="187" formatCode="&quot;$&quot;#,##0.00;[Red]\-&quot;$&quot;#,##0.00"/>
    <numFmt numFmtId="188" formatCode="&quot;$&quot;#,##0.00_);[Red]\(&quot;$&quot;#,##0.00\)"/>
    <numFmt numFmtId="189" formatCode="0.0%"/>
    <numFmt numFmtId="190" formatCode="0.00%"/>
    <numFmt numFmtId="191" formatCode="0.00_ ;[Red]\-0.00\ "/>
    <numFmt numFmtId="192" formatCode="0%"/>
    <numFmt numFmtId="193" formatCode="&quot;$&quot;#,##0.0_);[Red]\(&quot;$&quot;#,##0.0\)"/>
    <numFmt numFmtId="194" formatCode="\¥#,##0.0_);[Red]\(\¥#,##0.0\)"/>
    <numFmt numFmtId="195" formatCode="0.00_ ;[Red]\-0.00\ "/>
    <numFmt numFmtId="196" formatCode="0.00_);[Red]\(0.00\)"/>
    <numFmt numFmtId="197" formatCode="0.0%"/>
    <numFmt numFmtId="198" formatCode="0.00%"/>
    <numFmt numFmtId="199" formatCode="0.0_ ;[Red]\-0.0\ "/>
    <numFmt numFmtId="200" formatCode="0%"/>
    <numFmt numFmtId="201" formatCode="0.0"/>
    <numFmt numFmtId="202" formatCode="#,##0.00_);[Red](#,##0.00)"/>
    <numFmt numFmtId="203" formatCode="0.00"/>
    <numFmt numFmtId="204" formatCode="0_);[Red]\(0\)"/>
    <numFmt numFmtId="205" formatCode="0.00_ ;[Red]\-0.00\ "/>
    <numFmt numFmtId="206" formatCode="0.00_);[Red]\(0.00\)"/>
    <numFmt numFmtId="207" formatCode="0.0%"/>
    <numFmt numFmtId="208" formatCode="0.00%"/>
    <numFmt numFmtId="209" formatCode="0.0_ ;[Red]\-0.0\ "/>
    <numFmt numFmtId="210" formatCode="0%"/>
    <numFmt numFmtId="211" formatCode="0_ "/>
    <numFmt numFmtId="212" formatCode="0.00"/>
    <numFmt numFmtId="213" formatCode="0.0"/>
    <numFmt numFmtId="214" formatCode="#,##0.00_);[Red](#,##0.00)"/>
    <numFmt numFmtId="215" formatCode="0_);[Red]\(0\)"/>
    <numFmt numFmtId="216" formatCode="0.00_ ;[Red]\-0.00\ "/>
    <numFmt numFmtId="217" formatCode="0.00_);[Red]\(0.00\)"/>
    <numFmt numFmtId="218" formatCode="0.0%"/>
    <numFmt numFmtId="219" formatCode="0.00%"/>
    <numFmt numFmtId="220" formatCode="0.0_ ;[Red]\-0.0\ "/>
    <numFmt numFmtId="221" formatCode="0%"/>
    <numFmt numFmtId="222" formatCode="0_ "/>
    <numFmt numFmtId="223" formatCode="0.0"/>
    <numFmt numFmtId="224" formatCode="#,##0.00_);[Red](#,##0.00)"/>
    <numFmt numFmtId="225" formatCode="0.00"/>
    <numFmt numFmtId="226" formatCode="0_);[Red]\(0\)"/>
    <numFmt numFmtId="227" formatCode="yyyy/m/d"/>
    <numFmt numFmtId="228" formatCode="0%"/>
    <numFmt numFmtId="229" formatCode="#,##0.00_);[Red](#,##0.00)"/>
    <numFmt numFmtId="230" formatCode="#,##0.0_);[Red]\(#,##0.0\)"/>
    <numFmt numFmtId="231" formatCode="0.0"/>
  </numFmts>
  <fonts count="22">
    <font>
      <sz val="12"/>
      <color theme="1"/>
      <name val="Calibri"/>
      <family val="2"/>
      <scheme val="minor"/>
    </font>
    <font>
      <b val="true"/>
      <sz val="9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b val="true"/>
      <sz val="9"/>
      <color rgb="FF0D0015"/>
      <name val="Calibri"/>
      <family val="2"/>
      <scheme val="minor"/>
    </font>
    <font>
      <b val="true"/>
      <sz val="11"/>
      <color rgb="FF000000"/>
      <name val="Calibri"/>
      <family val="2"/>
      <scheme val="minor"/>
    </font>
    <font>
      <b val="true"/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rgb="FF0D0015"/>
      <name val="Calibri"/>
      <family val="2"/>
      <scheme val="minor"/>
    </font>
    <font>
      <b val="true"/>
      <sz val="10"/>
      <color rgb="FF0D0015"/>
      <name val="Calibri"/>
      <family val="2"/>
      <scheme val="minor"/>
    </font>
    <font>
      <b val="true"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D0015"/>
      <name val="Calibri"/>
      <family val="2"/>
      <scheme val="minor"/>
    </font>
    <font>
      <sz val="10"/>
      <color rgb="FFFF0000"/>
      <name val="Calibri"/>
      <family val="2"/>
      <scheme val="minor"/>
    </font>
    <font>
      <u val="single"/>
      <sz val="9"/>
      <color rgb="FF0066CC"/>
      <name val="Calibri"/>
      <family val="2"/>
      <scheme val="minor"/>
    </font>
    <font>
      <sz val="8"/>
      <color rgb="FF000000"/>
      <name val="Calibri"/>
      <family val="2"/>
      <scheme val="minor"/>
    </font>
    <font>
      <u val="single"/>
      <sz val="9"/>
      <color rgb="FF3861AF"/>
      <name val="Calibri"/>
      <family val="2"/>
      <scheme val="minor"/>
    </font>
    <font>
      <sz val="12"/>
      <color rgb="FF000000"/>
      <name val="Calibri"/>
      <family val="2"/>
      <scheme val="minor"/>
    </font>
    <font>
      <u val="single"/>
      <sz val="12"/>
      <color rgb="FF3861AF"/>
      <name val="Calibri"/>
      <family val="2"/>
      <scheme val="minor"/>
    </font>
    <font>
      <u val="single"/>
      <sz val="12"/>
      <color rgb="FF0066CC"/>
      <name val="Calibri"/>
      <family val="2"/>
      <scheme val="minor"/>
    </font>
  </fonts>
  <fills count="48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A3E043"/>
        <bgColor/>
      </patternFill>
    </fill>
    <fill>
      <patternFill patternType="solid">
        <fgColor rgb="FFFFFF00"/>
        <bgColor/>
      </patternFill>
    </fill>
    <fill>
      <patternFill patternType="solid">
        <fgColor rgb="FFFFD900"/>
        <bgColor/>
      </patternFill>
    </fill>
    <fill>
      <patternFill patternType="solid">
        <fgColor rgb="FFA3E043"/>
        <bgColor/>
      </patternFill>
    </fill>
    <fill>
      <patternFill patternType="solid">
        <fgColor rgb="FF4DA8EE"/>
        <bgColor/>
      </patternFill>
    </fill>
    <fill>
      <patternFill patternType="solid">
        <fgColor rgb="FFFFD900"/>
        <bgColor/>
      </patternFill>
    </fill>
    <fill>
      <patternFill patternType="solid">
        <fgColor rgb="FFD9E1F4"/>
        <bgColor/>
      </patternFill>
    </fill>
    <fill>
      <patternFill patternType="solid">
        <fgColor rgb="FF98FA1C"/>
        <bgColor/>
      </patternFill>
    </fill>
    <fill>
      <patternFill patternType="solid">
        <fgColor rgb="FFFFFF00"/>
        <bgColor/>
      </patternFill>
    </fill>
    <fill>
      <patternFill patternType="solid">
        <fgColor rgb="FFF2F2F2"/>
        <bgColor/>
      </patternFill>
    </fill>
    <fill>
      <patternFill patternType="solid">
        <fgColor rgb="FFFFD900"/>
        <bgColor/>
      </patternFill>
    </fill>
    <fill>
      <patternFill patternType="solid">
        <fgColor rgb="FFA3E043"/>
        <bgColor/>
      </patternFill>
    </fill>
    <fill>
      <patternFill patternType="solid">
        <fgColor rgb="FFD9E1F4"/>
        <bgColor/>
      </patternFill>
    </fill>
    <fill>
      <patternFill patternType="solid">
        <fgColor rgb="FFCCE0F1"/>
        <bgColor/>
      </patternFill>
    </fill>
    <fill>
      <patternFill patternType="solid">
        <fgColor rgb="FFF2F2F2"/>
        <bgColor/>
      </patternFill>
    </fill>
    <fill>
      <patternFill patternType="solid">
        <fgColor rgb="FFA3E043"/>
        <bgColor/>
      </patternFill>
    </fill>
    <fill>
      <patternFill patternType="solid">
        <fgColor rgb="FFFFD900"/>
        <bgColor/>
      </patternFill>
    </fill>
    <fill>
      <patternFill patternType="solid">
        <fgColor rgb="FFFF7800"/>
        <bgColor/>
      </patternFill>
    </fill>
    <fill>
      <patternFill patternType="solid">
        <fgColor rgb="FF98FA1C"/>
        <bgColor/>
      </patternFill>
    </fill>
    <fill>
      <patternFill patternType="solid">
        <fgColor rgb="FFFFFF00"/>
        <bgColor/>
      </patternFill>
    </fill>
    <fill>
      <patternFill patternType="solid">
        <fgColor rgb="FFFFD900"/>
        <bgColor/>
      </patternFill>
    </fill>
    <fill>
      <patternFill patternType="solid">
        <fgColor rgb="FFA3E043"/>
        <bgColor/>
      </patternFill>
    </fill>
    <fill>
      <patternFill patternType="solid">
        <fgColor rgb="FFFFFF00"/>
        <bgColor/>
      </patternFill>
    </fill>
    <fill>
      <patternFill patternType="solid">
        <fgColor rgb="FFFF0000"/>
        <bgColor/>
      </patternFill>
    </fill>
    <fill>
      <patternFill patternType="solid">
        <fgColor rgb="FF37D9F0"/>
        <bgColor/>
      </patternFill>
    </fill>
    <fill>
      <patternFill patternType="solid">
        <fgColor rgb="FFFF7800"/>
        <bgColor/>
      </patternFill>
    </fill>
    <fill>
      <patternFill patternType="solid">
        <fgColor rgb="FFFFD900"/>
        <bgColor/>
      </patternFill>
    </fill>
    <fill>
      <patternFill patternType="solid">
        <fgColor rgb="FFFFD900"/>
        <bgColor/>
      </patternFill>
    </fill>
    <fill>
      <patternFill patternType="solid">
        <fgColor rgb="FF98C091"/>
        <bgColor/>
      </patternFill>
    </fill>
    <fill>
      <patternFill patternType="solid">
        <fgColor rgb="FFEE7976"/>
        <bgColor/>
      </patternFill>
    </fill>
    <fill>
      <patternFill patternType="solid">
        <fgColor rgb="FF4DA8EE"/>
        <bgColor/>
      </patternFill>
    </fill>
    <fill>
      <patternFill patternType="solid">
        <fgColor rgb="FFD7D8D9"/>
        <bgColor/>
      </patternFill>
    </fill>
    <fill>
      <patternFill patternType="solid">
        <fgColor rgb="FF956FE7"/>
        <bgColor/>
      </patternFill>
    </fill>
    <fill>
      <patternFill patternType="solid">
        <fgColor rgb="FF9C8EC1"/>
        <bgColor/>
      </patternFill>
    </fill>
    <fill>
      <patternFill patternType="solid">
        <fgColor rgb="FFA3E043"/>
        <bgColor/>
      </patternFill>
    </fill>
    <fill>
      <patternFill patternType="solid">
        <fgColor rgb="FF98C091"/>
        <bgColor/>
      </patternFill>
    </fill>
    <fill>
      <patternFill patternType="solid">
        <fgColor rgb="FFEE7976"/>
        <bgColor/>
      </patternFill>
    </fill>
    <fill>
      <patternFill patternType="solid">
        <fgColor rgb="FF4DA8EE"/>
        <bgColor/>
      </patternFill>
    </fill>
    <fill>
      <patternFill patternType="solid">
        <fgColor rgb="FFD7D8D9"/>
        <bgColor/>
      </patternFill>
    </fill>
    <fill>
      <patternFill patternType="solid">
        <fgColor rgb="FF956FE7"/>
        <bgColor/>
      </patternFill>
    </fill>
    <fill>
      <patternFill patternType="solid">
        <fgColor rgb="FF9C8EC1"/>
        <bgColor/>
      </patternFill>
    </fill>
    <fill>
      <patternFill patternType="solid">
        <fgColor rgb="FFA3E043"/>
        <bgColor/>
      </patternFill>
    </fill>
    <fill>
      <patternFill patternType="solid">
        <fgColor rgb="FFFF7800"/>
        <bgColor/>
      </patternFill>
    </fill>
    <fill>
      <patternFill patternType="solid">
        <fgColor rgb="FFFF0000"/>
        <bgColor/>
      </patternFill>
    </fill>
    <fill>
      <patternFill patternType="solid">
        <fgColor rgb="FFFFD900"/>
        <bgColor/>
      </patternFill>
    </fill>
    <fill>
      <patternFill patternType="solid">
        <fgColor rgb="FFFFD900"/>
        <bgColor/>
      </patternFill>
    </fill>
  </fills>
  <borders count="12">
    <border>
      <left/>
      <right/>
      <top/>
      <bottom/>
      <diagonal/>
    </border>
    <border>
      <left style="thin">
        <color rgb="FF2B2B2B"/>
      </left>
      <right style="thin">
        <color rgb="FF2B2B2B"/>
      </right>
      <top style="thin">
        <color rgb="FF2B2B2B"/>
      </top>
      <bottom style="thin">
        <color rgb="FF2B2B2B"/>
      </bottom>
      <diagonal/>
    </border>
    <border>
      <left style="thin">
        <color rgb="FF2B2B2B"/>
      </left>
      <right style="thin">
        <color rgb="FF2B2B2B"/>
      </right>
      <top/>
      <bottom style="thin">
        <color rgb="FF2B2B2B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2B2B2B"/>
      </left>
      <right style="thin">
        <color rgb="FF2B2B2B"/>
      </right>
      <top style="thin">
        <color rgb="FF2B2B2B"/>
      </top>
      <bottom style="thin">
        <color rgb="FF2B2B2B"/>
      </bottom>
      <diagonal/>
    </border>
    <border>
      <left style="thin">
        <color rgb="FF2B2B2B"/>
      </left>
      <right style="thin">
        <color rgb="FF2B2B2B"/>
      </right>
      <top style="thin">
        <color rgb="FF2B2B2B"/>
      </top>
      <bottom style="thin">
        <color rgb="FF2B2B2B"/>
      </bottom>
      <diagonal/>
    </border>
    <border>
      <left style="thin">
        <color rgb="FF2B2B2B"/>
      </left>
      <right style="thin">
        <color rgb="FF2B2B2B"/>
      </right>
      <top style="thin">
        <color rgb="FF2B2B2B"/>
      </top>
      <bottom style="thin">
        <color rgb="FF2B2B2B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2B2B2B"/>
      </left>
      <right style="thin">
        <color rgb="FF2B2B2B"/>
      </right>
      <top style="thin">
        <color rgb="FF2B2B2B"/>
      </top>
      <bottom style="thin">
        <color rgb="FF2B2B2B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298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0" fillId="2" fontId="1" numFmtId="0" xfId="0">
      <alignment horizontal="center" vertical="center"/>
    </xf>
    <xf applyAlignment="true" applyBorder="false" applyFill="true" applyFont="true" applyNumberFormat="false" applyProtection="false" borderId="0" fillId="3" fontId="1" numFmtId="0" xfId="0">
      <alignment horizontal="center" vertical="center"/>
    </xf>
    <xf applyAlignment="true" applyBorder="false" applyFill="false" applyFont="true" applyNumberFormat="false" applyProtection="false" borderId="0" fillId="0" fontId="1" numFmtId="0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horizontal="center" vertical="center"/>
    </xf>
    <xf applyAlignment="true" applyBorder="false" applyFill="false" applyFont="true" applyNumberFormat="true" applyProtection="false" borderId="0" fillId="0" fontId="2" numFmtId="164" xfId="0">
      <alignment horizontal="center" vertical="center"/>
    </xf>
    <xf applyAlignment="true" applyBorder="false" applyFill="false" applyFont="true" applyNumberFormat="true" applyProtection="false" borderId="0" fillId="0" fontId="2" numFmtId="165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true" applyFont="true" applyNumberFormat="true" applyProtection="false" borderId="0" fillId="4" fontId="2" numFmtId="165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horizontal="center" vertical="center" wrapText="true"/>
    </xf>
    <xf applyAlignment="true" applyBorder="false" applyFill="true" applyFont="true" applyNumberFormat="true" applyProtection="false" borderId="1" fillId="5" fontId="1" numFmtId="166" xfId="0">
      <alignment horizontal="center" vertical="center" wrapText="true"/>
    </xf>
    <xf applyAlignment="true" applyBorder="false" applyFill="true" applyFont="true" applyNumberFormat="true" applyProtection="false" borderId="1" fillId="6" fontId="1" numFmtId="167" xfId="0">
      <alignment horizontal="center" vertical="center" wrapText="true"/>
    </xf>
    <xf applyAlignment="true" applyBorder="false" applyFill="true" applyFont="true" applyNumberFormat="true" applyProtection="false" borderId="1" fillId="6" fontId="1" numFmtId="168" xfId="0">
      <alignment horizontal="center" vertical="center" wrapText="true"/>
    </xf>
    <xf applyAlignment="true" applyBorder="false" applyFill="true" applyFont="true" applyNumberFormat="true" applyProtection="false" borderId="1" fillId="6" fontId="6" numFmtId="169" xfId="0">
      <alignment horizontal="center" vertical="center" wrapText="true"/>
    </xf>
    <xf applyAlignment="true" applyBorder="false" applyFill="true" applyFont="true" applyNumberFormat="true" applyProtection="false" borderId="1" fillId="6" fontId="6" numFmtId="170" xfId="0">
      <alignment horizontal="center" vertical="center" wrapText="true"/>
    </xf>
    <xf applyAlignment="true" applyBorder="false" applyFill="false" applyFont="true" applyNumberFormat="true" applyProtection="false" borderId="1" fillId="0" fontId="6" numFmtId="171" xfId="0">
      <alignment horizontal="center" vertical="center" wrapText="true"/>
    </xf>
    <xf applyAlignment="true" applyBorder="false" applyFill="true" applyFont="true" applyNumberFormat="true" applyProtection="false" borderId="1" fillId="7" fontId="6" numFmtId="171" xfId="0">
      <alignment horizontal="center" vertical="center" wrapText="true"/>
    </xf>
    <xf applyAlignment="true" applyBorder="false" applyFill="true" applyFont="true" applyNumberFormat="true" applyProtection="false" borderId="2" fillId="6" fontId="6" numFmtId="172" xfId="0">
      <alignment horizontal="center" vertical="center" wrapText="true"/>
    </xf>
    <xf applyAlignment="true" applyBorder="false" applyFill="false" applyFont="true" applyNumberFormat="true" applyProtection="false" borderId="1" fillId="0" fontId="6" numFmtId="173" xfId="0">
      <alignment horizontal="center" vertical="center" wrapText="true"/>
    </xf>
    <xf applyAlignment="true" applyBorder="false" applyFill="true" applyFont="true" applyNumberFormat="true" applyProtection="false" borderId="1" fillId="6" fontId="1" numFmtId="171" xfId="0">
      <alignment horizontal="center" vertical="center" wrapText="true"/>
    </xf>
    <xf applyAlignment="true" applyBorder="false" applyFill="true" applyFont="true" applyNumberFormat="true" applyProtection="false" borderId="1" fillId="6" fontId="1" numFmtId="174" xfId="0">
      <alignment horizontal="center" vertical="center" wrapText="true"/>
    </xf>
    <xf applyAlignment="true" applyBorder="false" applyFill="false" applyFont="true" applyNumberFormat="true" applyProtection="false" borderId="1" fillId="0" fontId="1" numFmtId="174" xfId="0">
      <alignment horizontal="center" vertical="center" wrapText="true"/>
    </xf>
    <xf applyAlignment="true" applyBorder="false" applyFill="false" applyFont="true" applyNumberFormat="false" applyProtection="false" borderId="0" fillId="0" fontId="1" numFmtId="0" xfId="0">
      <alignment horizontal="center" vertical="center" wrapText="true"/>
    </xf>
    <xf applyAlignment="true" applyBorder="false" applyFill="false" applyFont="true" applyNumberFormat="false" applyProtection="false" borderId="0" fillId="0" fontId="2" numFmtId="0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vertical="bottom"/>
    </xf>
    <xf applyAlignment="true" applyBorder="false" applyFill="false" applyFont="true" applyNumberFormat="true" applyProtection="false" borderId="0" fillId="0" fontId="2" numFmtId="170" xfId="0">
      <alignment horizontal="center" vertical="center"/>
    </xf>
    <xf applyAlignment="true" applyBorder="false" applyFill="false" applyFont="true" applyNumberFormat="true" applyProtection="false" borderId="0" fillId="0" fontId="2" numFmtId="173" xfId="0">
      <alignment horizontal="center" vertical="center"/>
    </xf>
    <xf applyAlignment="true" applyBorder="false" applyFill="false" applyFont="true" applyNumberFormat="true" applyProtection="false" borderId="0" fillId="0" fontId="2" numFmtId="174" xfId="0">
      <alignment horizontal="center" vertical="center"/>
    </xf>
    <xf applyAlignment="true" applyBorder="false" applyFill="false" applyFont="true" applyNumberFormat="true" applyProtection="false" borderId="0" fillId="0" fontId="2" numFmtId="175" xfId="0">
      <alignment horizontal="center" vertical="center"/>
    </xf>
    <xf applyAlignment="true" applyBorder="false" applyFill="false" applyFont="true" applyNumberFormat="true" applyProtection="false" borderId="0" fillId="0" fontId="2" numFmtId="172" xfId="0">
      <alignment vertical="bottom"/>
    </xf>
    <xf applyAlignment="true" applyBorder="false" applyFill="false" applyFont="true" applyNumberFormat="true" applyProtection="false" borderId="0" fillId="0" fontId="2" numFmtId="173" xfId="0">
      <alignment vertical="bottom"/>
    </xf>
    <xf applyAlignment="true" applyBorder="false" applyFill="true" applyFont="true" applyNumberFormat="false" applyProtection="false" borderId="3" fillId="8" fontId="7" numFmtId="0" xfId="0">
      <alignment horizontal="center" vertical="center"/>
    </xf>
    <xf applyAlignment="true" applyBorder="false" applyFill="true" applyFont="true" applyNumberFormat="true" applyProtection="false" borderId="3" fillId="8" fontId="7" numFmtId="176" xfId="0">
      <alignment horizontal="center" vertical="center"/>
    </xf>
    <xf applyAlignment="true" applyBorder="false" applyFill="true" applyFont="true" applyNumberFormat="false" applyProtection="false" borderId="3" fillId="9" fontId="7" numFmtId="0" xfId="0">
      <alignment horizontal="center" vertical="center"/>
    </xf>
    <xf applyAlignment="true" applyBorder="false" applyFill="false" applyFont="true" applyNumberFormat="false" applyProtection="false" borderId="0" fillId="0" fontId="7" numFmtId="0" xfId="0">
      <alignment horizontal="center" vertical="center"/>
    </xf>
    <xf applyAlignment="true" applyBorder="false" applyFill="true" applyFont="true" applyNumberFormat="true" applyProtection="false" borderId="3" fillId="8" fontId="7" numFmtId="177" xfId="0">
      <alignment horizontal="center" vertical="center"/>
    </xf>
    <xf applyAlignment="true" applyBorder="false" applyFill="true" applyFont="true" applyNumberFormat="false" applyProtection="false" borderId="4" fillId="10" fontId="8" numFmtId="0" xfId="0">
      <alignment horizontal="center" vertical="center"/>
    </xf>
    <xf applyAlignment="true" applyBorder="false" applyFill="true" applyFont="true" applyNumberFormat="false" applyProtection="false" borderId="4" fillId="11" fontId="7" numFmtId="0" xfId="0">
      <alignment horizontal="center" vertical="center"/>
    </xf>
    <xf applyAlignment="true" applyBorder="false" applyFill="true" applyFont="true" applyNumberFormat="true" applyProtection="false" borderId="4" fillId="11" fontId="7" numFmtId="178" xfId="0">
      <alignment horizontal="center" vertical="center"/>
    </xf>
    <xf applyAlignment="true" applyBorder="false" applyFill="true" applyFont="true" applyNumberFormat="true" applyProtection="false" borderId="4" fillId="11" fontId="7" numFmtId="176" xfId="0">
      <alignment horizontal="center" vertical="center"/>
    </xf>
    <xf applyAlignment="true" applyBorder="false" applyFill="false" applyFont="true" applyNumberFormat="true" applyProtection="false" borderId="0" fillId="0" fontId="7" numFmtId="177" xfId="0">
      <alignment horizontal="center" vertical="center"/>
    </xf>
    <xf applyAlignment="true" applyBorder="false" applyFill="true" applyFont="true" applyNumberFormat="false" applyProtection="false" borderId="3" fillId="11" fontId="7" numFmtId="0" xfId="0">
      <alignment horizontal="center" vertical="center"/>
    </xf>
    <xf applyAlignment="true" applyBorder="false" applyFill="true" applyFont="true" applyNumberFormat="true" applyProtection="false" borderId="3" fillId="11" fontId="7" numFmtId="178" xfId="0">
      <alignment horizontal="center" vertical="center"/>
    </xf>
    <xf applyAlignment="true" applyBorder="false" applyFill="true" applyFont="true" applyNumberFormat="true" applyProtection="false" borderId="3" fillId="11" fontId="7" numFmtId="176" xfId="0">
      <alignment horizontal="center" vertical="center"/>
    </xf>
    <xf applyAlignment="true" applyBorder="false" applyFill="false" applyFont="true" applyNumberFormat="false" applyProtection="false" borderId="4" fillId="0" fontId="8" numFmtId="0" xfId="0">
      <alignment horizontal="center" vertical="center"/>
    </xf>
    <xf applyAlignment="true" applyBorder="false" applyFill="false" applyFont="true" applyNumberFormat="false" applyProtection="false" borderId="3" fillId="0" fontId="7" numFmtId="0" xfId="0">
      <alignment horizontal="center" vertical="center"/>
    </xf>
    <xf applyAlignment="true" applyBorder="false" applyFill="true" applyFont="true" applyNumberFormat="true" applyProtection="false" borderId="4" fillId="11" fontId="7" numFmtId="179" xfId="0">
      <alignment horizontal="center" vertical="center"/>
    </xf>
    <xf applyAlignment="true" applyBorder="false" applyFill="true" applyFont="true" applyNumberFormat="true" applyProtection="false" borderId="4" fillId="11" fontId="7" numFmtId="177" xfId="0">
      <alignment horizontal="center" vertical="center"/>
    </xf>
    <xf applyAlignment="true" applyBorder="false" applyFill="false" applyFont="true" applyNumberFormat="true" applyProtection="false" borderId="3" fillId="0" fontId="7" numFmtId="178" xfId="0">
      <alignment horizontal="center" vertical="center"/>
    </xf>
    <xf applyAlignment="true" applyBorder="false" applyFill="false" applyFont="true" applyNumberFormat="true" applyProtection="false" borderId="4" fillId="0" fontId="7" numFmtId="176" xfId="0">
      <alignment horizontal="center" vertical="center"/>
    </xf>
    <xf applyAlignment="true" applyBorder="false" applyFill="false" applyFont="true" applyNumberFormat="true" applyProtection="false" borderId="4" fillId="0" fontId="7" numFmtId="178" xfId="0">
      <alignment horizontal="center" vertical="center"/>
    </xf>
    <xf applyAlignment="true" applyBorder="false" applyFill="false" applyFont="true" applyNumberFormat="true" applyProtection="false" borderId="3" fillId="0" fontId="7" numFmtId="176" xfId="0">
      <alignment horizontal="center" vertical="center"/>
    </xf>
    <xf applyAlignment="true" applyBorder="false" applyFill="false" applyFont="true" applyNumberFormat="true" applyProtection="false" borderId="4" fillId="0" fontId="7" numFmtId="179" xfId="0">
      <alignment horizontal="center" vertical="center"/>
    </xf>
    <xf applyAlignment="true" applyBorder="false" applyFill="false" applyFont="true" applyNumberFormat="false" applyProtection="false" borderId="4" fillId="0" fontId="7" numFmtId="0" xfId="0">
      <alignment horizontal="center" vertical="center"/>
    </xf>
    <xf applyAlignment="true" applyBorder="false" applyFill="false" applyFont="true" applyNumberFormat="true" applyProtection="false" borderId="4" fillId="0" fontId="7" numFmtId="177" xfId="0">
      <alignment horizontal="center" vertical="center"/>
    </xf>
    <xf applyAlignment="true" applyBorder="false" applyFill="true" applyFont="true" applyNumberFormat="false" applyProtection="false" borderId="4" fillId="12" fontId="8" numFmtId="0" xfId="0">
      <alignment horizontal="center" vertical="center"/>
    </xf>
    <xf applyAlignment="true" applyBorder="false" applyFill="true" applyFont="true" applyNumberFormat="false" applyProtection="false" borderId="3" fillId="12" fontId="7" numFmtId="0" xfId="0">
      <alignment horizontal="center" vertical="center"/>
    </xf>
    <xf applyAlignment="true" applyBorder="false" applyFill="true" applyFont="true" applyNumberFormat="true" applyProtection="false" borderId="3" fillId="12" fontId="7" numFmtId="178" xfId="0">
      <alignment horizontal="center" vertical="center"/>
    </xf>
    <xf applyAlignment="true" applyBorder="false" applyFill="true" applyFont="true" applyNumberFormat="true" applyProtection="false" borderId="4" fillId="12" fontId="7" numFmtId="176" xfId="0">
      <alignment horizontal="center" vertical="center"/>
    </xf>
    <xf applyAlignment="true" applyBorder="false" applyFill="true" applyFont="true" applyNumberFormat="false" applyProtection="false" borderId="4" fillId="12" fontId="7" numFmtId="0" xfId="0">
      <alignment horizontal="center" vertical="center"/>
    </xf>
    <xf applyAlignment="true" applyBorder="false" applyFill="true" applyFont="true" applyNumberFormat="true" applyProtection="false" borderId="3" fillId="12" fontId="7" numFmtId="176" xfId="0">
      <alignment horizontal="center" vertical="center"/>
    </xf>
    <xf applyAlignment="true" applyBorder="false" applyFill="true" applyFont="true" applyNumberFormat="true" applyProtection="false" borderId="4" fillId="12" fontId="7" numFmtId="178" xfId="0">
      <alignment horizontal="center" vertical="center"/>
    </xf>
    <xf applyAlignment="true" applyBorder="false" applyFill="true" applyFont="true" applyNumberFormat="true" applyProtection="false" borderId="0" fillId="12" fontId="7" numFmtId="177" xfId="0">
      <alignment horizontal="center" vertical="center"/>
    </xf>
    <xf applyAlignment="true" applyBorder="false" applyFill="true" applyFont="true" applyNumberFormat="false" applyProtection="false" borderId="4" fillId="13" fontId="8" numFmtId="0" xfId="0">
      <alignment horizontal="center" vertical="center"/>
    </xf>
    <xf applyAlignment="true" applyBorder="false" applyFill="true" applyFont="true" applyNumberFormat="false" applyProtection="false" borderId="3" fillId="13" fontId="7" numFmtId="0" xfId="0">
      <alignment horizontal="center" vertical="center"/>
    </xf>
    <xf applyAlignment="true" applyBorder="false" applyFill="true" applyFont="true" applyNumberFormat="true" applyProtection="false" borderId="3" fillId="13" fontId="7" numFmtId="178" xfId="0">
      <alignment horizontal="center" vertical="center"/>
    </xf>
    <xf applyAlignment="true" applyBorder="false" applyFill="true" applyFont="true" applyNumberFormat="true" applyProtection="false" borderId="4" fillId="13" fontId="7" numFmtId="176" xfId="0">
      <alignment horizontal="center" vertical="center"/>
    </xf>
    <xf applyAlignment="true" applyBorder="false" applyFill="true" applyFont="true" applyNumberFormat="false" applyProtection="false" borderId="4" fillId="13" fontId="7" numFmtId="0" xfId="0">
      <alignment horizontal="center" vertical="center"/>
    </xf>
    <xf applyAlignment="true" applyBorder="false" applyFill="true" applyFont="true" applyNumberFormat="true" applyProtection="false" borderId="3" fillId="13" fontId="7" numFmtId="176" xfId="0">
      <alignment horizontal="center" vertical="center"/>
    </xf>
    <xf applyAlignment="true" applyBorder="false" applyFill="true" applyFont="true" applyNumberFormat="true" applyProtection="false" borderId="4" fillId="13" fontId="7" numFmtId="178" xfId="0">
      <alignment horizontal="center" vertical="center"/>
    </xf>
    <xf applyAlignment="true" applyBorder="false" applyFill="true" applyFont="true" applyNumberFormat="true" applyProtection="false" borderId="0" fillId="13" fontId="7" numFmtId="177" xfId="0">
      <alignment horizontal="center" vertical="center"/>
    </xf>
    <xf applyAlignment="true" applyBorder="false" applyFill="false" applyFont="true" applyNumberFormat="false" applyProtection="false" borderId="0" fillId="0" fontId="7" numFmtId="0" xfId="0">
      <alignment vertical="center"/>
    </xf>
    <xf applyAlignment="true" applyBorder="false" applyFill="false" applyFont="true" applyNumberFormat="true" applyProtection="false" borderId="0" fillId="0" fontId="7" numFmtId="176" xfId="0">
      <alignment vertical="center"/>
    </xf>
    <xf applyAlignment="true" applyBorder="false" applyFill="false" applyFont="true" applyNumberFormat="true" applyProtection="false" borderId="0" fillId="0" fontId="7" numFmtId="176" xfId="0">
      <alignment horizontal="center" vertical="center"/>
    </xf>
    <xf applyAlignment="true" applyBorder="false" applyFill="false" applyFont="true" applyNumberFormat="false" applyProtection="false" borderId="0" fillId="0" fontId="9" numFmtId="0" xfId="0">
      <alignment vertical="center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true" applyFont="true" applyNumberFormat="false" applyProtection="false" borderId="5" fillId="14" fontId="7" numFmtId="0" xfId="0">
      <alignment horizontal="center" vertical="center" wrapText="true"/>
    </xf>
    <xf applyAlignment="true" applyBorder="false" applyFill="true" applyFont="true" applyNumberFormat="true" applyProtection="false" borderId="5" fillId="14" fontId="7" numFmtId="180" xfId="0">
      <alignment horizontal="center" vertical="center" wrapText="true"/>
    </xf>
    <xf applyAlignment="true" applyBorder="false" applyFill="true" applyFont="true" applyNumberFormat="false" applyProtection="false" borderId="5" fillId="15" fontId="7" numFmtId="0" xfId="0">
      <alignment horizontal="center" vertical="center" wrapText="true"/>
    </xf>
    <xf applyAlignment="true" applyBorder="false" applyFill="false" applyFont="true" applyNumberFormat="false" applyProtection="false" borderId="0" fillId="0" fontId="7" numFmtId="0" xfId="0">
      <alignment horizontal="center" vertical="center" wrapText="true"/>
    </xf>
    <xf applyAlignment="true" applyBorder="false" applyFill="true" applyFont="true" applyNumberFormat="true" applyProtection="false" borderId="5" fillId="14" fontId="7" numFmtId="181" xfId="0">
      <alignment horizontal="center" vertical="center" wrapText="true"/>
    </xf>
    <xf applyAlignment="true" applyBorder="false" applyFill="true" applyFont="true" applyNumberFormat="false" applyProtection="false" borderId="6" fillId="16" fontId="7" numFmtId="0" xfId="0">
      <alignment horizontal="center" vertical="center"/>
    </xf>
    <xf applyAlignment="true" applyBorder="false" applyFill="true" applyFont="true" applyNumberFormat="true" applyProtection="false" borderId="6" fillId="16" fontId="7" numFmtId="182" xfId="0">
      <alignment horizontal="center" vertical="center"/>
    </xf>
    <xf applyAlignment="true" applyBorder="false" applyFill="true" applyFont="true" applyNumberFormat="true" applyProtection="false" borderId="6" fillId="16" fontId="7" numFmtId="180" xfId="0">
      <alignment horizontal="center" vertical="center"/>
    </xf>
    <xf applyAlignment="true" applyBorder="false" applyFill="true" applyFont="true" applyNumberFormat="true" applyProtection="false" borderId="6" fillId="17" fontId="7" numFmtId="183" xfId="0">
      <alignment horizontal="center" vertical="center"/>
    </xf>
    <xf applyAlignment="true" applyBorder="false" applyFill="true" applyFont="true" applyNumberFormat="true" applyProtection="false" borderId="6" fillId="16" fontId="7" numFmtId="184" xfId="0">
      <alignment horizontal="center" vertical="center"/>
    </xf>
    <xf applyAlignment="true" applyBorder="false" applyFill="true" applyFont="true" applyNumberFormat="true" applyProtection="false" borderId="6" fillId="18" fontId="7" numFmtId="182" xfId="0">
      <alignment horizontal="center" vertical="center"/>
    </xf>
    <xf applyAlignment="true" applyBorder="false" applyFill="false" applyFont="true" applyNumberFormat="true" applyProtection="false" borderId="0" fillId="0" fontId="7" numFmtId="181" xfId="0">
      <alignment horizontal="center" vertical="center"/>
    </xf>
    <xf applyAlignment="true" applyBorder="false" applyFill="true" applyFont="true" applyNumberFormat="true" applyProtection="false" borderId="6" fillId="16" fontId="7" numFmtId="183" xfId="0">
      <alignment horizontal="center" vertical="center"/>
    </xf>
    <xf applyAlignment="true" applyBorder="false" applyFill="true" applyFont="true" applyNumberFormat="true" applyProtection="false" borderId="5" fillId="16" fontId="7" numFmtId="180" xfId="0">
      <alignment horizontal="center" vertical="center"/>
    </xf>
    <xf applyAlignment="true" applyBorder="false" applyFill="true" applyFont="true" applyNumberFormat="true" applyProtection="false" borderId="6" fillId="18" fontId="7" numFmtId="183" xfId="0">
      <alignment horizontal="center" vertical="center"/>
    </xf>
    <xf applyAlignment="true" applyBorder="false" applyFill="true" applyFont="true" applyNumberFormat="false" applyProtection="false" borderId="5" fillId="16" fontId="7" numFmtId="0" xfId="0">
      <alignment horizontal="center" vertical="center"/>
    </xf>
    <xf applyAlignment="true" applyBorder="false" applyFill="true" applyFont="true" applyNumberFormat="true" applyProtection="false" borderId="6" fillId="17" fontId="7" numFmtId="182" xfId="0">
      <alignment horizontal="center" vertical="center"/>
    </xf>
    <xf applyAlignment="true" applyBorder="false" applyFill="true" applyFont="true" applyNumberFormat="true" applyProtection="false" borderId="6" fillId="19" fontId="7" numFmtId="183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false" applyFont="true" applyNumberFormat="true" applyProtection="false" borderId="0" fillId="0" fontId="2" numFmtId="180" xfId="0">
      <alignment vertical="center"/>
    </xf>
    <xf applyAlignment="true" applyBorder="false" applyFill="false" applyFont="true" applyNumberFormat="true" applyProtection="false" borderId="7" fillId="0" fontId="1" numFmtId="185" xfId="0">
      <alignment horizontal="center" vertical="center" wrapText="true"/>
    </xf>
    <xf applyAlignment="true" applyBorder="false" applyFill="false" applyFont="true" applyNumberFormat="true" applyProtection="false" borderId="7" fillId="0" fontId="1" numFmtId="186" xfId="0">
      <alignment horizontal="center" vertical="center" wrapText="true"/>
    </xf>
    <xf applyAlignment="true" applyBorder="false" applyFill="false" applyFont="true" applyNumberFormat="true" applyProtection="false" borderId="7" fillId="0" fontId="1" numFmtId="187" xfId="0">
      <alignment horizontal="center" vertical="center" wrapText="true"/>
    </xf>
    <xf applyAlignment="true" applyBorder="false" applyFill="false" applyFont="true" applyNumberFormat="true" applyProtection="false" borderId="7" fillId="0" fontId="1" numFmtId="188" xfId="0">
      <alignment horizontal="center" vertical="center" wrapText="true"/>
    </xf>
    <xf applyAlignment="true" applyBorder="false" applyFill="false" applyFont="true" applyNumberFormat="true" applyProtection="false" borderId="7" fillId="0" fontId="6" numFmtId="187" xfId="0">
      <alignment horizontal="center" vertical="center" wrapText="true"/>
    </xf>
    <xf applyAlignment="true" applyBorder="false" applyFill="false" applyFont="true" applyNumberFormat="true" applyProtection="false" borderId="7" fillId="0" fontId="6" numFmtId="189" xfId="0">
      <alignment horizontal="center" vertical="center" wrapText="true"/>
    </xf>
    <xf applyAlignment="true" applyBorder="false" applyFill="true" applyFont="true" applyNumberFormat="true" applyProtection="false" borderId="7" fillId="20" fontId="6" numFmtId="190" xfId="0">
      <alignment horizontal="center" vertical="center" wrapText="true"/>
    </xf>
    <xf applyAlignment="true" applyBorder="false" applyFill="false" applyFont="true" applyNumberFormat="true" applyProtection="false" borderId="7" fillId="0" fontId="6" numFmtId="191" xfId="0">
      <alignment horizontal="center" vertical="center" wrapText="true"/>
    </xf>
    <xf applyAlignment="true" applyBorder="false" applyFill="false" applyFont="true" applyNumberFormat="false" applyProtection="false" borderId="7" fillId="0" fontId="6" numFmtId="0" xfId="0">
      <alignment horizontal="center" vertical="center" wrapText="true"/>
    </xf>
    <xf applyAlignment="true" applyBorder="false" applyFill="false" applyFont="true" applyNumberFormat="true" applyProtection="false" borderId="7" fillId="0" fontId="1" numFmtId="190" xfId="0">
      <alignment horizontal="center" vertical="center" wrapText="true"/>
    </xf>
    <xf applyAlignment="true" applyBorder="false" applyFill="false" applyFont="true" applyNumberFormat="true" applyProtection="false" borderId="7" fillId="0" fontId="1" numFmtId="192" xfId="0">
      <alignment horizontal="center" vertical="center" wrapText="true"/>
    </xf>
    <xf applyAlignment="true" applyBorder="false" applyFill="true" applyFont="true" applyNumberFormat="true" applyProtection="false" borderId="7" fillId="21" fontId="1" numFmtId="192" xfId="0">
      <alignment horizontal="center" vertical="center" wrapText="true"/>
    </xf>
    <xf applyAlignment="true" applyBorder="false" applyFill="true" applyFont="true" applyNumberFormat="true" applyProtection="false" borderId="7" fillId="21" fontId="6" numFmtId="186" xfId="0">
      <alignment horizontal="center" vertical="center" wrapText="true"/>
    </xf>
    <xf applyAlignment="true" applyBorder="false" applyFill="true" applyFont="true" applyNumberFormat="false" applyProtection="false" borderId="7" fillId="21" fontId="6" numFmtId="0" xfId="0">
      <alignment horizontal="center" vertical="center" wrapText="true"/>
    </xf>
    <xf applyAlignment="true" applyBorder="false" applyFill="false" applyFont="true" applyNumberFormat="false" applyProtection="false" borderId="7" fillId="0" fontId="2" numFmtId="0" xfId="0">
      <alignment horizontal="center" vertical="center"/>
    </xf>
    <xf applyAlignment="true" applyBorder="false" applyFill="false" applyFont="true" applyNumberFormat="false" applyProtection="false" borderId="7" fillId="0" fontId="2" numFmtId="0" xfId="0">
      <alignment horizontal="left" vertical="center"/>
    </xf>
    <xf applyAlignment="true" applyBorder="false" applyFill="false" applyFont="true" applyNumberFormat="true" applyProtection="false" borderId="7" fillId="0" fontId="2" numFmtId="188" xfId="0">
      <alignment horizontal="center" vertical="center"/>
    </xf>
    <xf applyAlignment="true" applyBorder="false" applyFill="false" applyFont="true" applyNumberFormat="true" applyProtection="false" borderId="7" fillId="0" fontId="2" numFmtId="187" xfId="0">
      <alignment horizontal="center" vertical="center"/>
    </xf>
    <xf applyAlignment="true" applyBorder="false" applyFill="false" applyFont="true" applyNumberFormat="true" applyProtection="false" borderId="7" fillId="0" fontId="2" numFmtId="189" xfId="0">
      <alignment horizontal="center" vertical="center"/>
    </xf>
    <xf applyAlignment="true" applyBorder="false" applyFill="false" applyFont="true" applyNumberFormat="true" applyProtection="false" borderId="7" fillId="0" fontId="2" numFmtId="190" xfId="0">
      <alignment horizontal="center" vertical="center"/>
    </xf>
    <xf applyAlignment="true" applyBorder="false" applyFill="false" applyFont="true" applyNumberFormat="true" applyProtection="false" borderId="7" fillId="0" fontId="2" numFmtId="185" xfId="0">
      <alignment horizontal="center" vertical="center"/>
    </xf>
    <xf applyAlignment="true" applyBorder="false" applyFill="false" applyFont="true" applyNumberFormat="true" applyProtection="false" borderId="7" fillId="0" fontId="2" numFmtId="192" xfId="0">
      <alignment horizontal="center" vertical="center"/>
    </xf>
    <xf applyAlignment="true" applyBorder="false" applyFill="false" applyFont="true" applyNumberFormat="true" applyProtection="false" borderId="7" fillId="0" fontId="10" numFmtId="193" xfId="0">
      <alignment horizontal="center" vertical="center" wrapText="true"/>
    </xf>
    <xf applyAlignment="true" applyBorder="false" applyFill="false" applyFont="true" applyNumberFormat="true" applyProtection="false" borderId="7" fillId="0" fontId="2" numFmtId="193" xfId="0">
      <alignment horizontal="center" vertical="center"/>
    </xf>
    <xf applyAlignment="true" applyBorder="false" applyFill="false" applyFont="true" applyNumberFormat="true" applyProtection="false" borderId="7" fillId="0" fontId="2" numFmtId="194" xfId="0">
      <alignment horizontal="center" vertical="center"/>
    </xf>
    <xf applyAlignment="true" applyBorder="false" applyFill="true" applyFont="true" applyNumberFormat="true" applyProtection="false" borderId="7" fillId="22" fontId="2" numFmtId="189" xfId="0">
      <alignment horizontal="center" vertical="center"/>
    </xf>
    <xf applyAlignment="true" applyBorder="false" applyFill="true" applyFont="true" applyNumberFormat="true" applyProtection="false" borderId="7" fillId="22" fontId="10" numFmtId="193" xfId="0">
      <alignment horizontal="center" vertical="center" wrapText="true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true" applyFont="true" applyNumberFormat="false" applyProtection="false" borderId="8" fillId="23" fontId="11" numFmtId="0" xfId="0">
      <alignment horizontal="center" vertical="center" wrapText="true"/>
    </xf>
    <xf applyAlignment="true" applyBorder="false" applyFill="true" applyFont="true" applyNumberFormat="false" applyProtection="false" borderId="8" fillId="23" fontId="11" numFmtId="0" xfId="0">
      <alignment horizontal="center" vertical="center"/>
    </xf>
    <xf applyAlignment="true" applyBorder="false" applyFill="true" applyFont="true" applyNumberFormat="true" applyProtection="false" borderId="8" fillId="23" fontId="12" numFmtId="195" xfId="0">
      <alignment horizontal="center" vertical="center" wrapText="true"/>
    </xf>
    <xf applyAlignment="true" applyBorder="false" applyFill="true" applyFont="true" applyNumberFormat="true" applyProtection="false" borderId="8" fillId="24" fontId="12" numFmtId="196" xfId="0">
      <alignment horizontal="center" vertical="center" wrapText="true"/>
    </xf>
    <xf applyAlignment="true" applyBorder="false" applyFill="true" applyFont="true" applyNumberFormat="true" applyProtection="false" borderId="8" fillId="23" fontId="11" numFmtId="195" xfId="0">
      <alignment horizontal="center" vertical="center" wrapText="true"/>
    </xf>
    <xf applyAlignment="true" applyBorder="false" applyFill="true" applyFont="true" applyNumberFormat="true" applyProtection="false" borderId="8" fillId="23" fontId="11" numFmtId="197" xfId="0">
      <alignment horizontal="center" vertical="center" wrapText="true"/>
    </xf>
    <xf applyAlignment="true" applyBorder="false" applyFill="true" applyFont="true" applyNumberFormat="true" applyProtection="false" borderId="8" fillId="23" fontId="11" numFmtId="196" xfId="0">
      <alignment horizontal="center" vertical="center" wrapText="true"/>
    </xf>
    <xf applyAlignment="true" applyBorder="false" applyFill="true" applyFont="true" applyNumberFormat="true" applyProtection="false" borderId="8" fillId="23" fontId="11" numFmtId="198" xfId="0">
      <alignment horizontal="center" vertical="center" wrapText="true"/>
    </xf>
    <xf applyAlignment="true" applyBorder="false" applyFill="true" applyFont="true" applyNumberFormat="true" applyProtection="false" borderId="8" fillId="24" fontId="11" numFmtId="199" xfId="0">
      <alignment horizontal="center" vertical="center" wrapText="true"/>
    </xf>
    <xf applyAlignment="true" applyBorder="false" applyFill="true" applyFont="true" applyNumberFormat="true" applyProtection="false" borderId="8" fillId="24" fontId="11" numFmtId="195" xfId="0">
      <alignment horizontal="center" vertical="center" wrapText="true"/>
    </xf>
    <xf applyAlignment="true" applyBorder="false" applyFill="true" applyFont="true" applyNumberFormat="false" applyProtection="false" borderId="8" fillId="24" fontId="11" numFmtId="0" xfId="0">
      <alignment horizontal="center" vertical="center" wrapText="true"/>
    </xf>
    <xf applyAlignment="true" applyBorder="false" applyFill="true" applyFont="true" applyNumberFormat="true" applyProtection="false" borderId="8" fillId="24" fontId="12" numFmtId="198" xfId="0">
      <alignment horizontal="center" vertical="center" wrapText="true"/>
    </xf>
    <xf applyAlignment="true" applyBorder="false" applyFill="true" applyFont="true" applyNumberFormat="true" applyProtection="false" borderId="8" fillId="23" fontId="12" numFmtId="198" xfId="0">
      <alignment horizontal="center" vertical="center" wrapText="true"/>
    </xf>
    <xf applyAlignment="true" applyBorder="false" applyFill="true" applyFont="true" applyNumberFormat="true" applyProtection="false" borderId="8" fillId="23" fontId="12" numFmtId="200" xfId="0">
      <alignment horizontal="center" vertical="center" wrapText="true"/>
    </xf>
    <xf applyAlignment="true" applyBorder="false" applyFill="true" applyFont="true" applyNumberFormat="true" applyProtection="false" borderId="8" fillId="24" fontId="11" numFmtId="196" xfId="0">
      <alignment horizontal="center" vertical="center" wrapText="true"/>
    </xf>
    <xf applyAlignment="true" applyBorder="false" applyFill="true" applyFont="true" applyNumberFormat="false" applyProtection="false" borderId="8" fillId="23" fontId="11" numFmtId="0" xfId="0">
      <alignment horizontal="left" vertical="center" wrapText="true"/>
    </xf>
    <xf applyAlignment="true" applyBorder="false" applyFill="true" applyFont="true" applyNumberFormat="false" applyProtection="false" borderId="8" fillId="23" fontId="12" numFmtId="0" xfId="0">
      <alignment horizontal="center" vertical="center" wrapText="true"/>
    </xf>
    <xf applyAlignment="true" applyBorder="false" applyFill="true" applyFont="true" applyNumberFormat="false" applyProtection="false" borderId="8" fillId="23" fontId="13" numFmtId="0" xfId="0">
      <alignment horizontal="center" vertical="center"/>
    </xf>
    <xf applyAlignment="true" applyBorder="false" applyFill="false" applyFont="true" applyNumberFormat="false" applyProtection="false" borderId="8" fillId="0" fontId="13" numFmtId="0" xfId="0">
      <alignment horizontal="center" vertical="center"/>
    </xf>
    <xf applyAlignment="true" applyBorder="false" applyFill="false" applyFont="true" applyNumberFormat="false" applyProtection="false" borderId="8" fillId="0" fontId="13" numFmtId="0" xfId="0">
      <alignment horizontal="left" vertical="bottom" wrapText="true"/>
    </xf>
    <xf applyAlignment="true" applyBorder="false" applyFill="false" applyFont="true" applyNumberFormat="true" applyProtection="false" borderId="8" fillId="0" fontId="13" numFmtId="196" xfId="0">
      <alignment horizontal="center" vertical="center"/>
    </xf>
    <xf applyAlignment="true" applyBorder="false" applyFill="false" applyFont="true" applyNumberFormat="true" applyProtection="false" borderId="8" fillId="0" fontId="13" numFmtId="196" xfId="0">
      <alignment horizontal="center" vertical="center" wrapText="true"/>
    </xf>
    <xf applyAlignment="true" applyBorder="false" applyFill="false" applyFont="true" applyNumberFormat="true" applyProtection="false" borderId="8" fillId="0" fontId="13" numFmtId="195" xfId="0">
      <alignment horizontal="center" vertical="center"/>
    </xf>
    <xf applyAlignment="true" applyBorder="false" applyFill="false" applyFont="true" applyNumberFormat="true" applyProtection="false" borderId="8" fillId="0" fontId="13" numFmtId="197" xfId="0">
      <alignment horizontal="center" vertical="center"/>
    </xf>
    <xf applyAlignment="true" applyBorder="false" applyFill="true" applyFont="true" applyNumberFormat="true" applyProtection="false" borderId="8" fillId="24" fontId="13" numFmtId="198" xfId="0">
      <alignment horizontal="center" vertical="center"/>
    </xf>
    <xf applyAlignment="true" applyBorder="false" applyFill="false" applyFont="true" applyNumberFormat="true" applyProtection="false" borderId="8" fillId="0" fontId="13" numFmtId="201" xfId="0">
      <alignment horizontal="center" vertical="center"/>
    </xf>
    <xf applyAlignment="true" applyBorder="false" applyFill="false" applyFont="true" applyNumberFormat="true" applyProtection="false" borderId="8" fillId="0" fontId="13" numFmtId="200" xfId="0">
      <alignment horizontal="center" vertical="center"/>
    </xf>
    <xf applyAlignment="true" applyBorder="false" applyFill="true" applyFont="true" applyNumberFormat="true" applyProtection="false" borderId="8" fillId="25" fontId="13" numFmtId="200" xfId="0">
      <alignment horizontal="center" vertical="center"/>
    </xf>
    <xf applyAlignment="true" applyBorder="false" applyFill="false" applyFont="true" applyNumberFormat="true" applyProtection="false" borderId="8" fillId="0" fontId="13" numFmtId="198" xfId="0">
      <alignment horizontal="center" vertical="center"/>
    </xf>
    <xf applyAlignment="true" applyBorder="false" applyFill="false" applyFont="true" applyNumberFormat="true" applyProtection="false" borderId="8" fillId="0" fontId="14" numFmtId="202" xfId="0">
      <alignment horizontal="center" vertical="center" wrapText="true"/>
    </xf>
    <xf applyAlignment="true" applyBorder="false" applyFill="false" applyFont="true" applyNumberFormat="true" applyProtection="false" borderId="8" fillId="0" fontId="13" numFmtId="203" xfId="0">
      <alignment horizontal="center" vertical="center"/>
    </xf>
    <xf applyAlignment="true" applyBorder="false" applyFill="false" applyFont="true" applyNumberFormat="false" applyProtection="false" borderId="8" fillId="0" fontId="12" numFmtId="0" xfId="0">
      <alignment horizontal="center" vertical="center"/>
    </xf>
    <xf applyAlignment="true" applyBorder="false" applyFill="false" applyFont="true" applyNumberFormat="true" applyProtection="false" borderId="8" fillId="0" fontId="13" numFmtId="204" xfId="0">
      <alignment horizontal="center" vertical="center"/>
    </xf>
    <xf applyAlignment="true" applyBorder="false" applyFill="false" applyFont="true" applyNumberFormat="false" applyProtection="false" borderId="8" fillId="0" fontId="15" numFmtId="0" xfId="0">
      <alignment horizontal="left" vertical="bottom" wrapText="true"/>
    </xf>
    <xf applyAlignment="true" applyBorder="false" applyFill="true" applyFont="true" applyNumberFormat="false" applyProtection="false" borderId="8" fillId="26" fontId="13" numFmtId="0" xfId="0">
      <alignment horizontal="center" vertical="center"/>
    </xf>
    <xf applyAlignment="true" applyBorder="false" applyFill="true" applyFont="true" applyNumberFormat="false" applyProtection="false" borderId="8" fillId="26" fontId="13" numFmtId="0" xfId="0">
      <alignment horizontal="left" vertical="bottom" wrapText="true"/>
    </xf>
    <xf applyAlignment="true" applyBorder="false" applyFill="true" applyFont="true" applyNumberFormat="true" applyProtection="false" borderId="8" fillId="26" fontId="13" numFmtId="196" xfId="0">
      <alignment horizontal="center" vertical="center"/>
    </xf>
    <xf applyAlignment="true" applyBorder="false" applyFill="true" applyFont="true" applyNumberFormat="true" applyProtection="false" borderId="8" fillId="26" fontId="13" numFmtId="196" xfId="0">
      <alignment horizontal="center" vertical="center" wrapText="true"/>
    </xf>
    <xf applyAlignment="true" applyBorder="false" applyFill="true" applyFont="true" applyNumberFormat="true" applyProtection="false" borderId="8" fillId="27" fontId="13" numFmtId="195" xfId="0">
      <alignment horizontal="center" vertical="center"/>
    </xf>
    <xf applyAlignment="true" applyBorder="false" applyFill="true" applyFont="true" applyNumberFormat="true" applyProtection="false" borderId="8" fillId="26" fontId="13" numFmtId="195" xfId="0">
      <alignment horizontal="center" vertical="center"/>
    </xf>
    <xf applyAlignment="true" applyBorder="false" applyFill="true" applyFont="true" applyNumberFormat="true" applyProtection="false" borderId="8" fillId="26" fontId="13" numFmtId="197" xfId="0">
      <alignment horizontal="center" vertical="center"/>
    </xf>
    <xf applyAlignment="true" applyBorder="false" applyFill="true" applyFont="true" applyNumberFormat="true" applyProtection="false" borderId="8" fillId="26" fontId="13" numFmtId="198" xfId="0">
      <alignment horizontal="center" vertical="center"/>
    </xf>
    <xf applyAlignment="true" applyBorder="false" applyFill="true" applyFont="true" applyNumberFormat="true" applyProtection="false" borderId="8" fillId="26" fontId="13" numFmtId="200" xfId="0">
      <alignment horizontal="center" vertical="center"/>
    </xf>
    <xf applyAlignment="true" applyBorder="false" applyFill="true" applyFont="true" applyNumberFormat="true" applyProtection="false" borderId="8" fillId="26" fontId="14" numFmtId="202" xfId="0">
      <alignment horizontal="center" vertical="center" wrapText="true"/>
    </xf>
    <xf applyAlignment="true" applyBorder="false" applyFill="true" applyFont="true" applyNumberFormat="true" applyProtection="false" borderId="8" fillId="26" fontId="13" numFmtId="203" xfId="0">
      <alignment horizontal="center" vertical="center"/>
    </xf>
    <xf applyAlignment="true" applyBorder="false" applyFill="true" applyFont="true" applyNumberFormat="true" applyProtection="false" borderId="8" fillId="26" fontId="13" numFmtId="201" xfId="0">
      <alignment horizontal="center" vertical="center"/>
    </xf>
    <xf applyAlignment="true" applyBorder="false" applyFill="true" applyFont="true" applyNumberFormat="false" applyProtection="false" borderId="8" fillId="26" fontId="12" numFmtId="0" xfId="0">
      <alignment horizontal="center" vertical="center"/>
    </xf>
    <xf applyAlignment="true" applyBorder="false" applyFill="true" applyFont="true" applyNumberFormat="true" applyProtection="false" borderId="8" fillId="26" fontId="13" numFmtId="204" xfId="0">
      <alignment horizontal="center" vertical="center"/>
    </xf>
    <xf applyAlignment="true" applyBorder="false" applyFill="true" applyFont="true" applyNumberFormat="false" applyProtection="false" borderId="8" fillId="26" fontId="15" numFmtId="0" xfId="0">
      <alignment horizontal="left" vertical="bottom" wrapText="true"/>
    </xf>
    <xf applyAlignment="true" applyBorder="false" applyFill="true" applyFont="true" applyNumberFormat="true" applyProtection="false" borderId="8" fillId="28" fontId="13" numFmtId="196" xfId="0">
      <alignment horizontal="center" vertical="center" wrapText="true"/>
    </xf>
    <xf applyAlignment="true" applyBorder="false" applyFill="true" applyFont="true" applyNumberFormat="false" applyProtection="false" borderId="8" fillId="24" fontId="13" numFmtId="0" xfId="0">
      <alignment horizontal="left" vertical="bottom" wrapText="true"/>
    </xf>
    <xf applyAlignment="true" applyBorder="false" applyFill="true" applyFont="true" applyNumberFormat="true" applyProtection="false" borderId="8" fillId="28" fontId="13" numFmtId="195" xfId="0">
      <alignment horizontal="center" vertical="center"/>
    </xf>
    <xf applyAlignment="true" applyBorder="false" applyFill="true" applyFont="true" applyNumberFormat="false" applyProtection="false" borderId="8" fillId="28" fontId="13" numFmtId="0" xfId="0">
      <alignment horizontal="left" vertical="bottom" wrapText="true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false" applyFont="true" applyNumberFormat="false" applyProtection="false" borderId="0" fillId="0" fontId="2" numFmtId="0" xfId="0">
      <alignment horizontal="center" vertical="center"/>
    </xf>
    <xf applyAlignment="true" applyBorder="false" applyFill="false" applyFont="true" applyNumberFormat="false" applyProtection="false" borderId="8" fillId="0" fontId="2" numFmtId="0" xfId="0">
      <alignment vertical="center"/>
    </xf>
    <xf applyAlignment="true" applyBorder="false" applyFill="false" applyFont="true" applyNumberFormat="false" applyProtection="false" borderId="0" fillId="0" fontId="2" numFmtId="0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horizontal="center" vertical="center" wrapText="true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false" applyFont="true" applyNumberFormat="false" applyProtection="false" borderId="0" fillId="0" fontId="2" numFmtId="0" xfId="0">
      <alignment horizontal="left" vertical="center"/>
    </xf>
    <xf applyAlignment="true" applyBorder="false" applyFill="true" applyFont="true" applyNumberFormat="false" applyProtection="false" borderId="0" fillId="29" fontId="2" numFmtId="0" xfId="0">
      <alignment horizontal="center" vertical="center"/>
    </xf>
    <xf applyAlignment="true" applyBorder="false" applyFill="false" applyFont="true" applyNumberFormat="false" applyProtection="false" borderId="9" fillId="0" fontId="11" numFmtId="0" xfId="0">
      <alignment horizontal="center" vertical="center" wrapText="true"/>
    </xf>
    <xf applyAlignment="true" applyBorder="false" applyFill="false" applyFont="true" applyNumberFormat="false" applyProtection="false" borderId="9" fillId="0" fontId="11" numFmtId="0" xfId="0">
      <alignment horizontal="center" vertical="center"/>
    </xf>
    <xf applyAlignment="true" applyBorder="false" applyFill="true" applyFont="true" applyNumberFormat="true" applyProtection="false" borderId="9" fillId="30" fontId="12" numFmtId="205" xfId="0">
      <alignment horizontal="center" vertical="center" wrapText="true"/>
    </xf>
    <xf applyAlignment="true" applyBorder="false" applyFill="true" applyFont="true" applyNumberFormat="true" applyProtection="false" borderId="9" fillId="30" fontId="12" numFmtId="206" xfId="0">
      <alignment horizontal="center" vertical="center" wrapText="true"/>
    </xf>
    <xf applyAlignment="true" applyBorder="false" applyFill="true" applyFont="true" applyNumberFormat="true" applyProtection="false" borderId="9" fillId="31" fontId="12" numFmtId="205" xfId="0">
      <alignment horizontal="center" vertical="center" wrapText="true"/>
    </xf>
    <xf applyAlignment="true" applyBorder="false" applyFill="true" applyFont="true" applyNumberFormat="true" applyProtection="false" borderId="9" fillId="32" fontId="12" numFmtId="205" xfId="0">
      <alignment horizontal="center" vertical="center" wrapText="true"/>
    </xf>
    <xf applyAlignment="true" applyBorder="false" applyFill="true" applyFont="true" applyNumberFormat="true" applyProtection="false" borderId="9" fillId="32" fontId="12" numFmtId="206" xfId="0">
      <alignment horizontal="center" vertical="center" wrapText="true"/>
    </xf>
    <xf applyAlignment="true" applyBorder="false" applyFill="true" applyFont="true" applyNumberFormat="true" applyProtection="false" borderId="9" fillId="32" fontId="11" numFmtId="205" xfId="0">
      <alignment horizontal="center" vertical="center" wrapText="true"/>
    </xf>
    <xf applyAlignment="true" applyBorder="false" applyFill="true" applyFont="true" applyNumberFormat="true" applyProtection="false" borderId="9" fillId="32" fontId="11" numFmtId="207" xfId="0">
      <alignment horizontal="center" vertical="center" wrapText="true"/>
    </xf>
    <xf applyAlignment="true" applyBorder="false" applyFill="false" applyFont="true" applyNumberFormat="true" applyProtection="false" borderId="9" fillId="0" fontId="11" numFmtId="206" xfId="0">
      <alignment horizontal="center" vertical="center" wrapText="true"/>
    </xf>
    <xf applyAlignment="true" applyBorder="false" applyFill="true" applyFont="true" applyNumberFormat="true" applyProtection="false" borderId="9" fillId="32" fontId="11" numFmtId="208" xfId="0">
      <alignment horizontal="center" vertical="center" wrapText="true"/>
    </xf>
    <xf applyAlignment="true" applyBorder="false" applyFill="true" applyFont="true" applyNumberFormat="false" applyProtection="false" borderId="9" fillId="33" fontId="11" numFmtId="0" xfId="0">
      <alignment horizontal="center" vertical="center" wrapText="true"/>
    </xf>
    <xf applyAlignment="true" applyBorder="false" applyFill="true" applyFont="true" applyNumberFormat="true" applyProtection="false" borderId="9" fillId="32" fontId="11" numFmtId="209" xfId="0">
      <alignment horizontal="center" vertical="center" wrapText="true"/>
    </xf>
    <xf applyAlignment="true" applyBorder="false" applyFill="true" applyFont="true" applyNumberFormat="true" applyProtection="false" borderId="9" fillId="31" fontId="12" numFmtId="206" xfId="0">
      <alignment horizontal="left" vertical="center" wrapText="true"/>
    </xf>
    <xf applyAlignment="true" applyBorder="false" applyFill="true" applyFont="true" applyNumberFormat="true" applyProtection="false" borderId="9" fillId="32" fontId="12" numFmtId="208" xfId="0">
      <alignment horizontal="center" vertical="center" wrapText="true"/>
    </xf>
    <xf applyAlignment="true" applyBorder="false" applyFill="true" applyFont="true" applyNumberFormat="true" applyProtection="false" borderId="9" fillId="32" fontId="12" numFmtId="210" xfId="0">
      <alignment horizontal="center" vertical="center" wrapText="true"/>
    </xf>
    <xf applyAlignment="true" applyBorder="false" applyFill="false" applyFont="true" applyNumberFormat="true" applyProtection="false" borderId="9" fillId="0" fontId="12" numFmtId="208" xfId="0">
      <alignment horizontal="center" vertical="center" wrapText="true"/>
    </xf>
    <xf applyAlignment="true" applyBorder="false" applyFill="true" applyFont="true" applyNumberFormat="true" applyProtection="false" borderId="9" fillId="34" fontId="11" numFmtId="206" xfId="0">
      <alignment horizontal="left" vertical="center" wrapText="true"/>
    </xf>
    <xf applyAlignment="true" applyBorder="false" applyFill="true" applyFont="true" applyNumberFormat="false" applyProtection="false" borderId="9" fillId="34" fontId="11" numFmtId="0" xfId="0">
      <alignment horizontal="left" vertical="center" wrapText="true"/>
    </xf>
    <xf applyAlignment="true" applyBorder="false" applyFill="true" applyFont="true" applyNumberFormat="true" applyProtection="false" borderId="9" fillId="35" fontId="12" numFmtId="210" xfId="0">
      <alignment horizontal="center" vertical="center" wrapText="true"/>
    </xf>
    <xf applyAlignment="true" applyBorder="false" applyFill="true" applyFont="true" applyNumberFormat="true" applyProtection="false" borderId="9" fillId="34" fontId="11" numFmtId="206" xfId="0">
      <alignment horizontal="center" vertical="center" wrapText="true"/>
    </xf>
    <xf applyAlignment="true" applyBorder="false" applyFill="false" applyFont="true" applyNumberFormat="true" applyProtection="false" borderId="9" fillId="0" fontId="12" numFmtId="210" xfId="0">
      <alignment horizontal="center" vertical="center" wrapText="true"/>
    </xf>
    <xf applyAlignment="true" applyBorder="false" applyFill="true" applyFont="true" applyNumberFormat="false" applyProtection="false" borderId="9" fillId="36" fontId="12" numFmtId="0" xfId="0">
      <alignment horizontal="center" vertical="center" wrapText="true"/>
    </xf>
    <xf applyAlignment="true" applyBorder="false" applyFill="true" applyFont="true" applyNumberFormat="true" applyProtection="false" borderId="9" fillId="36" fontId="12" numFmtId="210" xfId="0">
      <alignment horizontal="center" vertical="center" wrapText="true"/>
    </xf>
    <xf applyAlignment="true" applyBorder="false" applyFill="true" applyFont="true" applyNumberFormat="false" applyProtection="false" borderId="9" fillId="35" fontId="12" numFmtId="0" xfId="0">
      <alignment horizontal="center" vertical="center" wrapText="true"/>
    </xf>
    <xf applyAlignment="true" applyBorder="false" applyFill="false" applyFont="true" applyNumberFormat="false" applyProtection="false" borderId="9" fillId="0" fontId="12" numFmtId="0" xfId="0">
      <alignment horizontal="center" vertical="center" wrapText="true"/>
    </xf>
    <xf applyAlignment="true" applyBorder="false" applyFill="false" applyFont="true" applyNumberFormat="false" applyProtection="false" borderId="9" fillId="0" fontId="13" numFmtId="0" xfId="0">
      <alignment horizontal="center" vertical="center"/>
    </xf>
    <xf applyAlignment="true" applyBorder="false" applyFill="false" applyFont="true" applyNumberFormat="false" applyProtection="false" borderId="9" fillId="0" fontId="13" numFmtId="0" xfId="0">
      <alignment horizontal="left" vertical="bottom" wrapText="true"/>
    </xf>
    <xf applyAlignment="true" applyBorder="false" applyFill="false" applyFont="true" applyNumberFormat="true" applyProtection="false" borderId="9" fillId="0" fontId="13" numFmtId="211" xfId="0">
      <alignment horizontal="center" vertical="center" wrapText="true"/>
    </xf>
    <xf applyAlignment="true" applyBorder="false" applyFill="false" applyFont="true" applyNumberFormat="false" applyProtection="false" borderId="10" fillId="0" fontId="13" numFmtId="0" xfId="0">
      <alignment horizontal="center" vertical="bottom"/>
    </xf>
    <xf applyAlignment="true" applyBorder="false" applyFill="false" applyFont="true" applyNumberFormat="true" applyProtection="false" borderId="9" fillId="0" fontId="13" numFmtId="206" xfId="0">
      <alignment horizontal="center" vertical="center"/>
    </xf>
    <xf applyAlignment="true" applyBorder="false" applyFill="false" applyFont="true" applyNumberFormat="true" applyProtection="false" borderId="10" fillId="0" fontId="13" numFmtId="212" xfId="0">
      <alignment horizontal="center" vertical="bottom"/>
    </xf>
    <xf applyAlignment="true" applyBorder="false" applyFill="false" applyFont="true" applyNumberFormat="true" applyProtection="false" borderId="9" fillId="0" fontId="13" numFmtId="205" xfId="0">
      <alignment horizontal="center" vertical="center"/>
    </xf>
    <xf applyAlignment="true" applyBorder="false" applyFill="false" applyFont="true" applyNumberFormat="true" applyProtection="false" borderId="9" fillId="0" fontId="13" numFmtId="207" xfId="0">
      <alignment horizontal="center" vertical="center"/>
    </xf>
    <xf applyAlignment="true" applyBorder="false" applyFill="false" applyFont="true" applyNumberFormat="true" applyProtection="false" borderId="9" fillId="0" fontId="13" numFmtId="208" xfId="0">
      <alignment horizontal="center" vertical="center"/>
    </xf>
    <xf applyAlignment="true" applyBorder="false" applyFill="false" applyFont="true" applyNumberFormat="true" applyProtection="false" borderId="9" fillId="0" fontId="13" numFmtId="213" xfId="0">
      <alignment horizontal="center" vertical="center"/>
    </xf>
    <xf applyAlignment="true" applyBorder="false" applyFill="false" applyFont="true" applyNumberFormat="true" applyProtection="false" borderId="9" fillId="0" fontId="13" numFmtId="210" xfId="0">
      <alignment horizontal="center" vertical="center"/>
    </xf>
    <xf applyAlignment="true" applyBorder="false" applyFill="false" applyFont="true" applyNumberFormat="true" applyProtection="false" borderId="9" fillId="0" fontId="14" numFmtId="214" xfId="0">
      <alignment horizontal="center" vertical="center" wrapText="true"/>
    </xf>
    <xf applyAlignment="true" applyBorder="false" applyFill="false" applyFont="true" applyNumberFormat="true" applyProtection="false" borderId="9" fillId="0" fontId="13" numFmtId="212" xfId="0">
      <alignment horizontal="center" vertical="center"/>
    </xf>
    <xf applyAlignment="true" applyBorder="false" applyFill="false" applyFont="true" applyNumberFormat="false" applyProtection="false" borderId="9" fillId="0" fontId="12" numFmtId="0" xfId="0">
      <alignment horizontal="center" vertical="center"/>
    </xf>
    <xf applyAlignment="true" applyBorder="false" applyFill="false" applyFont="true" applyNumberFormat="false" applyProtection="false" borderId="9" fillId="0" fontId="13" numFmtId="0" xfId="0">
      <alignment vertical="bottom"/>
    </xf>
    <xf applyAlignment="true" applyBorder="false" applyFill="false" applyFont="true" applyNumberFormat="true" applyProtection="false" borderId="9" fillId="0" fontId="13" numFmtId="206" xfId="0">
      <alignment horizontal="center" vertical="center" wrapText="true"/>
    </xf>
    <xf applyAlignment="true" applyBorder="false" applyFill="false" applyFont="true" applyNumberFormat="true" applyProtection="false" borderId="9" fillId="0" fontId="13" numFmtId="215" xfId="0">
      <alignment horizontal="center" vertical="center"/>
    </xf>
    <xf applyAlignment="true" applyBorder="false" applyFill="false" applyFont="true" applyNumberFormat="false" applyProtection="false" borderId="11" fillId="0" fontId="11" numFmtId="0" xfId="0">
      <alignment horizontal="center" vertical="center" wrapText="true"/>
    </xf>
    <xf applyAlignment="true" applyBorder="false" applyFill="false" applyFont="true" applyNumberFormat="false" applyProtection="false" borderId="11" fillId="0" fontId="11" numFmtId="0" xfId="0">
      <alignment horizontal="center" vertical="center"/>
    </xf>
    <xf applyAlignment="true" applyBorder="false" applyFill="true" applyFont="true" applyNumberFormat="true" applyProtection="false" borderId="11" fillId="37" fontId="12" numFmtId="216" xfId="0">
      <alignment horizontal="center" vertical="center" wrapText="true"/>
    </xf>
    <xf applyAlignment="true" applyBorder="false" applyFill="true" applyFont="true" applyNumberFormat="true" applyProtection="false" borderId="11" fillId="37" fontId="12" numFmtId="217" xfId="0">
      <alignment horizontal="center" vertical="center" wrapText="true"/>
    </xf>
    <xf applyAlignment="true" applyBorder="false" applyFill="true" applyFont="true" applyNumberFormat="true" applyProtection="false" borderId="11" fillId="38" fontId="12" numFmtId="216" xfId="0">
      <alignment horizontal="center" vertical="center" wrapText="true"/>
    </xf>
    <xf applyAlignment="true" applyBorder="false" applyFill="true" applyFont="true" applyNumberFormat="true" applyProtection="false" borderId="11" fillId="39" fontId="12" numFmtId="216" xfId="0">
      <alignment horizontal="center" vertical="center" wrapText="true"/>
    </xf>
    <xf applyAlignment="true" applyBorder="false" applyFill="true" applyFont="true" applyNumberFormat="true" applyProtection="false" borderId="11" fillId="39" fontId="12" numFmtId="217" xfId="0">
      <alignment horizontal="center" vertical="center" wrapText="true"/>
    </xf>
    <xf applyAlignment="true" applyBorder="false" applyFill="true" applyFont="true" applyNumberFormat="true" applyProtection="false" borderId="11" fillId="39" fontId="11" numFmtId="216" xfId="0">
      <alignment horizontal="center" vertical="center" wrapText="true"/>
    </xf>
    <xf applyAlignment="true" applyBorder="false" applyFill="true" applyFont="true" applyNumberFormat="true" applyProtection="false" borderId="11" fillId="39" fontId="11" numFmtId="218" xfId="0">
      <alignment horizontal="center" vertical="center" wrapText="true"/>
    </xf>
    <xf applyAlignment="true" applyBorder="false" applyFill="false" applyFont="true" applyNumberFormat="true" applyProtection="false" borderId="11" fillId="0" fontId="11" numFmtId="217" xfId="0">
      <alignment horizontal="center" vertical="center" wrapText="true"/>
    </xf>
    <xf applyAlignment="true" applyBorder="false" applyFill="true" applyFont="true" applyNumberFormat="true" applyProtection="false" borderId="11" fillId="39" fontId="11" numFmtId="219" xfId="0">
      <alignment horizontal="center" vertical="center" wrapText="true"/>
    </xf>
    <xf applyAlignment="true" applyBorder="false" applyFill="true" applyFont="true" applyNumberFormat="false" applyProtection="false" borderId="11" fillId="40" fontId="11" numFmtId="0" xfId="0">
      <alignment horizontal="center" vertical="center" wrapText="true"/>
    </xf>
    <xf applyAlignment="true" applyBorder="false" applyFill="true" applyFont="true" applyNumberFormat="true" applyProtection="false" borderId="11" fillId="39" fontId="11" numFmtId="220" xfId="0">
      <alignment horizontal="center" vertical="center" wrapText="true"/>
    </xf>
    <xf applyAlignment="true" applyBorder="false" applyFill="true" applyFont="true" applyNumberFormat="true" applyProtection="false" borderId="11" fillId="38" fontId="12" numFmtId="217" xfId="0">
      <alignment horizontal="left" vertical="center" wrapText="true"/>
    </xf>
    <xf applyAlignment="true" applyBorder="false" applyFill="true" applyFont="true" applyNumberFormat="true" applyProtection="false" borderId="11" fillId="39" fontId="12" numFmtId="219" xfId="0">
      <alignment horizontal="center" vertical="center" wrapText="true"/>
    </xf>
    <xf applyAlignment="true" applyBorder="false" applyFill="true" applyFont="true" applyNumberFormat="true" applyProtection="false" borderId="11" fillId="39" fontId="12" numFmtId="221" xfId="0">
      <alignment horizontal="center" vertical="center" wrapText="true"/>
    </xf>
    <xf applyAlignment="true" applyBorder="false" applyFill="false" applyFont="true" applyNumberFormat="true" applyProtection="false" borderId="11" fillId="0" fontId="12" numFmtId="219" xfId="0">
      <alignment horizontal="center" vertical="center" wrapText="true"/>
    </xf>
    <xf applyAlignment="true" applyBorder="false" applyFill="true" applyFont="true" applyNumberFormat="true" applyProtection="false" borderId="11" fillId="41" fontId="11" numFmtId="217" xfId="0">
      <alignment horizontal="left" vertical="center" wrapText="true"/>
    </xf>
    <xf applyAlignment="true" applyBorder="false" applyFill="true" applyFont="true" applyNumberFormat="false" applyProtection="false" borderId="11" fillId="41" fontId="11" numFmtId="0" xfId="0">
      <alignment horizontal="left" vertical="center" wrapText="true"/>
    </xf>
    <xf applyAlignment="true" applyBorder="false" applyFill="true" applyFont="true" applyNumberFormat="true" applyProtection="false" borderId="11" fillId="42" fontId="12" numFmtId="221" xfId="0">
      <alignment horizontal="center" vertical="center" wrapText="true"/>
    </xf>
    <xf applyAlignment="true" applyBorder="false" applyFill="true" applyFont="true" applyNumberFormat="true" applyProtection="false" borderId="11" fillId="41" fontId="11" numFmtId="217" xfId="0">
      <alignment horizontal="center" vertical="center" wrapText="true"/>
    </xf>
    <xf applyAlignment="true" applyBorder="false" applyFill="false" applyFont="true" applyNumberFormat="true" applyProtection="false" borderId="11" fillId="0" fontId="12" numFmtId="221" xfId="0">
      <alignment horizontal="center" vertical="center" wrapText="true"/>
    </xf>
    <xf applyAlignment="true" applyBorder="false" applyFill="true" applyFont="true" applyNumberFormat="false" applyProtection="false" borderId="11" fillId="43" fontId="12" numFmtId="0" xfId="0">
      <alignment horizontal="center" vertical="center" wrapText="true"/>
    </xf>
    <xf applyAlignment="true" applyBorder="false" applyFill="true" applyFont="true" applyNumberFormat="true" applyProtection="false" borderId="11" fillId="43" fontId="12" numFmtId="221" xfId="0">
      <alignment horizontal="center" vertical="center" wrapText="true"/>
    </xf>
    <xf applyAlignment="true" applyBorder="false" applyFill="true" applyFont="true" applyNumberFormat="false" applyProtection="false" borderId="11" fillId="42" fontId="12" numFmtId="0" xfId="0">
      <alignment horizontal="center" vertical="center" wrapText="true"/>
    </xf>
    <xf applyAlignment="true" applyBorder="false" applyFill="false" applyFont="true" applyNumberFormat="false" applyProtection="false" borderId="11" fillId="0" fontId="12" numFmtId="0" xfId="0">
      <alignment horizontal="center" vertical="center" wrapText="true"/>
    </xf>
    <xf applyAlignment="true" applyBorder="false" applyFill="false" applyFont="true" applyNumberFormat="false" applyProtection="false" borderId="11" fillId="0" fontId="13" numFmtId="0" xfId="0">
      <alignment horizontal="center" vertical="center"/>
    </xf>
    <xf applyAlignment="true" applyBorder="false" applyFill="false" applyFont="true" applyNumberFormat="false" applyProtection="false" borderId="11" fillId="0" fontId="13" numFmtId="0" xfId="0">
      <alignment horizontal="left" vertical="bottom" wrapText="true"/>
    </xf>
    <xf applyAlignment="true" applyBorder="false" applyFill="false" applyFont="true" applyNumberFormat="true" applyProtection="false" borderId="11" fillId="0" fontId="13" numFmtId="222" xfId="0">
      <alignment horizontal="center" vertical="center" wrapText="true"/>
    </xf>
    <xf applyAlignment="true" applyBorder="false" applyFill="false" applyFont="true" applyNumberFormat="true" applyProtection="false" borderId="11" fillId="0" fontId="13" numFmtId="217" xfId="0">
      <alignment horizontal="center" vertical="center"/>
    </xf>
    <xf applyAlignment="true" applyBorder="false" applyFill="false" applyFont="true" applyNumberFormat="true" applyProtection="false" borderId="11" fillId="0" fontId="13" numFmtId="217" xfId="0">
      <alignment horizontal="center" vertical="center" wrapText="true"/>
    </xf>
    <xf applyAlignment="true" applyBorder="false" applyFill="false" applyFont="true" applyNumberFormat="true" applyProtection="false" borderId="11" fillId="0" fontId="13" numFmtId="216" xfId="0">
      <alignment horizontal="center" vertical="center"/>
    </xf>
    <xf applyAlignment="true" applyBorder="false" applyFill="false" applyFont="true" applyNumberFormat="true" applyProtection="false" borderId="11" fillId="0" fontId="13" numFmtId="218" xfId="0">
      <alignment horizontal="center" vertical="center"/>
    </xf>
    <xf applyAlignment="true" applyBorder="false" applyFill="false" applyFont="true" applyNumberFormat="true" applyProtection="false" borderId="11" fillId="0" fontId="13" numFmtId="219" xfId="0">
      <alignment horizontal="center" vertical="center"/>
    </xf>
    <xf applyAlignment="true" applyBorder="false" applyFill="false" applyFont="true" applyNumberFormat="true" applyProtection="false" borderId="11" fillId="0" fontId="13" numFmtId="223" xfId="0">
      <alignment horizontal="center" vertical="center"/>
    </xf>
    <xf applyAlignment="true" applyBorder="false" applyFill="false" applyFont="true" applyNumberFormat="true" applyProtection="false" borderId="11" fillId="0" fontId="13" numFmtId="221" xfId="0">
      <alignment horizontal="center" vertical="center"/>
    </xf>
    <xf applyAlignment="true" applyBorder="false" applyFill="false" applyFont="true" applyNumberFormat="true" applyProtection="false" borderId="11" fillId="0" fontId="14" numFmtId="224" xfId="0">
      <alignment horizontal="center" vertical="center" wrapText="true"/>
    </xf>
    <xf applyAlignment="true" applyBorder="false" applyFill="false" applyFont="true" applyNumberFormat="true" applyProtection="false" borderId="11" fillId="0" fontId="13" numFmtId="225" xfId="0">
      <alignment horizontal="center" vertical="center"/>
    </xf>
    <xf applyAlignment="true" applyBorder="false" applyFill="false" applyFont="true" applyNumberFormat="false" applyProtection="false" borderId="11" fillId="0" fontId="12" numFmtId="0" xfId="0">
      <alignment horizontal="center" vertical="center"/>
    </xf>
    <xf applyAlignment="true" applyBorder="false" applyFill="false" applyFont="true" applyNumberFormat="true" applyProtection="false" borderId="11" fillId="0" fontId="13" numFmtId="226" xfId="0">
      <alignment horizontal="center" vertical="center"/>
    </xf>
    <xf applyAlignment="true" applyBorder="false" applyFill="false" applyFont="true" applyNumberFormat="false" applyProtection="false" borderId="0" fillId="0" fontId="1" numFmtId="0" xfId="0">
      <alignment horizontal="center" vertical="center" wrapText="true"/>
    </xf>
    <xf applyAlignment="true" applyBorder="false" applyFill="false" applyFont="true" applyNumberFormat="false" applyProtection="false" borderId="0" fillId="0" fontId="1" numFmtId="0" xfId="0">
      <alignment horizontal="left" vertical="center" wrapText="true"/>
    </xf>
    <xf applyAlignment="true" applyBorder="false" applyFill="false" applyFont="true" applyNumberFormat="false" applyProtection="false" borderId="0" fillId="0" fontId="16" numFmtId="0" xfId="0">
      <alignment horizontal="center" vertical="center" wrapText="true"/>
    </xf>
    <xf applyAlignment="true" applyBorder="false" applyFill="false" applyFont="true" applyNumberFormat="false" applyProtection="false" borderId="0" fillId="0" fontId="2" numFmtId="0" xfId="0">
      <alignment horizontal="center" vertical="center" wrapText="true"/>
    </xf>
    <xf applyAlignment="true" applyBorder="false" applyFill="false" applyFont="true" applyNumberFormat="false" applyProtection="false" borderId="0" fillId="0" fontId="2" numFmtId="0" xfId="0">
      <alignment horizontal="center" vertical="center"/>
    </xf>
    <xf applyAlignment="true" applyBorder="false" applyFill="false" applyFont="true" applyNumberFormat="true" applyProtection="false" borderId="0" fillId="0" fontId="2" numFmtId="227" xfId="0">
      <alignment horizontal="center" vertical="center"/>
    </xf>
    <xf applyAlignment="true" applyBorder="false" applyFill="false" applyFont="true" applyNumberFormat="false" applyProtection="false" borderId="0" fillId="0" fontId="17" numFmtId="0" xfId="0">
      <alignment horizontal="center" vertical="center"/>
    </xf>
    <xf applyAlignment="true" applyBorder="false" applyFill="false" applyFont="true" applyNumberFormat="false" applyProtection="false" borderId="0" fillId="0" fontId="18" numFmtId="0" xfId="0">
      <alignment horizontal="left" vertical="center"/>
    </xf>
    <xf applyAlignment="true" applyBorder="false" applyFill="false" applyFont="true" applyNumberFormat="false" applyProtection="false" borderId="0" fillId="0" fontId="18" numFmtId="0" xfId="0">
      <alignment horizontal="center" vertical="center"/>
    </xf>
    <xf applyAlignment="true" applyBorder="false" applyFill="true" applyFont="true" applyNumberFormat="false" applyProtection="false" borderId="0" fillId="44" fontId="2" numFmtId="0" xfId="0">
      <alignment horizontal="center" vertical="center"/>
    </xf>
    <xf applyAlignment="true" applyBorder="false" applyFill="false" applyFont="true" applyNumberFormat="false" applyProtection="false" borderId="0" fillId="0" fontId="17" numFmtId="0" xfId="0">
      <alignment vertical="center"/>
    </xf>
    <xf applyAlignment="true" applyBorder="false" applyFill="false" applyFont="true" applyNumberFormat="true" applyProtection="false" borderId="0" fillId="0" fontId="2" numFmtId="228" xfId="0">
      <alignment horizontal="center" vertical="center"/>
    </xf>
    <xf applyAlignment="true" applyBorder="false" applyFill="false" applyFont="true" applyNumberFormat="false" applyProtection="false" borderId="0" fillId="0" fontId="16" numFmtId="0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horizontal="left" vertical="center"/>
    </xf>
    <xf applyAlignment="true" applyBorder="false" applyFill="false" applyFont="true" applyNumberFormat="false" applyProtection="false" borderId="0" fillId="0" fontId="16" numFmtId="0" xfId="0">
      <alignment vertical="center"/>
    </xf>
    <xf applyAlignment="true" applyBorder="false" applyFill="true" applyFont="true" applyNumberFormat="false" applyProtection="false" borderId="0" fillId="45" fontId="2" numFmtId="0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false" applyFont="true" applyNumberFormat="false" applyProtection="false" borderId="0" fillId="0" fontId="18" numFmtId="0" xfId="0">
      <alignment vertical="center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false" applyFont="true" applyNumberFormat="false" applyProtection="false" borderId="0" fillId="0" fontId="2" numFmtId="0" xfId="0">
      <alignment horizontal="center" vertical="center"/>
    </xf>
    <xf applyAlignment="true" applyBorder="false" applyFill="false" applyFont="true" applyNumberFormat="true" applyProtection="false" borderId="0" fillId="0" fontId="2" numFmtId="229" xfId="0">
      <alignment horizontal="center" vertical="center"/>
    </xf>
    <xf applyAlignment="true" applyBorder="false" applyFill="false" applyFont="true" applyNumberFormat="true" applyProtection="false" borderId="0" fillId="0" fontId="2" numFmtId="230" xfId="0">
      <alignment horizontal="center" vertical="center"/>
    </xf>
    <xf applyAlignment="true" applyBorder="false" applyFill="true" applyFont="true" applyNumberFormat="false" applyProtection="false" borderId="0" fillId="46" fontId="2" numFmtId="0" xfId="0">
      <alignment horizontal="center" vertical="center"/>
    </xf>
    <xf applyAlignment="true" applyBorder="false" applyFill="false" applyFont="true" applyNumberFormat="true" applyProtection="false" borderId="0" fillId="0" fontId="2" numFmtId="231" xfId="0">
      <alignment horizontal="center" vertical="center"/>
    </xf>
    <xf applyAlignment="true" applyBorder="false" applyFill="false" applyFont="true" applyNumberFormat="true" applyProtection="false" borderId="0" fillId="0" fontId="2" numFmtId="229" xfId="0">
      <alignment vertical="center"/>
    </xf>
    <xf applyAlignment="true" applyBorder="false" applyFill="false" applyFont="true" applyNumberFormat="true" applyProtection="false" borderId="0" fillId="0" fontId="2" numFmtId="230" xfId="0">
      <alignment vertical="center"/>
    </xf>
    <xf applyAlignment="true" applyBorder="false" applyFill="true" applyFont="true" applyNumberFormat="false" applyProtection="false" borderId="0" fillId="47" fontId="19" numFmtId="0" xfId="0">
      <alignment horizontal="center" vertical="center"/>
    </xf>
    <xf applyAlignment="true" applyBorder="false" applyFill="false" applyFont="true" applyNumberFormat="false" applyProtection="false" borderId="0" fillId="0" fontId="20" numFmtId="0" xfId="0">
      <alignment horizontal="center" vertical="center"/>
    </xf>
    <xf applyAlignment="true" applyBorder="false" applyFill="false" applyFont="true" applyNumberFormat="false" applyProtection="false" borderId="0" fillId="0" fontId="19" numFmtId="0" xfId="0">
      <alignment horizontal="center" vertical="center"/>
    </xf>
    <xf applyAlignment="true" applyBorder="false" applyFill="false" applyFont="true" applyNumberFormat="false" applyProtection="false" borderId="0" fillId="0" fontId="21" numFmtId="0" xfId="0">
      <alignment vertical="bottom"/>
    </xf>
  </cellXfs>
  <cellStyles count="1">
    <cellStyle builtinId="0" name="Normal" xfId="0"/>
  </cellStyles>
  <dxfs count="21"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BD4D0"/>
        </patternFill>
      </fill>
    </dxf>
    <dxf>
      <font>
        <sz val="11"/>
        <color rgb="FF000000"/>
        <name val="Calibri"/>
        <family val="2"/>
        <scheme val="minor"/>
      </font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BD4D0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FFFF"/>
        </patternFill>
      </fill>
    </dxf>
  </dxfs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Relationship Id="rId9" Target="worksheets/sheet6.xml" Type="http://schemas.openxmlformats.org/officeDocument/2006/relationships/worksheet"></Relationship><Relationship Id="rId10" Target="worksheets/sheet7.xml" Type="http://schemas.openxmlformats.org/officeDocument/2006/relationships/worksheet"></Relationship><Relationship Id="rId11" Target="worksheets/sheet8.xml" Type="http://schemas.openxmlformats.org/officeDocument/2006/relationships/worksheet"></Relationship><Relationship Id="rId12" Target="worksheets/sheet9.xml" Type="http://schemas.openxmlformats.org/officeDocument/2006/relationships/worksheet"></Relationship><Relationship Id="rId13" Target="worksheets/sheet10.xml" Type="http://schemas.openxmlformats.org/officeDocument/2006/relationships/worksheet"></Relationship><Relationship Id="rId14" Target="worksheets/sheet11.xml" Type="http://schemas.openxmlformats.org/officeDocument/2006/relationships/worksheet"></Relationship><Relationship Id="rId15" Target="worksheets/sheet12.xml" Type="http://schemas.openxmlformats.org/officeDocument/2006/relationships/worksheet"></Relationship><Relationship Id="rId16" Target="worksheets/sheet13.xml" Type="http://schemas.openxmlformats.org/officeDocument/2006/relationships/worksheet"></Relationship></Relationships>
</file>

<file path=xl/drawings/_rels/drawing1.xml.rels><?xml version="1.0" encoding="UTF-8" standalone="yes"?>
<Relationships xmlns="http://schemas.openxmlformats.org/package/2006/relationships"><Relationship Id="rId1" Target="../media/image1.jpeg" Type="http://schemas.openxmlformats.org/officeDocument/2006/relationships/image"></Relationship></Relationships>
</file>

<file path=xl/drawings/_rels/drawing2.xml.rels><?xml version="1.0" encoding="UTF-8" standalone="yes"?>
<Relationships xmlns="http://schemas.openxmlformats.org/package/2006/relationships"><Relationship Id="rId1" Target="../media/image2.jpeg" Type="http://schemas.openxmlformats.org/officeDocument/2006/relationships/image"></Relationship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22</xdr:col>
      <xdr:colOff>0</xdr:colOff>
      <xdr:row>0</xdr:row>
      <xdr:rowOff>38100</xdr:rowOff>
    </xdr:from>
    <xdr:to>
      <xdr:col>23</xdr:col>
      <xdr:colOff>0</xdr:colOff>
      <xdr:row>1</xdr:row>
      <xdr:rowOff>0</xdr:rowOff>
    </xdr:to>
    <xdr:pic>
      <xdr:nvPicPr>
        <xdr:cNvPr id="2" name="Picture 2" descr="IjpvHV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drawings/drawing2.xml><?xml version="1.0" encoding="utf-8"?>
<xdr:wsDr xmlns:a="http://schemas.openxmlformats.org/drawingml/2006/main" xmlns:xdr="http://schemas.openxmlformats.org/drawingml/2006/spreadsheetDrawing">
  <xdr:twoCellAnchor>
    <xdr:from>
      <xdr:col>4</xdr:col>
      <xdr:colOff>0</xdr:colOff>
      <xdr:row>12</xdr:row>
      <xdr:rowOff>0</xdr:rowOff>
    </xdr:from>
    <xdr:to>
      <xdr:col>5</xdr:col>
      <xdr:colOff>0</xdr:colOff>
      <xdr:row>13</xdr:row>
      <xdr:rowOff>0</xdr:rowOff>
    </xdr:to>
    <xdr:pic>
      <xdr:nvPicPr>
        <xdr:cNvPr id="2" name="Picture 2" descr="MEWeCw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drawings/vmlDrawing1.vml" Type="http://schemas.openxmlformats.org/officeDocument/2006/relationships/vmlDrawing"></Relationship><Relationship Id="rId2" Target="../comments1.xml" Type="http://schemas.openxmlformats.org/officeDocument/2006/relationships/comments"></Relationship><Relationship Id="rId3" Target="../drawings/drawing1.xml" Type="http://schemas.openxmlformats.org/officeDocument/2006/relationships/drawing"></Relationship></Relationships>
</file>

<file path=xl/worksheets/_rels/sheet3.xml.rels><?xml version="1.0" encoding="UTF-8" standalone="yes"?>
<Relationships xmlns="http://schemas.openxmlformats.org/package/2006/relationships"><Relationship Id="rId1" Target="../drawings/vmlDrawing2.vml" Type="http://schemas.openxmlformats.org/officeDocument/2006/relationships/vmlDrawing"></Relationship><Relationship Id="rId2" Target="../comments2.xml" Type="http://schemas.openxmlformats.org/officeDocument/2006/relationships/comments"></Relationship></Relationships>
</file>

<file path=xl/worksheets/_rels/sheet6.xml.rels><?xml version="1.0" encoding="UTF-8" standalone="yes"?>
<Relationships xmlns="http://schemas.openxmlformats.org/package/2006/relationships"><Relationship Id="rId1" Target="../drawings/vmlDrawing3.vml" Type="http://schemas.openxmlformats.org/officeDocument/2006/relationships/vmlDrawing"></Relationship><Relationship Id="rId2" Target="../comments3.xml" Type="http://schemas.openxmlformats.org/officeDocument/2006/relationships/comments"></Relationship><Relationship Id="rId3" Target="../drawings/drawing2.xml" Type="http://schemas.openxmlformats.org/officeDocument/2006/relationships/drawing"></Relationship></Relationships>
</file>

<file path=xl/worksheets/_rels/sheet11.xml.rels><?xml version="1.0" encoding="UTF-8" standalone="yes"?>
<Relationships xmlns="http://schemas.openxmlformats.org/package/2006/relationships"><Relationship Id="rId1" Target="../drawings/vmlDrawing4.vml" Type="http://schemas.openxmlformats.org/officeDocument/2006/relationships/vmlDrawing"></Relationship><Relationship Id="rId2" Target="../comments4.xml" Type="http://schemas.openxmlformats.org/officeDocument/2006/relationships/comments"></Relationship><Relationship Id="rId3" Target="https://shimo.im/file/5rk9KXwYjmtmpo3x" Type="http://schemas.openxmlformats.org/officeDocument/2006/relationships/hyperlink" TargetMode="External"></Relationship><Relationship Id="rId4" Target="https://shimo.im/file/5rk9KXwYjmtmpo3x" Type="http://schemas.openxmlformats.org/officeDocument/2006/relationships/hyperlink" TargetMode="External"></Relationship><Relationship Id="rId5" Target="https://sanjdqeje0.feishu.cn/sheets/KU8Gs3PQfhloEbtWoX8cHAqjnyS?from=from_copylink" Type="http://schemas.openxmlformats.org/officeDocument/2006/relationships/hyperlink" TargetMode="External"></Relationship><Relationship Id="rId6" Target="https://sanjdqeje0.feishu.cn/sheets/KU8Gs3PQfhloEbtWoX8cHAqjnyS?from=from_copylink" Type="http://schemas.openxmlformats.org/officeDocument/2006/relationships/hyperlink" TargetMode="External"></Relationship><Relationship Id="rId7" Target="https://sanjdqeje0.feishu.cn/sheets/KU8Gs3PQfhloEbtWoX8cHAqjnyS?from=from_copylink" Type="http://schemas.openxmlformats.org/officeDocument/2006/relationships/hyperlink" TargetMode="External"></Relationship><Relationship Id="rId8" Target="https://sanjdqeje0.feishu.cn/sheets/KU8Gs3PQfhloEbtWoX8cHAqjnyS?from=from_copylink" Type="http://schemas.openxmlformats.org/officeDocument/2006/relationships/hyperlink" TargetMode="External"></Relationship><Relationship Id="rId9" Target="https://shimo.im/sheets/aBAYMYKEOah2rJAj/aj3k0" Type="http://schemas.openxmlformats.org/officeDocument/2006/relationships/hyperlink" TargetMode="External"></Relationship><Relationship Id="rId10" Target="https://shimo.im/sheets/16q8x2ywXVFK9mq7/hdwA2" Type="http://schemas.openxmlformats.org/officeDocument/2006/relationships/hyperlink" TargetMode="External"></Relationship><Relationship Id="rId11" Target="https://shimo.im/sheets/16q8x2ywXVFK9mq7/hdwA2" Type="http://schemas.openxmlformats.org/officeDocument/2006/relationships/hyperlink" TargetMode="External"></Relationship><Relationship Id="rId12" Target="https://shimo.im/file/vVAXMG2zLju25d3m" Type="http://schemas.openxmlformats.org/officeDocument/2006/relationships/hyperlink" TargetMode="External"></Relationship><Relationship Id="rId13" Target="https://shimo.im/sheets/5bqndwNRpvUWYNAy/hctQE" Type="http://schemas.openxmlformats.org/officeDocument/2006/relationships/hyperlink" TargetMode="External"></Relationship><Relationship Id="rId14" Target="https://shimo.im/sheets/5bqndwNRpvUWYNAy/hctQE" Type="http://schemas.openxmlformats.org/officeDocument/2006/relationships/hyperlink" TargetMode="External"></Relationship><Relationship Id="rId15" Target="https://shimo.im/sheets/5bqndwNRpvUWYNAy/hctQE" Type="http://schemas.openxmlformats.org/officeDocument/2006/relationships/hyperlink" TargetMode="External"></Relationship><Relationship Id="rId16" Target="https://shimo.im/sheets/5bqndwNRpvUWYNAy/hctQE" Type="http://schemas.openxmlformats.org/officeDocument/2006/relationships/hyperlink" TargetMode="External"></Relationship><Relationship Id="rId17" Target="https://shimo.im/sheets/5bqndwNRpvUWYNAy/hctQE" Type="http://schemas.openxmlformats.org/officeDocument/2006/relationships/hyperlink" TargetMode="External"></Relationship><Relationship Id="rId18" Target="https://shimo.im/sheets/5bqndwNRpvUWYNAy/hctQE" Type="http://schemas.openxmlformats.org/officeDocument/2006/relationships/hyperlink" TargetMode="External"></Relationship><Relationship Id="rId19" Target="https://shimo.im/sheets/5bqndwNRpvUWYNAy/hctQE" Type="http://schemas.openxmlformats.org/officeDocument/2006/relationships/hyperlink" TargetMode="External"></Relationship><Relationship Id="rId20" Target="https://shimo.im/sheets/5bqndwNRpvUWYNAy/hctQE" Type="http://schemas.openxmlformats.org/officeDocument/2006/relationships/hyperlink" TargetMode="External"></Relationship><Relationship Id="rId21" Target="https://shimo.im/sheets/5bqndwNRpvUWYNAy/hctQE" Type="http://schemas.openxmlformats.org/officeDocument/2006/relationships/hyperlink" TargetMode="External"></Relationship><Relationship Id="rId22" Target="https://shimo.im/sheets/5bqndwNRpvUWYNAy/hctQE" Type="http://schemas.openxmlformats.org/officeDocument/2006/relationships/hyperlink" TargetMode="External"></Relationship><Relationship Id="rId23" Target="https://shimo.im/sheets/5bqndwNRpvUWYNAy/hctQE" Type="http://schemas.openxmlformats.org/officeDocument/2006/relationships/hyperlink" TargetMode="External"></Relationship><Relationship Id="rId24" Target="https://shimo.im/sheets/5rk9KXRngOSw6J3x/Uh9jY" Type="http://schemas.openxmlformats.org/officeDocument/2006/relationships/hyperlink" TargetMode="External"></Relationship><Relationship Id="rId25" Target="https://shimo.im/docx/RKAWMDjJgeUJvXq8" Type="http://schemas.openxmlformats.org/officeDocument/2006/relationships/hyperlink" TargetMode="External"></Relationship><Relationship Id="rId26" Target="https://shimo.im/file/25q5XbZLowS7PR3D" Type="http://schemas.openxmlformats.org/officeDocument/2006/relationships/hyperlink" TargetMode="External"></Relationship><Relationship Id="rId27" Target="https://shimo.im/file/25q5XbZLowS7PR3D" Type="http://schemas.openxmlformats.org/officeDocument/2006/relationships/hyperlink" TargetMode="External"></Relationship><Relationship Id="rId28" Target="https://shimo.im/file/NJkbn7vwLQCRpkRp" Type="http://schemas.openxmlformats.org/officeDocument/2006/relationships/hyperlink" TargetMode="External"></Relationship><Relationship Id="rId29" Target="https://sanjdqeje0.feishu.cn/file/YT4Ob07PyogqKgxeXFrclrmZnfc" Type="http://schemas.openxmlformats.org/officeDocument/2006/relationships/hyperlink" TargetMode="External"></Relationship><Relationship Id="rId30" Target="https://sanjdqeje0.feishu.cn/file/YT4Ob07PyogqKgxeXFrclrmZnfc" Type="http://schemas.openxmlformats.org/officeDocument/2006/relationships/hyperlink" TargetMode="External"></Relationship><Relationship Id="rId31" Target="https://shimo.im/sheets/913JMP2Z91cJPrAE/ZBXMH" Type="http://schemas.openxmlformats.org/officeDocument/2006/relationships/hyperlink" TargetMode="External"></Relationship><Relationship Id="rId32" Target="https://shimo.im/sheets/gO3odw62KrFQVpqD/0j0dU" Type="http://schemas.openxmlformats.org/officeDocument/2006/relationships/hyperlink" TargetMode="External"></Relationship><Relationship Id="rId33" Target="https://shimo.im/sheets/gO3odw62KrFQVpqD/0j0dU" Type="http://schemas.openxmlformats.org/officeDocument/2006/relationships/hyperlink" TargetMode="External"></Relationship><Relationship Id="rId34" Target="https://shimo.im/file/KrkElQ9QYdS84XqJ" Type="http://schemas.openxmlformats.org/officeDocument/2006/relationships/hyperlink" TargetMode="External"></Relationship><Relationship Id="rId35" Target="https://shimo.im/file/KrkElQ9QYdS84XqJ" Type="http://schemas.openxmlformats.org/officeDocument/2006/relationships/hyperlink" TargetMode="External"></Relationship><Relationship Id="rId36" Target="https://shimo.im/file/KrkElQ9QYdS84XqJ" Type="http://schemas.openxmlformats.org/officeDocument/2006/relationships/hyperlink" TargetMode="External"></Relationship><Relationship Id="rId37" Target="https://shimo.im/file/KrkElQ9QYdS84XqJ" Type="http://schemas.openxmlformats.org/officeDocument/2006/relationships/hyperlink" TargetMode="External"></Relationship><Relationship Id="rId38" Target="https://sanjdqeje0.feishu.cn/sheets/O2MTszxKDh9uVNtRbLRcD9xBnYb?from=from_copylink" Type="http://schemas.openxmlformats.org/officeDocument/2006/relationships/hyperlink" TargetMode="External"></Relationship><Relationship Id="rId39" Target="https://sanjdqeje0.feishu.cn/sheets/O2MTszxKDh9uVNtRbLRcD9xBnYb?from=from_copylink" Type="http://schemas.openxmlformats.org/officeDocument/2006/relationships/hyperlink" TargetMode="External"></Relationship><Relationship Id="rId40" Target="https://shimo.im/docx/25q5Xg6ddNcJ8Z3D" Type="http://schemas.openxmlformats.org/officeDocument/2006/relationships/hyperlink" TargetMode="External"></Relationship><Relationship Id="rId41" Target="https://shimo.im/sheets/m5kvdwonvnSRwD3X/Zz48c" Type="http://schemas.openxmlformats.org/officeDocument/2006/relationships/hyperlink" TargetMode="External"></Relationship><Relationship Id="rId42" Target="https://shimo.im/sheets/m5kvdwonvnSRwD3X/Zz48c" Type="http://schemas.openxmlformats.org/officeDocument/2006/relationships/hyperlink" TargetMode="External"></Relationship><Relationship Id="rId43" Target="https://shimo.im/sheets/m5kvdwonvnSRwD3X/Zz48c" Type="http://schemas.openxmlformats.org/officeDocument/2006/relationships/hyperlink" TargetMode="External"></Relationship><Relationship Id="rId44" Target="https://shimo.im/file/913JMZXYlJf5z4AE" Type="http://schemas.openxmlformats.org/officeDocument/2006/relationships/hyperlink" TargetMode="External"></Relationship><Relationship Id="rId45" Target="https://shimo.im/file/913JMZXYlJf5z4AE" Type="http://schemas.openxmlformats.org/officeDocument/2006/relationships/hyperlink" TargetMode="External"></Relationship><Relationship Id="rId46" Target="https://sanjdqeje0.feishu.cn/file/TJihbfhluoFrtdxwf86c6yUxndx?office_edit=1" Type="http://schemas.openxmlformats.org/officeDocument/2006/relationships/hyperlink" TargetMode="External"></Relationship><Relationship Id="rId47" Target="https://shimo.im/docx/5rk9KXGjdKsxEZ3x" Type="http://schemas.openxmlformats.org/officeDocument/2006/relationships/hyperlink" TargetMode="External"></Relationship><Relationship Id="rId48" Target="https://shimo.im/sheets/KrkElQwjEzFWEqJp/xXMQQ" Type="http://schemas.openxmlformats.org/officeDocument/2006/relationships/hyperlink" TargetMode="External"></Relationship><Relationship Id="rId49" Target="https://shimo.im/docx/N2A1gPjYr4h47GqD" Type="http://schemas.openxmlformats.org/officeDocument/2006/relationships/hyperlink" TargetMode="External"></Relationship><Relationship Id="rId50" Target="https://shimo.im/docx/2wAldwarwyia7gAP" Type="http://schemas.openxmlformats.org/officeDocument/2006/relationships/hyperlink" TargetMode="External"></Relationship><Relationship Id="rId51" Target="https://shimo.im/docx/2wAldwarwyia7gAP" Type="http://schemas.openxmlformats.org/officeDocument/2006/relationships/hyperlink" TargetMode="External"></Relationship><Relationship Id="rId52" Target="https://shimo.im/docx/2wAldwarwyia7gAP" Type="http://schemas.openxmlformats.org/officeDocument/2006/relationships/hyperlink" TargetMode="External"></Relationship><Relationship Id="rId53" Target="https://shimo.im/docx/2wAldwarwyia7gAP" Type="http://schemas.openxmlformats.org/officeDocument/2006/relationships/hyperlink" TargetMode="External"></Relationship><Relationship Id="rId54" Target="https://shimo.im/sheets/zdkyd5GBB8syL0q6/GTpiM" Type="http://schemas.openxmlformats.org/officeDocument/2006/relationships/hyperlink" TargetMode="External"></Relationship><Relationship Id="rId55" Target="https://shimo.im/sheets/zdkyd5GBB8syL0q6/GTpiM" Type="http://schemas.openxmlformats.org/officeDocument/2006/relationships/hyperlink" TargetMode="External"></Relationship><Relationship Id="rId56" Target="https://shimo.im/sheets/m5kvdw4dOmFDDZ3X/G1jVx" Type="http://schemas.openxmlformats.org/officeDocument/2006/relationships/hyperlink" TargetMode="External"></Relationship><Relationship Id="rId57" Target="https://shimo.im/sheets/m5kvdw4dOmFDDZ3X/G1jVx" Type="http://schemas.openxmlformats.org/officeDocument/2006/relationships/hyperlink" TargetMode="External"></Relationship><Relationship Id="rId58" Target="https://shimo.im/sheets/Wr3Dp1XYQwhaeM3J/TkhgB" Type="http://schemas.openxmlformats.org/officeDocument/2006/relationships/hyperlink" TargetMode="External"></Relationship><Relationship Id="rId59" Target="https://shimo.im/sheets/Wr3Dp1XYQwhaeM3J/TkhgB" Type="http://schemas.openxmlformats.org/officeDocument/2006/relationships/hyperlink" TargetMode="External"></Relationship><Relationship Id="rId60" Target="https://shimo.im/sheets/Wr3Dp1B0mnh8Zm3J/ZfbUi" Type="http://schemas.openxmlformats.org/officeDocument/2006/relationships/hyperlink" TargetMode="External"></Relationship><Relationship Id="rId61" Target="https://shimo.im/sheets/Wr3Dp1B0mnh8Zm3J/ZfbUi" Type="http://schemas.openxmlformats.org/officeDocument/2006/relationships/hyperlink" TargetMode="External"></Relationship><Relationship Id="rId62" Target="https://shimo.im/docx/Wr3DpbnyN9tEMP3J" Type="http://schemas.openxmlformats.org/officeDocument/2006/relationships/hyperlink" TargetMode="External"></Relationship><Relationship Id="rId63" Target="https://shimo.im/sheets/gO3odwvxdEcW7OqD/cusv7" Type="http://schemas.openxmlformats.org/officeDocument/2006/relationships/hyperlink" TargetMode="External"></Relationship><Relationship Id="rId64" Target="https://shimo.im/sheets/gO3odwvxdEcW7OqD/cusv7" Type="http://schemas.openxmlformats.org/officeDocument/2006/relationships/hyperlink" TargetMode="External"></Relationship><Relationship Id="rId65" Target="https://shimo.im/sheets/16q8x20zMRfQ8Gq7/Va8UM" Type="http://schemas.openxmlformats.org/officeDocument/2006/relationships/hyperlink" TargetMode="External"></Relationship><Relationship Id="rId66" Target="https://shimo.im/sheets/16q8x20zMRfQ8Gq7/Va8UM" Type="http://schemas.openxmlformats.org/officeDocument/2006/relationships/hyperlink" TargetMode="External"></Relationship><Relationship Id="rId67" Target="https://shimo.im/sheets/ZzkLMZ0LzGC28eAQ/i7L3Q" Type="http://schemas.openxmlformats.org/officeDocument/2006/relationships/hyperlink" TargetMode="External"></Relationship><Relationship Id="rId68" Target="https://shimo.im/sheets/ZzkLMZ0LzGC28eAQ/i7L3Q" Type="http://schemas.openxmlformats.org/officeDocument/2006/relationships/hyperlink" TargetMode="External"></Relationship><Relationship Id="rId69" Target="https://shimo.im/sheets/ZzkLMZ0LzGC28eAQ/i7L3Q" Type="http://schemas.openxmlformats.org/officeDocument/2006/relationships/hyperlink" TargetMode="External"></Relationship><Relationship Id="rId70" Target="https://shimo.im/sheets/ZzkLMZ0LzGC28eAQ/i7L3Q" Type="http://schemas.openxmlformats.org/officeDocument/2006/relationships/hyperlink" TargetMode="External"></Relationship><Relationship Id="rId71" Target="https://shimo.im/sheets/ZzkLMZ0LzGC28eAQ/i7L3Q" Type="http://schemas.openxmlformats.org/officeDocument/2006/relationships/hyperlink" TargetMode="External"></Relationship><Relationship Id="rId72" Target="https://shimo.im/docx/8Nk6emELG8TwWxqL" Type="http://schemas.openxmlformats.org/officeDocument/2006/relationships/hyperlink" TargetMode="External"></Relationship><Relationship Id="rId73" Target="https://shimo.im/sheets/e1Azdp2E7ph1lzqW/NICpS" Type="http://schemas.openxmlformats.org/officeDocument/2006/relationships/hyperlink" TargetMode="External"></Relationship><Relationship Id="rId74" Target="https://shimo.im/docx/m8AZMGg5pWs8Kekb" Type="http://schemas.openxmlformats.org/officeDocument/2006/relationships/hyperlink" TargetMode="External"></Relationship><Relationship Id="rId75" Target="https://shimo.im/docx/m8AZMGg5pWs8Kekb" Type="http://schemas.openxmlformats.org/officeDocument/2006/relationships/hyperlink" TargetMode="External"></Relationship><Relationship Id="rId76" Target="https://shimo.im/sheets/xaLcxBgvfrrvr6At/x4LSY" Type="http://schemas.openxmlformats.org/officeDocument/2006/relationships/hyperlink" TargetMode="External"></Relationship><Relationship Id="rId77" Target="https://shimo.im/sheets/1d3aMwgMnPse2Y3g/RmTDc" Type="http://schemas.openxmlformats.org/officeDocument/2006/relationships/hyperlink" TargetMode="External"></Relationship><Relationship Id="rId78" Target="https://shimo.im/sheets/R13jdwQw60uWm6k5/UV2uf" Type="http://schemas.openxmlformats.org/officeDocument/2006/relationships/hyperlink" TargetMode="External"></Relationship><Relationship Id="rId79" Target="https://shimo.im/sheets/R13jdwQw60uWm6k5/UV2uf" Type="http://schemas.openxmlformats.org/officeDocument/2006/relationships/hyperlink" TargetMode="External"></Relationship><Relationship Id="rId80" Target="https://shimo.im/sheets/R13jdwQw60uWm6k5/UV2uf" Type="http://schemas.openxmlformats.org/officeDocument/2006/relationships/hyperlink" TargetMode="External"></Relationship><Relationship Id="rId81" Target="https://shimo.im/sheets/R13jdwQw60uWm6k5/UV2uf" Type="http://schemas.openxmlformats.org/officeDocument/2006/relationships/hyperlink" TargetMode="External"></Relationship><Relationship Id="rId82" Target="https://shimo.im/docx/1lq7rnX8jNSe903e" Type="http://schemas.openxmlformats.org/officeDocument/2006/relationships/hyperlink" TargetMode="External"></Relationship></Relationships>
</file>

<file path=xl/worksheets/_rels/sheet12.xml.rels><?xml version="1.0" encoding="UTF-8" standalone="yes"?>
<Relationships xmlns="http://schemas.openxmlformats.org/package/2006/relationships"><Relationship Id="rId1" Target="../drawings/vmlDrawing5.vml" Type="http://schemas.openxmlformats.org/officeDocument/2006/relationships/vmlDrawing"></Relationship><Relationship Id="rId2" Target="../comments5.xml" Type="http://schemas.openxmlformats.org/officeDocument/2006/relationships/comments"></Relationship></Relationships>
</file>

<file path=xl/worksheets/_rels/sheet13.xml.rels><?xml version="1.0" encoding="UTF-8" standalone="yes"?>
<Relationships xmlns="http://schemas.openxmlformats.org/package/2006/relationships"><Relationship Id="rId1" Target="https://www.tiktok.com/@/video/7512217482250177838?shop_region=US" Type="http://schemas.openxmlformats.org/officeDocument/2006/relationships/hyperlink" TargetMode="External"></Relationship><Relationship Id="rId2" Target="https://www.tiktok.com/@/video/7513258934547860779?shop_region=US" Type="http://schemas.openxmlformats.org/officeDocument/2006/relationships/hyperlink" TargetMode="External"></Relationship><Relationship Id="rId3" Target="https://www.tiktok.com/@/video/7505007970158185771?shop_region=US" Type="http://schemas.openxmlformats.org/officeDocument/2006/relationships/hyperlink" TargetMode="External"></Relationship><Relationship Id="rId4" Target="https://www.tiktok.com/@/video/7509468659413372206?shop_region=US" Type="http://schemas.openxmlformats.org/officeDocument/2006/relationships/hyperlink" TargetMode="External"></Relationship><Relationship Id="rId5" Target="https://www.tiktok.com/@/video/7509602854680710443?shop_region=US" Type="http://schemas.openxmlformats.org/officeDocument/2006/relationships/hyperlink" TargetMode="External"></Relationship><Relationship Id="rId6" Target="https://www.tiktok.com/@/video/7510281518846135582?shop_region=US" Type="http://schemas.openxmlformats.org/officeDocument/2006/relationships/hyperlink" TargetMode="External"></Relationship><Relationship Id="rId7" Target="https://www.tiktok.com/@/video/7512121539337194782?shop_region=US" Type="http://schemas.openxmlformats.org/officeDocument/2006/relationships/hyperlink" TargetMode="External"></Relationship><Relationship Id="rId8" Target="https://www.tiktok.com/@/video/7510822530660289823?shop_region=US" Type="http://schemas.openxmlformats.org/officeDocument/2006/relationships/hyperlink" TargetMode="External"></Relationship><Relationship Id="rId9" Target="https://www.tiktok.com/@/video/7507733538158972191?shop_region=US" Type="http://schemas.openxmlformats.org/officeDocument/2006/relationships/hyperlink" TargetMode="External"></Relationship><Relationship Id="rId10" Target="https://www.tiktok.com/@/video/7510315444860063022?shop_region=US" Type="http://schemas.openxmlformats.org/officeDocument/2006/relationships/hyperlink" TargetMode="External"></Relationship><Relationship Id="rId11" Target="https://www.tiktok.com/@/video/7507463120143600939?shop_region=US" Type="http://schemas.openxmlformats.org/officeDocument/2006/relationships/hyperlink" TargetMode="External"></Relationship><Relationship Id="rId12" Target="https://www.tiktok.com/@/video/7512260049553607966?shop_region=US" Type="http://schemas.openxmlformats.org/officeDocument/2006/relationships/hyperlink" TargetMode="External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F3" xSplit="5" ySplit="2"/>
    </sheetView>
  </sheetViews>
  <sheetFormatPr defaultRowHeight="16"/>
  <cols>
    <col collapsed="false" customWidth="true" hidden="false" max="23" min="23" style="0" width="17.4"/>
    <col collapsed="false" customWidth="true" hidden="false" max="3" min="3" style="0" width="25.666666666666668"/>
    <col collapsed="false" customWidth="true" hidden="false" max="7" min="7" style="0" width="15.4"/>
    <col collapsed="false" customWidth="true" hidden="false" max="11" min="11" style="0" width="15.4"/>
    <col collapsed="false" customWidth="true" hidden="false" max="15" min="15" style="0" width="14.2"/>
    <col collapsed="false" customWidth="true" hidden="false" max="19" min="19" style="0" width="17.4"/>
    <col collapsed="false" customWidth="true" hidden="false" max="24" min="24" style="0" width="17.4"/>
    <col collapsed="false" customWidth="true" hidden="false" max="4" min="4" style="0" width="33.93333333333333"/>
    <col collapsed="false" customWidth="true" hidden="false" max="8" min="8" style="0" width="15.4"/>
    <col collapsed="false" customWidth="true" hidden="false" max="12" min="12" style="0" width="15.4"/>
    <col collapsed="false" customWidth="true" hidden="false" max="16" min="16" style="0" width="14.333333333333334"/>
    <col collapsed="false" customWidth="true" hidden="false" max="20" min="20" style="0" width="17.4"/>
    <col collapsed="false" customWidth="true" hidden="false" max="21" min="21" style="0" width="17.4"/>
    <col collapsed="false" customWidth="true" hidden="false" max="25" min="25" style="0" width="17.4"/>
    <col collapsed="false" customWidth="true" hidden="false" max="1" min="1" style="0" width="19.666666666666668"/>
    <col collapsed="false" customWidth="true" hidden="false" max="5" min="5" style="0" width="17.666666666666668"/>
    <col collapsed="false" customWidth="true" hidden="false" max="9" min="9" style="0" width="15.4"/>
    <col collapsed="false" customWidth="true" hidden="false" max="13" min="13" style="0" width="15.4"/>
    <col collapsed="false" customWidth="true" hidden="false" max="17" min="17" style="0" width="14.866666666666667"/>
    <col collapsed="false" customWidth="true" hidden="false" max="22" min="22" style="0" width="17.4"/>
    <col collapsed="false" customWidth="true" hidden="false" max="26" min="26" style="0" width="17.933333333333334"/>
    <col collapsed="false" customWidth="true" hidden="false" max="2" min="2" style="0" width="17.4"/>
    <col collapsed="false" customWidth="true" hidden="false" max="6" min="6" style="0" width="15.4"/>
    <col collapsed="false" customWidth="true" hidden="false" max="10" min="10" style="0" width="13.666666666666666"/>
    <col collapsed="false" customWidth="true" hidden="false" max="14" min="14" style="0" width="15.4"/>
    <col collapsed="false" customWidth="true" hidden="false" max="18" min="18" style="0" width="17.4"/>
  </cols>
  <sheetData>
    <row customHeight="true" ht="23.703703703703702"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2" t="s">
        <v>18</v>
      </c>
      <c r="S1" s="2" t="s">
        <v>19</v>
      </c>
      <c r="T1" s="2" t="s">
        <v>20</v>
      </c>
      <c r="U1" s="2" t="s">
        <v>21</v>
      </c>
      <c r="V1" s="2" t="s">
        <v>22</v>
      </c>
      <c r="W1" s="3"/>
      <c r="X1" s="3"/>
      <c r="Y1" s="3"/>
    </row>
    <row customHeight="true" ht="23.703703703703702" r="2">
      <c r="A2" s="4" t="s">
        <v>23</v>
      </c>
      <c r="B2" s="4" t="s">
        <v>24</v>
      </c>
      <c r="C2" s="4" t="s">
        <v>25</v>
      </c>
      <c r="D2" s="4" t="s">
        <v>26</v>
      </c>
      <c r="E2" s="4">
        <v>46</v>
      </c>
      <c r="F2" s="4">
        <v>20.2</v>
      </c>
      <c r="G2" s="4">
        <v>10.7</v>
      </c>
      <c r="H2" s="4">
        <v>3.6</v>
      </c>
      <c r="I2" s="4">
        <v>0.32</v>
      </c>
      <c r="J2" s="4">
        <v>54</v>
      </c>
      <c r="K2" s="4">
        <v>42.4</v>
      </c>
      <c r="L2" s="4">
        <v>34.1</v>
      </c>
      <c r="M2" s="4">
        <v>34.4</v>
      </c>
      <c r="N2" s="4">
        <v>18.3</v>
      </c>
      <c r="O2" s="5">
        <f t="shared" ref="O2:O27" si="1">K2*L2*M2/6000</f>
      </c>
      <c r="P2" s="5">
        <f t="shared" ref="P2:P27" si="7">K2*L2*M2/1000000</f>
      </c>
      <c r="Q2" s="5">
        <f t="shared" ref="Q2:Q27" si="12">N2/365</f>
      </c>
      <c r="R2" s="6">
        <v>1500</v>
      </c>
      <c r="S2" s="6">
        <f>52*N2/J2</f>
      </c>
      <c r="T2" s="6">
        <f>14*N2/J2</f>
      </c>
      <c r="U2" s="6"/>
      <c r="V2" s="6">
        <f>9*N2/J2</f>
      </c>
      <c r="W2" s="4">
        <f>S2*432</f>
      </c>
      <c r="X2" s="6">
        <f>T2*2482</f>
      </c>
      <c r="Y2" s="6">
        <f>(W2+X2)/2914</f>
      </c>
    </row>
    <row customHeight="true" ht="23.703703703703702" r="3">
      <c r="A3" s="4" t="s">
        <v>27</v>
      </c>
      <c r="B3" s="4" t="s">
        <v>28</v>
      </c>
      <c r="C3" s="4" t="s">
        <v>29</v>
      </c>
      <c r="D3" s="4" t="s">
        <v>26</v>
      </c>
      <c r="E3" s="4">
        <v>46</v>
      </c>
      <c r="F3" s="4">
        <v>20.2</v>
      </c>
      <c r="G3" s="4">
        <v>10.7</v>
      </c>
      <c r="H3" s="4">
        <v>3.6</v>
      </c>
      <c r="I3" s="4">
        <v>0.32</v>
      </c>
      <c r="J3" s="4">
        <v>54</v>
      </c>
      <c r="K3" s="4">
        <v>42.4</v>
      </c>
      <c r="L3" s="4">
        <v>34.1</v>
      </c>
      <c r="M3" s="4">
        <v>34.4</v>
      </c>
      <c r="N3" s="4">
        <v>18.3</v>
      </c>
      <c r="O3" s="5">
        <f t="shared" si="1"/>
      </c>
      <c r="P3" s="5">
        <f t="shared" si="7"/>
      </c>
      <c r="Q3" s="5">
        <f t="shared" si="12"/>
      </c>
      <c r="R3" s="6">
        <v>1500</v>
      </c>
      <c r="S3" s="6">
        <f t="shared" ref="S3:S4" si="2">N3*35/J3</f>
      </c>
      <c r="T3" s="6">
        <f t="shared" ref="T3:T4" si="8">18*N3/J3</f>
      </c>
      <c r="U3" s="6">
        <f t="shared" ref="U3:U4" si="13">14*N3/J3</f>
      </c>
      <c r="V3" s="6">
        <f t="shared" ref="V3:V4" si="18">700*P3/J3+30*7.8*0.3*0.027</f>
      </c>
      <c r="W3" s="4">
        <f>S3*1404</f>
      </c>
      <c r="X3" s="4">
        <f>T3*(1080+1080+540+540)</f>
      </c>
      <c r="Y3" s="6">
        <f>(W3+X3)/4644</f>
      </c>
    </row>
    <row customHeight="true" ht="23.703703703703702" r="4">
      <c r="A4" s="4" t="s">
        <v>30</v>
      </c>
      <c r="B4" s="4" t="s">
        <v>31</v>
      </c>
      <c r="C4" s="4" t="s">
        <v>32</v>
      </c>
      <c r="D4" s="4" t="s">
        <v>26</v>
      </c>
      <c r="E4" s="4">
        <v>46</v>
      </c>
      <c r="F4" s="4">
        <v>20.2</v>
      </c>
      <c r="G4" s="4">
        <v>10.7</v>
      </c>
      <c r="H4" s="4">
        <v>3.6</v>
      </c>
      <c r="I4" s="4">
        <v>0.32</v>
      </c>
      <c r="J4" s="4">
        <v>54</v>
      </c>
      <c r="K4" s="4">
        <v>42.4</v>
      </c>
      <c r="L4" s="4">
        <v>34.1</v>
      </c>
      <c r="M4" s="4">
        <v>34.4</v>
      </c>
      <c r="N4" s="4">
        <v>18.3</v>
      </c>
      <c r="O4" s="5">
        <f t="shared" si="1"/>
      </c>
      <c r="P4" s="5">
        <f t="shared" si="7"/>
      </c>
      <c r="Q4" s="5">
        <f t="shared" si="12"/>
      </c>
      <c r="R4" s="6">
        <v>800</v>
      </c>
      <c r="S4" s="6">
        <f t="shared" si="2"/>
      </c>
      <c r="T4" s="6">
        <f t="shared" si="8"/>
      </c>
      <c r="U4" s="6">
        <f t="shared" si="13"/>
      </c>
      <c r="V4" s="6">
        <f t="shared" si="18"/>
      </c>
      <c r="W4" s="4"/>
      <c r="X4" s="4"/>
      <c r="Y4" s="4"/>
    </row>
    <row customHeight="true" ht="23.703703703703702" r="5">
      <c r="A5" s="4" t="s">
        <v>33</v>
      </c>
      <c r="B5" s="4" t="s">
        <v>34</v>
      </c>
      <c r="C5" s="4" t="s">
        <v>35</v>
      </c>
      <c r="D5" s="4" t="s">
        <v>36</v>
      </c>
      <c r="E5" s="4">
        <v>46</v>
      </c>
      <c r="F5" s="4">
        <v>20.2</v>
      </c>
      <c r="G5" s="4">
        <v>10.7</v>
      </c>
      <c r="H5" s="4">
        <v>3.6</v>
      </c>
      <c r="I5" s="4">
        <v>0.32</v>
      </c>
      <c r="J5" s="4">
        <v>54</v>
      </c>
      <c r="K5" s="4">
        <v>42.4</v>
      </c>
      <c r="L5" s="4">
        <v>34.1</v>
      </c>
      <c r="M5" s="4">
        <v>34.4</v>
      </c>
      <c r="N5" s="4">
        <v>18.3</v>
      </c>
      <c r="O5" s="5">
        <f t="shared" si="1"/>
      </c>
      <c r="P5" s="5">
        <f t="shared" si="7"/>
      </c>
      <c r="Q5" s="5">
        <f t="shared" si="12"/>
      </c>
      <c r="R5" s="6">
        <v>1500</v>
      </c>
      <c r="S5" s="6">
        <f>52*N5/J5</f>
      </c>
      <c r="T5" s="6">
        <f>21*N5/J5</f>
      </c>
      <c r="U5" s="6"/>
      <c r="V5" s="6">
        <f>9*N5/J5</f>
      </c>
      <c r="W5" s="4"/>
      <c r="X5" s="4"/>
      <c r="Y5" s="4"/>
    </row>
    <row customHeight="true" ht="23.703703703703702" r="6">
      <c r="A6" s="4" t="s">
        <v>37</v>
      </c>
      <c r="B6" s="4" t="s">
        <v>38</v>
      </c>
      <c r="C6" s="4" t="s">
        <v>39</v>
      </c>
      <c r="D6" s="4" t="s">
        <v>36</v>
      </c>
      <c r="E6" s="4">
        <v>46</v>
      </c>
      <c r="F6" s="4">
        <v>20.2</v>
      </c>
      <c r="G6" s="4">
        <v>10.7</v>
      </c>
      <c r="H6" s="4">
        <v>3.6</v>
      </c>
      <c r="I6" s="4">
        <v>0.32</v>
      </c>
      <c r="J6" s="4">
        <v>54</v>
      </c>
      <c r="K6" s="4">
        <v>42.4</v>
      </c>
      <c r="L6" s="4">
        <v>34.1</v>
      </c>
      <c r="M6" s="4">
        <v>34.4</v>
      </c>
      <c r="N6" s="4">
        <v>18.3</v>
      </c>
      <c r="O6" s="5">
        <f t="shared" si="1"/>
      </c>
      <c r="P6" s="5">
        <f t="shared" si="7"/>
      </c>
      <c r="Q6" s="5">
        <f t="shared" si="12"/>
      </c>
      <c r="R6" s="6">
        <v>1500</v>
      </c>
      <c r="S6" s="6">
        <f t="shared" ref="S6:S7" si="3">N6*35/J6</f>
      </c>
      <c r="T6" s="6">
        <f t="shared" ref="T6:T7" si="9">18*N6/J6</f>
      </c>
      <c r="U6" s="6">
        <f t="shared" ref="U6:U7" si="14">14*N6/J6</f>
      </c>
      <c r="V6" s="6">
        <f t="shared" ref="V6:V7" si="19">700*P6/J6+30*7.8*0.3*0.027</f>
      </c>
      <c r="W6" s="4"/>
      <c r="X6" s="4"/>
      <c r="Y6" s="4"/>
    </row>
    <row customHeight="true" ht="23.703703703703702" r="7">
      <c r="A7" s="4" t="s">
        <v>40</v>
      </c>
      <c r="B7" s="4" t="s">
        <v>41</v>
      </c>
      <c r="C7" s="4" t="s">
        <v>42</v>
      </c>
      <c r="D7" s="4" t="s">
        <v>36</v>
      </c>
      <c r="E7" s="4">
        <v>46</v>
      </c>
      <c r="F7" s="4">
        <v>20.2</v>
      </c>
      <c r="G7" s="4">
        <v>10.7</v>
      </c>
      <c r="H7" s="4">
        <v>3.6</v>
      </c>
      <c r="I7" s="4">
        <v>0.32</v>
      </c>
      <c r="J7" s="4">
        <v>54</v>
      </c>
      <c r="K7" s="4">
        <v>42.4</v>
      </c>
      <c r="L7" s="4">
        <v>34.1</v>
      </c>
      <c r="M7" s="4">
        <v>34.4</v>
      </c>
      <c r="N7" s="4">
        <v>18.3</v>
      </c>
      <c r="O7" s="5">
        <f t="shared" si="1"/>
      </c>
      <c r="P7" s="5">
        <f t="shared" si="7"/>
      </c>
      <c r="Q7" s="5">
        <f t="shared" si="12"/>
      </c>
      <c r="R7" s="6">
        <v>800</v>
      </c>
      <c r="S7" s="6">
        <f t="shared" si="3"/>
      </c>
      <c r="T7" s="6">
        <f t="shared" si="9"/>
      </c>
      <c r="U7" s="6">
        <f t="shared" si="14"/>
      </c>
      <c r="V7" s="6">
        <f t="shared" si="19"/>
      </c>
      <c r="W7" s="4"/>
      <c r="X7" s="4"/>
      <c r="Y7" s="4"/>
    </row>
    <row customHeight="true" ht="23.703703703703702" r="8">
      <c r="A8" s="4" t="s">
        <v>43</v>
      </c>
      <c r="B8" s="4" t="s">
        <v>44</v>
      </c>
      <c r="C8" s="4" t="s">
        <v>45</v>
      </c>
      <c r="D8" s="4" t="s">
        <v>46</v>
      </c>
      <c r="E8" s="4">
        <v>136.5</v>
      </c>
      <c r="F8" s="4">
        <v>33.5</v>
      </c>
      <c r="G8" s="4">
        <v>26.5</v>
      </c>
      <c r="H8" s="4">
        <v>25</v>
      </c>
      <c r="I8" s="4">
        <v>2.3</v>
      </c>
      <c r="J8" s="4">
        <v>4</v>
      </c>
      <c r="K8" s="4">
        <v>56</v>
      </c>
      <c r="L8" s="4">
        <v>36.5</v>
      </c>
      <c r="M8" s="4">
        <v>53</v>
      </c>
      <c r="N8" s="4">
        <v>10</v>
      </c>
      <c r="O8" s="5">
        <f t="shared" si="1"/>
      </c>
      <c r="P8" s="5">
        <f t="shared" si="7"/>
      </c>
      <c r="Q8" s="5">
        <f t="shared" si="12"/>
      </c>
      <c r="R8" s="6">
        <v>1000</v>
      </c>
      <c r="S8" s="6">
        <f>49*O8/J8</f>
      </c>
      <c r="T8" s="6">
        <f>14*O8/J8</f>
      </c>
      <c r="U8" s="6"/>
      <c r="V8" s="6">
        <f>780*P8/J8+18</f>
      </c>
      <c r="W8" s="4"/>
      <c r="X8" s="4"/>
      <c r="Y8" s="4"/>
    </row>
    <row customHeight="true" ht="23.703703703703702" r="9">
      <c r="A9" s="4" t="s">
        <v>47</v>
      </c>
      <c r="B9" s="4" t="s">
        <v>48</v>
      </c>
      <c r="C9" s="4" t="s">
        <v>49</v>
      </c>
      <c r="D9" s="4" t="s">
        <v>46</v>
      </c>
      <c r="E9" s="4">
        <v>138.5</v>
      </c>
      <c r="F9" s="4">
        <v>33.5</v>
      </c>
      <c r="G9" s="4">
        <v>26.5</v>
      </c>
      <c r="H9" s="4">
        <v>25</v>
      </c>
      <c r="I9" s="4">
        <v>2.3</v>
      </c>
      <c r="J9" s="4">
        <v>4</v>
      </c>
      <c r="K9" s="4">
        <v>56</v>
      </c>
      <c r="L9" s="4">
        <v>36.5</v>
      </c>
      <c r="M9" s="4">
        <v>53</v>
      </c>
      <c r="N9" s="4">
        <v>10</v>
      </c>
      <c r="O9" s="5">
        <f t="shared" si="1"/>
      </c>
      <c r="P9" s="5">
        <f t="shared" si="7"/>
      </c>
      <c r="Q9" s="5">
        <f t="shared" si="12"/>
      </c>
      <c r="R9" s="6">
        <v>1500</v>
      </c>
      <c r="S9" s="6">
        <f t="shared" ref="S9:S10" si="23">O9*35/J9</f>
      </c>
      <c r="T9" s="6">
        <f t="shared" ref="T9:T10" si="27">15*O9/J9</f>
      </c>
      <c r="U9" s="6">
        <f>8.5*O9/J9+80*7.8*0.3*0.027</f>
      </c>
      <c r="V9" s="6">
        <f t="shared" ref="V9:V10" si="0">700*P9/J9+80*7.8*0.3*0.027</f>
      </c>
      <c r="W9" s="4"/>
      <c r="X9" s="4"/>
      <c r="Y9" s="4"/>
    </row>
    <row customHeight="true" ht="23.703703703703702" r="10">
      <c r="A10" s="4" t="s">
        <v>50</v>
      </c>
      <c r="B10" s="4" t="s">
        <v>51</v>
      </c>
      <c r="C10" s="4" t="s">
        <v>52</v>
      </c>
      <c r="D10" s="4" t="s">
        <v>46</v>
      </c>
      <c r="E10" s="4">
        <v>138.5</v>
      </c>
      <c r="F10" s="4">
        <v>33.5</v>
      </c>
      <c r="G10" s="4">
        <v>26.5</v>
      </c>
      <c r="H10" s="4">
        <v>25</v>
      </c>
      <c r="I10" s="4">
        <v>2.3</v>
      </c>
      <c r="J10" s="4">
        <v>4</v>
      </c>
      <c r="K10" s="4">
        <v>56</v>
      </c>
      <c r="L10" s="4">
        <v>36.5</v>
      </c>
      <c r="M10" s="4">
        <v>53</v>
      </c>
      <c r="N10" s="4">
        <v>10</v>
      </c>
      <c r="O10" s="5">
        <f t="shared" si="1"/>
      </c>
      <c r="P10" s="5">
        <f t="shared" si="7"/>
      </c>
      <c r="Q10" s="5">
        <f t="shared" si="12"/>
      </c>
      <c r="R10" s="6">
        <v>500</v>
      </c>
      <c r="S10" s="6">
        <f t="shared" si="23"/>
      </c>
      <c r="T10" s="6">
        <f t="shared" si="27"/>
      </c>
      <c r="U10" s="6">
        <f>10.5*O10/J10+80*7.8*0.3*0.027</f>
      </c>
      <c r="V10" s="6">
        <f t="shared" si="0"/>
      </c>
      <c r="W10" s="4"/>
      <c r="X10" s="4"/>
      <c r="Y10" s="4"/>
    </row>
    <row customHeight="true" ht="23.703703703703702" r="11">
      <c r="A11" s="4" t="s">
        <v>53</v>
      </c>
      <c r="B11" s="4"/>
      <c r="C11" s="4" t="s">
        <v>54</v>
      </c>
      <c r="D11" s="4" t="s">
        <v>55</v>
      </c>
      <c r="E11" s="4">
        <v>11</v>
      </c>
      <c r="F11" s="4">
        <v>12.5</v>
      </c>
      <c r="G11" s="4">
        <v>10.5</v>
      </c>
      <c r="H11" s="4">
        <v>2.8</v>
      </c>
      <c r="I11" s="4">
        <v>0.055</v>
      </c>
      <c r="J11" s="4">
        <v>96</v>
      </c>
      <c r="K11" s="4">
        <v>45.2</v>
      </c>
      <c r="L11" s="4">
        <v>39.5</v>
      </c>
      <c r="M11" s="4">
        <v>24.5</v>
      </c>
      <c r="N11" s="4">
        <v>6.2</v>
      </c>
      <c r="O11" s="5">
        <f t="shared" si="1"/>
      </c>
      <c r="P11" s="5">
        <f t="shared" si="7"/>
      </c>
      <c r="Q11" s="5">
        <f t="shared" si="12"/>
      </c>
      <c r="R11" s="6">
        <v>200</v>
      </c>
      <c r="S11" s="6">
        <f>52*N11/J11</f>
      </c>
      <c r="T11" s="6">
        <f>14*N11/J11</f>
      </c>
      <c r="U11" s="6"/>
      <c r="V11" s="6">
        <f>9*N11/J11</f>
      </c>
      <c r="W11" s="4">
        <f>S11*432</f>
      </c>
      <c r="X11" s="6">
        <f>T11*2482</f>
      </c>
      <c r="Y11" s="6">
        <f>(W11+X11)/2914</f>
      </c>
    </row>
    <row customHeight="true" ht="23.703703703703702" r="12">
      <c r="A12" s="4" t="s">
        <v>56</v>
      </c>
      <c r="B12" s="4" t="s">
        <v>57</v>
      </c>
      <c r="C12" s="4" t="s">
        <v>58</v>
      </c>
      <c r="D12" s="4" t="s">
        <v>55</v>
      </c>
      <c r="E12" s="4">
        <v>11</v>
      </c>
      <c r="F12" s="4">
        <v>12.5</v>
      </c>
      <c r="G12" s="4">
        <v>10.5</v>
      </c>
      <c r="H12" s="4">
        <v>2.8</v>
      </c>
      <c r="I12" s="4">
        <v>0.055</v>
      </c>
      <c r="J12" s="4">
        <v>96</v>
      </c>
      <c r="K12" s="4">
        <v>45.2</v>
      </c>
      <c r="L12" s="4">
        <v>39.5</v>
      </c>
      <c r="M12" s="4">
        <v>24.5</v>
      </c>
      <c r="N12" s="4">
        <v>6.2</v>
      </c>
      <c r="O12" s="5">
        <f t="shared" si="1"/>
      </c>
      <c r="P12" s="5">
        <f t="shared" si="7"/>
      </c>
      <c r="Q12" s="5">
        <f t="shared" si="12"/>
      </c>
      <c r="R12" s="6">
        <v>200</v>
      </c>
      <c r="S12" s="6">
        <f t="shared" ref="S12:S13" si="4">N12*35/J12</f>
      </c>
      <c r="T12" s="6">
        <f t="shared" ref="T12:T13" si="10">18*N12/J12</f>
      </c>
      <c r="U12" s="6">
        <f t="shared" ref="U12:U13" si="15">14*N12/J12</f>
      </c>
      <c r="V12" s="6">
        <f t="shared" ref="V12:V13" si="20">700*P12/J12+30*7.8*0.3*0.027</f>
      </c>
      <c r="W12" s="4">
        <f>S12*1404</f>
      </c>
      <c r="X12" s="4">
        <f>T12*(1080+1080+540+540)</f>
      </c>
      <c r="Y12" s="6">
        <f>(W12+X12)/4644</f>
      </c>
    </row>
    <row customHeight="true" ht="23.703703703703702" r="13">
      <c r="A13" s="4" t="s">
        <v>59</v>
      </c>
      <c r="B13" s="4" t="s">
        <v>60</v>
      </c>
      <c r="C13" s="4" t="s">
        <v>61</v>
      </c>
      <c r="D13" s="4" t="s">
        <v>55</v>
      </c>
      <c r="E13" s="4">
        <v>11</v>
      </c>
      <c r="F13" s="4">
        <v>12.5</v>
      </c>
      <c r="G13" s="4">
        <v>10.5</v>
      </c>
      <c r="H13" s="4">
        <v>2.8</v>
      </c>
      <c r="I13" s="4">
        <v>0.055</v>
      </c>
      <c r="J13" s="4">
        <v>96</v>
      </c>
      <c r="K13" s="4">
        <v>45.2</v>
      </c>
      <c r="L13" s="4">
        <v>39.5</v>
      </c>
      <c r="M13" s="4">
        <v>24.5</v>
      </c>
      <c r="N13" s="4">
        <v>6.2</v>
      </c>
      <c r="O13" s="5">
        <f t="shared" si="1"/>
      </c>
      <c r="P13" s="5">
        <f t="shared" si="7"/>
      </c>
      <c r="Q13" s="5">
        <f t="shared" si="12"/>
      </c>
      <c r="R13" s="6">
        <v>300</v>
      </c>
      <c r="S13" s="6">
        <f t="shared" si="4"/>
      </c>
      <c r="T13" s="6">
        <f t="shared" si="10"/>
      </c>
      <c r="U13" s="6">
        <f t="shared" si="15"/>
      </c>
      <c r="V13" s="6">
        <f t="shared" si="20"/>
      </c>
      <c r="W13" s="4"/>
      <c r="X13" s="4"/>
      <c r="Y13" s="4"/>
    </row>
    <row customHeight="true" ht="23.703703703703702" r="14">
      <c r="A14" s="4" t="s">
        <v>62</v>
      </c>
      <c r="B14" s="7"/>
      <c r="C14" s="4" t="s">
        <v>63</v>
      </c>
      <c r="D14" s="4" t="s">
        <v>64</v>
      </c>
      <c r="E14" s="4">
        <v>11</v>
      </c>
      <c r="F14" s="4">
        <v>12.5</v>
      </c>
      <c r="G14" s="4">
        <v>10.5</v>
      </c>
      <c r="H14" s="4">
        <v>2.8</v>
      </c>
      <c r="I14" s="4">
        <v>0.055</v>
      </c>
      <c r="J14" s="4">
        <v>96</v>
      </c>
      <c r="K14" s="4">
        <v>45.2</v>
      </c>
      <c r="L14" s="4">
        <v>39.5</v>
      </c>
      <c r="M14" s="4">
        <v>24.5</v>
      </c>
      <c r="N14" s="4">
        <v>6.2</v>
      </c>
      <c r="O14" s="5">
        <f t="shared" si="1"/>
      </c>
      <c r="P14" s="5">
        <f t="shared" si="7"/>
      </c>
      <c r="Q14" s="5">
        <f t="shared" si="12"/>
      </c>
      <c r="R14" s="6">
        <v>200</v>
      </c>
      <c r="S14" s="6">
        <f>52*N14/J14</f>
      </c>
      <c r="T14" s="6">
        <f>21*N14/J14</f>
      </c>
      <c r="U14" s="6"/>
      <c r="V14" s="6">
        <f>9*N14/J14</f>
      </c>
      <c r="W14" s="4"/>
      <c r="X14" s="4"/>
      <c r="Y14" s="4"/>
    </row>
    <row customHeight="true" ht="23.703703703703702" r="15">
      <c r="A15" s="4" t="s">
        <v>65</v>
      </c>
      <c r="B15" s="4" t="s">
        <v>66</v>
      </c>
      <c r="C15" s="4" t="s">
        <v>67</v>
      </c>
      <c r="D15" s="4" t="s">
        <v>64</v>
      </c>
      <c r="E15" s="4">
        <v>11</v>
      </c>
      <c r="F15" s="4">
        <v>12.5</v>
      </c>
      <c r="G15" s="4">
        <v>10.5</v>
      </c>
      <c r="H15" s="4">
        <v>2.8</v>
      </c>
      <c r="I15" s="4">
        <v>0.055</v>
      </c>
      <c r="J15" s="4">
        <v>96</v>
      </c>
      <c r="K15" s="4">
        <v>45.2</v>
      </c>
      <c r="L15" s="4">
        <v>39.5</v>
      </c>
      <c r="M15" s="4">
        <v>24.5</v>
      </c>
      <c r="N15" s="4">
        <v>6.2</v>
      </c>
      <c r="O15" s="5">
        <f t="shared" si="1"/>
      </c>
      <c r="P15" s="5">
        <f t="shared" si="7"/>
      </c>
      <c r="Q15" s="5">
        <f t="shared" si="12"/>
      </c>
      <c r="R15" s="6">
        <v>200</v>
      </c>
      <c r="S15" s="6">
        <f t="shared" ref="S15:S16" si="5">N15*35/J15</f>
      </c>
      <c r="T15" s="6">
        <f t="shared" ref="T15:T16" si="11">18*N15/J15</f>
      </c>
      <c r="U15" s="6">
        <f t="shared" ref="U15:U16" si="16">14*N15/J15</f>
      </c>
      <c r="V15" s="6">
        <f t="shared" ref="V15:V16" si="21">700*P15/J15+30*7.8*0.3*0.027</f>
      </c>
      <c r="W15" s="4"/>
      <c r="X15" s="4"/>
      <c r="Y15" s="4"/>
    </row>
    <row customHeight="true" ht="23.703703703703702" r="16">
      <c r="A16" s="4" t="s">
        <v>68</v>
      </c>
      <c r="B16" s="4" t="s">
        <v>69</v>
      </c>
      <c r="C16" s="4" t="s">
        <v>70</v>
      </c>
      <c r="D16" s="4" t="s">
        <v>64</v>
      </c>
      <c r="E16" s="4">
        <v>11</v>
      </c>
      <c r="F16" s="4">
        <v>12.5</v>
      </c>
      <c r="G16" s="4">
        <v>10.5</v>
      </c>
      <c r="H16" s="4">
        <v>2.8</v>
      </c>
      <c r="I16" s="4">
        <v>0.055</v>
      </c>
      <c r="J16" s="4">
        <v>96</v>
      </c>
      <c r="K16" s="4">
        <v>45.2</v>
      </c>
      <c r="L16" s="4">
        <v>39.5</v>
      </c>
      <c r="M16" s="4">
        <v>24.5</v>
      </c>
      <c r="N16" s="4">
        <v>6.2</v>
      </c>
      <c r="O16" s="5">
        <f t="shared" si="1"/>
      </c>
      <c r="P16" s="5">
        <f t="shared" si="7"/>
      </c>
      <c r="Q16" s="5">
        <f t="shared" si="12"/>
      </c>
      <c r="R16" s="6">
        <v>300</v>
      </c>
      <c r="S16" s="6">
        <f t="shared" si="5"/>
      </c>
      <c r="T16" s="6">
        <f t="shared" si="11"/>
      </c>
      <c r="U16" s="6">
        <f t="shared" si="16"/>
      </c>
      <c r="V16" s="6">
        <f t="shared" si="21"/>
      </c>
      <c r="W16" s="4"/>
      <c r="X16" s="4"/>
      <c r="Y16" s="4"/>
    </row>
    <row customHeight="true" ht="13.333333333333332" r="17">
      <c r="A17" s="4" t="s">
        <v>71</v>
      </c>
      <c r="B17" s="4" t="s">
        <v>72</v>
      </c>
      <c r="C17" s="4" t="s">
        <v>73</v>
      </c>
      <c r="D17" s="4" t="s">
        <v>74</v>
      </c>
      <c r="E17" s="4">
        <v>87</v>
      </c>
      <c r="F17" s="4">
        <v>12.4</v>
      </c>
      <c r="G17" s="4">
        <v>12.4</v>
      </c>
      <c r="H17" s="4">
        <v>15.5</v>
      </c>
      <c r="I17" s="4">
        <v>0.55</v>
      </c>
      <c r="J17" s="4">
        <v>27</v>
      </c>
      <c r="K17" s="4">
        <v>39.5</v>
      </c>
      <c r="L17" s="4">
        <v>39.5</v>
      </c>
      <c r="M17" s="4">
        <v>50.5</v>
      </c>
      <c r="N17" s="6">
        <f t="shared" ref="N17:N22" si="6">J17*I17+1</f>
      </c>
      <c r="O17" s="6">
        <f t="shared" si="1"/>
      </c>
      <c r="P17" s="5">
        <f t="shared" si="7"/>
      </c>
      <c r="Q17" s="5">
        <f t="shared" si="12"/>
      </c>
      <c r="R17" s="4"/>
      <c r="S17" s="8">
        <f>40*N17/J17</f>
      </c>
      <c r="T17" s="8">
        <f>14*N17/J17</f>
      </c>
      <c r="U17" s="6"/>
      <c r="V17" s="6"/>
      <c r="W17" s="4"/>
      <c r="X17" s="4"/>
      <c r="Y17" s="4"/>
    </row>
    <row customHeight="true" ht="14.814814814814813" r="18">
      <c r="A18" s="4" t="s">
        <v>75</v>
      </c>
      <c r="B18" s="4" t="s">
        <v>72</v>
      </c>
      <c r="C18" s="4" t="s">
        <v>75</v>
      </c>
      <c r="D18" s="9" t="s">
        <v>76</v>
      </c>
      <c r="E18" s="4">
        <v>87</v>
      </c>
      <c r="F18" s="4">
        <v>12.4</v>
      </c>
      <c r="G18" s="4">
        <v>12.4</v>
      </c>
      <c r="H18" s="4">
        <v>15.5</v>
      </c>
      <c r="I18" s="4">
        <v>0.55</v>
      </c>
      <c r="J18" s="4">
        <v>27</v>
      </c>
      <c r="K18" s="4">
        <v>39.5</v>
      </c>
      <c r="L18" s="4">
        <v>39.5</v>
      </c>
      <c r="M18" s="4">
        <v>50.5</v>
      </c>
      <c r="N18" s="6">
        <f t="shared" si="6"/>
      </c>
      <c r="O18" s="6">
        <f t="shared" si="1"/>
      </c>
      <c r="P18" s="5">
        <f t="shared" si="7"/>
      </c>
      <c r="Q18" s="5">
        <f t="shared" si="12"/>
      </c>
      <c r="R18" s="4"/>
      <c r="S18" s="8"/>
      <c r="T18" s="8"/>
      <c r="U18" s="6"/>
      <c r="V18" s="6"/>
      <c r="W18" s="4"/>
      <c r="X18" s="4"/>
      <c r="Y18" s="4"/>
    </row>
    <row customHeight="true" ht="13.333333333333332" r="19">
      <c r="A19" s="4" t="s">
        <v>77</v>
      </c>
      <c r="B19" s="4" t="s">
        <v>78</v>
      </c>
      <c r="C19" s="4" t="s">
        <v>77</v>
      </c>
      <c r="D19" s="4" t="s">
        <v>74</v>
      </c>
      <c r="E19" s="4">
        <v>87</v>
      </c>
      <c r="F19" s="4">
        <v>12.4</v>
      </c>
      <c r="G19" s="4">
        <v>12.4</v>
      </c>
      <c r="H19" s="4">
        <v>15.5</v>
      </c>
      <c r="I19" s="4">
        <v>0.55</v>
      </c>
      <c r="J19" s="4">
        <v>27</v>
      </c>
      <c r="K19" s="4">
        <v>39.5</v>
      </c>
      <c r="L19" s="4">
        <v>39.5</v>
      </c>
      <c r="M19" s="4">
        <v>50.5</v>
      </c>
      <c r="N19" s="6">
        <f t="shared" si="6"/>
      </c>
      <c r="O19" s="6">
        <f t="shared" si="1"/>
      </c>
      <c r="P19" s="5">
        <f t="shared" si="7"/>
      </c>
      <c r="Q19" s="5">
        <f t="shared" si="12"/>
      </c>
      <c r="R19" s="4"/>
      <c r="S19" s="8"/>
      <c r="T19" s="8"/>
      <c r="U19" s="6"/>
      <c r="V19" s="6"/>
      <c r="W19" s="4"/>
      <c r="X19" s="4"/>
      <c r="Y19" s="4"/>
    </row>
    <row customHeight="true" ht="13.333333333333332" r="20">
      <c r="A20" s="4" t="s">
        <v>79</v>
      </c>
      <c r="B20" s="4" t="s">
        <v>80</v>
      </c>
      <c r="C20" s="4" t="s">
        <v>81</v>
      </c>
      <c r="D20" s="4" t="s">
        <v>74</v>
      </c>
      <c r="E20" s="4">
        <v>87</v>
      </c>
      <c r="F20" s="4">
        <v>12.4</v>
      </c>
      <c r="G20" s="4">
        <v>12.4</v>
      </c>
      <c r="H20" s="4">
        <v>15.5</v>
      </c>
      <c r="I20" s="4">
        <v>0.55</v>
      </c>
      <c r="J20" s="4">
        <v>27</v>
      </c>
      <c r="K20" s="4">
        <v>39.5</v>
      </c>
      <c r="L20" s="4">
        <v>39.5</v>
      </c>
      <c r="M20" s="4">
        <v>50.5</v>
      </c>
      <c r="N20" s="6">
        <f t="shared" si="6"/>
      </c>
      <c r="O20" s="6">
        <f t="shared" si="1"/>
      </c>
      <c r="P20" s="5">
        <f t="shared" si="7"/>
      </c>
      <c r="Q20" s="5">
        <f t="shared" si="12"/>
      </c>
      <c r="R20" s="4"/>
      <c r="S20" s="8">
        <f>N20*40/J20</f>
      </c>
      <c r="T20" s="8">
        <f t="shared" ref="T20:T22" si="26">14*N20/J20</f>
      </c>
      <c r="U20" s="6">
        <f t="shared" ref="U20:U22" si="17">14*N20/J20</f>
      </c>
      <c r="V20" s="6">
        <f t="shared" ref="V20:V22" si="22">700*P20/J20+30*7.8*0.3*0.027</f>
      </c>
      <c r="W20" s="4"/>
      <c r="X20" s="4"/>
      <c r="Y20" s="4"/>
    </row>
    <row customHeight="true" ht="13.333333333333332" r="21">
      <c r="A21" s="4" t="s">
        <v>82</v>
      </c>
      <c r="B21" s="4" t="s">
        <v>83</v>
      </c>
      <c r="C21" s="4" t="s">
        <v>84</v>
      </c>
      <c r="D21" s="4" t="s">
        <v>74</v>
      </c>
      <c r="E21" s="4">
        <v>89</v>
      </c>
      <c r="F21" s="4">
        <v>12.4</v>
      </c>
      <c r="G21" s="4">
        <v>12.4</v>
      </c>
      <c r="H21" s="4">
        <v>15.5</v>
      </c>
      <c r="I21" s="4">
        <v>0.55</v>
      </c>
      <c r="J21" s="4">
        <v>27</v>
      </c>
      <c r="K21" s="4">
        <v>39.5</v>
      </c>
      <c r="L21" s="4">
        <v>39.5</v>
      </c>
      <c r="M21" s="4">
        <v>50.5</v>
      </c>
      <c r="N21" s="6">
        <f t="shared" si="6"/>
      </c>
      <c r="O21" s="6">
        <f t="shared" si="1"/>
      </c>
      <c r="P21" s="5">
        <f t="shared" si="7"/>
      </c>
      <c r="Q21" s="5">
        <f t="shared" si="12"/>
      </c>
      <c r="R21" s="4">
        <v>500</v>
      </c>
      <c r="S21" s="8">
        <f>40*N21/J21</f>
      </c>
      <c r="T21" s="8">
        <f t="shared" si="26"/>
      </c>
      <c r="U21" s="6">
        <f t="shared" si="17"/>
      </c>
      <c r="V21" s="6">
        <f t="shared" si="22"/>
      </c>
      <c r="W21" s="4"/>
      <c r="X21" s="4"/>
      <c r="Y21" s="4"/>
    </row>
    <row customHeight="true" ht="13.333333333333332" r="22">
      <c r="A22" s="4" t="s">
        <v>85</v>
      </c>
      <c r="B22" s="4" t="s">
        <v>86</v>
      </c>
      <c r="C22" s="4" t="s">
        <v>87</v>
      </c>
      <c r="D22" s="4" t="s">
        <v>88</v>
      </c>
      <c r="E22" s="4">
        <v>87</v>
      </c>
      <c r="F22" s="4">
        <v>12.4</v>
      </c>
      <c r="G22" s="4">
        <v>12.4</v>
      </c>
      <c r="H22" s="4">
        <v>15.5</v>
      </c>
      <c r="I22" s="4">
        <v>0.55</v>
      </c>
      <c r="J22" s="4">
        <v>27</v>
      </c>
      <c r="K22" s="4">
        <v>39.5</v>
      </c>
      <c r="L22" s="4">
        <v>39.5</v>
      </c>
      <c r="M22" s="4">
        <v>50.5</v>
      </c>
      <c r="N22" s="6">
        <f t="shared" si="6"/>
      </c>
      <c r="O22" s="6">
        <f t="shared" si="1"/>
      </c>
      <c r="P22" s="5">
        <f t="shared" si="7"/>
      </c>
      <c r="Q22" s="5">
        <f t="shared" si="12"/>
      </c>
      <c r="R22" s="4"/>
      <c r="S22" s="8">
        <f>N22*40/J22</f>
      </c>
      <c r="T22" s="8">
        <f t="shared" si="26"/>
      </c>
      <c r="U22" s="6">
        <f t="shared" si="17"/>
      </c>
      <c r="V22" s="6">
        <f t="shared" si="22"/>
      </c>
      <c r="W22" s="4"/>
      <c r="X22" s="4"/>
      <c r="Y22" s="4"/>
    </row>
    <row customHeight="true" ht="13.333333333333332" r="23">
      <c r="A23" s="4" t="s">
        <v>89</v>
      </c>
      <c r="B23" s="4"/>
      <c r="C23" s="4"/>
      <c r="D23" s="4" t="s">
        <v>90</v>
      </c>
      <c r="E23" s="4">
        <f t="shared" ref="E23:E25" si="25">78</f>
      </c>
      <c r="F23" s="4">
        <v>14.2</v>
      </c>
      <c r="G23" s="4">
        <v>11</v>
      </c>
      <c r="H23" s="4">
        <v>8.4</v>
      </c>
      <c r="I23" s="4">
        <v>0.322</v>
      </c>
      <c r="J23" s="4">
        <v>36</v>
      </c>
      <c r="K23" s="4">
        <v>47</v>
      </c>
      <c r="L23" s="4">
        <v>45</v>
      </c>
      <c r="M23" s="4">
        <v>28</v>
      </c>
      <c r="N23" s="4">
        <v>13.5</v>
      </c>
      <c r="O23" s="5">
        <f t="shared" si="1"/>
      </c>
      <c r="P23" s="5">
        <f t="shared" si="7"/>
      </c>
      <c r="Q23" s="5">
        <f t="shared" si="12"/>
      </c>
      <c r="R23" s="4"/>
      <c r="S23" s="6">
        <f t="shared" ref="S23:S27" si="24">O23*35/J23</f>
      </c>
      <c r="T23" s="6">
        <f t="shared" ref="T23:T27" si="28">15*O23/J23</f>
      </c>
      <c r="U23" s="6">
        <f t="shared" ref="U23:U27" si="29">11*O23/J23</f>
      </c>
      <c r="V23" s="6">
        <f t="shared" ref="V23:V27" si="30">700*P23/J23+130*7.8*0.3*0.027</f>
      </c>
      <c r="W23" s="4"/>
      <c r="X23" s="4"/>
      <c r="Y23" s="4"/>
    </row>
    <row customHeight="true" ht="13.333333333333332" r="24">
      <c r="A24" s="4" t="s">
        <v>91</v>
      </c>
      <c r="B24" s="4"/>
      <c r="C24" s="4"/>
      <c r="D24" s="4" t="s">
        <v>90</v>
      </c>
      <c r="E24" s="4">
        <f t="shared" si="25"/>
      </c>
      <c r="F24" s="4">
        <v>14.2</v>
      </c>
      <c r="G24" s="4">
        <v>11</v>
      </c>
      <c r="H24" s="4">
        <v>8.4</v>
      </c>
      <c r="I24" s="4">
        <v>0.322</v>
      </c>
      <c r="J24" s="4">
        <v>36</v>
      </c>
      <c r="K24" s="4">
        <v>47</v>
      </c>
      <c r="L24" s="4">
        <v>45</v>
      </c>
      <c r="M24" s="4">
        <v>28</v>
      </c>
      <c r="N24" s="4">
        <v>13.5</v>
      </c>
      <c r="O24" s="5">
        <f t="shared" si="1"/>
      </c>
      <c r="P24" s="5">
        <f t="shared" si="7"/>
      </c>
      <c r="Q24" s="5">
        <f t="shared" si="12"/>
      </c>
      <c r="R24" s="4"/>
      <c r="S24" s="6">
        <f t="shared" si="24"/>
      </c>
      <c r="T24" s="6">
        <f t="shared" si="28"/>
      </c>
      <c r="U24" s="6">
        <f t="shared" si="29"/>
      </c>
      <c r="V24" s="6">
        <f t="shared" si="30"/>
      </c>
      <c r="W24" s="4"/>
      <c r="X24" s="4"/>
      <c r="Y24" s="4"/>
    </row>
    <row customHeight="true" ht="13.333333333333332" r="25">
      <c r="A25" s="4" t="s">
        <v>92</v>
      </c>
      <c r="B25" s="4"/>
      <c r="C25" s="4"/>
      <c r="D25" s="4" t="s">
        <v>90</v>
      </c>
      <c r="E25" s="4">
        <f t="shared" si="25"/>
      </c>
      <c r="F25" s="4">
        <v>14.2</v>
      </c>
      <c r="G25" s="4">
        <v>11</v>
      </c>
      <c r="H25" s="4">
        <v>8.4</v>
      </c>
      <c r="I25" s="4">
        <v>0.322</v>
      </c>
      <c r="J25" s="4">
        <v>36</v>
      </c>
      <c r="K25" s="4">
        <v>47</v>
      </c>
      <c r="L25" s="4">
        <v>45</v>
      </c>
      <c r="M25" s="4">
        <v>28</v>
      </c>
      <c r="N25" s="4">
        <v>13.5</v>
      </c>
      <c r="O25" s="5">
        <f t="shared" si="1"/>
      </c>
      <c r="P25" s="5">
        <f t="shared" si="7"/>
      </c>
      <c r="Q25" s="5">
        <f t="shared" si="12"/>
      </c>
      <c r="R25" s="4"/>
      <c r="S25" s="6">
        <f t="shared" si="24"/>
      </c>
      <c r="T25" s="6">
        <f t="shared" si="28"/>
      </c>
      <c r="U25" s="6">
        <f t="shared" si="29"/>
      </c>
      <c r="V25" s="6">
        <f t="shared" si="30"/>
      </c>
      <c r="W25" s="4"/>
      <c r="X25" s="4"/>
      <c r="Y25" s="4"/>
    </row>
    <row customHeight="true" ht="13.333333333333332" r="26">
      <c r="A26" s="4" t="s">
        <v>91</v>
      </c>
      <c r="B26" s="4"/>
      <c r="C26" s="4"/>
      <c r="D26" s="4" t="s">
        <v>93</v>
      </c>
      <c r="E26" s="4">
        <v>54</v>
      </c>
      <c r="F26" s="4">
        <v>19.3</v>
      </c>
      <c r="G26" s="4">
        <v>13.21</v>
      </c>
      <c r="H26" s="4">
        <v>5.08</v>
      </c>
      <c r="I26" s="4">
        <v>0.331</v>
      </c>
      <c r="J26" s="4">
        <v>50</v>
      </c>
      <c r="K26" s="4">
        <v>42.4</v>
      </c>
      <c r="L26" s="4">
        <v>34.1</v>
      </c>
      <c r="M26" s="4">
        <v>34.4</v>
      </c>
      <c r="N26" s="4">
        <v>18.3</v>
      </c>
      <c r="O26" s="5">
        <f t="shared" si="1"/>
      </c>
      <c r="P26" s="5">
        <f t="shared" si="7"/>
      </c>
      <c r="Q26" s="5">
        <f t="shared" si="12"/>
      </c>
      <c r="R26" s="4"/>
      <c r="S26" s="6">
        <f t="shared" si="24"/>
      </c>
      <c r="T26" s="6">
        <f t="shared" si="28"/>
      </c>
      <c r="U26" s="6">
        <f t="shared" si="29"/>
      </c>
      <c r="V26" s="6">
        <f t="shared" si="30"/>
      </c>
      <c r="W26" s="4"/>
      <c r="X26" s="4"/>
      <c r="Y26" s="4"/>
    </row>
    <row customHeight="true" ht="13.333333333333332" r="27">
      <c r="A27" s="4" t="s">
        <v>92</v>
      </c>
      <c r="B27" s="4"/>
      <c r="C27" s="4"/>
      <c r="D27" s="4" t="s">
        <v>94</v>
      </c>
      <c r="E27" s="4">
        <v>54</v>
      </c>
      <c r="F27" s="4">
        <v>19.3</v>
      </c>
      <c r="G27" s="4">
        <v>13.21</v>
      </c>
      <c r="H27" s="4">
        <v>5.08</v>
      </c>
      <c r="I27" s="4">
        <v>0.331</v>
      </c>
      <c r="J27" s="4">
        <v>50</v>
      </c>
      <c r="K27" s="4">
        <v>42.4</v>
      </c>
      <c r="L27" s="4">
        <v>34.1</v>
      </c>
      <c r="M27" s="4">
        <v>34.4</v>
      </c>
      <c r="N27" s="4">
        <v>18.3</v>
      </c>
      <c r="O27" s="5">
        <f t="shared" si="1"/>
      </c>
      <c r="P27" s="5">
        <f t="shared" si="7"/>
      </c>
      <c r="Q27" s="5">
        <f t="shared" si="12"/>
      </c>
      <c r="R27" s="4"/>
      <c r="S27" s="6">
        <f t="shared" si="24"/>
      </c>
      <c r="T27" s="6">
        <f t="shared" si="28"/>
      </c>
      <c r="U27" s="6">
        <f t="shared" si="29"/>
      </c>
      <c r="V27" s="6">
        <f t="shared" si="30"/>
      </c>
      <c r="W27" s="4"/>
      <c r="X27" s="4"/>
      <c r="Y27" s="4"/>
    </row>
    <row customHeight="true" ht="13.333333333333332"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customHeight="true" ht="13.333333333333332"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customHeight="true" ht="13.333333333333332"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customHeight="true" ht="13.333333333333332" r="31">
      <c r="A31" s="4" t="s">
        <v>89</v>
      </c>
      <c r="B31" s="4" t="s">
        <v>95</v>
      </c>
      <c r="C31" s="4" t="s">
        <v>19</v>
      </c>
      <c r="D31" s="4" t="s">
        <v>96</v>
      </c>
      <c r="E31" s="4" t="s">
        <v>22</v>
      </c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customHeight="true" ht="13.333333333333332" r="32">
      <c r="A32" s="4"/>
      <c r="B32" s="4" t="s">
        <v>97</v>
      </c>
      <c r="C32" s="4" t="s">
        <v>98</v>
      </c>
      <c r="D32" s="4" t="s">
        <v>99</v>
      </c>
      <c r="E32" s="4" t="s">
        <v>100</v>
      </c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customHeight="true" ht="19.25925925925926" r="33">
      <c r="A33" s="4" t="s">
        <v>101</v>
      </c>
      <c r="B33" s="4" t="s">
        <v>95</v>
      </c>
      <c r="C33" s="4" t="s">
        <v>19</v>
      </c>
      <c r="D33" s="4" t="s">
        <v>102</v>
      </c>
      <c r="E33" s="4" t="s">
        <v>21</v>
      </c>
      <c r="F33" s="4" t="s">
        <v>22</v>
      </c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customHeight="true" ht="13.333333333333332" r="34">
      <c r="A34" s="4"/>
      <c r="B34" s="4" t="s">
        <v>97</v>
      </c>
      <c r="C34" s="4" t="s">
        <v>98</v>
      </c>
      <c r="D34" s="4" t="s">
        <v>103</v>
      </c>
      <c r="E34" s="4" t="s">
        <v>104</v>
      </c>
      <c r="F34" s="4" t="s">
        <v>105</v>
      </c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</sheetData>
  <mergeCells>
    <mergeCell ref="A31:A32"/>
    <mergeCell ref="A33:A34"/>
  </mergeCells>
  <drawing r:id="rId3"/>
  <legacyDrawing r:id="rId1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3" min="3" style="0" width="12.866666666666667"/>
    <col collapsed="false" customWidth="true" hidden="false" max="7" min="7" style="0" width="17.4"/>
    <col collapsed="false" customWidth="true" hidden="false" max="11" min="11" style="0" width="17.4"/>
    <col collapsed="false" customWidth="true" hidden="false" max="15" min="15" style="0" width="17.4"/>
    <col collapsed="false" customWidth="true" hidden="false" max="19" min="19" style="0" width="12.2"/>
    <col collapsed="false" customWidth="true" hidden="false" max="23" min="23" style="0" width="12.733333333333333"/>
    <col collapsed="false" customWidth="true" hidden="false" max="27" min="27" style="0" width="17.4"/>
    <col collapsed="false" customWidth="true" hidden="false" max="4" min="4" style="0" width="13"/>
    <col collapsed="false" customWidth="true" hidden="false" max="8" min="8" style="0" width="17.4"/>
    <col collapsed="false" customWidth="true" hidden="false" max="12" min="12" style="0" width="17.4"/>
    <col collapsed="false" customWidth="true" hidden="false" max="16" min="16" style="0" width="17.4"/>
    <col collapsed="false" customWidth="true" hidden="false" max="20" min="20" style="0" width="12.2"/>
    <col collapsed="false" customWidth="true" hidden="false" max="24" min="24" style="0" width="12.733333333333333"/>
    <col collapsed="false" customWidth="true" hidden="false" max="28" min="28" style="0" width="17.4"/>
    <col collapsed="false" customWidth="true" hidden="false" max="1" min="1" style="0" width="10.866666666666667"/>
    <col collapsed="false" customWidth="true" hidden="false" max="5" min="5" style="0" width="17.4"/>
    <col collapsed="false" customWidth="true" hidden="false" max="9" min="9" style="0" width="13.266666666666667"/>
    <col collapsed="false" customWidth="true" hidden="false" max="13" min="13" style="0" width="17.4"/>
    <col collapsed="false" customWidth="true" hidden="false" max="17" min="17" style="0" width="17.4"/>
    <col collapsed="false" customWidth="true" hidden="false" max="21" min="21" style="0" width="12.2"/>
    <col collapsed="false" customWidth="true" hidden="false" max="25" min="25" style="0" width="12.733333333333333"/>
    <col collapsed="false" customWidth="true" hidden="false" max="2" min="2" style="0" width="17.8"/>
    <col collapsed="false" customWidth="true" hidden="false" max="6" min="6" style="0" width="17.4"/>
    <col collapsed="false" customWidth="true" hidden="false" max="10" min="10" style="0" width="17.4"/>
    <col collapsed="false" customWidth="true" hidden="false" max="14" min="14" style="0" width="17.4"/>
    <col collapsed="false" customWidth="true" hidden="false" max="18" min="18" style="0" width="12.733333333333333"/>
    <col collapsed="false" customWidth="true" hidden="false" max="22" min="22" style="0" width="11.933333333333334"/>
    <col collapsed="false" customWidth="true" hidden="false" max="26" min="26" style="0" width="12.733333333333333"/>
  </cols>
  <sheetData>
    <row customHeight="true" ht="18.51851851851852" r="1">
      <c r="A1" s="10" t="s">
        <v>106</v>
      </c>
      <c r="B1" s="10" t="s">
        <v>107</v>
      </c>
      <c r="C1" s="10" t="s">
        <v>108</v>
      </c>
      <c r="D1" s="10" t="s">
        <v>109</v>
      </c>
      <c r="E1" s="10" t="s">
        <v>110</v>
      </c>
      <c r="F1" s="10" t="s">
        <v>111</v>
      </c>
      <c r="G1" s="10" t="s">
        <v>112</v>
      </c>
      <c r="H1" s="10" t="s">
        <v>113</v>
      </c>
      <c r="I1" s="11" t="s">
        <v>114</v>
      </c>
      <c r="J1" s="12" t="s">
        <v>115</v>
      </c>
      <c r="K1" s="11" t="s">
        <v>116</v>
      </c>
      <c r="L1" s="13" t="s">
        <v>117</v>
      </c>
      <c r="M1" s="14" t="s">
        <v>118</v>
      </c>
      <c r="N1" s="15" t="s">
        <v>119</v>
      </c>
      <c r="O1" s="16" t="s">
        <v>120</v>
      </c>
      <c r="P1" s="17" t="s">
        <v>121</v>
      </c>
      <c r="Q1" s="18" t="s">
        <v>122</v>
      </c>
      <c r="R1" s="19" t="s">
        <v>123</v>
      </c>
      <c r="S1" s="19" t="s">
        <v>124</v>
      </c>
      <c r="T1" s="19" t="s">
        <v>125</v>
      </c>
      <c r="U1" s="20" t="s">
        <v>126</v>
      </c>
      <c r="V1" s="20" t="s">
        <v>127</v>
      </c>
      <c r="W1" s="21" t="s">
        <v>128</v>
      </c>
      <c r="X1" s="21" t="s">
        <v>129</v>
      </c>
      <c r="Y1" s="21" t="s">
        <v>130</v>
      </c>
      <c r="Z1" s="21" t="s">
        <v>131</v>
      </c>
      <c r="AA1" s="22" t="s">
        <v>132</v>
      </c>
      <c r="AB1" s="22" t="s">
        <v>133</v>
      </c>
    </row>
    <row customHeight="true" ht="18.51851851851852" r="2">
      <c r="A2" s="23" t="s">
        <v>134</v>
      </c>
      <c r="B2" s="24" t="s">
        <v>135</v>
      </c>
      <c r="C2" s="23">
        <v>180</v>
      </c>
      <c r="D2" s="23">
        <v>7.94</v>
      </c>
      <c r="E2" s="24"/>
      <c r="F2" s="24" t="s">
        <v>136</v>
      </c>
      <c r="G2" s="24" t="s">
        <v>137</v>
      </c>
      <c r="H2" s="24" t="s">
        <v>138</v>
      </c>
      <c r="I2" s="23" t="s">
        <v>139</v>
      </c>
      <c r="J2" s="23">
        <v>290</v>
      </c>
      <c r="K2" s="23">
        <v>399</v>
      </c>
      <c r="L2" s="23">
        <f t="shared" ref="L2:L4" si="2">J2-Q2-W2-X2-Y2-Z2</f>
      </c>
      <c r="M2" s="25">
        <f t="shared" ref="M2:M4" si="12">L2/J2</f>
      </c>
      <c r="N2" s="25">
        <f t="shared" ref="N2:N4" si="4">(K2-J2)/K2</f>
      </c>
      <c r="O2" s="25">
        <f t="shared" ref="O2:O4" si="14">(K2-J2+Z2)/K2</f>
      </c>
      <c r="P2" s="26">
        <f t="shared" ref="P2:P4" si="6">K2-J2</f>
      </c>
      <c r="Q2" s="26">
        <f t="shared" ref="Q2:Q4" si="16">C2+D2</f>
      </c>
      <c r="R2" s="27">
        <v>0.1</v>
      </c>
      <c r="S2" s="27">
        <v>0.1</v>
      </c>
      <c r="T2" s="27">
        <v>0.01</v>
      </c>
      <c r="U2" s="27">
        <f t="shared" ref="U2:U4" si="8">Q2/J2</f>
      </c>
      <c r="V2" s="27">
        <v>0.14</v>
      </c>
      <c r="W2" s="28">
        <f t="shared" ref="W2:W4" si="18">J2*R2</f>
      </c>
      <c r="X2" s="28">
        <f t="shared" ref="X2:X4" si="20">K2*S2</f>
      </c>
      <c r="Y2" s="28">
        <f t="shared" ref="Y2:Y4" si="0">J2*T2</f>
      </c>
      <c r="Z2" s="28">
        <f t="shared" ref="Z2:Z4" si="10">J2*V2</f>
      </c>
      <c r="AA2" s="24"/>
      <c r="AB2" s="24"/>
    </row>
    <row customHeight="true" ht="18.51851851851852" r="3">
      <c r="A3" s="23" t="s">
        <v>134</v>
      </c>
      <c r="B3" s="24" t="s">
        <v>140</v>
      </c>
      <c r="C3" s="23">
        <v>100</v>
      </c>
      <c r="D3" s="23">
        <v>4.19</v>
      </c>
      <c r="E3" s="24"/>
      <c r="F3" s="24" t="s">
        <v>141</v>
      </c>
      <c r="G3" s="24" t="s">
        <v>142</v>
      </c>
      <c r="H3" s="24" t="s">
        <v>138</v>
      </c>
      <c r="I3" s="23" t="s">
        <v>139</v>
      </c>
      <c r="J3" s="23">
        <v>170</v>
      </c>
      <c r="K3" s="23">
        <v>239</v>
      </c>
      <c r="L3" s="23">
        <f t="shared" si="2"/>
      </c>
      <c r="M3" s="25">
        <f t="shared" si="12"/>
      </c>
      <c r="N3" s="25">
        <f t="shared" si="4"/>
      </c>
      <c r="O3" s="25">
        <f t="shared" si="14"/>
      </c>
      <c r="P3" s="26">
        <f t="shared" si="6"/>
      </c>
      <c r="Q3" s="26">
        <f t="shared" si="16"/>
      </c>
      <c r="R3" s="27">
        <v>0.1</v>
      </c>
      <c r="S3" s="27">
        <v>0.1</v>
      </c>
      <c r="T3" s="27">
        <v>0.01</v>
      </c>
      <c r="U3" s="27">
        <f t="shared" si="8"/>
      </c>
      <c r="V3" s="27">
        <v>0.14</v>
      </c>
      <c r="W3" s="28">
        <f t="shared" si="18"/>
      </c>
      <c r="X3" s="28">
        <f t="shared" si="20"/>
      </c>
      <c r="Y3" s="28">
        <f t="shared" si="0"/>
      </c>
      <c r="Z3" s="28">
        <f t="shared" si="10"/>
      </c>
      <c r="AA3" s="24"/>
      <c r="AB3" s="24"/>
    </row>
    <row customHeight="true" ht="18.51851851851852" r="4">
      <c r="A4" s="23" t="s">
        <v>134</v>
      </c>
      <c r="B4" s="24" t="s">
        <v>143</v>
      </c>
      <c r="C4" s="23">
        <v>251.12</v>
      </c>
      <c r="D4" s="23">
        <v>7.57</v>
      </c>
      <c r="E4" s="24"/>
      <c r="F4" s="24" t="s">
        <v>144</v>
      </c>
      <c r="G4" s="24" t="s">
        <v>145</v>
      </c>
      <c r="H4" s="24" t="s">
        <v>138</v>
      </c>
      <c r="I4" s="23" t="s">
        <v>139</v>
      </c>
      <c r="J4" s="23">
        <v>420</v>
      </c>
      <c r="K4" s="23">
        <v>579.99</v>
      </c>
      <c r="L4" s="23">
        <f t="shared" si="2"/>
      </c>
      <c r="M4" s="25">
        <f t="shared" si="12"/>
      </c>
      <c r="N4" s="25">
        <f t="shared" si="4"/>
      </c>
      <c r="O4" s="25">
        <f t="shared" si="14"/>
      </c>
      <c r="P4" s="26">
        <f t="shared" si="6"/>
      </c>
      <c r="Q4" s="26">
        <f t="shared" si="16"/>
      </c>
      <c r="R4" s="27">
        <v>0.1</v>
      </c>
      <c r="S4" s="27">
        <v>0.1</v>
      </c>
      <c r="T4" s="27">
        <v>0.01</v>
      </c>
      <c r="U4" s="27">
        <f t="shared" si="8"/>
      </c>
      <c r="V4" s="27">
        <v>0.14</v>
      </c>
      <c r="W4" s="28">
        <f t="shared" si="18"/>
      </c>
      <c r="X4" s="28">
        <f t="shared" si="20"/>
      </c>
      <c r="Y4" s="28">
        <f t="shared" si="0"/>
      </c>
      <c r="Z4" s="28">
        <f t="shared" si="10"/>
      </c>
      <c r="AA4" s="24"/>
      <c r="AB4" s="24"/>
    </row>
    <row customHeight="true" ht="18.51851851851852" r="5">
      <c r="A5" s="23"/>
      <c r="B5" s="24"/>
      <c r="C5" s="23"/>
      <c r="D5" s="23"/>
      <c r="E5" s="24"/>
      <c r="F5" s="24"/>
      <c r="G5" s="24"/>
      <c r="H5" s="24"/>
      <c r="I5" s="23"/>
      <c r="J5" s="23"/>
      <c r="K5" s="23"/>
      <c r="L5" s="23"/>
      <c r="M5" s="25"/>
      <c r="N5" s="25"/>
      <c r="O5" s="25"/>
      <c r="P5" s="26"/>
      <c r="Q5" s="26"/>
      <c r="R5" s="27"/>
      <c r="S5" s="27"/>
      <c r="T5" s="27"/>
      <c r="U5" s="27"/>
      <c r="V5" s="27"/>
      <c r="W5" s="28"/>
      <c r="X5" s="28"/>
      <c r="Y5" s="28"/>
      <c r="Z5" s="28"/>
      <c r="AA5" s="24"/>
      <c r="AB5" s="24"/>
    </row>
    <row customHeight="true" ht="18.51851851851852" r="6">
      <c r="A6" s="23"/>
      <c r="B6" s="24" t="s">
        <v>146</v>
      </c>
      <c r="C6" s="23">
        <v>48</v>
      </c>
      <c r="D6" s="23">
        <v>3.89</v>
      </c>
      <c r="E6" s="24"/>
      <c r="F6" s="24" t="s">
        <v>147</v>
      </c>
      <c r="G6" s="24" t="s">
        <v>148</v>
      </c>
      <c r="H6" s="24" t="s">
        <v>138</v>
      </c>
      <c r="I6" s="23" t="s">
        <v>139</v>
      </c>
      <c r="J6" s="23">
        <v>90</v>
      </c>
      <c r="K6" s="23">
        <v>124.99</v>
      </c>
      <c r="L6" s="23">
        <f t="shared" ref="L6:L9" si="3">J6-Q6-W6-X6-Y6-Z6</f>
      </c>
      <c r="M6" s="25">
        <f t="shared" ref="M6:M9" si="13">L6/J6</f>
      </c>
      <c r="N6" s="25">
        <f t="shared" ref="N6:N9" si="5">(K6-J6)/K6</f>
      </c>
      <c r="O6" s="25">
        <f t="shared" ref="O6:O9" si="15">(K6-J6+Z6)/K6</f>
      </c>
      <c r="P6" s="26">
        <f t="shared" ref="P6:P9" si="7">K6-J6</f>
      </c>
      <c r="Q6" s="26">
        <f t="shared" ref="Q6:Q9" si="17">C6+D6</f>
      </c>
      <c r="R6" s="27">
        <v>0.1</v>
      </c>
      <c r="S6" s="27">
        <v>0.1</v>
      </c>
      <c r="T6" s="27">
        <v>0.01</v>
      </c>
      <c r="U6" s="27">
        <f t="shared" ref="U6:U9" si="9">Q6/J6</f>
      </c>
      <c r="V6" s="27">
        <v>0.14</v>
      </c>
      <c r="W6" s="28">
        <f t="shared" ref="W6:W9" si="19">J6*R6</f>
      </c>
      <c r="X6" s="28">
        <f t="shared" ref="X6:X9" si="21">K6*S6</f>
      </c>
      <c r="Y6" s="28">
        <f t="shared" ref="Y6:Y9" si="1">J6*T6</f>
      </c>
      <c r="Z6" s="28">
        <f t="shared" ref="Z6:Z9" si="11">J6*V6</f>
      </c>
      <c r="AA6" s="24"/>
      <c r="AB6" s="24"/>
    </row>
    <row customHeight="true" ht="18.51851851851852" r="7">
      <c r="A7" s="23"/>
      <c r="B7" s="24" t="s">
        <v>149</v>
      </c>
      <c r="C7" s="23">
        <v>31</v>
      </c>
      <c r="D7" s="23">
        <v>3</v>
      </c>
      <c r="E7" s="24"/>
      <c r="F7" s="24" t="s">
        <v>150</v>
      </c>
      <c r="G7" s="24" t="s">
        <v>151</v>
      </c>
      <c r="H7" s="24" t="s">
        <v>138</v>
      </c>
      <c r="I7" s="23" t="s">
        <v>139</v>
      </c>
      <c r="J7" s="23">
        <v>65</v>
      </c>
      <c r="K7" s="23">
        <v>89.99</v>
      </c>
      <c r="L7" s="23">
        <f t="shared" si="3"/>
      </c>
      <c r="M7" s="25">
        <f t="shared" si="13"/>
      </c>
      <c r="N7" s="25">
        <f t="shared" si="5"/>
      </c>
      <c r="O7" s="25">
        <f t="shared" si="15"/>
      </c>
      <c r="P7" s="26">
        <f t="shared" si="7"/>
      </c>
      <c r="Q7" s="26">
        <f t="shared" si="17"/>
      </c>
      <c r="R7" s="27">
        <v>0.1</v>
      </c>
      <c r="S7" s="27">
        <v>0.1</v>
      </c>
      <c r="T7" s="27">
        <v>0.01</v>
      </c>
      <c r="U7" s="27">
        <f t="shared" si="9"/>
      </c>
      <c r="V7" s="27">
        <v>0.14</v>
      </c>
      <c r="W7" s="28">
        <f t="shared" si="19"/>
      </c>
      <c r="X7" s="28">
        <f t="shared" si="21"/>
      </c>
      <c r="Y7" s="28">
        <f t="shared" si="1"/>
      </c>
      <c r="Z7" s="28">
        <f t="shared" si="11"/>
      </c>
      <c r="AA7" s="24"/>
      <c r="AB7" s="24"/>
    </row>
    <row customHeight="true" ht="18.51851851851852" r="8">
      <c r="A8" s="23"/>
      <c r="B8" s="24" t="s">
        <v>152</v>
      </c>
      <c r="C8" s="23">
        <v>52</v>
      </c>
      <c r="D8" s="23">
        <v>2.69</v>
      </c>
      <c r="E8" s="24"/>
      <c r="F8" s="24" t="s">
        <v>153</v>
      </c>
      <c r="G8" s="24" t="s">
        <v>154</v>
      </c>
      <c r="H8" s="24" t="s">
        <v>138</v>
      </c>
      <c r="I8" s="23" t="s">
        <v>139</v>
      </c>
      <c r="J8" s="23">
        <v>101</v>
      </c>
      <c r="K8" s="23">
        <v>139.99</v>
      </c>
      <c r="L8" s="23">
        <f t="shared" si="3"/>
      </c>
      <c r="M8" s="25">
        <f t="shared" si="13"/>
      </c>
      <c r="N8" s="25">
        <f t="shared" si="5"/>
      </c>
      <c r="O8" s="25">
        <f t="shared" si="15"/>
      </c>
      <c r="P8" s="26">
        <f t="shared" si="7"/>
      </c>
      <c r="Q8" s="26">
        <f t="shared" si="17"/>
      </c>
      <c r="R8" s="27">
        <v>0.1</v>
      </c>
      <c r="S8" s="27">
        <v>0.1</v>
      </c>
      <c r="T8" s="27">
        <v>0.01</v>
      </c>
      <c r="U8" s="27">
        <f t="shared" si="9"/>
      </c>
      <c r="V8" s="27">
        <v>0.14</v>
      </c>
      <c r="W8" s="28">
        <f t="shared" si="19"/>
      </c>
      <c r="X8" s="28">
        <f t="shared" si="21"/>
      </c>
      <c r="Y8" s="28">
        <f t="shared" si="1"/>
      </c>
      <c r="Z8" s="28">
        <f t="shared" si="11"/>
      </c>
      <c r="AA8" s="24"/>
      <c r="AB8" s="24"/>
    </row>
    <row customHeight="true" ht="18.51851851851852" r="9">
      <c r="A9" s="23"/>
      <c r="B9" s="24" t="s">
        <v>155</v>
      </c>
      <c r="C9" s="23">
        <v>38.61</v>
      </c>
      <c r="D9" s="23">
        <v>1.95</v>
      </c>
      <c r="E9" s="24"/>
      <c r="F9" s="24" t="s">
        <v>156</v>
      </c>
      <c r="G9" s="24" t="s">
        <v>157</v>
      </c>
      <c r="H9" s="24" t="s">
        <v>138</v>
      </c>
      <c r="I9" s="23" t="s">
        <v>139</v>
      </c>
      <c r="J9" s="23">
        <v>78.5</v>
      </c>
      <c r="K9" s="23">
        <v>109</v>
      </c>
      <c r="L9" s="23">
        <f t="shared" si="3"/>
      </c>
      <c r="M9" s="25">
        <f t="shared" si="13"/>
      </c>
      <c r="N9" s="25">
        <f t="shared" si="5"/>
      </c>
      <c r="O9" s="25">
        <f t="shared" si="15"/>
      </c>
      <c r="P9" s="26">
        <f t="shared" si="7"/>
      </c>
      <c r="Q9" s="26">
        <f t="shared" si="17"/>
      </c>
      <c r="R9" s="27">
        <v>0.1</v>
      </c>
      <c r="S9" s="27">
        <v>0.1</v>
      </c>
      <c r="T9" s="27">
        <v>0.01</v>
      </c>
      <c r="U9" s="27">
        <f t="shared" si="9"/>
      </c>
      <c r="V9" s="27">
        <v>0.14</v>
      </c>
      <c r="W9" s="28">
        <f t="shared" si="19"/>
      </c>
      <c r="X9" s="28">
        <f t="shared" si="21"/>
      </c>
      <c r="Y9" s="28">
        <f t="shared" si="1"/>
      </c>
      <c r="Z9" s="28">
        <f t="shared" si="11"/>
      </c>
      <c r="AA9" s="24"/>
      <c r="AB9" s="24"/>
    </row>
    <row customHeight="true" ht="18.51851851851852" r="10">
      <c r="A10" s="23"/>
      <c r="B10" s="24"/>
      <c r="C10" s="23"/>
      <c r="D10" s="23"/>
      <c r="E10" s="24"/>
      <c r="F10" s="24"/>
      <c r="G10" s="24"/>
      <c r="H10" s="24"/>
      <c r="I10" s="23"/>
      <c r="J10" s="23"/>
      <c r="K10" s="23"/>
      <c r="L10" s="23"/>
      <c r="M10" s="25"/>
      <c r="N10" s="25"/>
      <c r="O10" s="25"/>
      <c r="P10" s="26"/>
      <c r="Q10" s="26"/>
      <c r="R10" s="27"/>
      <c r="S10" s="27"/>
      <c r="T10" s="27"/>
      <c r="U10" s="27"/>
      <c r="V10" s="27"/>
      <c r="W10" s="28"/>
      <c r="X10" s="28"/>
      <c r="Y10" s="28"/>
      <c r="Z10" s="28"/>
      <c r="AA10" s="24"/>
      <c r="AB10" s="24"/>
    </row>
    <row customHeight="true" ht="18.51851851851852" r="11">
      <c r="A11" s="23"/>
      <c r="B11" s="24"/>
      <c r="C11" s="23"/>
      <c r="D11" s="23"/>
      <c r="E11" s="24"/>
      <c r="F11" s="24"/>
      <c r="G11" s="24"/>
      <c r="H11" s="24"/>
      <c r="I11" s="23"/>
      <c r="J11" s="23"/>
      <c r="K11" s="23"/>
      <c r="L11" s="23"/>
      <c r="M11" s="25"/>
      <c r="N11" s="25"/>
      <c r="O11" s="25"/>
      <c r="P11" s="26"/>
      <c r="Q11" s="26"/>
      <c r="R11" s="27"/>
      <c r="S11" s="27"/>
      <c r="T11" s="27"/>
      <c r="U11" s="27"/>
      <c r="V11" s="27"/>
      <c r="W11" s="28"/>
      <c r="X11" s="28"/>
      <c r="Y11" s="28"/>
      <c r="Z11" s="28"/>
      <c r="AA11" s="24"/>
      <c r="AB11" s="24"/>
    </row>
    <row customHeight="true" ht="18.51851851851852" r="12">
      <c r="A12" s="23"/>
      <c r="B12" s="24"/>
      <c r="C12" s="23"/>
      <c r="D12" s="23"/>
      <c r="E12" s="24"/>
      <c r="F12" s="24"/>
      <c r="G12" s="24"/>
      <c r="H12" s="24"/>
      <c r="I12" s="23"/>
      <c r="J12" s="23"/>
      <c r="K12" s="23"/>
      <c r="L12" s="23"/>
      <c r="M12" s="25"/>
      <c r="N12" s="25"/>
      <c r="O12" s="25"/>
      <c r="P12" s="26"/>
      <c r="Q12" s="26"/>
      <c r="R12" s="27"/>
      <c r="S12" s="27"/>
      <c r="T12" s="27"/>
      <c r="U12" s="27"/>
      <c r="V12" s="27"/>
      <c r="W12" s="28"/>
      <c r="X12" s="28"/>
      <c r="Y12" s="28"/>
      <c r="Z12" s="28"/>
      <c r="AA12" s="24"/>
      <c r="AB12" s="24"/>
    </row>
    <row customHeight="true" ht="18.51851851851852" r="13">
      <c r="A13" s="23"/>
      <c r="B13" s="24"/>
      <c r="C13" s="23"/>
      <c r="D13" s="23"/>
      <c r="E13" s="24"/>
      <c r="F13" s="24"/>
      <c r="G13" s="24"/>
      <c r="H13" s="24"/>
      <c r="I13" s="23"/>
      <c r="J13" s="24"/>
      <c r="K13" s="24"/>
      <c r="L13" s="24"/>
      <c r="M13" s="24"/>
      <c r="N13" s="24"/>
      <c r="O13" s="24"/>
      <c r="P13" s="29"/>
      <c r="Q13" s="30"/>
      <c r="R13" s="23"/>
      <c r="S13" s="24"/>
      <c r="T13" s="24"/>
      <c r="U13" s="27"/>
      <c r="V13" s="23"/>
      <c r="W13" s="24"/>
      <c r="X13" s="24"/>
      <c r="Y13" s="24"/>
      <c r="Z13" s="24"/>
      <c r="AA13" s="24"/>
      <c r="AB13" s="24"/>
    </row>
    <row customHeight="true" ht="18.51851851851852" r="14">
      <c r="A14" s="23"/>
      <c r="B14" s="24"/>
      <c r="C14" s="23"/>
      <c r="D14" s="23"/>
      <c r="E14" s="24"/>
      <c r="F14" s="24"/>
      <c r="G14" s="24"/>
      <c r="H14" s="24"/>
      <c r="I14" s="23"/>
      <c r="J14" s="24"/>
      <c r="K14" s="24"/>
      <c r="L14" s="24"/>
      <c r="M14" s="24"/>
      <c r="N14" s="24"/>
      <c r="O14" s="24"/>
      <c r="P14" s="29"/>
      <c r="Q14" s="30"/>
      <c r="R14" s="23"/>
      <c r="S14" s="24"/>
      <c r="T14" s="24"/>
      <c r="U14" s="27"/>
      <c r="V14" s="23"/>
      <c r="W14" s="24"/>
      <c r="X14" s="24"/>
      <c r="Y14" s="24"/>
      <c r="Z14" s="24"/>
      <c r="AA14" s="24"/>
      <c r="AB14" s="24"/>
    </row>
    <row customHeight="true" ht="18.51851851851852" r="15">
      <c r="A15" s="23"/>
      <c r="B15" s="24"/>
      <c r="C15" s="23"/>
      <c r="D15" s="23"/>
      <c r="E15" s="24"/>
      <c r="F15" s="24"/>
      <c r="G15" s="24"/>
      <c r="H15" s="24"/>
      <c r="I15" s="23"/>
      <c r="J15" s="24"/>
      <c r="K15" s="24"/>
      <c r="L15" s="24"/>
      <c r="M15" s="24"/>
      <c r="N15" s="24"/>
      <c r="O15" s="24"/>
      <c r="P15" s="29"/>
      <c r="Q15" s="30"/>
      <c r="R15" s="23"/>
      <c r="S15" s="24"/>
      <c r="T15" s="24"/>
      <c r="U15" s="27"/>
      <c r="V15" s="23"/>
      <c r="W15" s="24"/>
      <c r="X15" s="24"/>
      <c r="Y15" s="24"/>
      <c r="Z15" s="24"/>
      <c r="AA15" s="24"/>
      <c r="AB15" s="24"/>
    </row>
    <row customHeight="true" ht="18.51851851851852" r="16">
      <c r="A16" s="23"/>
      <c r="B16" s="24"/>
      <c r="C16" s="23"/>
      <c r="D16" s="23"/>
      <c r="E16" s="24"/>
      <c r="F16" s="24"/>
      <c r="G16" s="24"/>
      <c r="H16" s="24"/>
      <c r="I16" s="23"/>
      <c r="J16" s="24"/>
      <c r="K16" s="24"/>
      <c r="L16" s="24"/>
      <c r="M16" s="24"/>
      <c r="N16" s="24"/>
      <c r="O16" s="24"/>
      <c r="P16" s="29"/>
      <c r="Q16" s="30"/>
      <c r="R16" s="23"/>
      <c r="S16" s="24"/>
      <c r="T16" s="24"/>
      <c r="U16" s="27"/>
      <c r="V16" s="23"/>
      <c r="W16" s="24"/>
      <c r="X16" s="24"/>
      <c r="Y16" s="24"/>
      <c r="Z16" s="24"/>
      <c r="AA16" s="24"/>
      <c r="AB16" s="24"/>
    </row>
    <row customHeight="true" ht="18.51851851851852" r="17">
      <c r="A17" s="23"/>
      <c r="B17" s="24"/>
      <c r="C17" s="23"/>
      <c r="D17" s="23"/>
      <c r="E17" s="24"/>
      <c r="F17" s="24"/>
      <c r="G17" s="24"/>
      <c r="H17" s="24"/>
      <c r="I17" s="23"/>
      <c r="J17" s="24"/>
      <c r="K17" s="24"/>
      <c r="L17" s="24"/>
      <c r="M17" s="24"/>
      <c r="N17" s="24"/>
      <c r="O17" s="24"/>
      <c r="P17" s="29"/>
      <c r="Q17" s="30"/>
      <c r="R17" s="23"/>
      <c r="S17" s="24"/>
      <c r="T17" s="24"/>
      <c r="U17" s="27"/>
      <c r="V17" s="23"/>
      <c r="W17" s="24"/>
      <c r="X17" s="24"/>
      <c r="Y17" s="24"/>
      <c r="Z17" s="24"/>
      <c r="AA17" s="24"/>
      <c r="AB17" s="24"/>
    </row>
    <row customHeight="true" ht="18.51851851851852" r="18">
      <c r="A18" s="23"/>
      <c r="B18" s="24"/>
      <c r="C18" s="23"/>
      <c r="D18" s="23"/>
      <c r="E18" s="24"/>
      <c r="F18" s="24"/>
      <c r="G18" s="24"/>
      <c r="H18" s="24"/>
      <c r="I18" s="23"/>
      <c r="J18" s="24"/>
      <c r="K18" s="24"/>
      <c r="L18" s="24"/>
      <c r="M18" s="24"/>
      <c r="N18" s="24"/>
      <c r="O18" s="24"/>
      <c r="P18" s="29"/>
      <c r="Q18" s="30"/>
      <c r="R18" s="23"/>
      <c r="S18" s="24"/>
      <c r="T18" s="24"/>
      <c r="U18" s="27"/>
      <c r="V18" s="23"/>
      <c r="W18" s="24"/>
      <c r="X18" s="24"/>
      <c r="Y18" s="24"/>
      <c r="Z18" s="24"/>
      <c r="AA18" s="24"/>
      <c r="AB18" s="24"/>
    </row>
    <row customHeight="true" ht="18.51851851851852" r="19">
      <c r="A19" s="23"/>
      <c r="B19" s="24"/>
      <c r="C19" s="23"/>
      <c r="D19" s="23"/>
      <c r="E19" s="24"/>
      <c r="F19" s="24"/>
      <c r="G19" s="24"/>
      <c r="H19" s="24"/>
      <c r="I19" s="23"/>
      <c r="J19" s="24"/>
      <c r="K19" s="24"/>
      <c r="L19" s="24"/>
      <c r="M19" s="24"/>
      <c r="N19" s="24"/>
      <c r="O19" s="24"/>
      <c r="P19" s="29"/>
      <c r="Q19" s="30"/>
      <c r="R19" s="23"/>
      <c r="S19" s="24"/>
      <c r="T19" s="24"/>
      <c r="U19" s="27"/>
      <c r="V19" s="23"/>
      <c r="W19" s="24"/>
      <c r="X19" s="24"/>
      <c r="Y19" s="24"/>
      <c r="Z19" s="24"/>
      <c r="AA19" s="24"/>
      <c r="AB19" s="24"/>
    </row>
    <row customHeight="true" ht="18.51851851851852" r="20">
      <c r="A20" s="23"/>
      <c r="B20" s="24"/>
      <c r="C20" s="23"/>
      <c r="D20" s="23"/>
      <c r="E20" s="24"/>
      <c r="F20" s="24"/>
      <c r="G20" s="24"/>
      <c r="H20" s="24"/>
      <c r="I20" s="23"/>
      <c r="J20" s="24"/>
      <c r="K20" s="24"/>
      <c r="L20" s="24"/>
      <c r="M20" s="24"/>
      <c r="N20" s="24"/>
      <c r="O20" s="24"/>
      <c r="P20" s="29"/>
      <c r="Q20" s="30"/>
      <c r="R20" s="23"/>
      <c r="S20" s="24"/>
      <c r="T20" s="24"/>
      <c r="U20" s="27"/>
      <c r="V20" s="23"/>
      <c r="W20" s="24"/>
      <c r="X20" s="24"/>
      <c r="Y20" s="24"/>
      <c r="Z20" s="24"/>
      <c r="AA20" s="24"/>
      <c r="AB20" s="24"/>
    </row>
  </sheetData>
  <conditionalFormatting sqref="F1:F1">
    <cfRule dxfId="0" priority="1" stopIfTrue="true" type="duplicateValues"/>
  </conditionalFormatting>
  <conditionalFormatting sqref="M1:M1">
    <cfRule dxfId="1" operator="lessThan" priority="2" stopIfTrue="true" type="cellIs">
      <formula>0</formula>
    </cfRule>
  </conditionalFormatting>
  <legacyDrawing r:id="rId1"/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D2" xSplit="3" ySplit="1"/>
    </sheetView>
  </sheetViews>
  <sheetFormatPr defaultRowHeight="16"/>
  <cols>
    <col collapsed="false" customWidth="true" hidden="false" max="14" min="14" style="0" width="17.4"/>
    <col collapsed="false" customWidth="true" hidden="false" max="19" min="19" style="0" width="13"/>
    <col collapsed="false" customWidth="true" hidden="false" max="23" min="23" style="0" width="17.4"/>
    <col collapsed="false" customWidth="true" hidden="false" max="2" min="2" style="0" width="42.333333333333336"/>
    <col collapsed="false" customWidth="true" hidden="false" max="6" min="6" style="0" width="13.933333333333334"/>
    <col collapsed="false" customWidth="true" hidden="false" max="11" min="11" style="0" width="13.266666666666667"/>
    <col collapsed="false" customWidth="true" hidden="false" max="15" min="15" style="0" width="17.4"/>
    <col collapsed="false" customWidth="true" hidden="false" max="20" min="20" style="0" width="23.133333333333333"/>
    <col collapsed="false" customWidth="true" hidden="false" max="24" min="24" style="0" width="17.4"/>
    <col collapsed="false" customWidth="true" hidden="false" max="3" min="3" style="0" width="14.2"/>
    <col collapsed="false" customWidth="true" hidden="false" max="7" min="7" style="0" width="13.933333333333334"/>
    <col collapsed="false" customWidth="true" hidden="false" max="12" min="12" style="0" width="15.8"/>
    <col collapsed="false" customWidth="true" hidden="false" max="17" min="17" style="0" width="7.933333333333334"/>
    <col collapsed="false" customWidth="true" hidden="false" max="21" min="21" style="0" width="60.46666666666667"/>
    <col collapsed="false" customWidth="true" hidden="false" max="4" min="4" style="0" width="10.733333333333333"/>
    <col collapsed="false" customWidth="true" hidden="false" max="8" min="8" style="0" width="13.933333333333334"/>
    <col collapsed="false" customWidth="true" hidden="false" max="16" min="16" style="0" width="7.933333333333334"/>
    <col collapsed="false" customWidth="true" hidden="false" max="10" min="10" style="0" width="13.666666666666666"/>
    <col collapsed="false" customWidth="true" hidden="false" max="13" min="13" style="0" width="17.4"/>
    <col collapsed="false" customWidth="true" hidden="false" max="18" min="18" style="0" width="7.933333333333334"/>
    <col collapsed="false" customWidth="true" hidden="false" max="22" min="22" style="0" width="17.4"/>
    <col collapsed="false" customWidth="true" hidden="false" max="1" min="1" style="0" width="11.266666666666667"/>
    <col collapsed="false" customWidth="true" hidden="false" max="5" min="5" style="0" width="24.733333333333334"/>
    <col collapsed="false" customWidth="true" hidden="false" max="9" min="9" style="0" width="13.666666666666666"/>
  </cols>
  <sheetData>
    <row customHeight="true" ht="16.296296296296294" r="1">
      <c r="A1" s="31"/>
      <c r="B1" s="31" t="s">
        <v>158</v>
      </c>
      <c r="C1" s="31" t="s">
        <v>159</v>
      </c>
      <c r="D1" s="32" t="s">
        <v>160</v>
      </c>
      <c r="E1" s="32" t="s">
        <v>161</v>
      </c>
      <c r="F1" s="31" t="s">
        <v>162</v>
      </c>
      <c r="G1" s="32" t="s">
        <v>163</v>
      </c>
      <c r="H1" s="31" t="s">
        <v>164</v>
      </c>
      <c r="I1" s="31" t="s">
        <v>165</v>
      </c>
      <c r="J1" s="32" t="s">
        <v>166</v>
      </c>
      <c r="K1" s="31" t="s">
        <v>167</v>
      </c>
      <c r="L1" s="31" t="s">
        <v>168</v>
      </c>
      <c r="M1" s="33" t="s">
        <v>169</v>
      </c>
      <c r="N1" s="33" t="s">
        <v>170</v>
      </c>
      <c r="O1" s="31" t="s">
        <v>171</v>
      </c>
      <c r="P1" s="31" t="s">
        <v>172</v>
      </c>
      <c r="Q1" s="31" t="s">
        <v>173</v>
      </c>
      <c r="R1" s="31" t="s">
        <v>174</v>
      </c>
      <c r="S1" s="31" t="s">
        <v>169</v>
      </c>
      <c r="T1" s="31" t="s">
        <v>170</v>
      </c>
      <c r="U1" s="31" t="s">
        <v>175</v>
      </c>
      <c r="V1" s="34" t="s">
        <v>176</v>
      </c>
      <c r="W1" s="35" t="s">
        <v>177</v>
      </c>
      <c r="X1" s="35" t="s">
        <v>178</v>
      </c>
    </row>
    <row customHeight="true" ht="13.333333333333332" r="2">
      <c r="A2" s="36" t="s">
        <v>179</v>
      </c>
      <c r="B2" s="37" t="s">
        <v>180</v>
      </c>
      <c r="C2" s="38">
        <v>26.36</v>
      </c>
      <c r="D2" s="39">
        <v>7.1</v>
      </c>
      <c r="E2" s="39">
        <f t="shared" ref="E2:E6" si="25">46/1.13</f>
      </c>
      <c r="F2" s="37">
        <f t="shared" ref="F2:F7" si="13">E2/D2</f>
      </c>
      <c r="G2" s="39">
        <v>16.6</v>
      </c>
      <c r="H2" s="37">
        <f t="shared" ref="H2:H7" si="0">G2/D2</f>
      </c>
      <c r="I2" s="37">
        <f t="shared" ref="I2:I7" si="34">F2+H2</f>
      </c>
      <c r="J2" s="39">
        <v>0.15</v>
      </c>
      <c r="K2" s="37">
        <f t="shared" ref="K2:K7" si="26">C2*J2</f>
      </c>
      <c r="L2" s="38">
        <v>4.54</v>
      </c>
      <c r="M2" s="37">
        <f t="shared" ref="M2:M7" si="16">C2-I2-K2-L2</f>
      </c>
      <c r="N2" s="37">
        <f t="shared" ref="N2:N7" si="3">M2/C2</f>
      </c>
      <c r="O2" s="37"/>
      <c r="P2" s="37">
        <f t="shared" ref="P2:P7" si="37">C2*0.02</f>
      </c>
      <c r="Q2" s="38"/>
      <c r="R2" s="37">
        <f t="shared" ref="R2:R7" si="19">C2*0.15</f>
      </c>
      <c r="S2" s="37">
        <f t="shared" ref="S2:S7" si="6">C2-I2-K2-L2-Q2-R2-P2</f>
      </c>
      <c r="T2" s="37">
        <f t="shared" ref="T2:T7" si="40">S2/C2</f>
      </c>
      <c r="U2" s="37"/>
      <c r="V2" s="40">
        <f t="shared" ref="V2:V7" si="29">E2/D2/C2</f>
      </c>
      <c r="W2" s="40">
        <f t="shared" ref="W2:W7" si="21">H2/C2</f>
      </c>
      <c r="X2" s="40">
        <f t="shared" ref="X2:X7" si="9">L2/C2</f>
      </c>
    </row>
    <row customHeight="true" ht="14.814814814814813" r="3">
      <c r="A3" s="41"/>
      <c r="B3" s="41" t="s">
        <v>181</v>
      </c>
      <c r="C3" s="42">
        <v>17.24</v>
      </c>
      <c r="D3" s="39">
        <v>7.1</v>
      </c>
      <c r="E3" s="39">
        <f t="shared" si="25"/>
      </c>
      <c r="F3" s="37">
        <f t="shared" si="13"/>
      </c>
      <c r="G3" s="43">
        <v>16.6</v>
      </c>
      <c r="H3" s="37">
        <f t="shared" si="0"/>
      </c>
      <c r="I3" s="37">
        <f t="shared" si="34"/>
      </c>
      <c r="J3" s="39">
        <v>0.15</v>
      </c>
      <c r="K3" s="37">
        <f t="shared" si="26"/>
      </c>
      <c r="L3" s="38">
        <v>4.54</v>
      </c>
      <c r="M3" s="37">
        <f t="shared" si="16"/>
      </c>
      <c r="N3" s="37">
        <f t="shared" si="3"/>
      </c>
      <c r="O3" s="37"/>
      <c r="P3" s="37">
        <f t="shared" si="37"/>
      </c>
      <c r="Q3" s="38"/>
      <c r="R3" s="37">
        <f t="shared" si="19"/>
      </c>
      <c r="S3" s="37">
        <f t="shared" si="6"/>
      </c>
      <c r="T3" s="37">
        <f t="shared" si="40"/>
      </c>
      <c r="U3" s="41"/>
      <c r="V3" s="40">
        <f t="shared" si="29"/>
      </c>
      <c r="W3" s="40">
        <f t="shared" si="21"/>
      </c>
      <c r="X3" s="40">
        <f t="shared" si="9"/>
      </c>
    </row>
    <row customHeight="true" ht="16.296296296296294" r="4">
      <c r="A4" s="36" t="s">
        <v>182</v>
      </c>
      <c r="B4" s="37" t="s">
        <v>180</v>
      </c>
      <c r="C4" s="38">
        <v>17.24</v>
      </c>
      <c r="D4" s="39">
        <v>7.1</v>
      </c>
      <c r="E4" s="39">
        <f t="shared" si="25"/>
      </c>
      <c r="F4" s="37">
        <f t="shared" si="13"/>
      </c>
      <c r="G4" s="39">
        <v>4.4</v>
      </c>
      <c r="H4" s="37">
        <f t="shared" si="0"/>
      </c>
      <c r="I4" s="37">
        <f t="shared" si="34"/>
      </c>
      <c r="J4" s="39">
        <v>0.15</v>
      </c>
      <c r="K4" s="37">
        <f t="shared" si="26"/>
      </c>
      <c r="L4" s="38">
        <v>4.54</v>
      </c>
      <c r="M4" s="37">
        <f t="shared" si="16"/>
      </c>
      <c r="N4" s="37">
        <f t="shared" si="3"/>
      </c>
      <c r="O4" s="37"/>
      <c r="P4" s="37">
        <f t="shared" si="37"/>
      </c>
      <c r="Q4" s="38"/>
      <c r="R4" s="37">
        <f t="shared" si="19"/>
      </c>
      <c r="S4" s="37">
        <f t="shared" si="6"/>
      </c>
      <c r="T4" s="37">
        <f t="shared" si="40"/>
      </c>
      <c r="U4" s="37"/>
      <c r="V4" s="40">
        <f t="shared" si="29"/>
      </c>
      <c r="W4" s="40">
        <f t="shared" si="21"/>
      </c>
      <c r="X4" s="40">
        <f t="shared" si="9"/>
      </c>
    </row>
    <row customHeight="true" ht="16.296296296296294" r="5">
      <c r="A5" s="41"/>
      <c r="B5" s="41" t="s">
        <v>181</v>
      </c>
      <c r="C5" s="42">
        <v>13</v>
      </c>
      <c r="D5" s="39">
        <v>7.1</v>
      </c>
      <c r="E5" s="39">
        <f t="shared" si="25"/>
      </c>
      <c r="F5" s="37">
        <f t="shared" si="13"/>
      </c>
      <c r="G5" s="43">
        <v>9</v>
      </c>
      <c r="H5" s="37">
        <f t="shared" si="0"/>
      </c>
      <c r="I5" s="37">
        <f t="shared" si="34"/>
      </c>
      <c r="J5" s="39">
        <v>0.15</v>
      </c>
      <c r="K5" s="37">
        <f t="shared" si="26"/>
      </c>
      <c r="L5" s="38">
        <v>4.54</v>
      </c>
      <c r="M5" s="37">
        <f t="shared" si="16"/>
      </c>
      <c r="N5" s="37">
        <f t="shared" si="3"/>
      </c>
      <c r="O5" s="37"/>
      <c r="P5" s="37">
        <f t="shared" si="37"/>
      </c>
      <c r="Q5" s="38"/>
      <c r="R5" s="37">
        <f t="shared" si="19"/>
      </c>
      <c r="S5" s="37">
        <f t="shared" si="6"/>
      </c>
      <c r="T5" s="37">
        <f t="shared" si="40"/>
      </c>
      <c r="U5" s="41"/>
      <c r="V5" s="40">
        <f t="shared" si="29"/>
      </c>
      <c r="W5" s="40">
        <f t="shared" si="21"/>
      </c>
      <c r="X5" s="40">
        <f t="shared" si="9"/>
      </c>
    </row>
    <row customHeight="true" ht="16.296296296296294" r="6">
      <c r="A6" s="41" t="s">
        <v>183</v>
      </c>
      <c r="B6" s="41" t="s">
        <v>181</v>
      </c>
      <c r="C6" s="42">
        <v>16.99</v>
      </c>
      <c r="D6" s="39">
        <v>7.1</v>
      </c>
      <c r="E6" s="39">
        <f t="shared" si="25"/>
      </c>
      <c r="F6" s="37">
        <f t="shared" si="13"/>
      </c>
      <c r="G6" s="43">
        <v>5</v>
      </c>
      <c r="H6" s="37">
        <f t="shared" si="0"/>
      </c>
      <c r="I6" s="37">
        <f t="shared" si="34"/>
      </c>
      <c r="J6" s="39">
        <v>0.15</v>
      </c>
      <c r="K6" s="37">
        <f t="shared" si="26"/>
      </c>
      <c r="L6" s="38">
        <v>3.77</v>
      </c>
      <c r="M6" s="37">
        <f t="shared" si="16"/>
      </c>
      <c r="N6" s="37">
        <f t="shared" si="3"/>
      </c>
      <c r="O6" s="37"/>
      <c r="P6" s="37">
        <f t="shared" si="37"/>
      </c>
      <c r="Q6" s="38"/>
      <c r="R6" s="37">
        <f t="shared" si="19"/>
      </c>
      <c r="S6" s="37">
        <f t="shared" si="6"/>
      </c>
      <c r="T6" s="37">
        <f t="shared" si="40"/>
      </c>
      <c r="U6" s="41"/>
      <c r="V6" s="40">
        <f t="shared" si="29"/>
      </c>
      <c r="W6" s="40">
        <f t="shared" si="21"/>
      </c>
      <c r="X6" s="40">
        <f t="shared" si="9"/>
      </c>
    </row>
    <row customHeight="true" ht="16.296296296296294" r="7">
      <c r="A7" s="41"/>
      <c r="B7" s="41" t="s">
        <v>184</v>
      </c>
      <c r="C7" s="42">
        <v>12.99</v>
      </c>
      <c r="D7" s="39">
        <v>7.1</v>
      </c>
      <c r="E7" s="39">
        <f>11/1.13</f>
      </c>
      <c r="F7" s="37">
        <f t="shared" si="13"/>
      </c>
      <c r="G7" s="43">
        <v>2</v>
      </c>
      <c r="H7" s="37">
        <f t="shared" si="0"/>
      </c>
      <c r="I7" s="37">
        <f t="shared" si="34"/>
      </c>
      <c r="J7" s="39">
        <v>0.15</v>
      </c>
      <c r="K7" s="37">
        <f t="shared" si="26"/>
      </c>
      <c r="L7" s="38">
        <v>4.54</v>
      </c>
      <c r="M7" s="37">
        <f t="shared" si="16"/>
      </c>
      <c r="N7" s="37">
        <f t="shared" si="3"/>
      </c>
      <c r="O7" s="37"/>
      <c r="P7" s="37">
        <f t="shared" si="37"/>
      </c>
      <c r="Q7" s="38"/>
      <c r="R7" s="37">
        <f t="shared" si="19"/>
      </c>
      <c r="S7" s="37">
        <f t="shared" si="6"/>
      </c>
      <c r="T7" s="37">
        <f t="shared" si="40"/>
      </c>
      <c r="U7" s="41"/>
      <c r="V7" s="40">
        <f t="shared" si="29"/>
      </c>
      <c r="W7" s="40">
        <f t="shared" si="21"/>
      </c>
      <c r="X7" s="40">
        <f t="shared" si="9"/>
      </c>
    </row>
    <row customHeight="true" ht="22.22222222222222" r="8">
      <c r="A8" s="44"/>
      <c r="B8" s="45"/>
      <c r="C8" s="42"/>
      <c r="D8" s="39"/>
      <c r="E8" s="39"/>
      <c r="F8" s="38"/>
      <c r="G8" s="43"/>
      <c r="H8" s="38"/>
      <c r="I8" s="38"/>
      <c r="J8" s="39"/>
      <c r="K8" s="38"/>
      <c r="L8" s="38"/>
      <c r="M8" s="38"/>
      <c r="N8" s="46"/>
      <c r="O8" s="37"/>
      <c r="P8" s="47"/>
      <c r="Q8" s="38"/>
      <c r="R8" s="38"/>
      <c r="S8" s="37"/>
      <c r="T8" s="46"/>
      <c r="U8" s="41"/>
      <c r="V8" s="40"/>
      <c r="W8" s="40"/>
      <c r="X8" s="40"/>
    </row>
    <row customHeight="true" ht="22.22222222222222" r="9">
      <c r="A9" s="36" t="s">
        <v>182</v>
      </c>
      <c r="B9" s="33" t="s">
        <v>185</v>
      </c>
      <c r="C9" s="42">
        <v>51.39</v>
      </c>
      <c r="D9" s="39">
        <v>7.1</v>
      </c>
      <c r="E9" s="39">
        <v>120.8</v>
      </c>
      <c r="F9" s="37">
        <f t="shared" ref="F9:F12" si="14">E9/D9</f>
      </c>
      <c r="G9" s="43">
        <v>60</v>
      </c>
      <c r="H9" s="37">
        <f t="shared" ref="H9:H12" si="1">G9/D9</f>
      </c>
      <c r="I9" s="37">
        <f t="shared" ref="I9:I12" si="35">F9+H9</f>
      </c>
      <c r="J9" s="39">
        <v>0.15</v>
      </c>
      <c r="K9" s="37">
        <f t="shared" ref="K9:K12" si="27">C9*J9</f>
      </c>
      <c r="L9" s="38">
        <v>14.45</v>
      </c>
      <c r="M9" s="37">
        <f t="shared" ref="M9:M12" si="17">C9-I9-K9-L9</f>
      </c>
      <c r="N9" s="37">
        <f t="shared" ref="N9:N12" si="4">M9/C9</f>
      </c>
      <c r="O9" s="37"/>
      <c r="P9" s="37">
        <f t="shared" ref="P9:P12" si="38">C9*0.02</f>
      </c>
      <c r="Q9" s="38"/>
      <c r="R9" s="37">
        <f t="shared" ref="R9:R12" si="20">C9*0.15</f>
      </c>
      <c r="S9" s="37">
        <f t="shared" ref="S9:S12" si="7">C9-I9-K9-L9-Q9-R9-P9</f>
      </c>
      <c r="T9" s="37">
        <f t="shared" ref="T9:T12" si="41">S9/C9</f>
      </c>
      <c r="U9" s="41" t="s">
        <v>186</v>
      </c>
      <c r="V9" s="40">
        <f t="shared" ref="V9:V12" si="30">E9/D9/C9</f>
      </c>
      <c r="W9" s="40">
        <f t="shared" ref="W9:W12" si="22">H9/C9</f>
      </c>
      <c r="X9" s="40">
        <f t="shared" ref="X9:X12" si="10">L9/C9</f>
      </c>
    </row>
    <row customHeight="true" ht="22.22222222222222" r="10">
      <c r="A10" s="36" t="s">
        <v>182</v>
      </c>
      <c r="B10" s="33" t="s">
        <v>187</v>
      </c>
      <c r="C10" s="42">
        <v>49.99</v>
      </c>
      <c r="D10" s="39">
        <v>7.1</v>
      </c>
      <c r="E10" s="39">
        <v>120.8</v>
      </c>
      <c r="F10" s="37">
        <f t="shared" si="14"/>
      </c>
      <c r="G10" s="43">
        <v>60</v>
      </c>
      <c r="H10" s="37">
        <f t="shared" si="1"/>
      </c>
      <c r="I10" s="37">
        <f t="shared" si="35"/>
      </c>
      <c r="J10" s="39">
        <v>0.15</v>
      </c>
      <c r="K10" s="37">
        <f t="shared" si="27"/>
      </c>
      <c r="L10" s="38">
        <v>13.41</v>
      </c>
      <c r="M10" s="37">
        <f t="shared" si="17"/>
      </c>
      <c r="N10" s="37">
        <f t="shared" si="4"/>
      </c>
      <c r="O10" s="37"/>
      <c r="P10" s="37">
        <f t="shared" si="38"/>
      </c>
      <c r="Q10" s="38"/>
      <c r="R10" s="37">
        <f t="shared" si="20"/>
      </c>
      <c r="S10" s="37">
        <f t="shared" si="7"/>
      </c>
      <c r="T10" s="37">
        <f t="shared" si="41"/>
      </c>
      <c r="U10" s="41" t="s">
        <v>186</v>
      </c>
      <c r="V10" s="40">
        <f t="shared" si="30"/>
      </c>
      <c r="W10" s="40">
        <f t="shared" si="22"/>
      </c>
      <c r="X10" s="40">
        <f t="shared" si="10"/>
      </c>
    </row>
    <row customHeight="true" ht="22.22222222222222" r="11">
      <c r="A11" s="36" t="s">
        <v>182</v>
      </c>
      <c r="B11" s="33" t="s">
        <v>188</v>
      </c>
      <c r="C11" s="42">
        <v>54.99</v>
      </c>
      <c r="D11" s="39">
        <v>7.1</v>
      </c>
      <c r="E11" s="39">
        <v>120.8</v>
      </c>
      <c r="F11" s="37">
        <f t="shared" si="14"/>
      </c>
      <c r="G11" s="43">
        <v>60</v>
      </c>
      <c r="H11" s="37">
        <f t="shared" si="1"/>
      </c>
      <c r="I11" s="37">
        <f t="shared" si="35"/>
      </c>
      <c r="J11" s="39">
        <v>0.15</v>
      </c>
      <c r="K11" s="37">
        <f t="shared" si="27"/>
      </c>
      <c r="L11" s="38">
        <v>13.41</v>
      </c>
      <c r="M11" s="37">
        <f t="shared" si="17"/>
      </c>
      <c r="N11" s="37">
        <f t="shared" si="4"/>
      </c>
      <c r="O11" s="37"/>
      <c r="P11" s="37">
        <f t="shared" si="38"/>
      </c>
      <c r="Q11" s="38"/>
      <c r="R11" s="37">
        <f t="shared" si="20"/>
      </c>
      <c r="S11" s="37">
        <f t="shared" si="7"/>
      </c>
      <c r="T11" s="37">
        <f t="shared" si="41"/>
      </c>
      <c r="U11" s="41" t="s">
        <v>186</v>
      </c>
      <c r="V11" s="40">
        <f t="shared" si="30"/>
      </c>
      <c r="W11" s="40">
        <f t="shared" si="22"/>
      </c>
      <c r="X11" s="40">
        <f t="shared" si="10"/>
      </c>
    </row>
    <row customHeight="true" ht="22.22222222222222" r="12">
      <c r="A12" s="36" t="s">
        <v>182</v>
      </c>
      <c r="B12" s="33" t="s">
        <v>189</v>
      </c>
      <c r="C12" s="42">
        <v>54.99</v>
      </c>
      <c r="D12" s="39">
        <v>7.1</v>
      </c>
      <c r="E12" s="39">
        <v>120.8</v>
      </c>
      <c r="F12" s="37">
        <f t="shared" si="14"/>
      </c>
      <c r="G12" s="43">
        <v>40</v>
      </c>
      <c r="H12" s="37">
        <f t="shared" si="1"/>
      </c>
      <c r="I12" s="37">
        <f t="shared" si="35"/>
      </c>
      <c r="J12" s="39">
        <v>0.15</v>
      </c>
      <c r="K12" s="37">
        <f t="shared" si="27"/>
      </c>
      <c r="L12" s="38">
        <v>13.41</v>
      </c>
      <c r="M12" s="37">
        <f t="shared" si="17"/>
      </c>
      <c r="N12" s="37">
        <f t="shared" si="4"/>
      </c>
      <c r="O12" s="37"/>
      <c r="P12" s="37">
        <f t="shared" si="38"/>
      </c>
      <c r="Q12" s="38"/>
      <c r="R12" s="37">
        <f t="shared" si="20"/>
      </c>
      <c r="S12" s="37">
        <f t="shared" si="7"/>
      </c>
      <c r="T12" s="37">
        <f t="shared" si="41"/>
      </c>
      <c r="U12" s="41" t="s">
        <v>186</v>
      </c>
      <c r="V12" s="40">
        <f t="shared" si="30"/>
      </c>
      <c r="W12" s="40">
        <f t="shared" si="22"/>
      </c>
      <c r="X12" s="40">
        <f t="shared" si="10"/>
      </c>
    </row>
    <row customHeight="true" ht="16.296296296296294" r="13">
      <c r="A13" s="44"/>
      <c r="B13" s="45"/>
      <c r="C13" s="48"/>
      <c r="D13" s="49"/>
      <c r="E13" s="49"/>
      <c r="F13" s="50"/>
      <c r="G13" s="51"/>
      <c r="H13" s="50"/>
      <c r="I13" s="50"/>
      <c r="J13" s="49"/>
      <c r="K13" s="50"/>
      <c r="L13" s="50"/>
      <c r="M13" s="50"/>
      <c r="N13" s="52"/>
      <c r="O13" s="53"/>
      <c r="P13" s="54"/>
      <c r="Q13" s="50"/>
      <c r="R13" s="50"/>
      <c r="S13" s="53"/>
      <c r="T13" s="52"/>
      <c r="U13" s="45"/>
      <c r="V13" s="40"/>
      <c r="W13" s="40"/>
      <c r="X13" s="40"/>
    </row>
    <row customHeight="true" ht="16.296296296296294" r="14">
      <c r="A14" s="55" t="s">
        <v>182</v>
      </c>
      <c r="B14" s="56" t="s">
        <v>190</v>
      </c>
      <c r="C14" s="57">
        <v>30.59</v>
      </c>
      <c r="D14" s="58">
        <v>7.1</v>
      </c>
      <c r="E14" s="58">
        <f t="shared" ref="E14:E20" si="32">87/1.13</f>
      </c>
      <c r="F14" s="59">
        <f t="shared" ref="F14:F20" si="15">E14/D14</f>
      </c>
      <c r="G14" s="60">
        <v>8.5</v>
      </c>
      <c r="H14" s="59">
        <f t="shared" ref="H14:H20" si="2">G14/D14</f>
      </c>
      <c r="I14" s="59">
        <f t="shared" ref="I14:I20" si="36">F14+H14</f>
      </c>
      <c r="J14" s="58">
        <v>0.15</v>
      </c>
      <c r="K14" s="59">
        <f t="shared" ref="K14:K20" si="28">C14*J14</f>
      </c>
      <c r="L14" s="61">
        <v>5.29</v>
      </c>
      <c r="M14" s="59">
        <f t="shared" ref="M14:M20" si="18">C14-I14-K14-L14</f>
      </c>
      <c r="N14" s="59">
        <f t="shared" ref="N14:N20" si="5">M14/C14</f>
      </c>
      <c r="O14" s="59"/>
      <c r="P14" s="59">
        <f t="shared" ref="P14:P20" si="39">C14*0.02</f>
      </c>
      <c r="Q14" s="61"/>
      <c r="R14" s="59">
        <f t="shared" ref="R14:R19" si="24">C14*0.2</f>
      </c>
      <c r="S14" s="59">
        <f t="shared" ref="S14:S20" si="8">C14-I14-K14-L14-Q14-R14-P14</f>
      </c>
      <c r="T14" s="59">
        <f t="shared" ref="T14:T20" si="42">S14/C14</f>
      </c>
      <c r="U14" s="56"/>
      <c r="V14" s="62">
        <f t="shared" ref="V14:V20" si="31">E14/D14/C14</f>
      </c>
      <c r="W14" s="62">
        <f t="shared" ref="W14:W20" si="23">H14/C14</f>
      </c>
      <c r="X14" s="62">
        <f t="shared" ref="X14:X20" si="11">L14/C14</f>
      </c>
    </row>
    <row customHeight="true" ht="16.296296296296294" r="15">
      <c r="A15" s="55" t="s">
        <v>182</v>
      </c>
      <c r="B15" s="56" t="s">
        <v>190</v>
      </c>
      <c r="C15" s="57">
        <v>27.99</v>
      </c>
      <c r="D15" s="58">
        <v>7.1</v>
      </c>
      <c r="E15" s="58">
        <f t="shared" si="32"/>
      </c>
      <c r="F15" s="59">
        <f t="shared" si="15"/>
      </c>
      <c r="G15" s="60">
        <v>8.5</v>
      </c>
      <c r="H15" s="59">
        <f t="shared" si="2"/>
      </c>
      <c r="I15" s="59">
        <f t="shared" si="36"/>
      </c>
      <c r="J15" s="58">
        <v>0.15</v>
      </c>
      <c r="K15" s="59">
        <f t="shared" si="28"/>
      </c>
      <c r="L15" s="61">
        <v>5.29</v>
      </c>
      <c r="M15" s="59">
        <f t="shared" si="18"/>
      </c>
      <c r="N15" s="59">
        <f t="shared" si="5"/>
      </c>
      <c r="O15" s="59"/>
      <c r="P15" s="59">
        <f t="shared" si="39"/>
      </c>
      <c r="Q15" s="61"/>
      <c r="R15" s="59">
        <f t="shared" si="24"/>
      </c>
      <c r="S15" s="59">
        <f t="shared" si="8"/>
      </c>
      <c r="T15" s="59">
        <f t="shared" si="42"/>
      </c>
      <c r="U15" s="56"/>
      <c r="V15" s="62">
        <f t="shared" si="31"/>
      </c>
      <c r="W15" s="62">
        <f t="shared" si="23"/>
      </c>
      <c r="X15" s="62">
        <f t="shared" si="11"/>
      </c>
    </row>
    <row customHeight="true" ht="16.296296296296294" r="16">
      <c r="A16" s="55" t="s">
        <v>182</v>
      </c>
      <c r="B16" s="56" t="s">
        <v>191</v>
      </c>
      <c r="C16" s="57">
        <v>34.99</v>
      </c>
      <c r="D16" s="58">
        <v>7.1</v>
      </c>
      <c r="E16" s="58">
        <f t="shared" si="32"/>
      </c>
      <c r="F16" s="59">
        <f t="shared" si="15"/>
      </c>
      <c r="G16" s="60">
        <v>8.5</v>
      </c>
      <c r="H16" s="59">
        <f t="shared" si="2"/>
      </c>
      <c r="I16" s="59">
        <f t="shared" si="36"/>
      </c>
      <c r="J16" s="58">
        <v>0.15</v>
      </c>
      <c r="K16" s="59">
        <f t="shared" si="28"/>
      </c>
      <c r="L16" s="61">
        <v>5.29</v>
      </c>
      <c r="M16" s="59">
        <f t="shared" si="18"/>
      </c>
      <c r="N16" s="59">
        <f t="shared" si="5"/>
      </c>
      <c r="O16" s="59"/>
      <c r="P16" s="59">
        <f t="shared" si="39"/>
      </c>
      <c r="Q16" s="61"/>
      <c r="R16" s="59">
        <f t="shared" si="24"/>
      </c>
      <c r="S16" s="59">
        <f t="shared" si="8"/>
      </c>
      <c r="T16" s="59">
        <f t="shared" si="42"/>
      </c>
      <c r="U16" s="56"/>
      <c r="V16" s="62">
        <f t="shared" si="31"/>
      </c>
      <c r="W16" s="62">
        <f t="shared" si="23"/>
      </c>
      <c r="X16" s="62">
        <f t="shared" si="11"/>
      </c>
    </row>
    <row customHeight="true" ht="16.296296296296294" r="17">
      <c r="A17" s="55" t="s">
        <v>182</v>
      </c>
      <c r="B17" s="56" t="s">
        <v>192</v>
      </c>
      <c r="C17" s="57">
        <v>22</v>
      </c>
      <c r="D17" s="58">
        <v>7.1</v>
      </c>
      <c r="E17" s="58">
        <f t="shared" si="32"/>
      </c>
      <c r="F17" s="59">
        <f t="shared" si="15"/>
      </c>
      <c r="G17" s="60">
        <v>8.5</v>
      </c>
      <c r="H17" s="59">
        <f t="shared" si="2"/>
      </c>
      <c r="I17" s="59">
        <f t="shared" si="36"/>
      </c>
      <c r="J17" s="58">
        <v>0.15</v>
      </c>
      <c r="K17" s="59">
        <f t="shared" si="28"/>
      </c>
      <c r="L17" s="61">
        <v>5.29</v>
      </c>
      <c r="M17" s="59">
        <f t="shared" si="18"/>
      </c>
      <c r="N17" s="59">
        <f t="shared" si="5"/>
      </c>
      <c r="O17" s="59"/>
      <c r="P17" s="59">
        <f t="shared" si="39"/>
      </c>
      <c r="Q17" s="61"/>
      <c r="R17" s="59">
        <f t="shared" si="24"/>
      </c>
      <c r="S17" s="59">
        <f t="shared" si="8"/>
      </c>
      <c r="T17" s="59">
        <f t="shared" si="42"/>
      </c>
      <c r="U17" s="56"/>
      <c r="V17" s="62">
        <f t="shared" si="31"/>
      </c>
      <c r="W17" s="62">
        <f t="shared" si="23"/>
      </c>
      <c r="X17" s="62">
        <f t="shared" si="11"/>
      </c>
    </row>
    <row customHeight="true" ht="16.296296296296294" r="18">
      <c r="A18" s="63" t="s">
        <v>182</v>
      </c>
      <c r="B18" s="64" t="s">
        <v>190</v>
      </c>
      <c r="C18" s="65">
        <v>69.99</v>
      </c>
      <c r="D18" s="66">
        <v>7.1</v>
      </c>
      <c r="E18" s="66">
        <f t="shared" si="32"/>
      </c>
      <c r="F18" s="67">
        <f t="shared" si="15"/>
      </c>
      <c r="G18" s="68">
        <v>8.5</v>
      </c>
      <c r="H18" s="67">
        <f t="shared" si="2"/>
      </c>
      <c r="I18" s="67">
        <f t="shared" si="36"/>
      </c>
      <c r="J18" s="66">
        <v>0.15</v>
      </c>
      <c r="K18" s="67">
        <f t="shared" si="28"/>
      </c>
      <c r="L18" s="69">
        <v>5.29</v>
      </c>
      <c r="M18" s="67">
        <f t="shared" si="18"/>
      </c>
      <c r="N18" s="67">
        <f t="shared" si="5"/>
      </c>
      <c r="O18" s="67"/>
      <c r="P18" s="67">
        <f t="shared" si="39"/>
      </c>
      <c r="Q18" s="69"/>
      <c r="R18" s="67">
        <f t="shared" si="24"/>
      </c>
      <c r="S18" s="67">
        <f t="shared" si="8"/>
      </c>
      <c r="T18" s="67">
        <f t="shared" si="42"/>
      </c>
      <c r="U18" s="64"/>
      <c r="V18" s="70">
        <f t="shared" si="31"/>
      </c>
      <c r="W18" s="70">
        <f t="shared" si="23"/>
      </c>
      <c r="X18" s="70">
        <f t="shared" si="11"/>
      </c>
    </row>
    <row customHeight="true" ht="16.296296296296294" r="19">
      <c r="A19" s="63" t="s">
        <v>182</v>
      </c>
      <c r="B19" s="64" t="s">
        <v>193</v>
      </c>
      <c r="C19" s="64">
        <f>69.99*0.6</f>
      </c>
      <c r="D19" s="66">
        <v>7.1</v>
      </c>
      <c r="E19" s="66">
        <f t="shared" si="32"/>
      </c>
      <c r="F19" s="67">
        <f t="shared" si="15"/>
      </c>
      <c r="G19" s="68">
        <v>8.5</v>
      </c>
      <c r="H19" s="67">
        <f t="shared" si="2"/>
      </c>
      <c r="I19" s="67">
        <f t="shared" si="36"/>
      </c>
      <c r="J19" s="66">
        <v>0.15</v>
      </c>
      <c r="K19" s="67">
        <f t="shared" si="28"/>
      </c>
      <c r="L19" s="69">
        <v>5.29</v>
      </c>
      <c r="M19" s="67">
        <f t="shared" si="18"/>
      </c>
      <c r="N19" s="67">
        <f t="shared" si="5"/>
      </c>
      <c r="O19" s="67"/>
      <c r="P19" s="67">
        <f t="shared" si="39"/>
      </c>
      <c r="Q19" s="69"/>
      <c r="R19" s="67">
        <f t="shared" si="24"/>
      </c>
      <c r="S19" s="67">
        <f t="shared" si="8"/>
      </c>
      <c r="T19" s="67">
        <f t="shared" si="42"/>
      </c>
      <c r="U19" s="64"/>
      <c r="V19" s="70">
        <f t="shared" si="31"/>
      </c>
      <c r="W19" s="70">
        <f t="shared" si="23"/>
      </c>
      <c r="X19" s="70">
        <f t="shared" si="11"/>
      </c>
    </row>
    <row customHeight="true" ht="16.296296296296294" r="20">
      <c r="A20" s="63" t="s">
        <v>182</v>
      </c>
      <c r="B20" s="64" t="s">
        <v>192</v>
      </c>
      <c r="C20" s="65">
        <v>29.99</v>
      </c>
      <c r="D20" s="66">
        <v>7.1</v>
      </c>
      <c r="E20" s="66">
        <f t="shared" si="32"/>
      </c>
      <c r="F20" s="67">
        <f t="shared" si="15"/>
      </c>
      <c r="G20" s="68">
        <v>8.5</v>
      </c>
      <c r="H20" s="67">
        <f t="shared" si="2"/>
      </c>
      <c r="I20" s="67">
        <f t="shared" si="36"/>
      </c>
      <c r="J20" s="66">
        <v>0.15</v>
      </c>
      <c r="K20" s="67">
        <f t="shared" si="28"/>
      </c>
      <c r="L20" s="69">
        <v>5.29</v>
      </c>
      <c r="M20" s="67">
        <f t="shared" si="18"/>
      </c>
      <c r="N20" s="67">
        <f t="shared" si="5"/>
      </c>
      <c r="O20" s="67"/>
      <c r="P20" s="67">
        <f t="shared" si="39"/>
      </c>
      <c r="Q20" s="69"/>
      <c r="R20" s="69">
        <v>4</v>
      </c>
      <c r="S20" s="67">
        <f t="shared" si="8"/>
      </c>
      <c r="T20" s="67">
        <f t="shared" si="42"/>
      </c>
      <c r="U20" s="64"/>
      <c r="V20" s="70">
        <f t="shared" si="31"/>
      </c>
      <c r="W20" s="70">
        <f t="shared" si="23"/>
      </c>
      <c r="X20" s="70">
        <f t="shared" si="11"/>
      </c>
    </row>
    <row customHeight="true" ht="15.555555555555555" r="21">
      <c r="A21" s="71"/>
      <c r="B21" s="71"/>
      <c r="C21" s="71"/>
      <c r="D21" s="72"/>
      <c r="E21" s="72"/>
      <c r="F21" s="71"/>
      <c r="G21" s="72"/>
      <c r="H21" s="34"/>
      <c r="I21" s="34"/>
      <c r="J21" s="73"/>
      <c r="K21" s="34"/>
      <c r="L21" s="34"/>
      <c r="M21" s="34"/>
      <c r="N21" s="71"/>
      <c r="O21" s="71"/>
      <c r="P21" s="71"/>
      <c r="Q21" s="71"/>
      <c r="R21" s="71"/>
      <c r="S21" s="71"/>
      <c r="T21" s="71"/>
      <c r="U21" s="71"/>
      <c r="V21" s="71"/>
      <c r="W21" s="40"/>
      <c r="X21" s="40"/>
    </row>
    <row customHeight="true" ht="15.555555555555555" r="22">
      <c r="A22" s="71"/>
      <c r="B22" s="71"/>
      <c r="C22" s="71"/>
      <c r="D22" s="72"/>
      <c r="E22" s="72"/>
      <c r="F22" s="71"/>
      <c r="G22" s="72"/>
      <c r="H22" s="34"/>
      <c r="I22" s="34"/>
      <c r="J22" s="73"/>
      <c r="K22" s="34"/>
      <c r="L22" s="34"/>
      <c r="M22" s="34"/>
      <c r="N22" s="71"/>
      <c r="O22" s="71"/>
      <c r="P22" s="71"/>
      <c r="Q22" s="71"/>
      <c r="R22" s="71"/>
      <c r="S22" s="71"/>
      <c r="T22" s="71"/>
      <c r="U22" s="71"/>
      <c r="V22" s="71"/>
      <c r="W22" s="40"/>
      <c r="X22" s="40"/>
    </row>
    <row customHeight="true" ht="15.555555555555555" r="23">
      <c r="A23" s="71"/>
      <c r="B23" s="71"/>
      <c r="C23" s="71"/>
      <c r="D23" s="72"/>
      <c r="E23" s="72"/>
      <c r="F23" s="71"/>
      <c r="G23" s="72"/>
      <c r="H23" s="34" t="s">
        <v>194</v>
      </c>
      <c r="I23" s="34"/>
      <c r="J23" s="73" t="s">
        <v>159</v>
      </c>
      <c r="K23" s="34" t="s">
        <v>195</v>
      </c>
      <c r="L23" s="34" t="s">
        <v>196</v>
      </c>
      <c r="M23" s="34" t="s">
        <v>197</v>
      </c>
      <c r="N23" s="34" t="s">
        <v>174</v>
      </c>
      <c r="O23" s="34" t="s">
        <v>197</v>
      </c>
      <c r="P23" s="71"/>
      <c r="Q23" s="71"/>
      <c r="R23" s="71"/>
      <c r="S23" s="71"/>
      <c r="T23" s="71"/>
      <c r="U23" s="71"/>
      <c r="V23" s="71"/>
      <c r="W23" s="40"/>
      <c r="X23" s="40"/>
    </row>
    <row customHeight="true" ht="15.555555555555555" r="24">
      <c r="A24" s="71"/>
      <c r="B24" s="71"/>
      <c r="C24" s="74"/>
      <c r="D24" s="72"/>
      <c r="F24" s="71"/>
      <c r="G24" s="72"/>
      <c r="H24" s="34">
        <v>16.99</v>
      </c>
      <c r="I24" s="34">
        <v>0.6</v>
      </c>
      <c r="J24" s="73">
        <f t="shared" ref="J24:J26" si="43">H24*I24</f>
      </c>
      <c r="K24" s="34">
        <v>-2.88</v>
      </c>
      <c r="L24" s="34">
        <v>600</v>
      </c>
      <c r="M24" s="34">
        <f t="shared" ref="M24:M26" si="33">L24*K24*7.1</f>
      </c>
      <c r="N24" s="34">
        <v>-3.75</v>
      </c>
      <c r="O24" s="34">
        <f t="shared" ref="O24:O26" si="12">(N24+K24)*L24*7.1</f>
      </c>
      <c r="P24" s="71"/>
      <c r="Q24" s="71"/>
      <c r="R24" s="71"/>
      <c r="S24" s="71"/>
      <c r="T24" s="71"/>
      <c r="U24" s="71"/>
      <c r="V24" s="71"/>
      <c r="W24" s="40"/>
      <c r="X24" s="40"/>
    </row>
    <row customHeight="true" ht="15.555555555555555" r="25">
      <c r="A25" s="71"/>
      <c r="B25" s="71"/>
      <c r="C25" s="74"/>
      <c r="D25" s="72"/>
      <c r="E25" s="75"/>
      <c r="F25" s="71"/>
      <c r="G25" s="72"/>
      <c r="H25" s="34">
        <v>16.99</v>
      </c>
      <c r="I25" s="34">
        <v>0.7</v>
      </c>
      <c r="J25" s="73">
        <f t="shared" si="43"/>
      </c>
      <c r="K25" s="34">
        <v>-1.43</v>
      </c>
      <c r="L25" s="34">
        <v>600</v>
      </c>
      <c r="M25" s="34">
        <f t="shared" si="33"/>
      </c>
      <c r="N25" s="34">
        <v>-3.75</v>
      </c>
      <c r="O25" s="34">
        <f t="shared" si="12"/>
      </c>
      <c r="P25" s="71"/>
      <c r="Q25" s="71"/>
      <c r="R25" s="71"/>
      <c r="S25" s="71"/>
      <c r="T25" s="71"/>
      <c r="U25" s="71"/>
      <c r="V25" s="71"/>
      <c r="W25" s="40"/>
      <c r="X25" s="40"/>
    </row>
    <row customHeight="true" ht="15.555555555555555" r="26">
      <c r="A26" s="71"/>
      <c r="B26" s="71"/>
      <c r="C26" s="71"/>
      <c r="D26" s="72"/>
      <c r="E26" s="72"/>
      <c r="F26" s="71"/>
      <c r="G26" s="72"/>
      <c r="H26" s="34">
        <v>16.99</v>
      </c>
      <c r="I26" s="34">
        <v>0.8</v>
      </c>
      <c r="J26" s="73">
        <f t="shared" si="43"/>
      </c>
      <c r="K26" s="34">
        <v>-0.49</v>
      </c>
      <c r="L26" s="34">
        <v>600</v>
      </c>
      <c r="M26" s="34">
        <f t="shared" si="33"/>
      </c>
      <c r="N26" s="34">
        <v>-3.75</v>
      </c>
      <c r="O26" s="34">
        <f t="shared" si="12"/>
      </c>
      <c r="P26" s="71"/>
      <c r="Q26" s="71"/>
      <c r="R26" s="71"/>
      <c r="S26" s="71"/>
      <c r="T26" s="71"/>
      <c r="U26" s="71"/>
      <c r="V26" s="71"/>
      <c r="W26" s="40"/>
      <c r="X26" s="40"/>
    </row>
    <row customHeight="true" ht="15.555555555555555" r="27">
      <c r="A27" s="71"/>
      <c r="B27" s="71"/>
      <c r="C27" s="71"/>
      <c r="D27" s="72"/>
      <c r="E27" s="72"/>
      <c r="F27" s="71"/>
      <c r="G27" s="72"/>
      <c r="H27" s="71"/>
      <c r="I27" s="71"/>
      <c r="J27" s="72"/>
      <c r="K27" s="71"/>
      <c r="L27" s="71"/>
      <c r="M27" s="34">
        <f>SUM(M24:M26)</f>
      </c>
      <c r="N27" s="71"/>
      <c r="O27" s="34">
        <f>SUM(O24:O26)</f>
      </c>
      <c r="P27" s="71"/>
      <c r="Q27" s="71"/>
      <c r="R27" s="71"/>
      <c r="S27" s="71"/>
      <c r="T27" s="71"/>
      <c r="U27" s="71"/>
      <c r="V27" s="71"/>
      <c r="W27" s="40"/>
      <c r="X27" s="40"/>
    </row>
  </sheetData>
  <mergeCells>
    <mergeCell ref="H23:I23"/>
  </mergeCells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D3" xSplit="3" ySplit="2"/>
    </sheetView>
  </sheetViews>
  <sheetFormatPr defaultRowHeight="16"/>
  <cols>
    <col collapsed="false" customWidth="true" hidden="false" max="2" min="2" style="0" width="14.733333333333333"/>
    <col collapsed="false" customWidth="true" hidden="false" max="6" min="6" style="0" width="13.933333333333334"/>
    <col collapsed="false" customWidth="true" hidden="false" max="10" min="10" style="0" width="13.266666666666667"/>
    <col collapsed="false" customWidth="true" hidden="false" max="19" min="19" style="0" width="10.066666666666666"/>
    <col collapsed="false" customWidth="true" hidden="false" max="23" min="23" style="0" width="12.733333333333333"/>
    <col collapsed="false" customWidth="true" hidden="false" max="1" min="1" style="0" width="25.533333333333335"/>
    <col collapsed="false" customWidth="true" hidden="false" max="5" min="5" style="0" width="14.733333333333333"/>
    <col collapsed="false" customWidth="true" hidden="false" max="9" min="9" style="0" width="13.666666666666666"/>
    <col collapsed="false" customWidth="true" hidden="false" max="14" min="14" style="0" width="17.4"/>
    <col collapsed="false" customWidth="true" hidden="false" max="18" min="18" style="0" width="7.933333333333334"/>
    <col collapsed="false" customWidth="true" hidden="false" max="22" min="22" style="0" width="31"/>
    <col collapsed="false" customWidth="true" hidden="false" max="25" min="25" style="0" width="17.4"/>
    <col collapsed="false" customWidth="true" hidden="false" max="4" min="4" style="0" width="21.666666666666668"/>
    <col collapsed="false" customWidth="true" hidden="false" max="8" min="8" style="0" width="13.666666666666666"/>
    <col collapsed="false" customWidth="true" hidden="false" max="12" min="12" style="0" width="12.333333333333334"/>
    <col collapsed="false" customWidth="true" hidden="false" max="13" min="13" style="0" width="15.8"/>
    <col collapsed="false" customWidth="true" hidden="false" max="17" min="17" style="0" width="7.933333333333334"/>
    <col collapsed="false" customWidth="true" hidden="false" max="21" min="21" style="0" width="15.133333333333333"/>
    <col collapsed="false" customWidth="true" hidden="false" max="24" min="24" style="0" width="12.466666666666667"/>
    <col collapsed="false" customWidth="true" hidden="false" max="3" min="3" style="0" width="10.733333333333333"/>
    <col collapsed="false" customWidth="true" hidden="false" max="7" min="7" style="0" width="13.933333333333334"/>
    <col collapsed="false" customWidth="true" hidden="false" max="11" min="11" style="0" width="12.333333333333334"/>
    <col collapsed="false" customWidth="true" hidden="false" max="15" min="15" style="0" width="17.4"/>
    <col collapsed="false" customWidth="true" hidden="false" max="16" min="16" style="0" width="11"/>
    <col collapsed="false" customWidth="true" hidden="false" max="20" min="20" style="0" width="11.266666666666667"/>
  </cols>
  <sheetData>
    <row customHeight="true" ht="32.59259259259259" r="1">
      <c r="A1" s="76" t="s">
        <v>198</v>
      </c>
      <c r="B1" s="76" t="s">
        <v>199</v>
      </c>
      <c r="C1" s="77" t="s">
        <v>200</v>
      </c>
      <c r="D1" s="77" t="s">
        <v>201</v>
      </c>
      <c r="E1" s="76" t="s">
        <v>202</v>
      </c>
      <c r="F1" s="77" t="s">
        <v>203</v>
      </c>
      <c r="G1" s="76" t="s">
        <v>204</v>
      </c>
      <c r="H1" s="76" t="s">
        <v>205</v>
      </c>
      <c r="I1" s="77" t="s">
        <v>206</v>
      </c>
      <c r="J1" s="76" t="s">
        <v>207</v>
      </c>
      <c r="K1" s="77" t="s">
        <v>208</v>
      </c>
      <c r="L1" s="76" t="s">
        <v>209</v>
      </c>
      <c r="M1" s="76" t="s">
        <v>210</v>
      </c>
      <c r="N1" s="78" t="s">
        <v>211</v>
      </c>
      <c r="O1" s="78" t="s">
        <v>212</v>
      </c>
      <c r="P1" s="76" t="s">
        <v>213</v>
      </c>
      <c r="Q1" s="76" t="s">
        <v>214</v>
      </c>
      <c r="R1" s="76" t="s">
        <v>215</v>
      </c>
      <c r="S1" s="76" t="s">
        <v>216</v>
      </c>
      <c r="T1" s="76" t="s">
        <v>211</v>
      </c>
      <c r="U1" s="76" t="s">
        <v>212</v>
      </c>
      <c r="V1" s="76" t="s">
        <v>217</v>
      </c>
      <c r="W1" s="79" t="s">
        <v>218</v>
      </c>
      <c r="X1" s="80" t="s">
        <v>219</v>
      </c>
      <c r="Y1" s="80" t="s">
        <v>220</v>
      </c>
    </row>
    <row customHeight="true" ht="32.59259259259259" r="2">
      <c r="A2" s="81" t="s">
        <v>221</v>
      </c>
      <c r="B2" s="82">
        <v>39.99</v>
      </c>
      <c r="C2" s="83">
        <v>9</v>
      </c>
      <c r="D2" s="83">
        <f>90/1.13</f>
      </c>
      <c r="E2" s="81">
        <f t="shared" ref="E2:E19" si="14">D2/C2</f>
      </c>
      <c r="F2" s="83">
        <v>9</v>
      </c>
      <c r="G2" s="82">
        <f t="shared" ref="G2:G19" si="8">F2/C2</f>
      </c>
      <c r="H2" s="82">
        <f t="shared" ref="H2:H19" si="2">E2+G2</f>
      </c>
      <c r="I2" s="83">
        <v>0.15</v>
      </c>
      <c r="J2" s="82">
        <f t="shared" ref="J2:J19" si="25">B2*I2</f>
      </c>
      <c r="K2" s="83">
        <v>0.2</v>
      </c>
      <c r="L2" s="82">
        <f t="shared" ref="L2:L19" si="16">B2/(1+K2)*K2</f>
      </c>
      <c r="M2" s="82">
        <v>3.15</v>
      </c>
      <c r="N2" s="84">
        <f t="shared" ref="N2:N19" si="10">B2-H2-J2-L2-M2</f>
      </c>
      <c r="O2" s="81">
        <f t="shared" ref="O2:O19" si="4">N2/B2</f>
      </c>
      <c r="P2" s="81"/>
      <c r="Q2" s="82">
        <f t="shared" ref="Q2:Q11" si="27">B2*0.05</f>
      </c>
      <c r="R2" s="85"/>
      <c r="S2" s="82">
        <v>4</v>
      </c>
      <c r="T2" s="86">
        <f t="shared" ref="T2:T19" si="20">B2-H2-J2-M2-Q2-S2-L2</f>
      </c>
      <c r="U2" s="81">
        <f t="shared" ref="U2:U19" si="12">T2/B2</f>
      </c>
      <c r="V2" s="81" t="s">
        <v>222</v>
      </c>
      <c r="W2" s="87">
        <f t="shared" ref="W2:W19" si="6">D2/C2/B2</f>
      </c>
      <c r="X2" s="87">
        <f t="shared" ref="X2:X19" si="0">G2/B2</f>
      </c>
      <c r="Y2" s="87">
        <f t="shared" ref="Y2:Y19" si="22">M2/B2</f>
      </c>
    </row>
    <row customHeight="true" ht="32.59259259259259" r="3">
      <c r="A3" s="81" t="s">
        <v>223</v>
      </c>
      <c r="B3" s="88">
        <v>39.99</v>
      </c>
      <c r="C3" s="83">
        <v>8</v>
      </c>
      <c r="D3" s="83">
        <f t="shared" ref="D3:D6" si="18">87/1.13</f>
      </c>
      <c r="E3" s="88">
        <f t="shared" si="14"/>
      </c>
      <c r="F3" s="89">
        <v>9</v>
      </c>
      <c r="G3" s="88">
        <f t="shared" si="8"/>
      </c>
      <c r="H3" s="81">
        <f t="shared" si="2"/>
      </c>
      <c r="I3" s="83">
        <v>0.15</v>
      </c>
      <c r="J3" s="88">
        <f t="shared" si="25"/>
      </c>
      <c r="K3" s="83">
        <v>0.19</v>
      </c>
      <c r="L3" s="82">
        <f t="shared" si="16"/>
      </c>
      <c r="M3" s="88">
        <v>3.64</v>
      </c>
      <c r="N3" s="84">
        <f t="shared" si="10"/>
      </c>
      <c r="O3" s="81">
        <f t="shared" si="4"/>
      </c>
      <c r="P3" s="81"/>
      <c r="Q3" s="88">
        <f t="shared" si="27"/>
      </c>
      <c r="R3" s="85"/>
      <c r="S3" s="88">
        <v>4</v>
      </c>
      <c r="T3" s="90">
        <f t="shared" si="20"/>
      </c>
      <c r="U3" s="81">
        <f t="shared" si="12"/>
      </c>
      <c r="V3" s="91" t="s">
        <v>222</v>
      </c>
      <c r="W3" s="87">
        <f t="shared" si="6"/>
      </c>
      <c r="X3" s="87">
        <f t="shared" si="0"/>
      </c>
      <c r="Y3" s="87">
        <f t="shared" si="22"/>
      </c>
    </row>
    <row customHeight="true" ht="32.59259259259259" r="4">
      <c r="A4" s="81" t="s">
        <v>224</v>
      </c>
      <c r="B4" s="88">
        <v>39.99</v>
      </c>
      <c r="C4" s="83">
        <v>8</v>
      </c>
      <c r="D4" s="83">
        <f t="shared" si="18"/>
      </c>
      <c r="E4" s="88">
        <f t="shared" si="14"/>
      </c>
      <c r="F4" s="89">
        <v>9</v>
      </c>
      <c r="G4" s="88">
        <f t="shared" si="8"/>
      </c>
      <c r="H4" s="81">
        <f t="shared" si="2"/>
      </c>
      <c r="I4" s="83">
        <v>0.15</v>
      </c>
      <c r="J4" s="88">
        <f t="shared" si="25"/>
      </c>
      <c r="K4" s="83">
        <v>0.2</v>
      </c>
      <c r="L4" s="82">
        <f t="shared" si="16"/>
      </c>
      <c r="M4" s="88">
        <v>6.28</v>
      </c>
      <c r="N4" s="84">
        <f t="shared" si="10"/>
      </c>
      <c r="O4" s="81">
        <f t="shared" si="4"/>
      </c>
      <c r="P4" s="81"/>
      <c r="Q4" s="88">
        <f t="shared" si="27"/>
      </c>
      <c r="R4" s="85"/>
      <c r="S4" s="88">
        <v>4</v>
      </c>
      <c r="T4" s="90">
        <f t="shared" si="20"/>
      </c>
      <c r="U4" s="81">
        <f t="shared" si="12"/>
      </c>
      <c r="V4" s="91" t="s">
        <v>225</v>
      </c>
      <c r="W4" s="87">
        <f t="shared" si="6"/>
      </c>
      <c r="X4" s="87">
        <f t="shared" si="0"/>
      </c>
      <c r="Y4" s="87">
        <f t="shared" si="22"/>
      </c>
    </row>
    <row customHeight="true" ht="32.59259259259259" r="5">
      <c r="A5" s="81" t="s">
        <v>226</v>
      </c>
      <c r="B5" s="88">
        <v>42.99</v>
      </c>
      <c r="C5" s="83">
        <v>8</v>
      </c>
      <c r="D5" s="83">
        <f t="shared" si="18"/>
      </c>
      <c r="E5" s="88">
        <f t="shared" si="14"/>
      </c>
      <c r="F5" s="89">
        <v>9</v>
      </c>
      <c r="G5" s="88">
        <f t="shared" si="8"/>
      </c>
      <c r="H5" s="81">
        <f t="shared" si="2"/>
      </c>
      <c r="I5" s="83">
        <v>0.15</v>
      </c>
      <c r="J5" s="88">
        <f t="shared" si="25"/>
      </c>
      <c r="K5" s="83">
        <v>0.22</v>
      </c>
      <c r="L5" s="82">
        <f t="shared" si="16"/>
      </c>
      <c r="M5" s="88">
        <v>5.15</v>
      </c>
      <c r="N5" s="84">
        <f t="shared" si="10"/>
      </c>
      <c r="O5" s="81">
        <f t="shared" si="4"/>
      </c>
      <c r="P5" s="81"/>
      <c r="Q5" s="88">
        <f t="shared" si="27"/>
      </c>
      <c r="R5" s="85"/>
      <c r="S5" s="88">
        <v>4</v>
      </c>
      <c r="T5" s="90">
        <f t="shared" si="20"/>
      </c>
      <c r="U5" s="81">
        <f t="shared" si="12"/>
      </c>
      <c r="V5" s="91" t="s">
        <v>227</v>
      </c>
      <c r="W5" s="87">
        <f t="shared" si="6"/>
      </c>
      <c r="X5" s="87">
        <f t="shared" si="0"/>
      </c>
      <c r="Y5" s="87">
        <f t="shared" si="22"/>
      </c>
    </row>
    <row customHeight="true" ht="32.59259259259259" r="6">
      <c r="A6" s="81" t="s">
        <v>228</v>
      </c>
      <c r="B6" s="88">
        <v>42.99</v>
      </c>
      <c r="C6" s="83">
        <v>8</v>
      </c>
      <c r="D6" s="83">
        <f t="shared" si="18"/>
      </c>
      <c r="E6" s="88">
        <f t="shared" si="14"/>
      </c>
      <c r="F6" s="89">
        <v>9</v>
      </c>
      <c r="G6" s="88">
        <f t="shared" si="8"/>
      </c>
      <c r="H6" s="81">
        <f t="shared" si="2"/>
      </c>
      <c r="I6" s="83">
        <v>0.15</v>
      </c>
      <c r="J6" s="88">
        <f t="shared" si="25"/>
      </c>
      <c r="K6" s="83">
        <v>0.21</v>
      </c>
      <c r="L6" s="82">
        <f t="shared" si="16"/>
      </c>
      <c r="M6" s="88">
        <v>4.45</v>
      </c>
      <c r="N6" s="84">
        <f t="shared" si="10"/>
      </c>
      <c r="O6" s="81">
        <f t="shared" si="4"/>
      </c>
      <c r="P6" s="81"/>
      <c r="Q6" s="88">
        <f t="shared" si="27"/>
      </c>
      <c r="R6" s="85"/>
      <c r="S6" s="88">
        <v>4</v>
      </c>
      <c r="T6" s="90">
        <f t="shared" si="20"/>
      </c>
      <c r="U6" s="81">
        <f t="shared" si="12"/>
      </c>
      <c r="V6" s="91" t="s">
        <v>229</v>
      </c>
      <c r="W6" s="87">
        <f t="shared" si="6"/>
      </c>
      <c r="X6" s="87">
        <f t="shared" si="0"/>
      </c>
      <c r="Y6" s="87">
        <f t="shared" si="22"/>
      </c>
    </row>
    <row customHeight="true" ht="32.59259259259259" r="7">
      <c r="A7" s="81" t="s">
        <v>221</v>
      </c>
      <c r="B7" s="82">
        <v>34</v>
      </c>
      <c r="C7" s="83">
        <v>9</v>
      </c>
      <c r="D7" s="83">
        <f>90/1.13</f>
      </c>
      <c r="E7" s="81">
        <f t="shared" si="14"/>
      </c>
      <c r="F7" s="83">
        <v>9</v>
      </c>
      <c r="G7" s="82">
        <f t="shared" si="8"/>
      </c>
      <c r="H7" s="82">
        <f t="shared" si="2"/>
      </c>
      <c r="I7" s="83">
        <v>0.15</v>
      </c>
      <c r="J7" s="82">
        <f t="shared" si="25"/>
      </c>
      <c r="K7" s="83">
        <v>0.2</v>
      </c>
      <c r="L7" s="82">
        <f t="shared" si="16"/>
      </c>
      <c r="M7" s="82">
        <v>3.06</v>
      </c>
      <c r="N7" s="92">
        <f t="shared" si="10"/>
      </c>
      <c r="O7" s="81">
        <f t="shared" si="4"/>
      </c>
      <c r="P7" s="81"/>
      <c r="Q7" s="82">
        <f t="shared" si="27"/>
      </c>
      <c r="R7" s="85"/>
      <c r="S7" s="82">
        <v>3</v>
      </c>
      <c r="T7" s="82">
        <f t="shared" si="20"/>
      </c>
      <c r="U7" s="81">
        <f t="shared" si="12"/>
      </c>
      <c r="V7" s="81" t="s">
        <v>222</v>
      </c>
      <c r="W7" s="87">
        <f t="shared" si="6"/>
      </c>
      <c r="X7" s="87">
        <f t="shared" si="0"/>
      </c>
      <c r="Y7" s="87">
        <f t="shared" si="22"/>
      </c>
    </row>
    <row customHeight="true" ht="32.59259259259259" r="8">
      <c r="A8" s="81" t="s">
        <v>223</v>
      </c>
      <c r="B8" s="88">
        <v>29.99</v>
      </c>
      <c r="C8" s="83">
        <v>8</v>
      </c>
      <c r="D8" s="83">
        <f t="shared" ref="D8:D11" si="19">87/1.13</f>
      </c>
      <c r="E8" s="88">
        <f t="shared" si="14"/>
      </c>
      <c r="F8" s="89">
        <v>9</v>
      </c>
      <c r="G8" s="88">
        <f t="shared" si="8"/>
      </c>
      <c r="H8" s="81">
        <f t="shared" si="2"/>
      </c>
      <c r="I8" s="83">
        <v>0.15</v>
      </c>
      <c r="J8" s="88">
        <f t="shared" si="25"/>
      </c>
      <c r="K8" s="83">
        <v>0.19</v>
      </c>
      <c r="L8" s="82">
        <f t="shared" si="16"/>
      </c>
      <c r="M8" s="88">
        <v>3.64</v>
      </c>
      <c r="N8" s="84">
        <f t="shared" si="10"/>
      </c>
      <c r="O8" s="81">
        <f t="shared" si="4"/>
      </c>
      <c r="P8" s="81"/>
      <c r="Q8" s="88">
        <f t="shared" si="27"/>
      </c>
      <c r="R8" s="85"/>
      <c r="S8" s="88">
        <v>3</v>
      </c>
      <c r="T8" s="88">
        <f t="shared" si="20"/>
      </c>
      <c r="U8" s="81">
        <f t="shared" si="12"/>
      </c>
      <c r="V8" s="91" t="s">
        <v>222</v>
      </c>
      <c r="W8" s="87">
        <f t="shared" si="6"/>
      </c>
      <c r="X8" s="87">
        <f t="shared" si="0"/>
      </c>
      <c r="Y8" s="87">
        <f t="shared" si="22"/>
      </c>
    </row>
    <row customHeight="true" ht="32.59259259259259" r="9">
      <c r="A9" s="81" t="s">
        <v>224</v>
      </c>
      <c r="B9" s="88">
        <f>41.99*0.85</f>
      </c>
      <c r="C9" s="83">
        <v>8</v>
      </c>
      <c r="D9" s="83">
        <f t="shared" si="19"/>
      </c>
      <c r="E9" s="88">
        <f t="shared" si="14"/>
      </c>
      <c r="F9" s="89">
        <v>9</v>
      </c>
      <c r="G9" s="88">
        <f t="shared" si="8"/>
      </c>
      <c r="H9" s="81">
        <f t="shared" si="2"/>
      </c>
      <c r="I9" s="83">
        <v>0.15</v>
      </c>
      <c r="J9" s="88">
        <f t="shared" si="25"/>
      </c>
      <c r="K9" s="83">
        <v>0.2</v>
      </c>
      <c r="L9" s="82">
        <f t="shared" si="16"/>
      </c>
      <c r="M9" s="88">
        <v>6.28</v>
      </c>
      <c r="N9" s="84">
        <f t="shared" si="10"/>
      </c>
      <c r="O9" s="81">
        <f t="shared" si="4"/>
      </c>
      <c r="P9" s="81"/>
      <c r="Q9" s="88">
        <f t="shared" si="27"/>
      </c>
      <c r="R9" s="85"/>
      <c r="S9" s="88">
        <v>3</v>
      </c>
      <c r="T9" s="88">
        <f t="shared" si="20"/>
      </c>
      <c r="U9" s="81">
        <f t="shared" si="12"/>
      </c>
      <c r="V9" s="91" t="s">
        <v>225</v>
      </c>
      <c r="W9" s="87">
        <f t="shared" si="6"/>
      </c>
      <c r="X9" s="87">
        <f t="shared" si="0"/>
      </c>
      <c r="Y9" s="87">
        <f t="shared" si="22"/>
      </c>
    </row>
    <row customHeight="true" ht="32.59259259259259" r="10">
      <c r="A10" s="81" t="s">
        <v>226</v>
      </c>
      <c r="B10" s="88">
        <v>38.99</v>
      </c>
      <c r="C10" s="83">
        <v>8</v>
      </c>
      <c r="D10" s="83">
        <f t="shared" si="19"/>
      </c>
      <c r="E10" s="88">
        <f t="shared" si="14"/>
      </c>
      <c r="F10" s="89">
        <v>9</v>
      </c>
      <c r="G10" s="88">
        <f t="shared" si="8"/>
      </c>
      <c r="H10" s="81">
        <f t="shared" si="2"/>
      </c>
      <c r="I10" s="83">
        <v>0.15</v>
      </c>
      <c r="J10" s="88">
        <f t="shared" si="25"/>
      </c>
      <c r="K10" s="83">
        <v>0.22</v>
      </c>
      <c r="L10" s="82">
        <f t="shared" si="16"/>
      </c>
      <c r="M10" s="88">
        <v>5.15</v>
      </c>
      <c r="N10" s="84">
        <f t="shared" si="10"/>
      </c>
      <c r="O10" s="81">
        <f t="shared" si="4"/>
      </c>
      <c r="P10" s="81"/>
      <c r="Q10" s="88">
        <f t="shared" si="27"/>
      </c>
      <c r="R10" s="85"/>
      <c r="S10" s="88">
        <v>3</v>
      </c>
      <c r="T10" s="88">
        <f t="shared" si="20"/>
      </c>
      <c r="U10" s="81">
        <f t="shared" si="12"/>
      </c>
      <c r="V10" s="91" t="s">
        <v>227</v>
      </c>
      <c r="W10" s="87">
        <f t="shared" si="6"/>
      </c>
      <c r="X10" s="87">
        <f t="shared" si="0"/>
      </c>
      <c r="Y10" s="87">
        <f t="shared" si="22"/>
      </c>
    </row>
    <row customHeight="true" ht="32.59259259259259" r="11">
      <c r="A11" s="81" t="s">
        <v>228</v>
      </c>
      <c r="B11" s="88">
        <f>41.99*0.85</f>
      </c>
      <c r="C11" s="83">
        <v>8</v>
      </c>
      <c r="D11" s="83">
        <f t="shared" si="19"/>
      </c>
      <c r="E11" s="88">
        <f t="shared" si="14"/>
      </c>
      <c r="F11" s="89">
        <v>9</v>
      </c>
      <c r="G11" s="88">
        <f t="shared" si="8"/>
      </c>
      <c r="H11" s="81">
        <f t="shared" si="2"/>
      </c>
      <c r="I11" s="83">
        <v>0.15</v>
      </c>
      <c r="J11" s="88">
        <f t="shared" si="25"/>
      </c>
      <c r="K11" s="83">
        <v>0.21</v>
      </c>
      <c r="L11" s="82">
        <f t="shared" si="16"/>
      </c>
      <c r="M11" s="88">
        <v>4.45</v>
      </c>
      <c r="N11" s="84">
        <f t="shared" si="10"/>
      </c>
      <c r="O11" s="81">
        <f t="shared" si="4"/>
      </c>
      <c r="P11" s="81"/>
      <c r="Q11" s="88">
        <f t="shared" si="27"/>
      </c>
      <c r="R11" s="85"/>
      <c r="S11" s="88">
        <v>3</v>
      </c>
      <c r="T11" s="88">
        <f t="shared" si="20"/>
      </c>
      <c r="U11" s="81">
        <f t="shared" si="12"/>
      </c>
      <c r="V11" s="91" t="s">
        <v>229</v>
      </c>
      <c r="W11" s="87">
        <f t="shared" si="6"/>
      </c>
      <c r="X11" s="87">
        <f t="shared" si="0"/>
      </c>
      <c r="Y11" s="87">
        <f t="shared" si="22"/>
      </c>
    </row>
    <row customHeight="true" ht="32.59259259259259" r="12">
      <c r="A12" s="81" t="s">
        <v>230</v>
      </c>
      <c r="B12" s="88">
        <v>12.99</v>
      </c>
      <c r="C12" s="83">
        <v>8</v>
      </c>
      <c r="D12" s="83">
        <f t="shared" ref="D12:D19" si="24">11/1.13</f>
      </c>
      <c r="E12" s="88">
        <f t="shared" si="14"/>
      </c>
      <c r="F12" s="89">
        <v>2</v>
      </c>
      <c r="G12" s="88">
        <f t="shared" si="8"/>
      </c>
      <c r="H12" s="81">
        <f t="shared" si="2"/>
      </c>
      <c r="I12" s="83">
        <v>0.15</v>
      </c>
      <c r="J12" s="88">
        <f t="shared" si="25"/>
      </c>
      <c r="K12" s="83">
        <v>0.19</v>
      </c>
      <c r="L12" s="82">
        <f t="shared" si="16"/>
      </c>
      <c r="M12" s="93">
        <v>2.78</v>
      </c>
      <c r="N12" s="84">
        <f t="shared" si="10"/>
      </c>
      <c r="O12" s="81">
        <f t="shared" si="4"/>
      </c>
      <c r="P12" s="81"/>
      <c r="Q12" s="88">
        <v>0</v>
      </c>
      <c r="R12" s="85"/>
      <c r="S12" s="88">
        <v>0</v>
      </c>
      <c r="T12" s="88">
        <f t="shared" si="20"/>
      </c>
      <c r="U12" s="81">
        <f t="shared" si="12"/>
      </c>
      <c r="V12" s="91"/>
      <c r="W12" s="87">
        <f t="shared" si="6"/>
      </c>
      <c r="X12" s="87">
        <f t="shared" si="0"/>
      </c>
      <c r="Y12" s="87">
        <f t="shared" si="22"/>
      </c>
    </row>
    <row customHeight="true" ht="32.59259259259259" r="13">
      <c r="A13" s="81" t="s">
        <v>231</v>
      </c>
      <c r="B13" s="88">
        <v>12.59</v>
      </c>
      <c r="C13" s="83">
        <v>8</v>
      </c>
      <c r="D13" s="83">
        <f t="shared" si="24"/>
      </c>
      <c r="E13" s="88">
        <f t="shared" si="14"/>
      </c>
      <c r="F13" s="89">
        <v>2</v>
      </c>
      <c r="G13" s="88">
        <f t="shared" si="8"/>
      </c>
      <c r="H13" s="81">
        <f t="shared" si="2"/>
      </c>
      <c r="I13" s="83">
        <v>0.15</v>
      </c>
      <c r="J13" s="88">
        <f t="shared" si="25"/>
      </c>
      <c r="K13" s="83">
        <v>0.2</v>
      </c>
      <c r="L13" s="82">
        <f t="shared" si="16"/>
      </c>
      <c r="M13" s="93">
        <v>4.39</v>
      </c>
      <c r="N13" s="84">
        <f t="shared" si="10"/>
      </c>
      <c r="O13" s="81">
        <f t="shared" si="4"/>
      </c>
      <c r="P13" s="81"/>
      <c r="Q13" s="88">
        <v>0</v>
      </c>
      <c r="R13" s="85"/>
      <c r="S13" s="88">
        <v>0</v>
      </c>
      <c r="T13" s="88">
        <f t="shared" si="20"/>
      </c>
      <c r="U13" s="81">
        <f t="shared" si="12"/>
      </c>
      <c r="V13" s="91"/>
      <c r="W13" s="87">
        <f t="shared" si="6"/>
      </c>
      <c r="X13" s="87">
        <f t="shared" si="0"/>
      </c>
      <c r="Y13" s="87">
        <f t="shared" si="22"/>
      </c>
    </row>
    <row customHeight="true" ht="32.59259259259259" r="14">
      <c r="A14" s="81" t="s">
        <v>232</v>
      </c>
      <c r="B14" s="88">
        <v>12.99</v>
      </c>
      <c r="C14" s="83">
        <v>8</v>
      </c>
      <c r="D14" s="83">
        <f t="shared" si="24"/>
      </c>
      <c r="E14" s="88">
        <f t="shared" si="14"/>
      </c>
      <c r="F14" s="89">
        <v>2</v>
      </c>
      <c r="G14" s="88">
        <f t="shared" si="8"/>
      </c>
      <c r="H14" s="81">
        <f t="shared" si="2"/>
      </c>
      <c r="I14" s="83">
        <v>0.15</v>
      </c>
      <c r="J14" s="88">
        <f t="shared" si="25"/>
      </c>
      <c r="K14" s="83">
        <v>0.22</v>
      </c>
      <c r="L14" s="82">
        <f t="shared" si="16"/>
      </c>
      <c r="M14" s="93">
        <v>3.45</v>
      </c>
      <c r="N14" s="84">
        <f t="shared" si="10"/>
      </c>
      <c r="O14" s="81">
        <f t="shared" si="4"/>
      </c>
      <c r="P14" s="81"/>
      <c r="Q14" s="88">
        <v>0</v>
      </c>
      <c r="R14" s="85"/>
      <c r="S14" s="88">
        <v>0</v>
      </c>
      <c r="T14" s="88">
        <f t="shared" si="20"/>
      </c>
      <c r="U14" s="81">
        <f t="shared" si="12"/>
      </c>
      <c r="V14" s="91"/>
      <c r="W14" s="87">
        <f t="shared" si="6"/>
      </c>
      <c r="X14" s="87">
        <f t="shared" si="0"/>
      </c>
      <c r="Y14" s="87">
        <f t="shared" si="22"/>
      </c>
    </row>
    <row customHeight="true" ht="32.59259259259259" r="15">
      <c r="A15" s="81" t="s">
        <v>233</v>
      </c>
      <c r="B15" s="88">
        <v>12.99</v>
      </c>
      <c r="C15" s="83">
        <v>8</v>
      </c>
      <c r="D15" s="83">
        <f t="shared" si="24"/>
      </c>
      <c r="E15" s="88">
        <f t="shared" si="14"/>
      </c>
      <c r="F15" s="89">
        <v>2</v>
      </c>
      <c r="G15" s="88">
        <f t="shared" si="8"/>
      </c>
      <c r="H15" s="81">
        <f t="shared" si="2"/>
      </c>
      <c r="I15" s="83">
        <v>0.15</v>
      </c>
      <c r="J15" s="88">
        <f t="shared" si="25"/>
      </c>
      <c r="K15" s="83">
        <v>0.21</v>
      </c>
      <c r="L15" s="82">
        <f t="shared" si="16"/>
      </c>
      <c r="M15" s="93">
        <v>3.6</v>
      </c>
      <c r="N15" s="84">
        <f t="shared" si="10"/>
      </c>
      <c r="O15" s="81">
        <f t="shared" si="4"/>
      </c>
      <c r="P15" s="81"/>
      <c r="Q15" s="88">
        <v>0</v>
      </c>
      <c r="R15" s="85"/>
      <c r="S15" s="88">
        <v>0</v>
      </c>
      <c r="T15" s="88">
        <f t="shared" si="20"/>
      </c>
      <c r="U15" s="81">
        <f t="shared" si="12"/>
      </c>
      <c r="V15" s="91"/>
      <c r="W15" s="87">
        <f t="shared" si="6"/>
      </c>
      <c r="X15" s="87">
        <f t="shared" si="0"/>
      </c>
      <c r="Y15" s="87">
        <f t="shared" si="22"/>
      </c>
    </row>
    <row customHeight="true" ht="32.59259259259259" r="16">
      <c r="A16" s="81" t="s">
        <v>230</v>
      </c>
      <c r="B16" s="88">
        <v>12.99</v>
      </c>
      <c r="C16" s="83">
        <v>8</v>
      </c>
      <c r="D16" s="83">
        <f t="shared" si="24"/>
      </c>
      <c r="E16" s="88">
        <f t="shared" si="14"/>
      </c>
      <c r="F16" s="89">
        <v>2</v>
      </c>
      <c r="G16" s="88">
        <f t="shared" si="8"/>
      </c>
      <c r="H16" s="81">
        <f t="shared" si="2"/>
      </c>
      <c r="I16" s="83">
        <v>0.15</v>
      </c>
      <c r="J16" s="88">
        <f t="shared" si="25"/>
      </c>
      <c r="K16" s="83">
        <v>0.19</v>
      </c>
      <c r="L16" s="82">
        <f t="shared" si="16"/>
      </c>
      <c r="M16" s="90">
        <v>2.39</v>
      </c>
      <c r="N16" s="84">
        <f t="shared" si="10"/>
      </c>
      <c r="O16" s="81">
        <f t="shared" si="4"/>
      </c>
      <c r="P16" s="81"/>
      <c r="Q16" s="88">
        <v>0</v>
      </c>
      <c r="R16" s="85"/>
      <c r="S16" s="88">
        <v>0</v>
      </c>
      <c r="T16" s="88">
        <f t="shared" si="20"/>
      </c>
      <c r="U16" s="81">
        <f t="shared" si="12"/>
      </c>
      <c r="V16" s="91"/>
      <c r="W16" s="87">
        <f t="shared" si="6"/>
      </c>
      <c r="X16" s="87">
        <f t="shared" si="0"/>
      </c>
      <c r="Y16" s="87">
        <f t="shared" si="22"/>
      </c>
    </row>
    <row customHeight="true" ht="32.59259259259259" r="17">
      <c r="A17" s="81" t="s">
        <v>231</v>
      </c>
      <c r="B17" s="88">
        <v>12.99</v>
      </c>
      <c r="C17" s="83">
        <v>8</v>
      </c>
      <c r="D17" s="83">
        <f t="shared" si="24"/>
      </c>
      <c r="E17" s="88">
        <f t="shared" si="14"/>
      </c>
      <c r="F17" s="89">
        <v>2</v>
      </c>
      <c r="G17" s="88">
        <f t="shared" si="8"/>
      </c>
      <c r="H17" s="81">
        <f t="shared" si="2"/>
      </c>
      <c r="I17" s="83">
        <v>0.15</v>
      </c>
      <c r="J17" s="88">
        <f t="shared" si="25"/>
      </c>
      <c r="K17" s="83">
        <v>0.2</v>
      </c>
      <c r="L17" s="82">
        <f t="shared" si="16"/>
      </c>
      <c r="M17" s="90">
        <v>2.78</v>
      </c>
      <c r="N17" s="84">
        <f t="shared" si="10"/>
      </c>
      <c r="O17" s="81">
        <f t="shared" si="4"/>
      </c>
      <c r="P17" s="81"/>
      <c r="Q17" s="88">
        <v>0</v>
      </c>
      <c r="R17" s="85"/>
      <c r="S17" s="88">
        <v>0</v>
      </c>
      <c r="T17" s="88">
        <f t="shared" si="20"/>
      </c>
      <c r="U17" s="81">
        <f t="shared" si="12"/>
      </c>
      <c r="V17" s="91"/>
      <c r="W17" s="87">
        <f t="shared" si="6"/>
      </c>
      <c r="X17" s="87">
        <f t="shared" si="0"/>
      </c>
      <c r="Y17" s="87">
        <f t="shared" si="22"/>
      </c>
    </row>
    <row customHeight="true" ht="32.59259259259259" r="18">
      <c r="A18" s="81" t="s">
        <v>232</v>
      </c>
      <c r="B18" s="88">
        <v>12.99</v>
      </c>
      <c r="C18" s="83">
        <v>8</v>
      </c>
      <c r="D18" s="83">
        <f t="shared" si="24"/>
      </c>
      <c r="E18" s="88">
        <f t="shared" si="14"/>
      </c>
      <c r="F18" s="89">
        <v>2</v>
      </c>
      <c r="G18" s="88">
        <f t="shared" si="8"/>
      </c>
      <c r="H18" s="81">
        <f t="shared" si="2"/>
      </c>
      <c r="I18" s="83">
        <v>0.15</v>
      </c>
      <c r="J18" s="88">
        <f t="shared" si="25"/>
      </c>
      <c r="K18" s="83">
        <v>0.22</v>
      </c>
      <c r="L18" s="82">
        <f t="shared" si="16"/>
      </c>
      <c r="M18" s="90">
        <v>3.28</v>
      </c>
      <c r="N18" s="84">
        <f t="shared" si="10"/>
      </c>
      <c r="O18" s="81">
        <f t="shared" si="4"/>
      </c>
      <c r="P18" s="81"/>
      <c r="Q18" s="88">
        <v>0</v>
      </c>
      <c r="R18" s="85"/>
      <c r="S18" s="88">
        <v>0</v>
      </c>
      <c r="T18" s="88">
        <f t="shared" si="20"/>
      </c>
      <c r="U18" s="81">
        <f t="shared" si="12"/>
      </c>
      <c r="V18" s="91"/>
      <c r="W18" s="87">
        <f t="shared" si="6"/>
      </c>
      <c r="X18" s="87">
        <f t="shared" si="0"/>
      </c>
      <c r="Y18" s="87">
        <f t="shared" si="22"/>
      </c>
    </row>
    <row customHeight="true" ht="32.59259259259259" r="19">
      <c r="A19" s="81" t="s">
        <v>233</v>
      </c>
      <c r="B19" s="88">
        <v>12.99</v>
      </c>
      <c r="C19" s="83">
        <v>8</v>
      </c>
      <c r="D19" s="83">
        <f t="shared" si="24"/>
      </c>
      <c r="E19" s="88">
        <f t="shared" si="14"/>
      </c>
      <c r="F19" s="89">
        <v>2</v>
      </c>
      <c r="G19" s="88">
        <f t="shared" si="8"/>
      </c>
      <c r="H19" s="81">
        <f t="shared" si="2"/>
      </c>
      <c r="I19" s="83">
        <v>0.15</v>
      </c>
      <c r="J19" s="88">
        <f t="shared" si="25"/>
      </c>
      <c r="K19" s="83">
        <v>0.21</v>
      </c>
      <c r="L19" s="82">
        <f t="shared" si="16"/>
      </c>
      <c r="M19" s="90">
        <v>2.87</v>
      </c>
      <c r="N19" s="84">
        <f t="shared" si="10"/>
      </c>
      <c r="O19" s="81">
        <f t="shared" si="4"/>
      </c>
      <c r="P19" s="81"/>
      <c r="Q19" s="88">
        <v>0</v>
      </c>
      <c r="R19" s="85"/>
      <c r="S19" s="88">
        <v>0</v>
      </c>
      <c r="T19" s="88">
        <f t="shared" si="20"/>
      </c>
      <c r="U19" s="81">
        <f t="shared" si="12"/>
      </c>
      <c r="V19" s="91"/>
      <c r="W19" s="87">
        <f t="shared" si="6"/>
      </c>
      <c r="X19" s="87">
        <f t="shared" si="0"/>
      </c>
      <c r="Y19" s="87">
        <f t="shared" si="22"/>
      </c>
    </row>
    <row customHeight="true" ht="32.59259259259259" r="20">
      <c r="A20" s="94"/>
      <c r="B20" s="94"/>
      <c r="C20" s="94"/>
      <c r="D20" s="94"/>
      <c r="E20" s="94"/>
      <c r="F20" s="94"/>
      <c r="G20" s="94"/>
      <c r="H20" s="94"/>
      <c r="I20" s="94"/>
      <c r="J20" s="94"/>
      <c r="K20" s="95"/>
      <c r="L20" s="94"/>
      <c r="M20" s="94"/>
      <c r="N20" s="94"/>
      <c r="O20" s="94"/>
      <c r="P20" s="94"/>
      <c r="Q20" s="94"/>
      <c r="R20" s="94"/>
      <c r="S20" s="94"/>
      <c r="T20" s="94"/>
      <c r="U20" s="94"/>
      <c r="V20" s="94"/>
      <c r="W20" s="94"/>
      <c r="X20" s="94"/>
      <c r="Y20" s="94"/>
    </row>
    <row customHeight="true" ht="32.59259259259259" r="21">
      <c r="A21" s="94"/>
      <c r="B21" s="94"/>
      <c r="C21" s="94"/>
      <c r="D21" s="94"/>
      <c r="E21" s="94"/>
      <c r="F21" s="94"/>
      <c r="G21" s="94"/>
      <c r="H21" s="94"/>
      <c r="I21" s="94"/>
      <c r="J21" s="94"/>
      <c r="K21" s="95"/>
      <c r="L21" s="94"/>
      <c r="M21" s="94"/>
      <c r="N21" s="94"/>
      <c r="O21" s="94"/>
      <c r="P21" s="94"/>
      <c r="Q21" s="94"/>
      <c r="R21" s="94"/>
      <c r="S21" s="94"/>
      <c r="T21" s="94"/>
      <c r="U21" s="94"/>
      <c r="V21" s="94"/>
      <c r="W21" s="94"/>
      <c r="X21" s="94"/>
      <c r="Y21" s="94"/>
    </row>
    <row customHeight="true" ht="32.59259259259259" r="22">
      <c r="A22" s="81" t="s">
        <v>234</v>
      </c>
      <c r="B22" s="88">
        <v>16.99</v>
      </c>
      <c r="C22" s="83">
        <v>8</v>
      </c>
      <c r="D22" s="83">
        <v>40.7</v>
      </c>
      <c r="E22" s="88">
        <f t="shared" ref="E22:E26" si="15">D22/C22</f>
      </c>
      <c r="F22" s="89">
        <v>4.7</v>
      </c>
      <c r="G22" s="88">
        <f t="shared" ref="G22:G26" si="9">F22/C22</f>
      </c>
      <c r="H22" s="81">
        <f t="shared" ref="H22:H26" si="3">E22+G22</f>
      </c>
      <c r="I22" s="83">
        <v>0.15</v>
      </c>
      <c r="J22" s="88">
        <f t="shared" ref="J22:J26" si="26">B22*I22</f>
      </c>
      <c r="K22" s="83">
        <v>0.19</v>
      </c>
      <c r="L22" s="82">
        <f t="shared" ref="L22:L26" si="17">B22/(1+K22)*K22</f>
      </c>
      <c r="M22" s="90">
        <v>2.88</v>
      </c>
      <c r="N22" s="88">
        <f t="shared" ref="N22:N26" si="11">B22-H22-J22-L22-M22</f>
      </c>
      <c r="O22" s="81">
        <f t="shared" ref="O22:O26" si="5">N22/B22</f>
      </c>
      <c r="P22" s="81"/>
      <c r="Q22" s="88">
        <v>0</v>
      </c>
      <c r="R22" s="85"/>
      <c r="S22" s="88">
        <v>3</v>
      </c>
      <c r="T22" s="88">
        <f t="shared" ref="T22:T26" si="21">B22-H22-J22-M22-Q22-S22-L22</f>
      </c>
      <c r="U22" s="81">
        <f t="shared" ref="U22:U26" si="13">T22/B22</f>
      </c>
      <c r="V22" s="91"/>
      <c r="W22" s="87">
        <f t="shared" ref="W22:W26" si="7">D22/C22/B22</f>
      </c>
      <c r="X22" s="87">
        <f t="shared" ref="X22:X26" si="1">G22/B22</f>
      </c>
      <c r="Y22" s="87">
        <f t="shared" ref="Y22:Y26" si="23">M22/B22</f>
      </c>
    </row>
    <row customHeight="true" ht="32.59259259259259" r="23">
      <c r="A23" s="81" t="s">
        <v>235</v>
      </c>
      <c r="B23" s="88">
        <v>19.99</v>
      </c>
      <c r="C23" s="83">
        <v>8</v>
      </c>
      <c r="D23" s="83">
        <v>40.7</v>
      </c>
      <c r="E23" s="88">
        <f t="shared" si="15"/>
      </c>
      <c r="F23" s="89">
        <v>4.7</v>
      </c>
      <c r="G23" s="88">
        <f t="shared" si="9"/>
      </c>
      <c r="H23" s="81">
        <f t="shared" si="3"/>
      </c>
      <c r="I23" s="83">
        <v>0.15</v>
      </c>
      <c r="J23" s="88">
        <f t="shared" si="26"/>
      </c>
      <c r="K23" s="83">
        <v>0.2</v>
      </c>
      <c r="L23" s="82">
        <f t="shared" si="17"/>
      </c>
      <c r="M23" s="88">
        <v>4.49</v>
      </c>
      <c r="N23" s="88">
        <f t="shared" si="11"/>
      </c>
      <c r="O23" s="81">
        <f t="shared" si="5"/>
      </c>
      <c r="P23" s="81"/>
      <c r="Q23" s="88">
        <f t="shared" ref="Q23:Q26" si="28">B23*0.05</f>
      </c>
      <c r="R23" s="85"/>
      <c r="S23" s="88">
        <v>3</v>
      </c>
      <c r="T23" s="88">
        <f t="shared" si="21"/>
      </c>
      <c r="U23" s="81">
        <f t="shared" si="13"/>
      </c>
      <c r="V23" s="91"/>
      <c r="W23" s="87">
        <f t="shared" si="7"/>
      </c>
      <c r="X23" s="87">
        <f t="shared" si="1"/>
      </c>
      <c r="Y23" s="87">
        <f t="shared" si="23"/>
      </c>
    </row>
    <row customHeight="true" ht="32.59259259259259" r="24">
      <c r="A24" s="81" t="s">
        <v>236</v>
      </c>
      <c r="B24" s="88">
        <v>19.99</v>
      </c>
      <c r="C24" s="83">
        <v>8</v>
      </c>
      <c r="D24" s="83">
        <v>40.7</v>
      </c>
      <c r="E24" s="88">
        <f t="shared" si="15"/>
      </c>
      <c r="F24" s="89">
        <v>4.7</v>
      </c>
      <c r="G24" s="88">
        <f t="shared" si="9"/>
      </c>
      <c r="H24" s="81">
        <f t="shared" si="3"/>
      </c>
      <c r="I24" s="83">
        <v>0.15</v>
      </c>
      <c r="J24" s="88">
        <f t="shared" si="26"/>
      </c>
      <c r="K24" s="83">
        <v>0.2</v>
      </c>
      <c r="L24" s="82">
        <f t="shared" si="17"/>
      </c>
      <c r="M24" s="88">
        <v>4.04</v>
      </c>
      <c r="N24" s="88">
        <f t="shared" si="11"/>
      </c>
      <c r="O24" s="81">
        <f t="shared" si="5"/>
      </c>
      <c r="P24" s="81"/>
      <c r="Q24" s="88">
        <f t="shared" si="28"/>
      </c>
      <c r="R24" s="85"/>
      <c r="S24" s="88">
        <v>3</v>
      </c>
      <c r="T24" s="88">
        <f t="shared" si="21"/>
      </c>
      <c r="U24" s="81">
        <f t="shared" si="13"/>
      </c>
      <c r="V24" s="91"/>
      <c r="W24" s="87">
        <f t="shared" si="7"/>
      </c>
      <c r="X24" s="87">
        <f t="shared" si="1"/>
      </c>
      <c r="Y24" s="87">
        <f t="shared" si="23"/>
      </c>
    </row>
    <row customHeight="true" ht="32.59259259259259" r="25">
      <c r="A25" s="81" t="s">
        <v>237</v>
      </c>
      <c r="B25" s="88">
        <v>16.99</v>
      </c>
      <c r="C25" s="83">
        <v>8</v>
      </c>
      <c r="D25" s="83">
        <v>40.7</v>
      </c>
      <c r="E25" s="88">
        <f t="shared" si="15"/>
      </c>
      <c r="F25" s="89">
        <v>4.7</v>
      </c>
      <c r="G25" s="88">
        <f t="shared" si="9"/>
      </c>
      <c r="H25" s="81">
        <f t="shared" si="3"/>
      </c>
      <c r="I25" s="83">
        <v>0.15</v>
      </c>
      <c r="J25" s="88">
        <f t="shared" si="26"/>
      </c>
      <c r="K25" s="83">
        <v>0.2</v>
      </c>
      <c r="L25" s="82">
        <f t="shared" si="17"/>
      </c>
      <c r="M25" s="88">
        <v>3.7</v>
      </c>
      <c r="N25" s="88">
        <f t="shared" si="11"/>
      </c>
      <c r="O25" s="81">
        <f t="shared" si="5"/>
      </c>
      <c r="P25" s="81"/>
      <c r="Q25" s="88">
        <f t="shared" si="28"/>
      </c>
      <c r="R25" s="85"/>
      <c r="S25" s="88">
        <v>3</v>
      </c>
      <c r="T25" s="88">
        <f t="shared" si="21"/>
      </c>
      <c r="U25" s="81">
        <f t="shared" si="13"/>
      </c>
      <c r="V25" s="91"/>
      <c r="W25" s="87">
        <f t="shared" si="7"/>
      </c>
      <c r="X25" s="87">
        <f t="shared" si="1"/>
      </c>
      <c r="Y25" s="87">
        <f t="shared" si="23"/>
      </c>
    </row>
    <row customHeight="true" ht="32.59259259259259" r="26">
      <c r="A26" s="81" t="s">
        <v>238</v>
      </c>
      <c r="B26" s="82">
        <v>14.24</v>
      </c>
      <c r="C26" s="83">
        <v>9</v>
      </c>
      <c r="D26" s="83">
        <f>46/1.13</f>
      </c>
      <c r="E26" s="81">
        <f t="shared" si="15"/>
      </c>
      <c r="F26" s="83">
        <v>7</v>
      </c>
      <c r="G26" s="82">
        <f t="shared" si="9"/>
      </c>
      <c r="H26" s="82">
        <f t="shared" si="3"/>
      </c>
      <c r="I26" s="83">
        <v>0.15</v>
      </c>
      <c r="J26" s="82">
        <f t="shared" si="26"/>
      </c>
      <c r="K26" s="83">
        <v>0.2</v>
      </c>
      <c r="L26" s="82">
        <f t="shared" si="17"/>
      </c>
      <c r="M26" s="82">
        <v>2.87</v>
      </c>
      <c r="N26" s="92">
        <f t="shared" si="11"/>
      </c>
      <c r="O26" s="81">
        <f t="shared" si="5"/>
      </c>
      <c r="P26" s="81"/>
      <c r="Q26" s="82">
        <f t="shared" si="28"/>
      </c>
      <c r="R26" s="85"/>
      <c r="S26" s="82">
        <v>3</v>
      </c>
      <c r="T26" s="82">
        <f t="shared" si="21"/>
      </c>
      <c r="U26" s="81">
        <f t="shared" si="13"/>
      </c>
      <c r="V26" s="81" t="s">
        <v>222</v>
      </c>
      <c r="W26" s="87">
        <f t="shared" si="7"/>
      </c>
      <c r="X26" s="87">
        <f t="shared" si="1"/>
      </c>
      <c r="Y26" s="87">
        <f t="shared" si="23"/>
      </c>
    </row>
  </sheetData>
</worksheet>
</file>

<file path=xl/worksheets/sheet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3" min="3" style="0" width="10.066666666666666"/>
    <col collapsed="false" customWidth="true" hidden="false" max="11" min="11" style="0" width="10.733333333333333"/>
    <col collapsed="false" customWidth="true" hidden="false" max="22" min="22" style="0" width="6.466666666666667"/>
    <col collapsed="false" customWidth="true" hidden="false" max="30" min="30" style="0" width="13.266666666666667"/>
    <col collapsed="false" customWidth="true" hidden="false" max="6" min="6" style="0" width="13"/>
    <col collapsed="false" customWidth="true" hidden="false" max="14" min="14" style="0" width="12.866666666666667"/>
    <col collapsed="false" customWidth="true" hidden="false" max="21" min="21" style="0" width="6.466666666666667"/>
    <col collapsed="false" customWidth="true" hidden="false" max="29" min="29" style="0" width="13.266666666666667"/>
    <col collapsed="false" customWidth="true" hidden="false" max="5" min="5" style="0" width="27.666666666666668"/>
    <col collapsed="false" customWidth="true" hidden="false" max="13" min="13" style="0" width="12.2"/>
    <col collapsed="false" customWidth="true" hidden="false" max="24" min="24" style="0" width="6.466666666666667"/>
    <col collapsed="false" customWidth="true" hidden="false" max="32" min="32" style="0" width="13.266666666666667"/>
    <col collapsed="false" customWidth="true" hidden="false" max="8" min="8" style="0" width="15.4"/>
    <col collapsed="false" customWidth="true" hidden="false" max="16" min="16" style="0" width="12.866666666666667"/>
    <col collapsed="false" customWidth="true" hidden="false" max="23" min="23" style="0" width="6.466666666666667"/>
    <col collapsed="false" customWidth="true" hidden="false" max="31" min="31" style="0" width="13.266666666666667"/>
    <col collapsed="false" customWidth="true" hidden="false" max="7" min="7" style="0" width="13.8"/>
    <col collapsed="false" customWidth="true" hidden="false" max="15" min="15" style="0" width="12.866666666666667"/>
    <col collapsed="false" customWidth="true" hidden="false" max="26" min="26" style="0" width="7.8"/>
    <col collapsed="false" customWidth="true" hidden="false" max="2" min="2" style="0" width="17.8"/>
    <col collapsed="false" customWidth="true" hidden="false" max="10" min="10" style="0" width="10.733333333333333"/>
    <col collapsed="false" customWidth="true" hidden="false" max="18" min="18" style="0" width="8.733333333333333"/>
    <col collapsed="false" customWidth="true" hidden="false" max="25" min="25" style="0" width="7.8"/>
    <col collapsed="false" customWidth="true" hidden="false" max="1" min="1" style="0" width="8.733333333333333"/>
    <col collapsed="false" customWidth="true" hidden="false" max="9" min="9" style="0" width="16.866666666666667"/>
    <col collapsed="false" customWidth="true" hidden="false" max="17" min="17" style="0" width="8.733333333333333"/>
    <col collapsed="false" customWidth="true" hidden="false" max="28" min="28" style="0" width="7.8"/>
    <col collapsed="false" customWidth="true" hidden="false" max="33" min="33" style="0" width="13.266666666666667"/>
    <col collapsed="false" customWidth="true" hidden="false" max="4" min="4" style="0" width="18.333333333333332"/>
    <col collapsed="false" customWidth="true" hidden="false" max="12" min="12" style="0" width="17.4"/>
    <col collapsed="false" customWidth="true" hidden="false" max="19" min="19" style="0" width="6.466666666666667"/>
    <col collapsed="false" customWidth="true" hidden="false" max="20" min="20" style="0" width="6.466666666666667"/>
    <col collapsed="false" customWidth="true" hidden="false" max="27" min="27" style="0" width="7.8"/>
  </cols>
  <sheetData>
    <row customHeight="true" ht="43.7037037037037" r="1">
      <c r="A1" s="96" t="s">
        <v>239</v>
      </c>
      <c r="B1" s="96" t="s">
        <v>240</v>
      </c>
      <c r="C1" s="96" t="s">
        <v>241</v>
      </c>
      <c r="D1" s="96" t="s">
        <v>242</v>
      </c>
      <c r="E1" s="96" t="s">
        <v>243</v>
      </c>
      <c r="F1" s="96" t="s">
        <v>244</v>
      </c>
      <c r="G1" s="97" t="s">
        <v>245</v>
      </c>
      <c r="H1" s="98" t="s">
        <v>246</v>
      </c>
      <c r="I1" s="99" t="s">
        <v>247</v>
      </c>
      <c r="J1" s="100" t="s">
        <v>248</v>
      </c>
      <c r="K1" s="101" t="s">
        <v>249</v>
      </c>
      <c r="L1" s="102" t="s">
        <v>250</v>
      </c>
      <c r="M1" s="103" t="s">
        <v>251</v>
      </c>
      <c r="N1" s="100" t="s">
        <v>252</v>
      </c>
      <c r="O1" s="103" t="s">
        <v>253</v>
      </c>
      <c r="P1" s="103" t="s">
        <v>254</v>
      </c>
      <c r="Q1" s="97" t="s">
        <v>255</v>
      </c>
      <c r="R1" s="104" t="s">
        <v>256</v>
      </c>
      <c r="S1" s="105" t="s">
        <v>257</v>
      </c>
      <c r="T1" s="105" t="s">
        <v>258</v>
      </c>
      <c r="U1" s="105" t="s">
        <v>259</v>
      </c>
      <c r="V1" s="106" t="s">
        <v>260</v>
      </c>
      <c r="W1" s="106" t="s">
        <v>261</v>
      </c>
      <c r="X1" s="106" t="s">
        <v>262</v>
      </c>
      <c r="Y1" s="106" t="s">
        <v>263</v>
      </c>
      <c r="Z1" s="107" t="s">
        <v>264</v>
      </c>
      <c r="AA1" s="106" t="s">
        <v>265</v>
      </c>
      <c r="AB1" s="106" t="s">
        <v>266</v>
      </c>
      <c r="AC1" s="108" t="s">
        <v>267</v>
      </c>
      <c r="AD1" s="109" t="s">
        <v>268</v>
      </c>
      <c r="AE1" s="104" t="s">
        <v>269</v>
      </c>
      <c r="AF1" s="106" t="s">
        <v>270</v>
      </c>
      <c r="AG1" s="106" t="s">
        <v>271</v>
      </c>
    </row>
    <row customHeight="true" ht="14.814814814814813" r="2">
      <c r="A2" s="110" t="s">
        <v>272</v>
      </c>
      <c r="B2" s="110" t="s">
        <v>273</v>
      </c>
      <c r="C2" s="110" t="s">
        <v>274</v>
      </c>
      <c r="D2" s="110" t="s">
        <v>275</v>
      </c>
      <c r="E2" s="111" t="s">
        <v>276</v>
      </c>
      <c r="F2" s="110" t="s">
        <v>277</v>
      </c>
      <c r="G2" s="112" t="s">
        <v>278</v>
      </c>
      <c r="H2" s="113">
        <v>53.99</v>
      </c>
      <c r="I2" s="112">
        <v>64.99</v>
      </c>
      <c r="J2" s="113">
        <f t="shared" ref="J2:J7" si="11">H2-O2/R2-P2-Y2-Z2-AA2-AB2</f>
      </c>
      <c r="K2" s="114">
        <f t="shared" ref="K2:K7" si="2">J2/H2</f>
      </c>
      <c r="L2" s="115">
        <f t="shared" ref="L2:L7" si="24">(I2-H2)/I2</f>
      </c>
      <c r="M2" s="114">
        <f>(I2-H2+AB2)/(I2)</f>
      </c>
      <c r="N2" s="113">
        <f t="shared" ref="N2:N7" si="13">I2-H2</f>
      </c>
      <c r="O2" s="116">
        <f t="shared" ref="O2:O7" si="4">AD2+AE2</f>
      </c>
      <c r="P2" s="112">
        <v>1.5</v>
      </c>
      <c r="Q2" s="110">
        <v>4</v>
      </c>
      <c r="R2" s="110">
        <v>7</v>
      </c>
      <c r="S2" s="117">
        <v>0</v>
      </c>
      <c r="T2" s="117">
        <v>0</v>
      </c>
      <c r="U2" s="117">
        <v>0.01</v>
      </c>
      <c r="V2" s="114">
        <f t="shared" ref="V2:V7" si="26">O2/(H2*R2)</f>
      </c>
      <c r="W2" s="117">
        <f t="shared" ref="W2:W7" si="18">P2/H2</f>
      </c>
      <c r="X2" s="114">
        <f t="shared" ref="X2:X7" si="15">IF(G2="J671X",0,0.21)</f>
      </c>
      <c r="Y2" s="118">
        <f t="shared" ref="Y2:Y7" si="6">H2*S2</f>
      </c>
      <c r="Z2" s="118">
        <v>6.4</v>
      </c>
      <c r="AA2" s="118">
        <f t="shared" ref="AA2:AA7" si="28">H2*U2</f>
      </c>
      <c r="AB2" s="119">
        <f t="shared" ref="AB2:AB7" si="20">H2*X2</f>
      </c>
      <c r="AC2" s="120">
        <v>136.5</v>
      </c>
      <c r="AD2" s="120">
        <f t="shared" ref="AD2:AD7" si="7">AC2/1.13</f>
      </c>
      <c r="AE2" s="116">
        <v>55</v>
      </c>
      <c r="AF2" s="117">
        <f t="shared" ref="AF2:AF7" si="0">AD2/(H2*R2)</f>
      </c>
      <c r="AG2" s="117">
        <f t="shared" ref="AG2:AG7" si="22">AE2/R2/H2</f>
      </c>
    </row>
    <row customHeight="true" ht="14.814814814814813" r="3">
      <c r="A3" s="110" t="s">
        <v>279</v>
      </c>
      <c r="B3" s="110" t="s">
        <v>273</v>
      </c>
      <c r="C3" s="110" t="s">
        <v>274</v>
      </c>
      <c r="D3" s="110" t="s">
        <v>275</v>
      </c>
      <c r="E3" s="111" t="s">
        <v>276</v>
      </c>
      <c r="F3" s="110" t="s">
        <v>277</v>
      </c>
      <c r="G3" s="112" t="s">
        <v>280</v>
      </c>
      <c r="H3" s="113">
        <v>48</v>
      </c>
      <c r="I3" s="112">
        <v>89.99</v>
      </c>
      <c r="J3" s="113">
        <f t="shared" si="11"/>
      </c>
      <c r="K3" s="114">
        <f t="shared" si="2"/>
      </c>
      <c r="L3" s="115">
        <f t="shared" si="24"/>
      </c>
      <c r="M3" s="114">
        <f t="shared" ref="M3:M7" si="17">(I3-H3+AB3-Z3)/(I3-Z3)</f>
      </c>
      <c r="N3" s="113">
        <f t="shared" si="13"/>
      </c>
      <c r="O3" s="116">
        <f t="shared" si="4"/>
      </c>
      <c r="P3" s="112">
        <v>0</v>
      </c>
      <c r="Q3" s="110">
        <v>4</v>
      </c>
      <c r="R3" s="110">
        <v>7</v>
      </c>
      <c r="S3" s="117">
        <v>0.13</v>
      </c>
      <c r="T3" s="117">
        <f t="shared" ref="T3:T7" si="9">Z3/H3</f>
      </c>
      <c r="U3" s="117">
        <v>0.01</v>
      </c>
      <c r="V3" s="114">
        <f t="shared" si="26"/>
      </c>
      <c r="W3" s="117">
        <f t="shared" si="18"/>
      </c>
      <c r="X3" s="114">
        <f t="shared" si="15"/>
      </c>
      <c r="Y3" s="118">
        <f t="shared" si="6"/>
      </c>
      <c r="Z3" s="118">
        <v>10</v>
      </c>
      <c r="AA3" s="118">
        <f t="shared" si="28"/>
      </c>
      <c r="AB3" s="119">
        <f t="shared" si="20"/>
      </c>
      <c r="AC3" s="120">
        <v>136.5</v>
      </c>
      <c r="AD3" s="120">
        <f t="shared" si="7"/>
      </c>
      <c r="AE3" s="116">
        <v>0</v>
      </c>
      <c r="AF3" s="117">
        <f t="shared" si="0"/>
      </c>
      <c r="AG3" s="117">
        <f t="shared" si="22"/>
      </c>
    </row>
    <row customHeight="true" ht="14.814814814814813" r="4">
      <c r="A4" s="110" t="s">
        <v>272</v>
      </c>
      <c r="B4" s="110" t="s">
        <v>281</v>
      </c>
      <c r="C4" s="110" t="s">
        <v>274</v>
      </c>
      <c r="D4" s="110" t="s">
        <v>282</v>
      </c>
      <c r="E4" s="111" t="s">
        <v>283</v>
      </c>
      <c r="F4" s="110" t="s">
        <v>277</v>
      </c>
      <c r="G4" s="112" t="s">
        <v>278</v>
      </c>
      <c r="H4" s="113">
        <v>22</v>
      </c>
      <c r="I4" s="112">
        <v>29.99</v>
      </c>
      <c r="J4" s="113">
        <f t="shared" si="11"/>
      </c>
      <c r="K4" s="121">
        <f t="shared" si="2"/>
      </c>
      <c r="L4" s="115">
        <f t="shared" si="24"/>
      </c>
      <c r="M4" s="114">
        <f t="shared" si="17"/>
      </c>
      <c r="N4" s="113">
        <f t="shared" si="13"/>
      </c>
      <c r="O4" s="116">
        <f t="shared" si="4"/>
      </c>
      <c r="P4" s="112">
        <v>1</v>
      </c>
      <c r="Q4" s="110">
        <v>54</v>
      </c>
      <c r="R4" s="110">
        <v>7</v>
      </c>
      <c r="S4" s="117">
        <v>0.15</v>
      </c>
      <c r="T4" s="117">
        <f t="shared" si="9"/>
      </c>
      <c r="U4" s="117">
        <v>0.01</v>
      </c>
      <c r="V4" s="114">
        <f t="shared" si="26"/>
      </c>
      <c r="W4" s="117">
        <f t="shared" si="18"/>
      </c>
      <c r="X4" s="114">
        <f t="shared" si="15"/>
      </c>
      <c r="Y4" s="118">
        <f t="shared" si="6"/>
      </c>
      <c r="Z4" s="122">
        <v>3.63</v>
      </c>
      <c r="AA4" s="118">
        <f t="shared" si="28"/>
      </c>
      <c r="AB4" s="119">
        <f t="shared" si="20"/>
      </c>
      <c r="AC4" s="120">
        <v>46</v>
      </c>
      <c r="AD4" s="120">
        <f t="shared" si="7"/>
      </c>
      <c r="AE4" s="116">
        <v>9</v>
      </c>
      <c r="AF4" s="117">
        <f t="shared" si="0"/>
      </c>
      <c r="AG4" s="117">
        <f t="shared" si="22"/>
      </c>
    </row>
    <row customHeight="true" ht="14.814814814814813" r="5">
      <c r="A5" s="110" t="s">
        <v>272</v>
      </c>
      <c r="B5" s="110" t="s">
        <v>281</v>
      </c>
      <c r="C5" s="110" t="s">
        <v>274</v>
      </c>
      <c r="D5" s="110" t="s">
        <v>282</v>
      </c>
      <c r="E5" s="111" t="s">
        <v>283</v>
      </c>
      <c r="F5" s="110" t="s">
        <v>277</v>
      </c>
      <c r="G5" s="112" t="s">
        <v>278</v>
      </c>
      <c r="H5" s="113">
        <v>21</v>
      </c>
      <c r="I5" s="112">
        <v>27.99</v>
      </c>
      <c r="J5" s="113">
        <f t="shared" si="11"/>
      </c>
      <c r="K5" s="121">
        <f t="shared" si="2"/>
      </c>
      <c r="L5" s="115">
        <f t="shared" si="24"/>
      </c>
      <c r="M5" s="114">
        <f t="shared" si="17"/>
      </c>
      <c r="N5" s="113">
        <f t="shared" si="13"/>
      </c>
      <c r="O5" s="116">
        <f t="shared" si="4"/>
      </c>
      <c r="P5" s="112">
        <v>1</v>
      </c>
      <c r="Q5" s="110">
        <v>54</v>
      </c>
      <c r="R5" s="110">
        <v>7</v>
      </c>
      <c r="S5" s="117">
        <v>0.15</v>
      </c>
      <c r="T5" s="117">
        <f t="shared" si="9"/>
      </c>
      <c r="U5" s="117">
        <v>0.01</v>
      </c>
      <c r="V5" s="114">
        <f t="shared" si="26"/>
      </c>
      <c r="W5" s="117">
        <f t="shared" si="18"/>
      </c>
      <c r="X5" s="114">
        <f t="shared" si="15"/>
      </c>
      <c r="Y5" s="118">
        <f t="shared" si="6"/>
      </c>
      <c r="Z5" s="122">
        <v>2.79</v>
      </c>
      <c r="AA5" s="118">
        <f t="shared" si="28"/>
      </c>
      <c r="AB5" s="119">
        <f t="shared" si="20"/>
      </c>
      <c r="AC5" s="120">
        <v>46</v>
      </c>
      <c r="AD5" s="120">
        <f t="shared" si="7"/>
      </c>
      <c r="AE5" s="116">
        <v>9</v>
      </c>
      <c r="AF5" s="117">
        <f t="shared" si="0"/>
      </c>
      <c r="AG5" s="117">
        <f t="shared" si="22"/>
      </c>
    </row>
    <row customHeight="true" ht="14.814814814814813" r="6">
      <c r="A6" s="110" t="s">
        <v>272</v>
      </c>
      <c r="B6" s="110" t="s">
        <v>281</v>
      </c>
      <c r="C6" s="110" t="s">
        <v>274</v>
      </c>
      <c r="D6" s="110" t="s">
        <v>282</v>
      </c>
      <c r="E6" s="111" t="s">
        <v>283</v>
      </c>
      <c r="F6" s="110" t="s">
        <v>277</v>
      </c>
      <c r="G6" s="112" t="s">
        <v>278</v>
      </c>
      <c r="H6" s="113">
        <v>21</v>
      </c>
      <c r="I6" s="112">
        <v>27.99</v>
      </c>
      <c r="J6" s="113">
        <f t="shared" si="11"/>
      </c>
      <c r="K6" s="121">
        <f t="shared" si="2"/>
      </c>
      <c r="L6" s="115">
        <f t="shared" si="24"/>
      </c>
      <c r="M6" s="114">
        <f t="shared" si="17"/>
      </c>
      <c r="N6" s="113">
        <f t="shared" si="13"/>
      </c>
      <c r="O6" s="116">
        <f t="shared" si="4"/>
      </c>
      <c r="P6" s="112">
        <v>1</v>
      </c>
      <c r="Q6" s="110">
        <v>54</v>
      </c>
      <c r="R6" s="110">
        <v>7</v>
      </c>
      <c r="S6" s="117">
        <v>0.15</v>
      </c>
      <c r="T6" s="117">
        <f t="shared" si="9"/>
      </c>
      <c r="U6" s="117">
        <v>0.01</v>
      </c>
      <c r="V6" s="114">
        <f t="shared" si="26"/>
      </c>
      <c r="W6" s="117">
        <f t="shared" si="18"/>
      </c>
      <c r="X6" s="114">
        <f t="shared" si="15"/>
      </c>
      <c r="Y6" s="118">
        <f t="shared" si="6"/>
      </c>
      <c r="Z6" s="122">
        <v>4.3</v>
      </c>
      <c r="AA6" s="118">
        <f t="shared" si="28"/>
      </c>
      <c r="AB6" s="119">
        <f t="shared" si="20"/>
      </c>
      <c r="AC6" s="120">
        <v>46</v>
      </c>
      <c r="AD6" s="120">
        <f t="shared" si="7"/>
      </c>
      <c r="AE6" s="116">
        <v>9</v>
      </c>
      <c r="AF6" s="117">
        <f t="shared" si="0"/>
      </c>
      <c r="AG6" s="117">
        <f t="shared" si="22"/>
      </c>
    </row>
    <row customHeight="true" ht="14.814814814814813" r="7">
      <c r="A7" s="110" t="s">
        <v>279</v>
      </c>
      <c r="B7" s="110" t="s">
        <v>281</v>
      </c>
      <c r="C7" s="110" t="s">
        <v>274</v>
      </c>
      <c r="D7" s="110" t="s">
        <v>282</v>
      </c>
      <c r="E7" s="111" t="s">
        <v>283</v>
      </c>
      <c r="F7" s="110" t="s">
        <v>277</v>
      </c>
      <c r="G7" s="112" t="s">
        <v>280</v>
      </c>
      <c r="H7" s="113">
        <v>19</v>
      </c>
      <c r="I7" s="112">
        <v>34.99</v>
      </c>
      <c r="J7" s="113">
        <f t="shared" si="11"/>
      </c>
      <c r="K7" s="114">
        <f t="shared" si="2"/>
      </c>
      <c r="L7" s="115">
        <f t="shared" si="24"/>
      </c>
      <c r="M7" s="114">
        <f t="shared" si="17"/>
      </c>
      <c r="N7" s="113">
        <f t="shared" si="13"/>
      </c>
      <c r="O7" s="116">
        <f t="shared" si="4"/>
      </c>
      <c r="P7" s="112">
        <v>0</v>
      </c>
      <c r="Q7" s="110">
        <v>54</v>
      </c>
      <c r="R7" s="110">
        <v>7</v>
      </c>
      <c r="S7" s="117">
        <v>0.13</v>
      </c>
      <c r="T7" s="117">
        <f t="shared" si="9"/>
      </c>
      <c r="U7" s="117">
        <v>0.01</v>
      </c>
      <c r="V7" s="114">
        <f t="shared" si="26"/>
      </c>
      <c r="W7" s="117">
        <f t="shared" si="18"/>
      </c>
      <c r="X7" s="114">
        <f t="shared" si="15"/>
      </c>
      <c r="Y7" s="118">
        <f t="shared" si="6"/>
      </c>
      <c r="Z7" s="118">
        <v>3</v>
      </c>
      <c r="AA7" s="118">
        <f t="shared" si="28"/>
      </c>
      <c r="AB7" s="119">
        <f t="shared" si="20"/>
      </c>
      <c r="AC7" s="120">
        <v>46</v>
      </c>
      <c r="AD7" s="120">
        <f t="shared" si="7"/>
      </c>
      <c r="AE7" s="116">
        <v>0</v>
      </c>
      <c r="AF7" s="117">
        <f t="shared" si="0"/>
      </c>
      <c r="AG7" s="117">
        <f t="shared" si="22"/>
      </c>
    </row>
    <row customHeight="true" ht="14.814814814814813" r="8">
      <c r="A8" s="110"/>
      <c r="B8" s="110"/>
      <c r="C8" s="110"/>
      <c r="D8" s="110"/>
      <c r="E8" s="111"/>
      <c r="F8" s="110"/>
      <c r="G8" s="112"/>
      <c r="H8" s="113"/>
      <c r="I8" s="112"/>
      <c r="J8" s="113"/>
      <c r="K8" s="114"/>
      <c r="L8" s="115"/>
      <c r="M8" s="114"/>
      <c r="N8" s="113"/>
      <c r="O8" s="116"/>
      <c r="P8" s="112"/>
      <c r="Q8" s="110"/>
      <c r="R8" s="110"/>
      <c r="S8" s="117"/>
      <c r="T8" s="117"/>
      <c r="U8" s="117"/>
      <c r="V8" s="114"/>
      <c r="W8" s="117"/>
      <c r="X8" s="114"/>
      <c r="Y8" s="118"/>
      <c r="Z8" s="122"/>
      <c r="AA8" s="118"/>
      <c r="AB8" s="119"/>
      <c r="AC8" s="120"/>
      <c r="AD8" s="120"/>
      <c r="AE8" s="116"/>
      <c r="AF8" s="117"/>
      <c r="AG8" s="117"/>
    </row>
    <row customHeight="true" ht="14.814814814814813" r="9">
      <c r="A9" s="110" t="s">
        <v>272</v>
      </c>
      <c r="B9" s="110" t="s">
        <v>284</v>
      </c>
      <c r="C9" s="110" t="s">
        <v>274</v>
      </c>
      <c r="D9" s="110" t="s">
        <v>285</v>
      </c>
      <c r="E9" s="111" t="s">
        <v>286</v>
      </c>
      <c r="F9" s="110" t="s">
        <v>277</v>
      </c>
      <c r="G9" s="112" t="s">
        <v>278</v>
      </c>
      <c r="H9" s="113">
        <v>32.5</v>
      </c>
      <c r="I9" s="112">
        <v>39.99</v>
      </c>
      <c r="J9" s="113">
        <f t="shared" ref="J9:J10" si="12">H9-O9/R9-P9-Y9-Z9-AA9-AB9</f>
      </c>
      <c r="K9" s="121">
        <f t="shared" ref="K9:K10" si="3">J9/H9</f>
      </c>
      <c r="L9" s="115">
        <f t="shared" ref="L9:L10" si="25">(I9-H9)/I9</f>
      </c>
      <c r="M9" s="114">
        <f>(I9-H9+AB9)/(I9)</f>
      </c>
      <c r="N9" s="113">
        <f t="shared" ref="N9:N10" si="14">I9-H9</f>
      </c>
      <c r="O9" s="116">
        <f t="shared" ref="O9:O10" si="5">AD9+AE9</f>
      </c>
      <c r="P9" s="112">
        <v>1</v>
      </c>
      <c r="Q9" s="110">
        <v>27</v>
      </c>
      <c r="R9" s="110">
        <v>7</v>
      </c>
      <c r="S9" s="117">
        <v>0.1</v>
      </c>
      <c r="T9" s="117">
        <f t="shared" ref="T9:T10" si="10">Z9/H9</f>
      </c>
      <c r="U9" s="117">
        <v>0.01</v>
      </c>
      <c r="V9" s="114">
        <f t="shared" ref="V9:V10" si="27">O9/(H9*R9)</f>
      </c>
      <c r="W9" s="117">
        <f t="shared" ref="W9:W10" si="19">P9/H9</f>
      </c>
      <c r="X9" s="114">
        <f t="shared" ref="X9:X10" si="16">IF(G9="J671X",0,0.21)</f>
      </c>
      <c r="Y9" s="118">
        <v>0</v>
      </c>
      <c r="Z9" s="122">
        <v>5</v>
      </c>
      <c r="AA9" s="118">
        <f t="shared" ref="AA9:AA10" si="29">H9*U9</f>
      </c>
      <c r="AB9" s="119">
        <f t="shared" ref="AB9:AB10" si="21">H9*X9</f>
      </c>
      <c r="AC9" s="120">
        <v>87</v>
      </c>
      <c r="AD9" s="120">
        <f t="shared" ref="AD9:AD10" si="8">AC9/1.13</f>
      </c>
      <c r="AE9" s="116">
        <v>5</v>
      </c>
      <c r="AF9" s="117">
        <f t="shared" ref="AF9:AF10" si="1">AD9/(H9*R9)</f>
      </c>
      <c r="AG9" s="117">
        <f t="shared" ref="AG9:AG10" si="23">AE9/R9/H9</f>
      </c>
    </row>
    <row customHeight="true" ht="14.814814814814813" r="10">
      <c r="A10" s="110" t="s">
        <v>279</v>
      </c>
      <c r="B10" s="110" t="s">
        <v>284</v>
      </c>
      <c r="C10" s="110" t="s">
        <v>274</v>
      </c>
      <c r="D10" s="110" t="s">
        <v>285</v>
      </c>
      <c r="E10" s="111" t="s">
        <v>286</v>
      </c>
      <c r="F10" s="110" t="s">
        <v>277</v>
      </c>
      <c r="G10" s="112" t="s">
        <v>280</v>
      </c>
      <c r="H10" s="113">
        <v>20.5</v>
      </c>
      <c r="I10" s="112">
        <v>34.99</v>
      </c>
      <c r="J10" s="113">
        <f t="shared" si="12"/>
      </c>
      <c r="K10" s="114">
        <f t="shared" si="3"/>
      </c>
      <c r="L10" s="115">
        <f t="shared" si="25"/>
      </c>
      <c r="M10" s="114">
        <f>(I10-H10+AB10-Z10)/(I10-Z10)</f>
      </c>
      <c r="N10" s="113">
        <f t="shared" si="14"/>
      </c>
      <c r="O10" s="116">
        <f t="shared" si="5"/>
      </c>
      <c r="P10" s="112">
        <v>0</v>
      </c>
      <c r="Q10" s="110">
        <v>27</v>
      </c>
      <c r="R10" s="110">
        <v>7</v>
      </c>
      <c r="S10" s="117">
        <v>0.13</v>
      </c>
      <c r="T10" s="117">
        <f t="shared" si="10"/>
      </c>
      <c r="U10" s="117">
        <v>0.01</v>
      </c>
      <c r="V10" s="114">
        <f t="shared" si="27"/>
      </c>
      <c r="W10" s="117">
        <f t="shared" si="19"/>
      </c>
      <c r="X10" s="114">
        <f t="shared" si="16"/>
      </c>
      <c r="Y10" s="118">
        <f>H10*S10</f>
      </c>
      <c r="Z10" s="118">
        <v>3</v>
      </c>
      <c r="AA10" s="118">
        <f t="shared" si="29"/>
      </c>
      <c r="AB10" s="119">
        <f t="shared" si="21"/>
      </c>
      <c r="AC10" s="120">
        <v>87</v>
      </c>
      <c r="AD10" s="120">
        <f t="shared" si="8"/>
      </c>
      <c r="AE10" s="116">
        <v>0</v>
      </c>
      <c r="AF10" s="117">
        <f t="shared" si="1"/>
      </c>
      <c r="AG10" s="117">
        <f t="shared" si="23"/>
      </c>
    </row>
    <row customHeight="true" ht="13.333333333333332" r="11">
      <c r="A11" s="123"/>
    </row>
    <row customHeight="true" ht="13.333333333333332" r="12">
      <c r="A12" s="123"/>
    </row>
    <row customHeight="true" ht="22.962962962962962" r="13">
      <c r="A13" s="123"/>
      <c r="E13" s="123"/>
    </row>
    <row customHeight="true" ht="13.333333333333332" r="14">
      <c r="A14" s="123"/>
    </row>
    <row customHeight="true" ht="13.333333333333332" r="15">
      <c r="A15" s="123"/>
    </row>
    <row customHeight="true" ht="13.333333333333332" r="16">
      <c r="A16" s="123"/>
    </row>
    <row customHeight="true" ht="13.333333333333332" r="17">
      <c r="A17" s="123"/>
    </row>
    <row customHeight="true" ht="13.333333333333332" r="18">
      <c r="A18" s="123"/>
    </row>
    <row customHeight="true" ht="13.333333333333332" r="19">
      <c r="A19" s="123"/>
    </row>
    <row customHeight="true" ht="13.333333333333332" r="20">
      <c r="A20" s="123"/>
    </row>
  </sheetData>
  <conditionalFormatting sqref="D1:D1">
    <cfRule dxfId="2" priority="1" stopIfTrue="true" type="duplicateValues"/>
  </conditionalFormatting>
  <drawing r:id="rId3"/>
  <legacyDrawing r:id="rId1"/>
</worksheet>
</file>

<file path=xl/worksheets/sheet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E12" xSplit="4" ySplit="11"/>
    </sheetView>
  </sheetViews>
  <sheetFormatPr defaultRowHeight="16"/>
  <cols>
    <col collapsed="false" customWidth="true" hidden="false" max="7" min="7" style="0" width="14.333333333333334"/>
    <col collapsed="false" customWidth="true" hidden="false" max="23" min="23" style="0" width="9"/>
    <col collapsed="false" customWidth="true" hidden="false" max="24" min="24" style="0" width="11.266666666666667"/>
    <col collapsed="false" customWidth="true" hidden="false" max="39" min="39" style="0" width="17.4"/>
    <col collapsed="false" customWidth="true" hidden="false" max="55" min="55" style="0" width="17.4"/>
    <col collapsed="false" customWidth="true" hidden="false" max="8" min="8" style="0" width="14.333333333333334"/>
    <col collapsed="false" customWidth="true" hidden="false" max="21" min="21" style="0" width="8.066666666666666"/>
    <col collapsed="false" customWidth="true" hidden="false" max="40" min="40" style="0" width="17.4"/>
    <col collapsed="false" customWidth="true" hidden="false" max="56" min="56" style="0" width="17.4"/>
    <col collapsed="false" customWidth="true" hidden="false" max="69" min="69" style="0" width="17.4"/>
    <col collapsed="false" customWidth="true" hidden="false" max="5" min="5" style="0" width="11.933333333333334"/>
    <col collapsed="false" customWidth="true" hidden="false" max="22" min="22" style="0" width="9.266666666666667"/>
    <col collapsed="false" customWidth="true" hidden="false" max="37" min="37" style="0" width="17.4"/>
    <col collapsed="false" customWidth="true" hidden="false" max="53" min="53" style="0" width="17.4"/>
    <col collapsed="false" customWidth="true" hidden="false" max="70" min="70" style="0" width="17.4"/>
    <col collapsed="false" customWidth="true" hidden="false" max="6" min="6" style="0" width="17.133333333333333"/>
    <col collapsed="false" customWidth="true" hidden="false" max="19" min="19" style="0" width="10.733333333333333"/>
    <col collapsed="false" customWidth="true" hidden="false" max="38" min="38" style="0" width="17.4"/>
    <col collapsed="false" customWidth="true" hidden="false" max="54" min="54" style="0" width="17.4"/>
    <col collapsed="false" customWidth="true" hidden="false" max="67" min="67" style="0" width="17.4"/>
    <col collapsed="false" customWidth="true" hidden="false" max="3" min="3" style="0" width="15.666666666666666"/>
    <col collapsed="false" customWidth="true" hidden="false" max="20" min="20" style="0" width="9.933333333333334"/>
    <col collapsed="false" customWidth="true" hidden="false" max="35" min="35" style="0" width="11.933333333333334"/>
    <col collapsed="false" customWidth="true" hidden="false" max="51" min="51" style="0" width="17.4"/>
    <col collapsed="false" customWidth="true" hidden="false" max="68" min="68" style="0" width="17.4"/>
    <col collapsed="false" customWidth="true" hidden="false" max="4" min="4" style="0" width="39.4"/>
    <col collapsed="false" customWidth="true" hidden="false" max="17" min="17" style="0" width="9.533333333333333"/>
    <col collapsed="false" customWidth="true" hidden="false" max="36" min="36" style="0" width="17.4"/>
    <col collapsed="false" customWidth="true" hidden="false" max="52" min="52" style="0" width="17.4"/>
    <col collapsed="false" customWidth="true" hidden="false" max="65" min="65" style="0" width="17.4"/>
    <col collapsed="false" customWidth="true" hidden="false" max="1" min="1" style="0" width="9.933333333333334"/>
    <col collapsed="false" customWidth="true" hidden="false" max="18" min="18" style="0" width="9.8"/>
    <col collapsed="false" customWidth="true" hidden="false" max="33" min="33" style="0" width="11"/>
    <col collapsed="false" customWidth="true" hidden="false" max="49" min="49" style="0" width="17.4"/>
    <col collapsed="false" customWidth="true" hidden="false" max="66" min="66" style="0" width="17.4"/>
    <col collapsed="false" customWidth="true" hidden="false" max="2" min="2" style="0" width="12.466666666666667"/>
    <col collapsed="false" customWidth="true" hidden="false" max="34" min="34" style="0" width="10.466666666666667"/>
    <col collapsed="false" customWidth="true" hidden="false" max="50" min="50" style="0" width="17.4"/>
    <col collapsed="false" customWidth="true" hidden="false" max="15" min="15" style="0" width="11.266666666666667"/>
    <col collapsed="false" customWidth="true" hidden="false" max="31" min="31" style="0" width="9.8"/>
    <col collapsed="false" customWidth="true" hidden="false" max="47" min="47" style="0" width="17.4"/>
    <col collapsed="false" customWidth="true" hidden="false" max="63" min="63" style="0" width="17.4"/>
    <col collapsed="false" customWidth="true" hidden="false" max="16" min="16" style="0" width="9.4"/>
    <col collapsed="false" customWidth="true" hidden="false" max="32" min="32" style="0" width="12.333333333333334"/>
    <col collapsed="false" customWidth="true" hidden="false" max="48" min="48" style="0" width="17.4"/>
    <col collapsed="false" customWidth="true" hidden="false" max="64" min="64" style="0" width="17.4"/>
    <col collapsed="false" customWidth="true" hidden="false" max="13" min="13" style="0" width="14.733333333333333"/>
    <col collapsed="false" customWidth="true" hidden="false" max="29" min="29" style="0" width="10.733333333333333"/>
    <col collapsed="false" customWidth="true" hidden="false" max="45" min="45" style="0" width="17.4"/>
    <col collapsed="false" customWidth="true" hidden="false" max="61" min="61" style="0" width="17.4"/>
    <col collapsed="false" customWidth="true" hidden="false" max="14" min="14" style="0" width="10.866666666666667"/>
    <col collapsed="false" customWidth="true" hidden="false" max="30" min="30" style="0" width="13"/>
    <col collapsed="false" customWidth="true" hidden="false" max="46" min="46" style="0" width="17.4"/>
    <col collapsed="false" customWidth="true" hidden="false" max="62" min="62" style="0" width="17.4"/>
    <col collapsed="false" customWidth="true" hidden="false" max="11" min="11" style="0" width="15.933333333333334"/>
    <col collapsed="false" customWidth="true" hidden="false" max="27" min="27" style="0" width="11.266666666666667"/>
    <col collapsed="false" customWidth="true" hidden="false" max="43" min="43" style="0" width="17.4"/>
    <col collapsed="false" customWidth="true" hidden="false" max="59" min="59" style="0" width="17.4"/>
    <col collapsed="false" customWidth="true" hidden="false" max="12" min="12" style="0" width="13"/>
    <col collapsed="false" customWidth="true" hidden="false" max="28" min="28" style="0" width="11.4"/>
    <col collapsed="false" customWidth="true" hidden="false" max="44" min="44" style="0" width="17.4"/>
    <col collapsed="false" customWidth="true" hidden="false" max="60" min="60" style="0" width="17.4"/>
    <col collapsed="false" customWidth="true" hidden="false" max="9" min="9" style="0" width="12.333333333333334"/>
    <col collapsed="false" customWidth="true" hidden="false" max="25" min="25" style="0" width="9.8"/>
    <col collapsed="false" customWidth="true" hidden="false" max="41" min="41" style="0" width="17.4"/>
    <col collapsed="false" customWidth="true" hidden="false" max="57" min="57" style="0" width="17.4"/>
    <col collapsed="false" customWidth="true" hidden="false" max="10" min="10" style="0" width="12.333333333333334"/>
    <col collapsed="false" customWidth="true" hidden="false" max="26" min="26" style="0" width="10.333333333333334"/>
    <col collapsed="false" customWidth="true" hidden="false" max="42" min="42" style="0" width="17.4"/>
    <col collapsed="false" customWidth="true" hidden="false" max="58" min="58" style="0" width="17.4"/>
    <col collapsed="false" customWidth="true" hidden="false" max="71" min="71" style="0" width="17.4"/>
  </cols>
  <sheetData>
    <row customHeight="true" ht="52.59259259259259" r="1">
      <c r="A1" s="124" t="s">
        <v>287</v>
      </c>
      <c r="B1" s="125" t="s">
        <v>288</v>
      </c>
      <c r="C1" s="125" t="s">
        <v>289</v>
      </c>
      <c r="D1" s="124" t="s">
        <v>290</v>
      </c>
      <c r="E1" s="126" t="s">
        <v>291</v>
      </c>
      <c r="F1" s="127" t="s">
        <v>292</v>
      </c>
      <c r="G1" s="128" t="s">
        <v>293</v>
      </c>
      <c r="H1" s="128" t="s">
        <v>294</v>
      </c>
      <c r="I1" s="128" t="s">
        <v>295</v>
      </c>
      <c r="J1" s="129" t="s">
        <v>296</v>
      </c>
      <c r="K1" s="130" t="s">
        <v>297</v>
      </c>
      <c r="L1" s="131" t="s">
        <v>298</v>
      </c>
      <c r="M1" s="124" t="s">
        <v>299</v>
      </c>
      <c r="N1" s="132" t="s">
        <v>300</v>
      </c>
      <c r="O1" s="133" t="s">
        <v>301</v>
      </c>
      <c r="P1" s="127" t="s">
        <v>302</v>
      </c>
      <c r="Q1" s="134" t="s">
        <v>303</v>
      </c>
      <c r="R1" s="135" t="s">
        <v>304</v>
      </c>
      <c r="S1" s="135" t="s">
        <v>305</v>
      </c>
      <c r="T1" s="135" t="s">
        <v>306</v>
      </c>
      <c r="U1" s="136" t="s">
        <v>307</v>
      </c>
      <c r="V1" s="137" t="s">
        <v>308</v>
      </c>
      <c r="W1" s="137" t="s">
        <v>309</v>
      </c>
      <c r="X1" s="136" t="s">
        <v>310</v>
      </c>
      <c r="Y1" s="136" t="s">
        <v>311</v>
      </c>
      <c r="Z1" s="136" t="s">
        <v>312</v>
      </c>
      <c r="AA1" s="136" t="s">
        <v>313</v>
      </c>
      <c r="AB1" s="136" t="s">
        <v>314</v>
      </c>
      <c r="AC1" s="138" t="s">
        <v>315</v>
      </c>
      <c r="AD1" s="139" t="s">
        <v>316</v>
      </c>
      <c r="AE1" s="138" t="s">
        <v>317</v>
      </c>
      <c r="AF1" s="137" t="s">
        <v>318</v>
      </c>
      <c r="AG1" s="137" t="s">
        <v>319</v>
      </c>
      <c r="AH1" s="130" t="s">
        <v>320</v>
      </c>
      <c r="AI1" s="137" t="s">
        <v>321</v>
      </c>
      <c r="AJ1" s="137" t="s">
        <v>322</v>
      </c>
      <c r="AK1" s="137" t="s">
        <v>323</v>
      </c>
      <c r="AL1" s="137" t="s">
        <v>324</v>
      </c>
      <c r="AM1" s="137" t="s">
        <v>325</v>
      </c>
      <c r="AN1" s="137" t="s">
        <v>326</v>
      </c>
      <c r="AO1" s="137" t="s">
        <v>327</v>
      </c>
      <c r="AP1" s="137" t="s">
        <v>328</v>
      </c>
      <c r="AQ1" s="137" t="s">
        <v>329</v>
      </c>
      <c r="AR1" s="137" t="s">
        <v>330</v>
      </c>
      <c r="AS1" s="137" t="s">
        <v>331</v>
      </c>
      <c r="AT1" s="140" t="s">
        <v>332</v>
      </c>
      <c r="AU1" s="140" t="s">
        <v>333</v>
      </c>
      <c r="AV1" s="140" t="s">
        <v>334</v>
      </c>
      <c r="AW1" s="140" t="s">
        <v>323</v>
      </c>
      <c r="AX1" s="140" t="s">
        <v>324</v>
      </c>
      <c r="AY1" s="140" t="s">
        <v>325</v>
      </c>
      <c r="AZ1" s="137" t="s">
        <v>326</v>
      </c>
      <c r="BA1" s="137" t="s">
        <v>327</v>
      </c>
      <c r="BB1" s="137" t="s">
        <v>328</v>
      </c>
      <c r="BC1" s="137" t="s">
        <v>329</v>
      </c>
      <c r="BD1" s="137" t="s">
        <v>330</v>
      </c>
      <c r="BE1" s="137" t="s">
        <v>331</v>
      </c>
      <c r="BF1" s="140" t="s">
        <v>335</v>
      </c>
      <c r="BG1" s="140" t="s">
        <v>333</v>
      </c>
      <c r="BH1" s="140" t="s">
        <v>334</v>
      </c>
      <c r="BI1" s="140" t="s">
        <v>323</v>
      </c>
      <c r="BJ1" s="140" t="s">
        <v>324</v>
      </c>
      <c r="BK1" s="140" t="s">
        <v>325</v>
      </c>
      <c r="BL1" s="137" t="s">
        <v>326</v>
      </c>
      <c r="BM1" s="137" t="s">
        <v>327</v>
      </c>
      <c r="BN1" s="137" t="s">
        <v>328</v>
      </c>
      <c r="BO1" s="137" t="s">
        <v>329</v>
      </c>
      <c r="BP1" s="137" t="s">
        <v>330</v>
      </c>
      <c r="BQ1" s="137" t="s">
        <v>331</v>
      </c>
      <c r="BR1" s="140" t="s">
        <v>336</v>
      </c>
      <c r="BS1" s="141" t="s">
        <v>337</v>
      </c>
    </row>
    <row customHeight="true" ht="17.777777777777775" r="2">
      <c r="A2" s="142" t="s">
        <v>338</v>
      </c>
      <c r="B2" s="142" t="s">
        <v>339</v>
      </c>
      <c r="C2" s="142" t="s">
        <v>340</v>
      </c>
      <c r="D2" s="143" t="s">
        <v>341</v>
      </c>
      <c r="E2" s="144">
        <v>20.39</v>
      </c>
      <c r="F2" s="145">
        <v>29.99</v>
      </c>
      <c r="G2" s="146">
        <f t="shared" ref="G2:G25" si="126">(F2-Z2)</f>
      </c>
      <c r="H2" s="146">
        <f t="shared" ref="H2:H25" si="131">(F2-Z2)/1.2</f>
      </c>
      <c r="I2" s="146">
        <f t="shared" ref="I2:I25" si="21">E2-N2/Q2-AB2-Y2-O2-Z2-AA2</f>
      </c>
      <c r="J2" s="147">
        <f t="shared" ref="J2:J25" si="0">I2/E2</f>
      </c>
      <c r="K2" s="144">
        <f t="shared" ref="K2:K25" si="63">F2/1.2</f>
      </c>
      <c r="L2" s="148">
        <f t="shared" ref="L2:L25" si="39">(K2-E2)/K2</f>
      </c>
      <c r="M2" s="146">
        <f t="shared" ref="M2:M25" si="104">F2/1.2-E2</f>
      </c>
      <c r="N2" s="144">
        <f t="shared" ref="N2:N25" si="82">AD2+AH2</f>
      </c>
      <c r="O2" s="144">
        <f>IFERROR(IF(A2="UK",8.95/P2,IF(A2="DE",11.43/P2,IF(A2="FR",15.27/P2,IF(A2="IT",16.34/P2,IF(A2="ES",20.62/P2,IF(A2="NL",12/P2,IF(A2="PL",15.06/P2,IF(A2="SE",18.5/P2,IF(A2="BE",15.27/P2))))))))),0)</f>
      </c>
      <c r="P2" s="142">
        <v>54</v>
      </c>
      <c r="Q2" s="149">
        <v>9</v>
      </c>
      <c r="R2" s="150">
        <v>0.1</v>
      </c>
      <c r="S2" s="147">
        <f t="shared" ref="S2:S25" si="110">Y2/F2</f>
      </c>
      <c r="T2" s="151">
        <f t="shared" ref="T2:T25" si="29">Z2/E2</f>
      </c>
      <c r="U2" s="150">
        <v>0.01</v>
      </c>
      <c r="V2" s="150">
        <f t="shared" ref="V2:V25" si="6">N2/(E2*Q2)</f>
      </c>
      <c r="W2" s="150">
        <f t="shared" ref="W2:W25" si="45">O2/E2</f>
      </c>
      <c r="X2" s="152">
        <v>0.158</v>
      </c>
      <c r="Y2" s="153">
        <f t="shared" ref="Y2:Y5" si="35">E2*R2</f>
      </c>
      <c r="Z2" s="153">
        <f>F2*0.15</f>
      </c>
      <c r="AA2" s="153">
        <f t="shared" ref="AA2:AA25" si="69">E2*U2</f>
      </c>
      <c r="AB2" s="144">
        <f t="shared" ref="AB2:AB25" si="142">E2*X2</f>
      </c>
      <c r="AC2" s="144">
        <v>46</v>
      </c>
      <c r="AD2" s="154">
        <f t="shared" ref="AD2:AD25" si="117">AC2/1.13</f>
      </c>
      <c r="AE2" s="149">
        <f t="shared" ref="AE2:AE12" si="33">4.7/8.5</f>
      </c>
      <c r="AF2" s="150">
        <f t="shared" ref="AF2:AF25" si="12">AD2/(E2*Q2)</f>
      </c>
      <c r="AG2" s="150">
        <f t="shared" ref="AG2:AG25" si="51">AE2/Q2/E2</f>
      </c>
      <c r="AH2" s="149">
        <v>5</v>
      </c>
      <c r="AI2" s="150">
        <f t="shared" ref="AI2:AI5" si="37">(K2-E2+AB2)/(K2-Z2)</f>
      </c>
      <c r="AJ2" s="150"/>
      <c r="AK2" s="150"/>
      <c r="AL2" s="150"/>
      <c r="AM2" s="150"/>
      <c r="AN2" s="155"/>
      <c r="AO2" s="155"/>
      <c r="AP2" s="155"/>
      <c r="AQ2" s="155"/>
      <c r="AR2" s="155"/>
      <c r="AS2" s="155"/>
      <c r="AT2" s="155" t="s">
        <v>342</v>
      </c>
      <c r="AU2" s="155" t="s">
        <v>342</v>
      </c>
      <c r="AV2" s="155" t="s">
        <v>342</v>
      </c>
      <c r="AW2" s="155" t="s">
        <v>342</v>
      </c>
      <c r="AX2" s="155" t="s">
        <v>342</v>
      </c>
      <c r="AY2" s="155" t="s">
        <v>342</v>
      </c>
      <c r="AZ2" s="155" t="s">
        <v>342</v>
      </c>
      <c r="BA2" s="155" t="s">
        <v>342</v>
      </c>
      <c r="BB2" s="155" t="s">
        <v>342</v>
      </c>
      <c r="BC2" s="155" t="s">
        <v>342</v>
      </c>
      <c r="BD2" s="155" t="s">
        <v>342</v>
      </c>
      <c r="BE2" s="155" t="s">
        <v>342</v>
      </c>
      <c r="BF2" s="155" t="s">
        <v>342</v>
      </c>
      <c r="BG2" s="155" t="s">
        <v>342</v>
      </c>
      <c r="BH2" s="155" t="s">
        <v>342</v>
      </c>
      <c r="BI2" s="155" t="s">
        <v>342</v>
      </c>
      <c r="BJ2" s="155" t="s">
        <v>342</v>
      </c>
      <c r="BK2" s="155" t="s">
        <v>342</v>
      </c>
      <c r="BL2" s="155" t="s">
        <v>342</v>
      </c>
      <c r="BM2" s="155" t="s">
        <v>342</v>
      </c>
      <c r="BN2" s="155" t="s">
        <v>342</v>
      </c>
      <c r="BO2" s="155" t="s">
        <v>342</v>
      </c>
      <c r="BP2" s="155" t="s">
        <v>342</v>
      </c>
      <c r="BQ2" s="155" t="s">
        <v>342</v>
      </c>
      <c r="BR2" s="156">
        <f t="shared" ref="BR2:BR10" si="88">IF(#REF!&lt;E2,1,0)</f>
      </c>
      <c r="BS2" s="142" t="str">
        <v>#VALUE!</v>
      </c>
    </row>
    <row customHeight="true" ht="17.777777777777775" r="3">
      <c r="A3" s="142" t="s">
        <v>343</v>
      </c>
      <c r="B3" s="142" t="s">
        <v>339</v>
      </c>
      <c r="C3" s="142" t="s">
        <v>340</v>
      </c>
      <c r="D3" s="157" t="s">
        <v>344</v>
      </c>
      <c r="E3" s="144">
        <v>20.39</v>
      </c>
      <c r="F3" s="145">
        <v>29.99</v>
      </c>
      <c r="G3" s="146">
        <f t="shared" si="126"/>
      </c>
      <c r="H3" s="146">
        <f t="shared" si="131"/>
      </c>
      <c r="I3" s="146">
        <f t="shared" si="21"/>
      </c>
      <c r="J3" s="147">
        <f t="shared" si="0"/>
      </c>
      <c r="K3" s="144">
        <f t="shared" si="63"/>
      </c>
      <c r="L3" s="148">
        <f t="shared" si="39"/>
      </c>
      <c r="M3" s="146">
        <f t="shared" si="104"/>
      </c>
      <c r="N3" s="144">
        <f t="shared" si="82"/>
      </c>
      <c r="O3" s="144">
        <v>0.17</v>
      </c>
      <c r="P3" s="142">
        <v>54</v>
      </c>
      <c r="Q3" s="149">
        <v>9</v>
      </c>
      <c r="R3" s="150">
        <v>0.1</v>
      </c>
      <c r="S3" s="147">
        <f t="shared" si="110"/>
      </c>
      <c r="T3" s="151">
        <f t="shared" si="29"/>
      </c>
      <c r="U3" s="150">
        <v>0.01</v>
      </c>
      <c r="V3" s="150">
        <f t="shared" si="6"/>
      </c>
      <c r="W3" s="150">
        <f t="shared" si="45"/>
      </c>
      <c r="X3" s="152">
        <v>0.158</v>
      </c>
      <c r="Y3" s="153">
        <f t="shared" si="35"/>
      </c>
      <c r="Z3" s="153">
        <f>F3*0.32</f>
      </c>
      <c r="AA3" s="153">
        <f t="shared" si="69"/>
      </c>
      <c r="AB3" s="144">
        <f t="shared" si="142"/>
      </c>
      <c r="AC3" s="144">
        <v>46</v>
      </c>
      <c r="AD3" s="154">
        <f t="shared" si="117"/>
      </c>
      <c r="AE3" s="149">
        <f t="shared" si="33"/>
      </c>
      <c r="AF3" s="150">
        <f t="shared" si="12"/>
      </c>
      <c r="AG3" s="150">
        <f t="shared" si="51"/>
      </c>
      <c r="AH3" s="149">
        <v>5</v>
      </c>
      <c r="AI3" s="150">
        <f t="shared" si="37"/>
      </c>
      <c r="AJ3" s="150"/>
      <c r="AK3" s="150"/>
      <c r="AL3" s="150"/>
      <c r="AM3" s="150"/>
      <c r="AN3" s="155"/>
      <c r="AO3" s="155"/>
      <c r="AP3" s="155"/>
      <c r="AQ3" s="155"/>
      <c r="AR3" s="155"/>
      <c r="AS3" s="155"/>
      <c r="AT3" s="155" t="s">
        <v>342</v>
      </c>
      <c r="AU3" s="155" t="s">
        <v>342</v>
      </c>
      <c r="AV3" s="155" t="s">
        <v>342</v>
      </c>
      <c r="AW3" s="155" t="s">
        <v>342</v>
      </c>
      <c r="AX3" s="155" t="s">
        <v>342</v>
      </c>
      <c r="AY3" s="155" t="s">
        <v>342</v>
      </c>
      <c r="AZ3" s="155" t="s">
        <v>342</v>
      </c>
      <c r="BA3" s="155" t="s">
        <v>342</v>
      </c>
      <c r="BB3" s="155" t="s">
        <v>342</v>
      </c>
      <c r="BC3" s="155" t="s">
        <v>342</v>
      </c>
      <c r="BD3" s="155" t="s">
        <v>342</v>
      </c>
      <c r="BE3" s="155" t="s">
        <v>342</v>
      </c>
      <c r="BF3" s="155" t="s">
        <v>342</v>
      </c>
      <c r="BG3" s="155" t="s">
        <v>342</v>
      </c>
      <c r="BH3" s="155" t="s">
        <v>342</v>
      </c>
      <c r="BI3" s="155" t="s">
        <v>342</v>
      </c>
      <c r="BJ3" s="155" t="s">
        <v>342</v>
      </c>
      <c r="BK3" s="155" t="s">
        <v>342</v>
      </c>
      <c r="BL3" s="155" t="s">
        <v>342</v>
      </c>
      <c r="BM3" s="155" t="s">
        <v>342</v>
      </c>
      <c r="BN3" s="155" t="s">
        <v>342</v>
      </c>
      <c r="BO3" s="155" t="s">
        <v>342</v>
      </c>
      <c r="BP3" s="155" t="s">
        <v>342</v>
      </c>
      <c r="BQ3" s="155" t="s">
        <v>342</v>
      </c>
      <c r="BR3" s="156">
        <f t="shared" si="88"/>
      </c>
      <c r="BS3" s="142" t="str">
        <v>#VALUE!</v>
      </c>
    </row>
    <row customHeight="true" ht="17.777777777777775" r="4">
      <c r="A4" s="142" t="s">
        <v>338</v>
      </c>
      <c r="B4" s="142" t="s">
        <v>339</v>
      </c>
      <c r="C4" s="142" t="s">
        <v>340</v>
      </c>
      <c r="D4" s="143" t="s">
        <v>345</v>
      </c>
      <c r="E4" s="144">
        <v>16.99</v>
      </c>
      <c r="F4" s="145">
        <v>25.19</v>
      </c>
      <c r="G4" s="146">
        <f t="shared" si="126"/>
      </c>
      <c r="H4" s="146">
        <f t="shared" si="131"/>
      </c>
      <c r="I4" s="146">
        <f t="shared" si="21"/>
      </c>
      <c r="J4" s="147">
        <f t="shared" si="0"/>
      </c>
      <c r="K4" s="144">
        <f t="shared" si="63"/>
      </c>
      <c r="L4" s="148">
        <f t="shared" si="39"/>
      </c>
      <c r="M4" s="146">
        <f t="shared" si="104"/>
      </c>
      <c r="N4" s="144">
        <f t="shared" si="82"/>
      </c>
      <c r="O4" s="144">
        <f>IFERROR(IF(A4="UK",8.95/P4,IF(A4="DE",11.43/P4,IF(A4="FR",15.27/P4,IF(A4="IT",16.34/P4,IF(A4="ES",20.62/P4,IF(A4="NL",12/P4,IF(A4="PL",15.06/P4,IF(A4="SE",18.5/P4,IF(A4="BE",15.27/P4))))))))),0)</f>
      </c>
      <c r="P4" s="142">
        <v>54</v>
      </c>
      <c r="Q4" s="149">
        <v>9</v>
      </c>
      <c r="R4" s="150">
        <v>0.1</v>
      </c>
      <c r="S4" s="147">
        <f t="shared" si="110"/>
      </c>
      <c r="T4" s="151">
        <f t="shared" si="29"/>
      </c>
      <c r="U4" s="150">
        <v>0.01</v>
      </c>
      <c r="V4" s="150">
        <f t="shared" si="6"/>
      </c>
      <c r="W4" s="150">
        <f t="shared" si="45"/>
      </c>
      <c r="X4" s="152">
        <v>0.158</v>
      </c>
      <c r="Y4" s="153">
        <f t="shared" si="35"/>
      </c>
      <c r="Z4" s="153">
        <v>0</v>
      </c>
      <c r="AA4" s="153">
        <f t="shared" si="69"/>
      </c>
      <c r="AB4" s="144">
        <f t="shared" si="142"/>
      </c>
      <c r="AC4" s="144">
        <v>46</v>
      </c>
      <c r="AD4" s="154">
        <f t="shared" si="117"/>
      </c>
      <c r="AE4" s="149">
        <f t="shared" si="33"/>
      </c>
      <c r="AF4" s="150">
        <f t="shared" si="12"/>
      </c>
      <c r="AG4" s="150">
        <f t="shared" si="51"/>
      </c>
      <c r="AH4" s="149">
        <v>5</v>
      </c>
      <c r="AI4" s="150">
        <f t="shared" si="37"/>
      </c>
      <c r="AJ4" s="150"/>
      <c r="AK4" s="150"/>
      <c r="AL4" s="150"/>
      <c r="AM4" s="150"/>
      <c r="AN4" s="155"/>
      <c r="AO4" s="155"/>
      <c r="AP4" s="155"/>
      <c r="AQ4" s="155"/>
      <c r="AR4" s="155"/>
      <c r="AS4" s="155"/>
      <c r="AT4" s="155" t="s">
        <v>342</v>
      </c>
      <c r="AU4" s="155" t="s">
        <v>342</v>
      </c>
      <c r="AV4" s="155" t="s">
        <v>342</v>
      </c>
      <c r="AW4" s="155" t="s">
        <v>342</v>
      </c>
      <c r="AX4" s="155" t="s">
        <v>342</v>
      </c>
      <c r="AY4" s="155" t="s">
        <v>342</v>
      </c>
      <c r="AZ4" s="155" t="s">
        <v>342</v>
      </c>
      <c r="BA4" s="155" t="s">
        <v>342</v>
      </c>
      <c r="BB4" s="155" t="s">
        <v>342</v>
      </c>
      <c r="BC4" s="155" t="s">
        <v>342</v>
      </c>
      <c r="BD4" s="155" t="s">
        <v>342</v>
      </c>
      <c r="BE4" s="155" t="s">
        <v>342</v>
      </c>
      <c r="BF4" s="155" t="s">
        <v>342</v>
      </c>
      <c r="BG4" s="155" t="s">
        <v>342</v>
      </c>
      <c r="BH4" s="155" t="s">
        <v>342</v>
      </c>
      <c r="BI4" s="155" t="s">
        <v>342</v>
      </c>
      <c r="BJ4" s="155" t="s">
        <v>342</v>
      </c>
      <c r="BK4" s="155" t="s">
        <v>342</v>
      </c>
      <c r="BL4" s="155" t="s">
        <v>342</v>
      </c>
      <c r="BM4" s="155" t="s">
        <v>342</v>
      </c>
      <c r="BN4" s="155" t="s">
        <v>342</v>
      </c>
      <c r="BO4" s="155" t="s">
        <v>342</v>
      </c>
      <c r="BP4" s="155" t="s">
        <v>342</v>
      </c>
      <c r="BQ4" s="155" t="s">
        <v>342</v>
      </c>
      <c r="BR4" s="156">
        <f t="shared" si="88"/>
      </c>
      <c r="BS4" s="142" t="str">
        <v>#VALUE!</v>
      </c>
    </row>
    <row customHeight="true" ht="17.777777777777775" r="5">
      <c r="A5" s="142" t="s">
        <v>343</v>
      </c>
      <c r="B5" s="142" t="s">
        <v>339</v>
      </c>
      <c r="C5" s="142" t="s">
        <v>340</v>
      </c>
      <c r="D5" s="157" t="s">
        <v>344</v>
      </c>
      <c r="E5" s="144">
        <v>17.3</v>
      </c>
      <c r="F5" s="145">
        <v>25.49</v>
      </c>
      <c r="G5" s="146">
        <f t="shared" si="126"/>
      </c>
      <c r="H5" s="146">
        <f t="shared" si="131"/>
      </c>
      <c r="I5" s="146">
        <f t="shared" si="21"/>
      </c>
      <c r="J5" s="147">
        <f t="shared" si="0"/>
      </c>
      <c r="K5" s="144">
        <f t="shared" si="63"/>
      </c>
      <c r="L5" s="148">
        <f t="shared" si="39"/>
      </c>
      <c r="M5" s="146">
        <f t="shared" si="104"/>
      </c>
      <c r="N5" s="144">
        <f t="shared" si="82"/>
      </c>
      <c r="O5" s="144">
        <v>0.17</v>
      </c>
      <c r="P5" s="142">
        <v>54</v>
      </c>
      <c r="Q5" s="149">
        <v>9</v>
      </c>
      <c r="R5" s="150">
        <v>0.1</v>
      </c>
      <c r="S5" s="147">
        <f t="shared" si="110"/>
      </c>
      <c r="T5" s="151">
        <f t="shared" si="29"/>
      </c>
      <c r="U5" s="150">
        <v>0.01</v>
      </c>
      <c r="V5" s="150">
        <f t="shared" si="6"/>
      </c>
      <c r="W5" s="150">
        <f t="shared" si="45"/>
      </c>
      <c r="X5" s="152">
        <v>0.158</v>
      </c>
      <c r="Y5" s="153">
        <f t="shared" si="35"/>
      </c>
      <c r="Z5" s="153">
        <f>F5*0.2</f>
      </c>
      <c r="AA5" s="153">
        <f t="shared" si="69"/>
      </c>
      <c r="AB5" s="144">
        <f t="shared" si="142"/>
      </c>
      <c r="AC5" s="144">
        <v>46</v>
      </c>
      <c r="AD5" s="154">
        <f t="shared" si="117"/>
      </c>
      <c r="AE5" s="149">
        <f t="shared" si="33"/>
      </c>
      <c r="AF5" s="150">
        <f t="shared" si="12"/>
      </c>
      <c r="AG5" s="150">
        <f t="shared" si="51"/>
      </c>
      <c r="AH5" s="149">
        <v>5</v>
      </c>
      <c r="AI5" s="150">
        <f t="shared" si="37"/>
      </c>
      <c r="AJ5" s="150"/>
      <c r="AK5" s="150"/>
      <c r="AL5" s="150"/>
      <c r="AM5" s="150"/>
      <c r="AN5" s="155"/>
      <c r="AO5" s="155"/>
      <c r="AP5" s="155"/>
      <c r="AQ5" s="155"/>
      <c r="AR5" s="155"/>
      <c r="AS5" s="155"/>
      <c r="AT5" s="155" t="s">
        <v>342</v>
      </c>
      <c r="AU5" s="155" t="s">
        <v>342</v>
      </c>
      <c r="AV5" s="155" t="s">
        <v>342</v>
      </c>
      <c r="AW5" s="155" t="s">
        <v>342</v>
      </c>
      <c r="AX5" s="155" t="s">
        <v>342</v>
      </c>
      <c r="AY5" s="155" t="s">
        <v>342</v>
      </c>
      <c r="AZ5" s="155" t="s">
        <v>342</v>
      </c>
      <c r="BA5" s="155" t="s">
        <v>342</v>
      </c>
      <c r="BB5" s="155" t="s">
        <v>342</v>
      </c>
      <c r="BC5" s="155" t="s">
        <v>342</v>
      </c>
      <c r="BD5" s="155" t="s">
        <v>342</v>
      </c>
      <c r="BE5" s="155" t="s">
        <v>342</v>
      </c>
      <c r="BF5" s="155" t="s">
        <v>342</v>
      </c>
      <c r="BG5" s="155" t="s">
        <v>342</v>
      </c>
      <c r="BH5" s="155" t="s">
        <v>342</v>
      </c>
      <c r="BI5" s="155" t="s">
        <v>342</v>
      </c>
      <c r="BJ5" s="155" t="s">
        <v>342</v>
      </c>
      <c r="BK5" s="155" t="s">
        <v>342</v>
      </c>
      <c r="BL5" s="155" t="s">
        <v>342</v>
      </c>
      <c r="BM5" s="155" t="s">
        <v>342</v>
      </c>
      <c r="BN5" s="155" t="s">
        <v>342</v>
      </c>
      <c r="BO5" s="155" t="s">
        <v>342</v>
      </c>
      <c r="BP5" s="155" t="s">
        <v>342</v>
      </c>
      <c r="BQ5" s="155" t="s">
        <v>342</v>
      </c>
      <c r="BR5" s="156">
        <f t="shared" si="88"/>
      </c>
      <c r="BS5" s="142" t="str">
        <v>#VALUE!</v>
      </c>
    </row>
    <row customHeight="true" ht="17.777777777777775" r="6">
      <c r="A6" s="158" t="s">
        <v>338</v>
      </c>
      <c r="B6" s="158" t="s">
        <v>339</v>
      </c>
      <c r="C6" s="158" t="s">
        <v>340</v>
      </c>
      <c r="D6" s="159" t="s">
        <v>346</v>
      </c>
      <c r="E6" s="160">
        <v>19.25</v>
      </c>
      <c r="F6" s="161">
        <v>27.99</v>
      </c>
      <c r="G6" s="162">
        <f t="shared" si="126"/>
      </c>
      <c r="H6" s="146">
        <f t="shared" si="131"/>
      </c>
      <c r="I6" s="163">
        <f t="shared" si="21"/>
      </c>
      <c r="J6" s="164">
        <f t="shared" si="0"/>
      </c>
      <c r="K6" s="160">
        <f t="shared" si="63"/>
      </c>
      <c r="L6" s="165">
        <f t="shared" si="39"/>
      </c>
      <c r="M6" s="163">
        <f t="shared" si="104"/>
      </c>
      <c r="N6" s="160">
        <f t="shared" si="82"/>
      </c>
      <c r="O6" s="160">
        <f t="shared" ref="O6:O7" si="136">IFERROR(IF(A6="UK",8.95/P6,IF(A6="DE",11.43/P6,IF(A6="FR",15.27/P6,IF(A6="IT",16.34/P6,IF(A6="ES",20.62/P6,IF(A6="NL",12/P6,IF(A6="PL",15.06/P6,IF(A6="SE",18.5/P6,IF(A6="BE",15.27/P6))))))))),0)</f>
      </c>
      <c r="P6" s="158">
        <v>54</v>
      </c>
      <c r="Q6" s="149">
        <v>9</v>
      </c>
      <c r="R6" s="166">
        <v>0.2</v>
      </c>
      <c r="S6" s="164">
        <f t="shared" si="110"/>
      </c>
      <c r="T6" s="166">
        <f t="shared" si="29"/>
      </c>
      <c r="U6" s="166">
        <v>0.01</v>
      </c>
      <c r="V6" s="166">
        <f t="shared" si="6"/>
      </c>
      <c r="W6" s="166">
        <f t="shared" si="45"/>
      </c>
      <c r="X6" s="165">
        <v>0.158</v>
      </c>
      <c r="Y6" s="167">
        <v>3</v>
      </c>
      <c r="Z6" s="167">
        <f>F6*0.18</f>
      </c>
      <c r="AA6" s="167">
        <f t="shared" si="69"/>
      </c>
      <c r="AB6" s="160">
        <f t="shared" si="142"/>
      </c>
      <c r="AC6" s="160">
        <v>46</v>
      </c>
      <c r="AD6" s="168">
        <f t="shared" si="117"/>
      </c>
      <c r="AE6" s="169">
        <f t="shared" si="33"/>
      </c>
      <c r="AF6" s="166">
        <f t="shared" si="12"/>
      </c>
      <c r="AG6" s="166">
        <f t="shared" si="51"/>
      </c>
      <c r="AH6" s="149">
        <v>5</v>
      </c>
      <c r="AI6" s="150">
        <f t="shared" ref="AI6:AI8" si="34">(H6-E6+AB6)/H6</f>
      </c>
      <c r="AJ6" s="166"/>
      <c r="AK6" s="166"/>
      <c r="AL6" s="166"/>
      <c r="AM6" s="166"/>
      <c r="AN6" s="170"/>
      <c r="AO6" s="170"/>
      <c r="AP6" s="170"/>
      <c r="AQ6" s="170"/>
      <c r="AR6" s="170"/>
      <c r="AS6" s="170"/>
      <c r="AT6" s="170" t="s">
        <v>342</v>
      </c>
      <c r="AU6" s="170" t="s">
        <v>342</v>
      </c>
      <c r="AV6" s="170" t="s">
        <v>342</v>
      </c>
      <c r="AW6" s="170" t="s">
        <v>342</v>
      </c>
      <c r="AX6" s="170" t="s">
        <v>342</v>
      </c>
      <c r="AY6" s="170" t="s">
        <v>342</v>
      </c>
      <c r="AZ6" s="170" t="s">
        <v>342</v>
      </c>
      <c r="BA6" s="170" t="s">
        <v>342</v>
      </c>
      <c r="BB6" s="170" t="s">
        <v>342</v>
      </c>
      <c r="BC6" s="170" t="s">
        <v>342</v>
      </c>
      <c r="BD6" s="170" t="s">
        <v>342</v>
      </c>
      <c r="BE6" s="170" t="s">
        <v>342</v>
      </c>
      <c r="BF6" s="170" t="s">
        <v>342</v>
      </c>
      <c r="BG6" s="170" t="s">
        <v>342</v>
      </c>
      <c r="BH6" s="170" t="s">
        <v>342</v>
      </c>
      <c r="BI6" s="170" t="s">
        <v>342</v>
      </c>
      <c r="BJ6" s="170" t="s">
        <v>342</v>
      </c>
      <c r="BK6" s="170" t="s">
        <v>342</v>
      </c>
      <c r="BL6" s="170" t="s">
        <v>342</v>
      </c>
      <c r="BM6" s="170" t="s">
        <v>342</v>
      </c>
      <c r="BN6" s="170" t="s">
        <v>342</v>
      </c>
      <c r="BO6" s="170" t="s">
        <v>342</v>
      </c>
      <c r="BP6" s="170" t="s">
        <v>342</v>
      </c>
      <c r="BQ6" s="170" t="s">
        <v>342</v>
      </c>
      <c r="BR6" s="171">
        <f t="shared" si="88"/>
      </c>
      <c r="BS6" s="158" t="str">
        <v>#VALUE!</v>
      </c>
    </row>
    <row customHeight="true" ht="17.777777777777775" r="7">
      <c r="A7" s="158" t="s">
        <v>338</v>
      </c>
      <c r="B7" s="158" t="s">
        <v>339</v>
      </c>
      <c r="C7" s="158" t="s">
        <v>340</v>
      </c>
      <c r="D7" s="159" t="s">
        <v>341</v>
      </c>
      <c r="E7" s="160">
        <v>19.25</v>
      </c>
      <c r="F7" s="161">
        <v>27.99</v>
      </c>
      <c r="G7" s="146">
        <f t="shared" si="126"/>
      </c>
      <c r="H7" s="146">
        <f t="shared" si="131"/>
      </c>
      <c r="I7" s="163">
        <f t="shared" si="21"/>
      </c>
      <c r="J7" s="164">
        <f t="shared" si="0"/>
      </c>
      <c r="K7" s="160">
        <f t="shared" si="63"/>
      </c>
      <c r="L7" s="165">
        <f t="shared" si="39"/>
      </c>
      <c r="M7" s="163">
        <f t="shared" si="104"/>
      </c>
      <c r="N7" s="160">
        <f t="shared" si="82"/>
      </c>
      <c r="O7" s="160">
        <f t="shared" si="136"/>
      </c>
      <c r="P7" s="158">
        <v>54</v>
      </c>
      <c r="Q7" s="149">
        <v>9</v>
      </c>
      <c r="R7" s="166">
        <v>0.2</v>
      </c>
      <c r="S7" s="164">
        <f t="shared" si="110"/>
      </c>
      <c r="T7" s="166">
        <f t="shared" si="29"/>
      </c>
      <c r="U7" s="166">
        <v>0.01</v>
      </c>
      <c r="V7" s="166">
        <f t="shared" si="6"/>
      </c>
      <c r="W7" s="166">
        <f t="shared" si="45"/>
      </c>
      <c r="X7" s="165">
        <v>0.158</v>
      </c>
      <c r="Y7" s="167">
        <v>3</v>
      </c>
      <c r="Z7" s="167">
        <f>F7*0.22</f>
      </c>
      <c r="AA7" s="167">
        <f t="shared" si="69"/>
      </c>
      <c r="AB7" s="160">
        <f t="shared" si="142"/>
      </c>
      <c r="AC7" s="160">
        <v>46</v>
      </c>
      <c r="AD7" s="168">
        <f t="shared" si="117"/>
      </c>
      <c r="AE7" s="169">
        <f t="shared" si="33"/>
      </c>
      <c r="AF7" s="166">
        <f t="shared" si="12"/>
      </c>
      <c r="AG7" s="166">
        <f t="shared" si="51"/>
      </c>
      <c r="AH7" s="149">
        <v>5</v>
      </c>
      <c r="AI7" s="150">
        <f t="shared" si="34"/>
      </c>
      <c r="AJ7" s="166"/>
      <c r="AK7" s="166"/>
      <c r="AL7" s="166"/>
      <c r="AM7" s="166"/>
      <c r="AN7" s="170"/>
      <c r="AO7" s="170"/>
      <c r="AP7" s="170"/>
      <c r="AQ7" s="170"/>
      <c r="AR7" s="170"/>
      <c r="AS7" s="170"/>
      <c r="AT7" s="170" t="s">
        <v>342</v>
      </c>
      <c r="AU7" s="170" t="s">
        <v>342</v>
      </c>
      <c r="AV7" s="170" t="s">
        <v>342</v>
      </c>
      <c r="AW7" s="170" t="s">
        <v>342</v>
      </c>
      <c r="AX7" s="170" t="s">
        <v>342</v>
      </c>
      <c r="AY7" s="170" t="s">
        <v>342</v>
      </c>
      <c r="AZ7" s="170" t="s">
        <v>342</v>
      </c>
      <c r="BA7" s="170" t="s">
        <v>342</v>
      </c>
      <c r="BB7" s="170" t="s">
        <v>342</v>
      </c>
      <c r="BC7" s="170" t="s">
        <v>342</v>
      </c>
      <c r="BD7" s="170" t="s">
        <v>342</v>
      </c>
      <c r="BE7" s="170" t="s">
        <v>342</v>
      </c>
      <c r="BF7" s="170" t="s">
        <v>342</v>
      </c>
      <c r="BG7" s="170" t="s">
        <v>342</v>
      </c>
      <c r="BH7" s="170" t="s">
        <v>342</v>
      </c>
      <c r="BI7" s="170" t="s">
        <v>342</v>
      </c>
      <c r="BJ7" s="170" t="s">
        <v>342</v>
      </c>
      <c r="BK7" s="170" t="s">
        <v>342</v>
      </c>
      <c r="BL7" s="170" t="s">
        <v>342</v>
      </c>
      <c r="BM7" s="170" t="s">
        <v>342</v>
      </c>
      <c r="BN7" s="170" t="s">
        <v>342</v>
      </c>
      <c r="BO7" s="170" t="s">
        <v>342</v>
      </c>
      <c r="BP7" s="170" t="s">
        <v>342</v>
      </c>
      <c r="BQ7" s="170" t="s">
        <v>342</v>
      </c>
      <c r="BR7" s="171">
        <f t="shared" si="88"/>
      </c>
      <c r="BS7" s="158" t="str">
        <v>#VALUE!</v>
      </c>
    </row>
    <row customHeight="true" ht="17.777777777777775" r="8">
      <c r="A8" s="158" t="s">
        <v>343</v>
      </c>
      <c r="B8" s="158" t="s">
        <v>339</v>
      </c>
      <c r="C8" s="158" t="s">
        <v>340</v>
      </c>
      <c r="D8" s="172" t="s">
        <v>344</v>
      </c>
      <c r="E8" s="160">
        <v>19.25</v>
      </c>
      <c r="F8" s="161">
        <v>27.99</v>
      </c>
      <c r="G8" s="146">
        <f t="shared" si="126"/>
      </c>
      <c r="H8" s="146">
        <f t="shared" si="131"/>
      </c>
      <c r="I8" s="163">
        <f t="shared" si="21"/>
      </c>
      <c r="J8" s="164">
        <f t="shared" si="0"/>
      </c>
      <c r="K8" s="160">
        <f t="shared" si="63"/>
      </c>
      <c r="L8" s="165">
        <f t="shared" si="39"/>
      </c>
      <c r="M8" s="163">
        <f t="shared" si="104"/>
      </c>
      <c r="N8" s="160">
        <f t="shared" si="82"/>
      </c>
      <c r="O8" s="160">
        <v>0.17</v>
      </c>
      <c r="P8" s="158">
        <v>54</v>
      </c>
      <c r="Q8" s="149">
        <v>9</v>
      </c>
      <c r="R8" s="166">
        <v>0.2</v>
      </c>
      <c r="S8" s="164">
        <f t="shared" si="110"/>
      </c>
      <c r="T8" s="166">
        <f t="shared" si="29"/>
      </c>
      <c r="U8" s="166">
        <v>0.01</v>
      </c>
      <c r="V8" s="166">
        <f t="shared" si="6"/>
      </c>
      <c r="W8" s="166">
        <f t="shared" si="45"/>
      </c>
      <c r="X8" s="165">
        <v>0.158</v>
      </c>
      <c r="Y8" s="167">
        <v>3</v>
      </c>
      <c r="Z8" s="167">
        <v>4.2</v>
      </c>
      <c r="AA8" s="167">
        <f t="shared" si="69"/>
      </c>
      <c r="AB8" s="160">
        <f t="shared" si="142"/>
      </c>
      <c r="AC8" s="160">
        <v>46</v>
      </c>
      <c r="AD8" s="168">
        <f t="shared" si="117"/>
      </c>
      <c r="AE8" s="169">
        <f t="shared" si="33"/>
      </c>
      <c r="AF8" s="166">
        <f t="shared" si="12"/>
      </c>
      <c r="AG8" s="166">
        <f t="shared" si="51"/>
      </c>
      <c r="AH8" s="149">
        <v>5</v>
      </c>
      <c r="AI8" s="150">
        <f t="shared" si="34"/>
      </c>
      <c r="AJ8" s="166"/>
      <c r="AK8" s="166"/>
      <c r="AL8" s="166"/>
      <c r="AM8" s="166"/>
      <c r="AN8" s="170"/>
      <c r="AO8" s="170"/>
      <c r="AP8" s="170"/>
      <c r="AQ8" s="170"/>
      <c r="AR8" s="170"/>
      <c r="AS8" s="170"/>
      <c r="AT8" s="170" t="s">
        <v>342</v>
      </c>
      <c r="AU8" s="170" t="s">
        <v>342</v>
      </c>
      <c r="AV8" s="170" t="s">
        <v>342</v>
      </c>
      <c r="AW8" s="170" t="s">
        <v>342</v>
      </c>
      <c r="AX8" s="170" t="s">
        <v>342</v>
      </c>
      <c r="AY8" s="170" t="s">
        <v>342</v>
      </c>
      <c r="AZ8" s="170" t="s">
        <v>342</v>
      </c>
      <c r="BA8" s="170" t="s">
        <v>342</v>
      </c>
      <c r="BB8" s="170" t="s">
        <v>342</v>
      </c>
      <c r="BC8" s="170" t="s">
        <v>342</v>
      </c>
      <c r="BD8" s="170" t="s">
        <v>342</v>
      </c>
      <c r="BE8" s="170" t="s">
        <v>342</v>
      </c>
      <c r="BF8" s="170" t="s">
        <v>342</v>
      </c>
      <c r="BG8" s="170" t="s">
        <v>342</v>
      </c>
      <c r="BH8" s="170" t="s">
        <v>342</v>
      </c>
      <c r="BI8" s="170" t="s">
        <v>342</v>
      </c>
      <c r="BJ8" s="170" t="s">
        <v>342</v>
      </c>
      <c r="BK8" s="170" t="s">
        <v>342</v>
      </c>
      <c r="BL8" s="170" t="s">
        <v>342</v>
      </c>
      <c r="BM8" s="170" t="s">
        <v>342</v>
      </c>
      <c r="BN8" s="170" t="s">
        <v>342</v>
      </c>
      <c r="BO8" s="170" t="s">
        <v>342</v>
      </c>
      <c r="BP8" s="170" t="s">
        <v>342</v>
      </c>
      <c r="BQ8" s="170" t="s">
        <v>342</v>
      </c>
      <c r="BR8" s="171">
        <f t="shared" si="88"/>
      </c>
      <c r="BS8" s="158" t="str">
        <v>#VALUE!</v>
      </c>
    </row>
    <row customHeight="true" ht="17.777777777777775" r="9">
      <c r="A9" s="142" t="s">
        <v>338</v>
      </c>
      <c r="B9" s="142" t="s">
        <v>339</v>
      </c>
      <c r="C9" s="142" t="s">
        <v>340</v>
      </c>
      <c r="D9" s="159" t="s">
        <v>347</v>
      </c>
      <c r="E9" s="144">
        <v>17.6</v>
      </c>
      <c r="F9" s="173">
        <v>25.49</v>
      </c>
      <c r="G9" s="146">
        <f t="shared" si="126"/>
      </c>
      <c r="H9" s="146">
        <f t="shared" si="131"/>
      </c>
      <c r="I9" s="146">
        <f t="shared" si="21"/>
      </c>
      <c r="J9" s="147">
        <f t="shared" si="0"/>
      </c>
      <c r="K9" s="144">
        <f t="shared" si="63"/>
      </c>
      <c r="L9" s="148">
        <f t="shared" si="39"/>
      </c>
      <c r="M9" s="146">
        <f t="shared" si="104"/>
      </c>
      <c r="N9" s="144">
        <f t="shared" si="82"/>
      </c>
      <c r="O9" s="144">
        <f t="shared" ref="O9:O10" si="137">IFERROR(IF(A9="UK",8.95/P9,IF(A9="DE",11.43/P9,IF(A9="FR",15.27/P9,IF(A9="IT",16.34/P9,IF(A9="ES",20.62/P9,IF(A9="NL",12/P9,IF(A9="PL",15.06/P9,IF(A9="SE",18.5/P9,IF(A9="BE",15.27/P9))))))))),0)</f>
      </c>
      <c r="P9" s="142">
        <v>54</v>
      </c>
      <c r="Q9" s="149">
        <v>9</v>
      </c>
      <c r="R9" s="150">
        <f t="shared" ref="R9:R25" si="57">Y9/E9</f>
      </c>
      <c r="S9" s="147">
        <f t="shared" si="110"/>
      </c>
      <c r="T9" s="151">
        <f t="shared" si="29"/>
      </c>
      <c r="U9" s="150">
        <v>0.01</v>
      </c>
      <c r="V9" s="150">
        <f t="shared" si="6"/>
      </c>
      <c r="W9" s="150">
        <f t="shared" si="45"/>
      </c>
      <c r="X9" s="152">
        <v>0.158</v>
      </c>
      <c r="Y9" s="167">
        <v>3</v>
      </c>
      <c r="Z9" s="153">
        <v>0</v>
      </c>
      <c r="AA9" s="153">
        <f t="shared" si="69"/>
      </c>
      <c r="AB9" s="144">
        <f t="shared" si="142"/>
      </c>
      <c r="AC9" s="144">
        <v>46</v>
      </c>
      <c r="AD9" s="154">
        <f t="shared" si="117"/>
      </c>
      <c r="AE9" s="149">
        <f t="shared" si="33"/>
      </c>
      <c r="AF9" s="150">
        <f t="shared" si="12"/>
      </c>
      <c r="AG9" s="150">
        <f t="shared" si="51"/>
      </c>
      <c r="AH9" s="149">
        <v>5</v>
      </c>
      <c r="AI9" s="150">
        <f t="shared" ref="AI9:AI12" si="38">(K9-E9+AB9)/(K9-Z9)</f>
      </c>
      <c r="AJ9" s="150"/>
      <c r="AK9" s="150"/>
      <c r="AL9" s="150"/>
      <c r="AM9" s="150"/>
      <c r="AN9" s="155"/>
      <c r="AO9" s="155"/>
      <c r="AP9" s="155"/>
      <c r="AQ9" s="155"/>
      <c r="AR9" s="155"/>
      <c r="AS9" s="155"/>
      <c r="AT9" s="155" t="s">
        <v>342</v>
      </c>
      <c r="AU9" s="155" t="s">
        <v>342</v>
      </c>
      <c r="AV9" s="155" t="s">
        <v>342</v>
      </c>
      <c r="AW9" s="155" t="s">
        <v>342</v>
      </c>
      <c r="AX9" s="155" t="s">
        <v>342</v>
      </c>
      <c r="AY9" s="155" t="s">
        <v>342</v>
      </c>
      <c r="AZ9" s="155" t="s">
        <v>342</v>
      </c>
      <c r="BA9" s="155" t="s">
        <v>342</v>
      </c>
      <c r="BB9" s="155" t="s">
        <v>342</v>
      </c>
      <c r="BC9" s="155" t="s">
        <v>342</v>
      </c>
      <c r="BD9" s="155" t="s">
        <v>342</v>
      </c>
      <c r="BE9" s="155" t="s">
        <v>342</v>
      </c>
      <c r="BF9" s="155" t="s">
        <v>342</v>
      </c>
      <c r="BG9" s="155" t="s">
        <v>342</v>
      </c>
      <c r="BH9" s="155" t="s">
        <v>342</v>
      </c>
      <c r="BI9" s="155" t="s">
        <v>342</v>
      </c>
      <c r="BJ9" s="155" t="s">
        <v>342</v>
      </c>
      <c r="BK9" s="155" t="s">
        <v>342</v>
      </c>
      <c r="BL9" s="155" t="s">
        <v>342</v>
      </c>
      <c r="BM9" s="155" t="s">
        <v>342</v>
      </c>
      <c r="BN9" s="155" t="s">
        <v>342</v>
      </c>
      <c r="BO9" s="155" t="s">
        <v>342</v>
      </c>
      <c r="BP9" s="155" t="s">
        <v>342</v>
      </c>
      <c r="BQ9" s="155" t="s">
        <v>342</v>
      </c>
      <c r="BR9" s="156">
        <f t="shared" si="88"/>
      </c>
      <c r="BS9" s="142" t="str">
        <v>#VALUE!</v>
      </c>
    </row>
    <row customHeight="true" ht="17.777777777777775" r="10">
      <c r="A10" s="142" t="s">
        <v>338</v>
      </c>
      <c r="B10" s="142" t="s">
        <v>339</v>
      </c>
      <c r="C10" s="142" t="s">
        <v>340</v>
      </c>
      <c r="D10" s="159" t="s">
        <v>348</v>
      </c>
      <c r="E10" s="144">
        <v>17.6</v>
      </c>
      <c r="F10" s="173">
        <v>25.49</v>
      </c>
      <c r="G10" s="162">
        <f t="shared" si="126"/>
      </c>
      <c r="H10" s="146">
        <f t="shared" si="131"/>
      </c>
      <c r="I10" s="146">
        <f t="shared" si="21"/>
      </c>
      <c r="J10" s="147">
        <f t="shared" si="0"/>
      </c>
      <c r="K10" s="144">
        <f t="shared" si="63"/>
      </c>
      <c r="L10" s="148">
        <f t="shared" si="39"/>
      </c>
      <c r="M10" s="146">
        <f t="shared" si="104"/>
      </c>
      <c r="N10" s="144">
        <f t="shared" si="82"/>
      </c>
      <c r="O10" s="144">
        <f t="shared" si="137"/>
      </c>
      <c r="P10" s="142">
        <v>54</v>
      </c>
      <c r="Q10" s="149">
        <v>9</v>
      </c>
      <c r="R10" s="150">
        <f t="shared" si="57"/>
      </c>
      <c r="S10" s="147">
        <f t="shared" si="110"/>
      </c>
      <c r="T10" s="151">
        <f t="shared" si="29"/>
      </c>
      <c r="U10" s="150">
        <v>0.01</v>
      </c>
      <c r="V10" s="150">
        <f t="shared" si="6"/>
      </c>
      <c r="W10" s="150">
        <f t="shared" si="45"/>
      </c>
      <c r="X10" s="152">
        <v>0.158</v>
      </c>
      <c r="Y10" s="167">
        <v>3</v>
      </c>
      <c r="Z10" s="153">
        <f>F10*0.1</f>
      </c>
      <c r="AA10" s="153">
        <f t="shared" si="69"/>
      </c>
      <c r="AB10" s="144">
        <f t="shared" si="142"/>
      </c>
      <c r="AC10" s="144">
        <v>46</v>
      </c>
      <c r="AD10" s="154">
        <f t="shared" si="117"/>
      </c>
      <c r="AE10" s="149">
        <f t="shared" si="33"/>
      </c>
      <c r="AF10" s="150">
        <f t="shared" si="12"/>
      </c>
      <c r="AG10" s="150">
        <f t="shared" si="51"/>
      </c>
      <c r="AH10" s="149">
        <v>5</v>
      </c>
      <c r="AI10" s="150">
        <f t="shared" si="38"/>
      </c>
      <c r="AJ10" s="150"/>
      <c r="AK10" s="150"/>
      <c r="AL10" s="150"/>
      <c r="AM10" s="150"/>
      <c r="AN10" s="155"/>
      <c r="AO10" s="155"/>
      <c r="AP10" s="155"/>
      <c r="AQ10" s="155"/>
      <c r="AR10" s="155"/>
      <c r="AS10" s="155"/>
      <c r="AT10" s="155" t="s">
        <v>342</v>
      </c>
      <c r="AU10" s="155" t="s">
        <v>342</v>
      </c>
      <c r="AV10" s="155" t="s">
        <v>342</v>
      </c>
      <c r="AW10" s="155" t="s">
        <v>342</v>
      </c>
      <c r="AX10" s="155" t="s">
        <v>342</v>
      </c>
      <c r="AY10" s="155" t="s">
        <v>342</v>
      </c>
      <c r="AZ10" s="155" t="s">
        <v>342</v>
      </c>
      <c r="BA10" s="155" t="s">
        <v>342</v>
      </c>
      <c r="BB10" s="155" t="s">
        <v>342</v>
      </c>
      <c r="BC10" s="155" t="s">
        <v>342</v>
      </c>
      <c r="BD10" s="155" t="s">
        <v>342</v>
      </c>
      <c r="BE10" s="155" t="s">
        <v>342</v>
      </c>
      <c r="BF10" s="155" t="s">
        <v>342</v>
      </c>
      <c r="BG10" s="155" t="s">
        <v>342</v>
      </c>
      <c r="BH10" s="155" t="s">
        <v>342</v>
      </c>
      <c r="BI10" s="155" t="s">
        <v>342</v>
      </c>
      <c r="BJ10" s="155" t="s">
        <v>342</v>
      </c>
      <c r="BK10" s="155" t="s">
        <v>342</v>
      </c>
      <c r="BL10" s="155" t="s">
        <v>342</v>
      </c>
      <c r="BM10" s="155" t="s">
        <v>342</v>
      </c>
      <c r="BN10" s="155" t="s">
        <v>342</v>
      </c>
      <c r="BO10" s="155" t="s">
        <v>342</v>
      </c>
      <c r="BP10" s="155" t="s">
        <v>342</v>
      </c>
      <c r="BQ10" s="155" t="s">
        <v>342</v>
      </c>
      <c r="BR10" s="156">
        <f t="shared" si="88"/>
      </c>
      <c r="BS10" s="142" t="str">
        <v>#VALUE!</v>
      </c>
    </row>
    <row customHeight="true" ht="17.777777777777775" r="11">
      <c r="A11" s="142" t="s">
        <v>338</v>
      </c>
      <c r="B11" s="142" t="s">
        <v>339</v>
      </c>
      <c r="C11" s="142" t="s">
        <v>340</v>
      </c>
      <c r="D11" s="143" t="s">
        <v>349</v>
      </c>
      <c r="E11" s="144">
        <v>13.8</v>
      </c>
      <c r="F11" s="145">
        <v>19.99</v>
      </c>
      <c r="G11" s="146">
        <f t="shared" si="126"/>
      </c>
      <c r="H11" s="146">
        <f t="shared" si="131"/>
      </c>
      <c r="I11" s="146">
        <f t="shared" si="21"/>
      </c>
      <c r="J11" s="147">
        <f t="shared" si="0"/>
      </c>
      <c r="K11" s="144">
        <f t="shared" si="63"/>
      </c>
      <c r="L11" s="148">
        <f t="shared" si="39"/>
      </c>
      <c r="M11" s="146">
        <f t="shared" si="104"/>
      </c>
      <c r="N11" s="144">
        <f t="shared" si="82"/>
      </c>
      <c r="O11" s="144">
        <f t="shared" ref="O11:O12" si="92">IFERROR(IF(A11="UK",8.95/P11,IF(A11="DE",7.75/P11,IF(A11="FR",14.25/P11,IF(A11="IT",15.25/P11,IF(A11="ES",19.25/P11,IF(A11="NL",16.75/P11,IF(A11="PL",14.05/P11,IF(A11="SE",18.25/P11,IF(A11="BE",14.25/P11))))))))),0)</f>
      </c>
      <c r="P11" s="142">
        <v>54</v>
      </c>
      <c r="Q11" s="149">
        <v>9</v>
      </c>
      <c r="R11" s="150">
        <f t="shared" si="57"/>
      </c>
      <c r="S11" s="147">
        <f t="shared" si="110"/>
      </c>
      <c r="T11" s="151">
        <f t="shared" si="29"/>
      </c>
      <c r="U11" s="150">
        <v>0.01</v>
      </c>
      <c r="V11" s="150">
        <f t="shared" si="6"/>
      </c>
      <c r="W11" s="150">
        <f t="shared" si="45"/>
      </c>
      <c r="X11" s="152">
        <v>0.158</v>
      </c>
      <c r="Y11" s="167">
        <v>0</v>
      </c>
      <c r="Z11" s="153">
        <v>4.8</v>
      </c>
      <c r="AA11" s="153">
        <f t="shared" si="69"/>
      </c>
      <c r="AB11" s="144">
        <f t="shared" si="142"/>
      </c>
      <c r="AC11" s="144">
        <v>46</v>
      </c>
      <c r="AD11" s="154">
        <f t="shared" si="117"/>
      </c>
      <c r="AE11" s="149">
        <f t="shared" si="33"/>
      </c>
      <c r="AF11" s="150">
        <f t="shared" si="12"/>
      </c>
      <c r="AG11" s="150">
        <f t="shared" si="51"/>
      </c>
      <c r="AH11" s="149">
        <v>5</v>
      </c>
      <c r="AI11" s="150">
        <f t="shared" si="38"/>
      </c>
      <c r="AJ11" s="150"/>
      <c r="AK11" s="150"/>
      <c r="AL11" s="150"/>
      <c r="AM11" s="150"/>
      <c r="AN11" s="155"/>
      <c r="AO11" s="155"/>
      <c r="AP11" s="155"/>
      <c r="AQ11" s="155"/>
      <c r="AR11" s="155"/>
      <c r="AS11" s="155"/>
      <c r="AT11" s="155" t="s">
        <v>342</v>
      </c>
      <c r="AU11" s="155" t="s">
        <v>342</v>
      </c>
      <c r="AV11" s="155" t="s">
        <v>342</v>
      </c>
      <c r="AW11" s="155" t="s">
        <v>342</v>
      </c>
      <c r="AX11" s="155" t="s">
        <v>342</v>
      </c>
      <c r="AY11" s="155" t="s">
        <v>342</v>
      </c>
      <c r="AZ11" s="155" t="s">
        <v>342</v>
      </c>
      <c r="BA11" s="155" t="s">
        <v>342</v>
      </c>
      <c r="BB11" s="155" t="s">
        <v>342</v>
      </c>
      <c r="BC11" s="155" t="s">
        <v>342</v>
      </c>
      <c r="BD11" s="155" t="s">
        <v>342</v>
      </c>
      <c r="BE11" s="155" t="s">
        <v>342</v>
      </c>
      <c r="BF11" s="155" t="s">
        <v>342</v>
      </c>
      <c r="BG11" s="155" t="s">
        <v>342</v>
      </c>
      <c r="BH11" s="155" t="s">
        <v>342</v>
      </c>
      <c r="BI11" s="155" t="s">
        <v>342</v>
      </c>
      <c r="BJ11" s="155" t="s">
        <v>342</v>
      </c>
      <c r="BK11" s="155" t="s">
        <v>342</v>
      </c>
      <c r="BL11" s="155" t="s">
        <v>342</v>
      </c>
      <c r="BM11" s="155" t="s">
        <v>342</v>
      </c>
      <c r="BN11" s="155" t="s">
        <v>342</v>
      </c>
      <c r="BO11" s="155" t="s">
        <v>342</v>
      </c>
      <c r="BP11" s="155" t="s">
        <v>342</v>
      </c>
      <c r="BQ11" s="155" t="s">
        <v>342</v>
      </c>
      <c r="BR11" s="156">
        <f t="shared" ref="BR11:BR12" si="75">IF(E11&lt;#REF!,1,0)</f>
      </c>
      <c r="BS11" s="142" t="str">
        <v>#VALUE!</v>
      </c>
    </row>
    <row customHeight="true" ht="17.777777777777775" r="12">
      <c r="A12" s="142" t="s">
        <v>338</v>
      </c>
      <c r="B12" s="142" t="s">
        <v>339</v>
      </c>
      <c r="C12" s="142" t="s">
        <v>340</v>
      </c>
      <c r="D12" s="174" t="s">
        <v>350</v>
      </c>
      <c r="E12" s="144">
        <v>13.8</v>
      </c>
      <c r="F12" s="145">
        <v>19.99</v>
      </c>
      <c r="G12" s="146">
        <f t="shared" si="126"/>
      </c>
      <c r="H12" s="146">
        <f t="shared" si="131"/>
      </c>
      <c r="I12" s="146">
        <f t="shared" si="21"/>
      </c>
      <c r="J12" s="147">
        <f t="shared" si="0"/>
      </c>
      <c r="K12" s="144">
        <f t="shared" si="63"/>
      </c>
      <c r="L12" s="148">
        <f t="shared" si="39"/>
      </c>
      <c r="M12" s="146">
        <f t="shared" si="104"/>
      </c>
      <c r="N12" s="144">
        <f t="shared" si="82"/>
      </c>
      <c r="O12" s="144">
        <f t="shared" si="92"/>
      </c>
      <c r="P12" s="142">
        <v>54</v>
      </c>
      <c r="Q12" s="149">
        <v>9</v>
      </c>
      <c r="R12" s="150">
        <f t="shared" si="57"/>
      </c>
      <c r="S12" s="147">
        <f t="shared" si="110"/>
      </c>
      <c r="T12" s="151">
        <f t="shared" si="29"/>
      </c>
      <c r="U12" s="150">
        <v>0.01</v>
      </c>
      <c r="V12" s="150">
        <f t="shared" si="6"/>
      </c>
      <c r="W12" s="150">
        <f t="shared" si="45"/>
      </c>
      <c r="X12" s="152">
        <v>0.158</v>
      </c>
      <c r="Y12" s="167">
        <v>0</v>
      </c>
      <c r="Z12" s="153">
        <v>5.38</v>
      </c>
      <c r="AA12" s="153">
        <f t="shared" si="69"/>
      </c>
      <c r="AB12" s="144">
        <f t="shared" si="142"/>
      </c>
      <c r="AC12" s="144">
        <v>46</v>
      </c>
      <c r="AD12" s="154">
        <f t="shared" si="117"/>
      </c>
      <c r="AE12" s="149">
        <f t="shared" si="33"/>
      </c>
      <c r="AF12" s="150">
        <f t="shared" si="12"/>
      </c>
      <c r="AG12" s="150">
        <f t="shared" si="51"/>
      </c>
      <c r="AH12" s="149">
        <v>5</v>
      </c>
      <c r="AI12" s="150">
        <f t="shared" si="38"/>
      </c>
      <c r="AJ12" s="150"/>
      <c r="AK12" s="150"/>
      <c r="AL12" s="150"/>
      <c r="AM12" s="150"/>
      <c r="AN12" s="155"/>
      <c r="AO12" s="155"/>
      <c r="AP12" s="155"/>
      <c r="AQ12" s="155"/>
      <c r="AR12" s="155"/>
      <c r="AS12" s="155"/>
      <c r="AT12" s="155" t="s">
        <v>342</v>
      </c>
      <c r="AU12" s="155" t="s">
        <v>342</v>
      </c>
      <c r="AV12" s="155" t="s">
        <v>342</v>
      </c>
      <c r="AW12" s="155" t="s">
        <v>342</v>
      </c>
      <c r="AX12" s="155" t="s">
        <v>342</v>
      </c>
      <c r="AY12" s="155" t="s">
        <v>342</v>
      </c>
      <c r="AZ12" s="155" t="s">
        <v>342</v>
      </c>
      <c r="BA12" s="155" t="s">
        <v>342</v>
      </c>
      <c r="BB12" s="155" t="s">
        <v>342</v>
      </c>
      <c r="BC12" s="155" t="s">
        <v>342</v>
      </c>
      <c r="BD12" s="155" t="s">
        <v>342</v>
      </c>
      <c r="BE12" s="155" t="s">
        <v>342</v>
      </c>
      <c r="BF12" s="155" t="s">
        <v>342</v>
      </c>
      <c r="BG12" s="155" t="s">
        <v>342</v>
      </c>
      <c r="BH12" s="155" t="s">
        <v>342</v>
      </c>
      <c r="BI12" s="155" t="s">
        <v>342</v>
      </c>
      <c r="BJ12" s="155" t="s">
        <v>342</v>
      </c>
      <c r="BK12" s="155" t="s">
        <v>342</v>
      </c>
      <c r="BL12" s="155" t="s">
        <v>342</v>
      </c>
      <c r="BM12" s="155" t="s">
        <v>342</v>
      </c>
      <c r="BN12" s="155" t="s">
        <v>342</v>
      </c>
      <c r="BO12" s="155" t="s">
        <v>342</v>
      </c>
      <c r="BP12" s="155" t="s">
        <v>342</v>
      </c>
      <c r="BQ12" s="155" t="s">
        <v>342</v>
      </c>
      <c r="BR12" s="156">
        <f t="shared" si="75"/>
      </c>
      <c r="BS12" s="142" t="str">
        <v>#VALUE!</v>
      </c>
    </row>
    <row customHeight="true" ht="17.777777777777775" r="13">
      <c r="A13" s="142" t="s">
        <v>351</v>
      </c>
      <c r="B13" s="142" t="s">
        <v>352</v>
      </c>
      <c r="C13" s="142" t="s">
        <v>353</v>
      </c>
      <c r="D13" s="159" t="s">
        <v>347</v>
      </c>
      <c r="E13" s="144">
        <v>17.25</v>
      </c>
      <c r="F13" s="145">
        <v>24.99</v>
      </c>
      <c r="G13" s="146">
        <f t="shared" si="126"/>
      </c>
      <c r="H13" s="146">
        <f t="shared" si="131"/>
      </c>
      <c r="I13" s="146">
        <f t="shared" si="21"/>
      </c>
      <c r="J13" s="147">
        <f t="shared" si="0"/>
      </c>
      <c r="K13" s="144">
        <f t="shared" si="63"/>
      </c>
      <c r="L13" s="148">
        <f t="shared" si="39"/>
      </c>
      <c r="M13" s="146">
        <f t="shared" si="104"/>
      </c>
      <c r="N13" s="144">
        <f t="shared" si="82"/>
      </c>
      <c r="O13" s="144">
        <f t="shared" ref="O13:O14" si="138">IFERROR(IF(A13="UK",8.95/P13,IF(A13="DE",11.43/P13,IF(A13="FR",15.27/P13,IF(A13="IT",16.34/P13,IF(A13="ES",20.62/P13,IF(A13="NL",12/P13,IF(A13="PL",15.06/P13,IF(A13="SE",18.5/P13,IF(A13="BE",15.27/P13))))))))),0)</f>
      </c>
      <c r="P13" s="142">
        <v>54</v>
      </c>
      <c r="Q13" s="149">
        <v>8</v>
      </c>
      <c r="R13" s="150">
        <f t="shared" si="57"/>
      </c>
      <c r="S13" s="147">
        <f t="shared" si="110"/>
      </c>
      <c r="T13" s="150">
        <f t="shared" si="29"/>
      </c>
      <c r="U13" s="150">
        <v>0.01</v>
      </c>
      <c r="V13" s="150">
        <f t="shared" si="6"/>
      </c>
      <c r="W13" s="150">
        <f t="shared" si="45"/>
      </c>
      <c r="X13" s="152">
        <v>0.1945</v>
      </c>
      <c r="Y13" s="167">
        <v>3</v>
      </c>
      <c r="Z13" s="153">
        <v>0</v>
      </c>
      <c r="AA13" s="153">
        <f t="shared" si="69"/>
      </c>
      <c r="AB13" s="144">
        <f t="shared" si="142"/>
      </c>
      <c r="AC13" s="144">
        <v>46</v>
      </c>
      <c r="AD13" s="154">
        <f t="shared" si="117"/>
      </c>
      <c r="AE13" s="149">
        <f t="shared" ref="AE13:AE25" si="122">4.1/7.4</f>
      </c>
      <c r="AF13" s="150">
        <f t="shared" si="12"/>
      </c>
      <c r="AG13" s="150">
        <f t="shared" si="51"/>
      </c>
      <c r="AH13" s="149">
        <v>5</v>
      </c>
      <c r="AI13" s="150">
        <f t="shared" ref="AI13:AI25" si="97">(K13-E13+AB13-Z13)/K13</f>
      </c>
      <c r="AJ13" s="150"/>
      <c r="AK13" s="150"/>
      <c r="AL13" s="150"/>
      <c r="AM13" s="150"/>
      <c r="AN13" s="155"/>
      <c r="AO13" s="155"/>
      <c r="AP13" s="155"/>
      <c r="AQ13" s="155"/>
      <c r="AR13" s="155"/>
      <c r="AS13" s="155"/>
      <c r="AT13" s="155" t="s">
        <v>342</v>
      </c>
      <c r="AU13" s="155" t="s">
        <v>342</v>
      </c>
      <c r="AV13" s="155" t="s">
        <v>342</v>
      </c>
      <c r="AW13" s="155" t="s">
        <v>342</v>
      </c>
      <c r="AX13" s="155" t="s">
        <v>342</v>
      </c>
      <c r="AY13" s="155" t="s">
        <v>342</v>
      </c>
      <c r="AZ13" s="155" t="s">
        <v>342</v>
      </c>
      <c r="BA13" s="155" t="s">
        <v>342</v>
      </c>
      <c r="BB13" s="155" t="s">
        <v>342</v>
      </c>
      <c r="BC13" s="155" t="s">
        <v>342</v>
      </c>
      <c r="BD13" s="155" t="s">
        <v>342</v>
      </c>
      <c r="BE13" s="155" t="s">
        <v>342</v>
      </c>
      <c r="BF13" s="155" t="s">
        <v>342</v>
      </c>
      <c r="BG13" s="155" t="s">
        <v>342</v>
      </c>
      <c r="BH13" s="155" t="s">
        <v>342</v>
      </c>
      <c r="BI13" s="155" t="s">
        <v>342</v>
      </c>
      <c r="BJ13" s="155" t="s">
        <v>342</v>
      </c>
      <c r="BK13" s="155" t="s">
        <v>342</v>
      </c>
      <c r="BL13" s="155" t="s">
        <v>342</v>
      </c>
      <c r="BM13" s="155" t="s">
        <v>342</v>
      </c>
      <c r="BN13" s="155" t="s">
        <v>342</v>
      </c>
      <c r="BO13" s="155" t="s">
        <v>342</v>
      </c>
      <c r="BP13" s="155" t="s">
        <v>342</v>
      </c>
      <c r="BQ13" s="155" t="s">
        <v>342</v>
      </c>
      <c r="BR13" s="156">
        <f>IF(#REF!&lt;E13,1,0)</f>
      </c>
      <c r="BS13" s="142" t="str">
        <v>#VALUE!</v>
      </c>
    </row>
    <row customHeight="true" ht="17.777777777777775" r="14">
      <c r="A14" s="142" t="s">
        <v>351</v>
      </c>
      <c r="B14" s="142" t="s">
        <v>352</v>
      </c>
      <c r="C14" s="142" t="s">
        <v>353</v>
      </c>
      <c r="D14" s="159" t="s">
        <v>348</v>
      </c>
      <c r="E14" s="144">
        <v>17.25</v>
      </c>
      <c r="F14" s="145">
        <v>24.99</v>
      </c>
      <c r="G14" s="146">
        <f t="shared" si="126"/>
      </c>
      <c r="H14" s="146">
        <f t="shared" si="131"/>
      </c>
      <c r="I14" s="146">
        <f t="shared" si="21"/>
      </c>
      <c r="J14" s="147">
        <f t="shared" si="0"/>
      </c>
      <c r="K14" s="144">
        <f t="shared" si="63"/>
      </c>
      <c r="L14" s="148">
        <f t="shared" si="39"/>
      </c>
      <c r="M14" s="146">
        <f t="shared" si="104"/>
      </c>
      <c r="N14" s="144">
        <f t="shared" si="82"/>
      </c>
      <c r="O14" s="144">
        <f t="shared" si="138"/>
      </c>
      <c r="P14" s="142">
        <v>54</v>
      </c>
      <c r="Q14" s="149">
        <v>8</v>
      </c>
      <c r="R14" s="150">
        <f t="shared" si="57"/>
      </c>
      <c r="S14" s="147">
        <f t="shared" si="110"/>
      </c>
      <c r="T14" s="150">
        <f t="shared" si="29"/>
      </c>
      <c r="U14" s="150">
        <v>0.01</v>
      </c>
      <c r="V14" s="150">
        <f t="shared" si="6"/>
      </c>
      <c r="W14" s="150">
        <f t="shared" si="45"/>
      </c>
      <c r="X14" s="152">
        <v>0.1945</v>
      </c>
      <c r="Y14" s="167">
        <v>0</v>
      </c>
      <c r="Z14" s="153">
        <f>F14*0.1</f>
      </c>
      <c r="AA14" s="153">
        <f t="shared" si="69"/>
      </c>
      <c r="AB14" s="144">
        <f t="shared" si="142"/>
      </c>
      <c r="AC14" s="144">
        <v>46</v>
      </c>
      <c r="AD14" s="154">
        <f t="shared" si="117"/>
      </c>
      <c r="AE14" s="149">
        <f t="shared" si="122"/>
      </c>
      <c r="AF14" s="150">
        <f t="shared" si="12"/>
      </c>
      <c r="AG14" s="150">
        <f t="shared" si="51"/>
      </c>
      <c r="AH14" s="149">
        <v>5</v>
      </c>
      <c r="AI14" s="150">
        <f t="shared" si="97"/>
      </c>
      <c r="AJ14" s="150"/>
      <c r="AK14" s="150"/>
      <c r="AL14" s="150"/>
      <c r="AM14" s="150"/>
      <c r="AN14" s="155"/>
      <c r="AO14" s="155"/>
      <c r="AP14" s="155"/>
      <c r="AQ14" s="155"/>
      <c r="AR14" s="155"/>
      <c r="AS14" s="155"/>
      <c r="AT14" s="155" t="s">
        <v>342</v>
      </c>
      <c r="AU14" s="155" t="s">
        <v>342</v>
      </c>
      <c r="AV14" s="155" t="s">
        <v>342</v>
      </c>
      <c r="AW14" s="155" t="s">
        <v>342</v>
      </c>
      <c r="AX14" s="155" t="s">
        <v>342</v>
      </c>
      <c r="AY14" s="155" t="s">
        <v>342</v>
      </c>
      <c r="AZ14" s="155" t="s">
        <v>342</v>
      </c>
      <c r="BA14" s="155" t="s">
        <v>342</v>
      </c>
      <c r="BB14" s="155" t="s">
        <v>342</v>
      </c>
      <c r="BC14" s="155" t="s">
        <v>342</v>
      </c>
      <c r="BD14" s="155" t="s">
        <v>342</v>
      </c>
      <c r="BE14" s="155" t="s">
        <v>342</v>
      </c>
      <c r="BF14" s="155" t="s">
        <v>342</v>
      </c>
      <c r="BG14" s="155" t="s">
        <v>342</v>
      </c>
      <c r="BH14" s="155" t="s">
        <v>342</v>
      </c>
      <c r="BI14" s="155" t="s">
        <v>342</v>
      </c>
      <c r="BJ14" s="155" t="s">
        <v>342</v>
      </c>
      <c r="BK14" s="155" t="s">
        <v>342</v>
      </c>
      <c r="BL14" s="155" t="s">
        <v>342</v>
      </c>
      <c r="BM14" s="155" t="s">
        <v>342</v>
      </c>
      <c r="BN14" s="155" t="s">
        <v>342</v>
      </c>
      <c r="BO14" s="155" t="s">
        <v>342</v>
      </c>
      <c r="BP14" s="155" t="s">
        <v>342</v>
      </c>
      <c r="BQ14" s="155" t="s">
        <v>342</v>
      </c>
      <c r="BR14" s="156">
        <f t="shared" ref="BR14:BR21" si="76">IF(E14&lt;#REF!,1,0)</f>
      </c>
      <c r="BS14" s="142" t="str">
        <v>#VALUE!</v>
      </c>
    </row>
    <row customHeight="true" ht="17.777777777777775" r="15">
      <c r="A15" s="142" t="s">
        <v>351</v>
      </c>
      <c r="B15" s="142" t="s">
        <v>352</v>
      </c>
      <c r="C15" s="142" t="s">
        <v>353</v>
      </c>
      <c r="D15" s="143" t="s">
        <v>349</v>
      </c>
      <c r="E15" s="144">
        <v>13.8</v>
      </c>
      <c r="F15" s="145">
        <v>19.99</v>
      </c>
      <c r="G15" s="146">
        <f t="shared" si="126"/>
      </c>
      <c r="H15" s="146">
        <f t="shared" si="131"/>
      </c>
      <c r="I15" s="175">
        <f t="shared" si="21"/>
      </c>
      <c r="J15" s="147">
        <f t="shared" si="0"/>
      </c>
      <c r="K15" s="144">
        <f t="shared" si="63"/>
      </c>
      <c r="L15" s="148">
        <f t="shared" si="39"/>
      </c>
      <c r="M15" s="146">
        <f t="shared" si="104"/>
      </c>
      <c r="N15" s="144">
        <f t="shared" si="82"/>
      </c>
      <c r="O15" s="144">
        <f t="shared" ref="O15:O21" si="93">IFERROR(IF(A15="UK",8.95/P15,IF(A15="DE",7.75/P15,IF(A15="FR",14.25/P15,IF(A15="IT",15.25/P15,IF(A15="ES",19.25/P15,IF(A15="NL",16.75/P15,IF(A15="PL",14.05/P15,IF(A15="SE",18.25/P15,IF(A15="BE",14.25/P15))))))))),0)</f>
      </c>
      <c r="P15" s="142">
        <v>54</v>
      </c>
      <c r="Q15" s="149">
        <v>8</v>
      </c>
      <c r="R15" s="150">
        <f t="shared" si="57"/>
      </c>
      <c r="S15" s="147">
        <f t="shared" si="110"/>
      </c>
      <c r="T15" s="150">
        <f t="shared" si="29"/>
      </c>
      <c r="U15" s="150">
        <v>0.01</v>
      </c>
      <c r="V15" s="150">
        <f t="shared" si="6"/>
      </c>
      <c r="W15" s="150">
        <f t="shared" si="45"/>
      </c>
      <c r="X15" s="152">
        <v>0.1695</v>
      </c>
      <c r="Y15" s="167">
        <v>0</v>
      </c>
      <c r="Z15" s="153">
        <v>2.15</v>
      </c>
      <c r="AA15" s="153">
        <f t="shared" si="69"/>
      </c>
      <c r="AB15" s="144">
        <f t="shared" si="142"/>
      </c>
      <c r="AC15" s="144">
        <v>46</v>
      </c>
      <c r="AD15" s="154">
        <f t="shared" si="117"/>
      </c>
      <c r="AE15" s="149">
        <f t="shared" si="122"/>
      </c>
      <c r="AF15" s="150">
        <f t="shared" si="12"/>
      </c>
      <c r="AG15" s="150">
        <f t="shared" si="51"/>
      </c>
      <c r="AH15" s="149">
        <v>5</v>
      </c>
      <c r="AI15" s="150">
        <f t="shared" si="97"/>
      </c>
      <c r="AJ15" s="150"/>
      <c r="AK15" s="150"/>
      <c r="AL15" s="150"/>
      <c r="AM15" s="150"/>
      <c r="AN15" s="155"/>
      <c r="AO15" s="155"/>
      <c r="AP15" s="155"/>
      <c r="AQ15" s="155"/>
      <c r="AR15" s="155"/>
      <c r="AS15" s="155"/>
      <c r="AT15" s="155" t="s">
        <v>342</v>
      </c>
      <c r="AU15" s="155" t="s">
        <v>342</v>
      </c>
      <c r="AV15" s="155" t="s">
        <v>342</v>
      </c>
      <c r="AW15" s="155" t="s">
        <v>342</v>
      </c>
      <c r="AX15" s="155" t="s">
        <v>342</v>
      </c>
      <c r="AY15" s="155" t="s">
        <v>342</v>
      </c>
      <c r="AZ15" s="155" t="s">
        <v>342</v>
      </c>
      <c r="BA15" s="155" t="s">
        <v>342</v>
      </c>
      <c r="BB15" s="155" t="s">
        <v>342</v>
      </c>
      <c r="BC15" s="155" t="s">
        <v>342</v>
      </c>
      <c r="BD15" s="155" t="s">
        <v>342</v>
      </c>
      <c r="BE15" s="155" t="s">
        <v>342</v>
      </c>
      <c r="BF15" s="155" t="s">
        <v>342</v>
      </c>
      <c r="BG15" s="155" t="s">
        <v>342</v>
      </c>
      <c r="BH15" s="155" t="s">
        <v>342</v>
      </c>
      <c r="BI15" s="155" t="s">
        <v>342</v>
      </c>
      <c r="BJ15" s="155" t="s">
        <v>342</v>
      </c>
      <c r="BK15" s="155" t="s">
        <v>342</v>
      </c>
      <c r="BL15" s="155" t="s">
        <v>342</v>
      </c>
      <c r="BM15" s="155" t="s">
        <v>342</v>
      </c>
      <c r="BN15" s="155" t="s">
        <v>342</v>
      </c>
      <c r="BO15" s="155" t="s">
        <v>342</v>
      </c>
      <c r="BP15" s="155" t="s">
        <v>342</v>
      </c>
      <c r="BQ15" s="155" t="s">
        <v>342</v>
      </c>
      <c r="BR15" s="156">
        <f t="shared" si="76"/>
      </c>
      <c r="BS15" s="142" t="str">
        <v>#VALUE!</v>
      </c>
    </row>
    <row customHeight="true" ht="17.777777777777775" r="16">
      <c r="A16" s="142" t="s">
        <v>351</v>
      </c>
      <c r="B16" s="142" t="s">
        <v>352</v>
      </c>
      <c r="C16" s="142" t="s">
        <v>353</v>
      </c>
      <c r="D16" s="174" t="s">
        <v>350</v>
      </c>
      <c r="E16" s="144">
        <v>13.8</v>
      </c>
      <c r="F16" s="145">
        <v>19.99</v>
      </c>
      <c r="G16" s="146">
        <f t="shared" si="126"/>
      </c>
      <c r="H16" s="146">
        <f t="shared" si="131"/>
      </c>
      <c r="I16" s="175">
        <f t="shared" si="21"/>
      </c>
      <c r="J16" s="147">
        <f t="shared" si="0"/>
      </c>
      <c r="K16" s="144">
        <f t="shared" si="63"/>
      </c>
      <c r="L16" s="148">
        <f t="shared" si="39"/>
      </c>
      <c r="M16" s="146">
        <f t="shared" si="104"/>
      </c>
      <c r="N16" s="144">
        <f t="shared" si="82"/>
      </c>
      <c r="O16" s="144">
        <f t="shared" si="93"/>
      </c>
      <c r="P16" s="142">
        <v>54</v>
      </c>
      <c r="Q16" s="149">
        <v>8</v>
      </c>
      <c r="R16" s="150">
        <f t="shared" si="57"/>
      </c>
      <c r="S16" s="147">
        <f t="shared" si="110"/>
      </c>
      <c r="T16" s="150">
        <f t="shared" si="29"/>
      </c>
      <c r="U16" s="150">
        <v>0.01</v>
      </c>
      <c r="V16" s="150">
        <f t="shared" si="6"/>
      </c>
      <c r="W16" s="150">
        <f t="shared" si="45"/>
      </c>
      <c r="X16" s="152">
        <v>0.1695</v>
      </c>
      <c r="Y16" s="167">
        <v>0</v>
      </c>
      <c r="Z16" s="153">
        <v>3</v>
      </c>
      <c r="AA16" s="153">
        <f t="shared" si="69"/>
      </c>
      <c r="AB16" s="144">
        <f t="shared" si="142"/>
      </c>
      <c r="AC16" s="144">
        <v>46</v>
      </c>
      <c r="AD16" s="154">
        <f t="shared" si="117"/>
      </c>
      <c r="AE16" s="149">
        <f t="shared" si="122"/>
      </c>
      <c r="AF16" s="150">
        <f t="shared" si="12"/>
      </c>
      <c r="AG16" s="150">
        <f t="shared" si="51"/>
      </c>
      <c r="AH16" s="149">
        <v>5</v>
      </c>
      <c r="AI16" s="150">
        <f t="shared" si="97"/>
      </c>
      <c r="AJ16" s="150"/>
      <c r="AK16" s="150"/>
      <c r="AL16" s="150"/>
      <c r="AM16" s="150"/>
      <c r="AN16" s="155"/>
      <c r="AO16" s="155"/>
      <c r="AP16" s="155"/>
      <c r="AQ16" s="155"/>
      <c r="AR16" s="155"/>
      <c r="AS16" s="155"/>
      <c r="AT16" s="155" t="s">
        <v>342</v>
      </c>
      <c r="AU16" s="155" t="s">
        <v>342</v>
      </c>
      <c r="AV16" s="155" t="s">
        <v>342</v>
      </c>
      <c r="AW16" s="155" t="s">
        <v>342</v>
      </c>
      <c r="AX16" s="155" t="s">
        <v>342</v>
      </c>
      <c r="AY16" s="155" t="s">
        <v>342</v>
      </c>
      <c r="AZ16" s="155" t="s">
        <v>342</v>
      </c>
      <c r="BA16" s="155" t="s">
        <v>342</v>
      </c>
      <c r="BB16" s="155" t="s">
        <v>342</v>
      </c>
      <c r="BC16" s="155" t="s">
        <v>342</v>
      </c>
      <c r="BD16" s="155" t="s">
        <v>342</v>
      </c>
      <c r="BE16" s="155" t="s">
        <v>342</v>
      </c>
      <c r="BF16" s="155" t="s">
        <v>342</v>
      </c>
      <c r="BG16" s="155" t="s">
        <v>342</v>
      </c>
      <c r="BH16" s="155" t="s">
        <v>342</v>
      </c>
      <c r="BI16" s="155" t="s">
        <v>342</v>
      </c>
      <c r="BJ16" s="155" t="s">
        <v>342</v>
      </c>
      <c r="BK16" s="155" t="s">
        <v>342</v>
      </c>
      <c r="BL16" s="155" t="s">
        <v>342</v>
      </c>
      <c r="BM16" s="155" t="s">
        <v>342</v>
      </c>
      <c r="BN16" s="155" t="s">
        <v>342</v>
      </c>
      <c r="BO16" s="155" t="s">
        <v>342</v>
      </c>
      <c r="BP16" s="155" t="s">
        <v>342</v>
      </c>
      <c r="BQ16" s="155" t="s">
        <v>342</v>
      </c>
      <c r="BR16" s="156">
        <f t="shared" si="76"/>
      </c>
      <c r="BS16" s="142" t="str">
        <v>#VALUE!</v>
      </c>
    </row>
    <row customHeight="true" ht="17.777777777777775" r="17">
      <c r="A17" s="142" t="s">
        <v>354</v>
      </c>
      <c r="B17" s="142" t="s">
        <v>352</v>
      </c>
      <c r="C17" s="142" t="s">
        <v>353</v>
      </c>
      <c r="D17" s="143" t="s">
        <v>350</v>
      </c>
      <c r="E17" s="144">
        <v>15.18</v>
      </c>
      <c r="F17" s="145">
        <v>21.99</v>
      </c>
      <c r="G17" s="146">
        <f t="shared" si="126"/>
      </c>
      <c r="H17" s="146">
        <f t="shared" si="131"/>
      </c>
      <c r="I17" s="175">
        <f t="shared" si="21"/>
      </c>
      <c r="J17" s="147">
        <f t="shared" si="0"/>
      </c>
      <c r="K17" s="144">
        <f t="shared" si="63"/>
      </c>
      <c r="L17" s="148">
        <f t="shared" si="39"/>
      </c>
      <c r="M17" s="146">
        <f t="shared" si="104"/>
      </c>
      <c r="N17" s="144">
        <f t="shared" si="82"/>
      </c>
      <c r="O17" s="144">
        <f t="shared" si="93"/>
      </c>
      <c r="P17" s="142">
        <v>54</v>
      </c>
      <c r="Q17" s="149">
        <v>8</v>
      </c>
      <c r="R17" s="150">
        <f t="shared" si="57"/>
      </c>
      <c r="S17" s="147">
        <f t="shared" si="110"/>
      </c>
      <c r="T17" s="150">
        <f t="shared" si="29"/>
      </c>
      <c r="U17" s="150">
        <v>0.01</v>
      </c>
      <c r="V17" s="150">
        <f t="shared" si="6"/>
      </c>
      <c r="W17" s="150">
        <f t="shared" si="45"/>
      </c>
      <c r="X17" s="152">
        <v>0.198</v>
      </c>
      <c r="Y17" s="167">
        <v>0</v>
      </c>
      <c r="Z17" s="153">
        <v>0.9</v>
      </c>
      <c r="AA17" s="153">
        <f t="shared" si="69"/>
      </c>
      <c r="AB17" s="144">
        <f t="shared" si="142"/>
      </c>
      <c r="AC17" s="144">
        <v>40</v>
      </c>
      <c r="AD17" s="154">
        <f t="shared" si="117"/>
      </c>
      <c r="AE17" s="149">
        <f t="shared" si="122"/>
      </c>
      <c r="AF17" s="150">
        <f t="shared" si="12"/>
      </c>
      <c r="AG17" s="150">
        <f t="shared" si="51"/>
      </c>
      <c r="AH17" s="149">
        <v>5</v>
      </c>
      <c r="AI17" s="150">
        <f t="shared" si="97"/>
      </c>
      <c r="AJ17" s="150"/>
      <c r="AK17" s="150"/>
      <c r="AL17" s="150"/>
      <c r="AM17" s="150"/>
      <c r="AN17" s="155"/>
      <c r="AO17" s="155"/>
      <c r="AP17" s="155"/>
      <c r="AQ17" s="155"/>
      <c r="AR17" s="155"/>
      <c r="AS17" s="155"/>
      <c r="AT17" s="155" t="s">
        <v>342</v>
      </c>
      <c r="AU17" s="155" t="s">
        <v>342</v>
      </c>
      <c r="AV17" s="155" t="s">
        <v>342</v>
      </c>
      <c r="AW17" s="155" t="s">
        <v>342</v>
      </c>
      <c r="AX17" s="155" t="s">
        <v>342</v>
      </c>
      <c r="AY17" s="155" t="s">
        <v>342</v>
      </c>
      <c r="AZ17" s="155" t="s">
        <v>342</v>
      </c>
      <c r="BA17" s="155" t="s">
        <v>342</v>
      </c>
      <c r="BB17" s="155" t="s">
        <v>342</v>
      </c>
      <c r="BC17" s="155" t="s">
        <v>342</v>
      </c>
      <c r="BD17" s="155" t="s">
        <v>342</v>
      </c>
      <c r="BE17" s="155" t="s">
        <v>342</v>
      </c>
      <c r="BF17" s="155" t="s">
        <v>342</v>
      </c>
      <c r="BG17" s="155" t="s">
        <v>342</v>
      </c>
      <c r="BH17" s="155" t="s">
        <v>342</v>
      </c>
      <c r="BI17" s="155" t="s">
        <v>342</v>
      </c>
      <c r="BJ17" s="155" t="s">
        <v>342</v>
      </c>
      <c r="BK17" s="155" t="s">
        <v>342</v>
      </c>
      <c r="BL17" s="155" t="s">
        <v>342</v>
      </c>
      <c r="BM17" s="155" t="s">
        <v>342</v>
      </c>
      <c r="BN17" s="155" t="s">
        <v>342</v>
      </c>
      <c r="BO17" s="155" t="s">
        <v>342</v>
      </c>
      <c r="BP17" s="155" t="s">
        <v>342</v>
      </c>
      <c r="BQ17" s="155" t="s">
        <v>342</v>
      </c>
      <c r="BR17" s="156">
        <f t="shared" si="76"/>
      </c>
      <c r="BS17" s="142" t="str">
        <v>#VALUE!</v>
      </c>
    </row>
    <row customHeight="true" ht="17.777777777777775" r="18">
      <c r="A18" s="142" t="s">
        <v>354</v>
      </c>
      <c r="B18" s="142" t="s">
        <v>352</v>
      </c>
      <c r="C18" s="142" t="s">
        <v>353</v>
      </c>
      <c r="D18" s="174" t="s">
        <v>349</v>
      </c>
      <c r="E18" s="144">
        <v>15.18</v>
      </c>
      <c r="F18" s="145">
        <v>21.99</v>
      </c>
      <c r="G18" s="146">
        <f t="shared" si="126"/>
      </c>
      <c r="H18" s="146">
        <f t="shared" si="131"/>
      </c>
      <c r="I18" s="175">
        <f t="shared" si="21"/>
      </c>
      <c r="J18" s="147">
        <f t="shared" si="0"/>
      </c>
      <c r="K18" s="144">
        <f t="shared" si="63"/>
      </c>
      <c r="L18" s="148">
        <f t="shared" si="39"/>
      </c>
      <c r="M18" s="146">
        <f t="shared" si="104"/>
      </c>
      <c r="N18" s="144">
        <f t="shared" si="82"/>
      </c>
      <c r="O18" s="144">
        <f t="shared" si="93"/>
      </c>
      <c r="P18" s="142">
        <v>54</v>
      </c>
      <c r="Q18" s="149">
        <v>8</v>
      </c>
      <c r="R18" s="150">
        <f t="shared" si="57"/>
      </c>
      <c r="S18" s="147">
        <f t="shared" si="110"/>
      </c>
      <c r="T18" s="150">
        <f t="shared" si="29"/>
      </c>
      <c r="U18" s="150">
        <v>0.01</v>
      </c>
      <c r="V18" s="150">
        <f t="shared" si="6"/>
      </c>
      <c r="W18" s="150">
        <f t="shared" si="45"/>
      </c>
      <c r="X18" s="152">
        <v>0.198</v>
      </c>
      <c r="Y18" s="167">
        <v>0</v>
      </c>
      <c r="Z18" s="153">
        <v>4.88</v>
      </c>
      <c r="AA18" s="153">
        <f t="shared" si="69"/>
      </c>
      <c r="AB18" s="144">
        <f t="shared" si="142"/>
      </c>
      <c r="AC18" s="144">
        <v>46</v>
      </c>
      <c r="AD18" s="154">
        <f t="shared" si="117"/>
      </c>
      <c r="AE18" s="149">
        <f t="shared" si="122"/>
      </c>
      <c r="AF18" s="150">
        <f t="shared" si="12"/>
      </c>
      <c r="AG18" s="150">
        <f t="shared" si="51"/>
      </c>
      <c r="AH18" s="149">
        <v>5</v>
      </c>
      <c r="AI18" s="150">
        <f t="shared" si="97"/>
      </c>
      <c r="AJ18" s="150"/>
      <c r="AK18" s="150"/>
      <c r="AL18" s="150"/>
      <c r="AM18" s="150"/>
      <c r="AN18" s="155"/>
      <c r="AO18" s="155"/>
      <c r="AP18" s="155"/>
      <c r="AQ18" s="155"/>
      <c r="AR18" s="155"/>
      <c r="AS18" s="155"/>
      <c r="AT18" s="155" t="s">
        <v>342</v>
      </c>
      <c r="AU18" s="155" t="s">
        <v>342</v>
      </c>
      <c r="AV18" s="155" t="s">
        <v>342</v>
      </c>
      <c r="AW18" s="155" t="s">
        <v>342</v>
      </c>
      <c r="AX18" s="155" t="s">
        <v>342</v>
      </c>
      <c r="AY18" s="155" t="s">
        <v>342</v>
      </c>
      <c r="AZ18" s="155" t="s">
        <v>342</v>
      </c>
      <c r="BA18" s="155" t="s">
        <v>342</v>
      </c>
      <c r="BB18" s="155" t="s">
        <v>342</v>
      </c>
      <c r="BC18" s="155" t="s">
        <v>342</v>
      </c>
      <c r="BD18" s="155" t="s">
        <v>342</v>
      </c>
      <c r="BE18" s="155" t="s">
        <v>342</v>
      </c>
      <c r="BF18" s="155" t="s">
        <v>342</v>
      </c>
      <c r="BG18" s="155" t="s">
        <v>342</v>
      </c>
      <c r="BH18" s="155" t="s">
        <v>342</v>
      </c>
      <c r="BI18" s="155" t="s">
        <v>342</v>
      </c>
      <c r="BJ18" s="155" t="s">
        <v>342</v>
      </c>
      <c r="BK18" s="155" t="s">
        <v>342</v>
      </c>
      <c r="BL18" s="155" t="s">
        <v>342</v>
      </c>
      <c r="BM18" s="155" t="s">
        <v>342</v>
      </c>
      <c r="BN18" s="155" t="s">
        <v>342</v>
      </c>
      <c r="BO18" s="155" t="s">
        <v>342</v>
      </c>
      <c r="BP18" s="155" t="s">
        <v>342</v>
      </c>
      <c r="BQ18" s="155" t="s">
        <v>342</v>
      </c>
      <c r="BR18" s="156">
        <f t="shared" si="76"/>
      </c>
      <c r="BS18" s="142" t="str">
        <v>#VALUE!</v>
      </c>
    </row>
    <row customHeight="true" ht="17.777777777777775" r="19">
      <c r="A19" s="142" t="s">
        <v>355</v>
      </c>
      <c r="B19" s="142" t="s">
        <v>352</v>
      </c>
      <c r="C19" s="142" t="s">
        <v>353</v>
      </c>
      <c r="D19" s="143" t="s">
        <v>356</v>
      </c>
      <c r="E19" s="144">
        <v>13.8</v>
      </c>
      <c r="F19" s="145">
        <v>19.99</v>
      </c>
      <c r="G19" s="146">
        <f t="shared" si="126"/>
      </c>
      <c r="H19" s="146">
        <f t="shared" si="131"/>
      </c>
      <c r="I19" s="175">
        <f t="shared" si="21"/>
      </c>
      <c r="J19" s="147">
        <f t="shared" si="0"/>
      </c>
      <c r="K19" s="144">
        <f t="shared" si="63"/>
      </c>
      <c r="L19" s="148">
        <f t="shared" si="39"/>
      </c>
      <c r="M19" s="146">
        <f t="shared" si="104"/>
      </c>
      <c r="N19" s="144">
        <f t="shared" si="82"/>
      </c>
      <c r="O19" s="144">
        <f t="shared" si="93"/>
      </c>
      <c r="P19" s="142">
        <v>54</v>
      </c>
      <c r="Q19" s="149">
        <v>8</v>
      </c>
      <c r="R19" s="150">
        <f t="shared" si="57"/>
      </c>
      <c r="S19" s="147">
        <f t="shared" si="110"/>
      </c>
      <c r="T19" s="150">
        <f t="shared" si="29"/>
      </c>
      <c r="U19" s="150">
        <v>0.01</v>
      </c>
      <c r="V19" s="150">
        <f t="shared" si="6"/>
      </c>
      <c r="W19" s="150">
        <f t="shared" si="45"/>
      </c>
      <c r="X19" s="152">
        <v>0.1846</v>
      </c>
      <c r="Y19" s="167">
        <v>0</v>
      </c>
      <c r="Z19" s="153">
        <v>3.64</v>
      </c>
      <c r="AA19" s="153">
        <f t="shared" si="69"/>
      </c>
      <c r="AB19" s="144">
        <f t="shared" si="142"/>
      </c>
      <c r="AC19" s="144">
        <v>46</v>
      </c>
      <c r="AD19" s="154">
        <f t="shared" si="117"/>
      </c>
      <c r="AE19" s="149">
        <f t="shared" si="122"/>
      </c>
      <c r="AF19" s="150">
        <f t="shared" si="12"/>
      </c>
      <c r="AG19" s="150">
        <f t="shared" si="51"/>
      </c>
      <c r="AH19" s="149">
        <v>5</v>
      </c>
      <c r="AI19" s="150">
        <f t="shared" si="97"/>
      </c>
      <c r="AJ19" s="150"/>
      <c r="AK19" s="150"/>
      <c r="AL19" s="150"/>
      <c r="AM19" s="150"/>
      <c r="AN19" s="155"/>
      <c r="AO19" s="155"/>
      <c r="AP19" s="155"/>
      <c r="AQ19" s="155"/>
      <c r="AR19" s="155"/>
      <c r="AS19" s="155"/>
      <c r="AT19" s="155" t="s">
        <v>342</v>
      </c>
      <c r="AU19" s="155" t="s">
        <v>342</v>
      </c>
      <c r="AV19" s="155" t="s">
        <v>342</v>
      </c>
      <c r="AW19" s="155" t="s">
        <v>342</v>
      </c>
      <c r="AX19" s="155" t="s">
        <v>342</v>
      </c>
      <c r="AY19" s="155" t="s">
        <v>342</v>
      </c>
      <c r="AZ19" s="155" t="s">
        <v>342</v>
      </c>
      <c r="BA19" s="155" t="s">
        <v>342</v>
      </c>
      <c r="BB19" s="155" t="s">
        <v>342</v>
      </c>
      <c r="BC19" s="155" t="s">
        <v>342</v>
      </c>
      <c r="BD19" s="155" t="s">
        <v>342</v>
      </c>
      <c r="BE19" s="155" t="s">
        <v>342</v>
      </c>
      <c r="BF19" s="155" t="s">
        <v>342</v>
      </c>
      <c r="BG19" s="155" t="s">
        <v>342</v>
      </c>
      <c r="BH19" s="155" t="s">
        <v>342</v>
      </c>
      <c r="BI19" s="155" t="s">
        <v>342</v>
      </c>
      <c r="BJ19" s="155" t="s">
        <v>342</v>
      </c>
      <c r="BK19" s="155" t="s">
        <v>342</v>
      </c>
      <c r="BL19" s="155" t="s">
        <v>342</v>
      </c>
      <c r="BM19" s="155" t="s">
        <v>342</v>
      </c>
      <c r="BN19" s="155" t="s">
        <v>342</v>
      </c>
      <c r="BO19" s="155" t="s">
        <v>342</v>
      </c>
      <c r="BP19" s="155" t="s">
        <v>342</v>
      </c>
      <c r="BQ19" s="155" t="s">
        <v>342</v>
      </c>
      <c r="BR19" s="156">
        <f t="shared" si="76"/>
      </c>
      <c r="BS19" s="142" t="str">
        <v>#VALUE!</v>
      </c>
    </row>
    <row customHeight="true" ht="17.777777777777775" r="20">
      <c r="A20" s="142" t="s">
        <v>355</v>
      </c>
      <c r="B20" s="142" t="s">
        <v>352</v>
      </c>
      <c r="C20" s="142" t="s">
        <v>353</v>
      </c>
      <c r="D20" s="174" t="s">
        <v>350</v>
      </c>
      <c r="E20" s="144">
        <v>13.15</v>
      </c>
      <c r="F20" s="145">
        <v>18.99</v>
      </c>
      <c r="G20" s="146">
        <f t="shared" si="126"/>
      </c>
      <c r="H20" s="146">
        <f t="shared" si="131"/>
      </c>
      <c r="I20" s="175">
        <f t="shared" si="21"/>
      </c>
      <c r="J20" s="147">
        <f t="shared" si="0"/>
      </c>
      <c r="K20" s="144">
        <f t="shared" si="63"/>
      </c>
      <c r="L20" s="148">
        <f t="shared" si="39"/>
      </c>
      <c r="M20" s="146">
        <f t="shared" si="104"/>
      </c>
      <c r="N20" s="144">
        <f t="shared" si="82"/>
      </c>
      <c r="O20" s="144">
        <f t="shared" si="93"/>
      </c>
      <c r="P20" s="142">
        <v>54</v>
      </c>
      <c r="Q20" s="149">
        <v>8</v>
      </c>
      <c r="R20" s="150">
        <f t="shared" si="57"/>
      </c>
      <c r="S20" s="147">
        <f t="shared" si="110"/>
      </c>
      <c r="T20" s="150">
        <f t="shared" si="29"/>
      </c>
      <c r="U20" s="150">
        <v>0.01</v>
      </c>
      <c r="V20" s="150">
        <f t="shared" si="6"/>
      </c>
      <c r="W20" s="150">
        <f t="shared" si="45"/>
      </c>
      <c r="X20" s="152">
        <v>0.1846</v>
      </c>
      <c r="Y20" s="167">
        <v>0</v>
      </c>
      <c r="Z20" s="153">
        <v>3.23</v>
      </c>
      <c r="AA20" s="153">
        <f t="shared" si="69"/>
      </c>
      <c r="AB20" s="144">
        <f t="shared" si="142"/>
      </c>
      <c r="AC20" s="144">
        <v>46</v>
      </c>
      <c r="AD20" s="154">
        <f t="shared" si="117"/>
      </c>
      <c r="AE20" s="149">
        <f t="shared" si="122"/>
      </c>
      <c r="AF20" s="150">
        <f t="shared" si="12"/>
      </c>
      <c r="AG20" s="150">
        <f t="shared" si="51"/>
      </c>
      <c r="AH20" s="149">
        <v>5</v>
      </c>
      <c r="AI20" s="150">
        <f t="shared" si="97"/>
      </c>
      <c r="AJ20" s="150"/>
      <c r="AK20" s="150"/>
      <c r="AL20" s="150"/>
      <c r="AM20" s="150"/>
      <c r="AN20" s="155"/>
      <c r="AO20" s="155"/>
      <c r="AP20" s="155"/>
      <c r="AQ20" s="155"/>
      <c r="AR20" s="155"/>
      <c r="AS20" s="155"/>
      <c r="AT20" s="155" t="s">
        <v>342</v>
      </c>
      <c r="AU20" s="155" t="s">
        <v>342</v>
      </c>
      <c r="AV20" s="155" t="s">
        <v>342</v>
      </c>
      <c r="AW20" s="155" t="s">
        <v>342</v>
      </c>
      <c r="AX20" s="155" t="s">
        <v>342</v>
      </c>
      <c r="AY20" s="155" t="s">
        <v>342</v>
      </c>
      <c r="AZ20" s="155" t="s">
        <v>342</v>
      </c>
      <c r="BA20" s="155" t="s">
        <v>342</v>
      </c>
      <c r="BB20" s="155" t="s">
        <v>342</v>
      </c>
      <c r="BC20" s="155" t="s">
        <v>342</v>
      </c>
      <c r="BD20" s="155" t="s">
        <v>342</v>
      </c>
      <c r="BE20" s="155" t="s">
        <v>342</v>
      </c>
      <c r="BF20" s="155" t="s">
        <v>342</v>
      </c>
      <c r="BG20" s="155" t="s">
        <v>342</v>
      </c>
      <c r="BH20" s="155" t="s">
        <v>342</v>
      </c>
      <c r="BI20" s="155" t="s">
        <v>342</v>
      </c>
      <c r="BJ20" s="155" t="s">
        <v>342</v>
      </c>
      <c r="BK20" s="155" t="s">
        <v>342</v>
      </c>
      <c r="BL20" s="155" t="s">
        <v>342</v>
      </c>
      <c r="BM20" s="155" t="s">
        <v>342</v>
      </c>
      <c r="BN20" s="155" t="s">
        <v>342</v>
      </c>
      <c r="BO20" s="155" t="s">
        <v>342</v>
      </c>
      <c r="BP20" s="155" t="s">
        <v>342</v>
      </c>
      <c r="BQ20" s="155" t="s">
        <v>342</v>
      </c>
      <c r="BR20" s="156">
        <f t="shared" si="76"/>
      </c>
      <c r="BS20" s="142" t="str">
        <v>#VALUE!</v>
      </c>
    </row>
    <row customHeight="true" ht="17.777777777777775" r="21">
      <c r="A21" s="142" t="s">
        <v>355</v>
      </c>
      <c r="B21" s="142" t="s">
        <v>352</v>
      </c>
      <c r="C21" s="142" t="s">
        <v>353</v>
      </c>
      <c r="D21" s="174" t="s">
        <v>350</v>
      </c>
      <c r="E21" s="144">
        <v>13.8</v>
      </c>
      <c r="F21" s="145">
        <v>19.99</v>
      </c>
      <c r="G21" s="146">
        <f t="shared" si="126"/>
      </c>
      <c r="H21" s="146">
        <f t="shared" si="131"/>
      </c>
      <c r="I21" s="175">
        <f t="shared" si="21"/>
      </c>
      <c r="J21" s="147">
        <f t="shared" si="0"/>
      </c>
      <c r="K21" s="144">
        <f t="shared" si="63"/>
      </c>
      <c r="L21" s="148">
        <f t="shared" si="39"/>
      </c>
      <c r="M21" s="146">
        <f t="shared" si="104"/>
      </c>
      <c r="N21" s="144">
        <f t="shared" si="82"/>
      </c>
      <c r="O21" s="144">
        <f t="shared" si="93"/>
      </c>
      <c r="P21" s="142">
        <v>54</v>
      </c>
      <c r="Q21" s="149">
        <v>8</v>
      </c>
      <c r="R21" s="150">
        <f t="shared" si="57"/>
      </c>
      <c r="S21" s="147">
        <f t="shared" si="110"/>
      </c>
      <c r="T21" s="150">
        <f t="shared" si="29"/>
      </c>
      <c r="U21" s="150">
        <v>0.01</v>
      </c>
      <c r="V21" s="150">
        <f t="shared" si="6"/>
      </c>
      <c r="W21" s="150">
        <f t="shared" si="45"/>
      </c>
      <c r="X21" s="152">
        <v>0.1846</v>
      </c>
      <c r="Y21" s="167">
        <v>0</v>
      </c>
      <c r="Z21" s="153">
        <v>3.23</v>
      </c>
      <c r="AA21" s="153">
        <f t="shared" si="69"/>
      </c>
      <c r="AB21" s="144">
        <f t="shared" si="142"/>
      </c>
      <c r="AC21" s="144">
        <v>46</v>
      </c>
      <c r="AD21" s="154">
        <f t="shared" si="117"/>
      </c>
      <c r="AE21" s="149">
        <f t="shared" si="122"/>
      </c>
      <c r="AF21" s="150">
        <f t="shared" si="12"/>
      </c>
      <c r="AG21" s="150">
        <f t="shared" si="51"/>
      </c>
      <c r="AH21" s="149">
        <v>5</v>
      </c>
      <c r="AI21" s="150">
        <f t="shared" si="97"/>
      </c>
      <c r="AJ21" s="150"/>
      <c r="AK21" s="150"/>
      <c r="AL21" s="150"/>
      <c r="AM21" s="150"/>
      <c r="AN21" s="155"/>
      <c r="AO21" s="155"/>
      <c r="AP21" s="155"/>
      <c r="AQ21" s="155"/>
      <c r="AR21" s="155"/>
      <c r="AS21" s="155"/>
      <c r="AT21" s="155" t="s">
        <v>342</v>
      </c>
      <c r="AU21" s="155" t="s">
        <v>342</v>
      </c>
      <c r="AV21" s="155" t="s">
        <v>342</v>
      </c>
      <c r="AW21" s="155" t="s">
        <v>342</v>
      </c>
      <c r="AX21" s="155" t="s">
        <v>342</v>
      </c>
      <c r="AY21" s="155" t="s">
        <v>342</v>
      </c>
      <c r="AZ21" s="155" t="s">
        <v>342</v>
      </c>
      <c r="BA21" s="155" t="s">
        <v>342</v>
      </c>
      <c r="BB21" s="155" t="s">
        <v>342</v>
      </c>
      <c r="BC21" s="155" t="s">
        <v>342</v>
      </c>
      <c r="BD21" s="155" t="s">
        <v>342</v>
      </c>
      <c r="BE21" s="155" t="s">
        <v>342</v>
      </c>
      <c r="BF21" s="155" t="s">
        <v>342</v>
      </c>
      <c r="BG21" s="155" t="s">
        <v>342</v>
      </c>
      <c r="BH21" s="155" t="s">
        <v>342</v>
      </c>
      <c r="BI21" s="155" t="s">
        <v>342</v>
      </c>
      <c r="BJ21" s="155" t="s">
        <v>342</v>
      </c>
      <c r="BK21" s="155" t="s">
        <v>342</v>
      </c>
      <c r="BL21" s="155" t="s">
        <v>342</v>
      </c>
      <c r="BM21" s="155" t="s">
        <v>342</v>
      </c>
      <c r="BN21" s="155" t="s">
        <v>342</v>
      </c>
      <c r="BO21" s="155" t="s">
        <v>342</v>
      </c>
      <c r="BP21" s="155" t="s">
        <v>342</v>
      </c>
      <c r="BQ21" s="155" t="s">
        <v>342</v>
      </c>
      <c r="BR21" s="156">
        <f t="shared" si="76"/>
      </c>
      <c r="BS21" s="142" t="str">
        <v>#VALUE!</v>
      </c>
    </row>
    <row customHeight="true" ht="17.777777777777775" r="22">
      <c r="A22" s="142" t="s">
        <v>357</v>
      </c>
      <c r="B22" s="142" t="s">
        <v>352</v>
      </c>
      <c r="C22" s="142" t="s">
        <v>353</v>
      </c>
      <c r="D22" s="159" t="s">
        <v>347</v>
      </c>
      <c r="E22" s="144">
        <v>17.25</v>
      </c>
      <c r="F22" s="145">
        <v>24.99</v>
      </c>
      <c r="G22" s="146">
        <f t="shared" si="126"/>
      </c>
      <c r="H22" s="146">
        <f t="shared" si="131"/>
      </c>
      <c r="I22" s="175">
        <f t="shared" si="21"/>
      </c>
      <c r="J22" s="147">
        <f t="shared" si="0"/>
      </c>
      <c r="K22" s="144">
        <f t="shared" si="63"/>
      </c>
      <c r="L22" s="148">
        <f t="shared" si="39"/>
      </c>
      <c r="M22" s="146">
        <f t="shared" si="104"/>
      </c>
      <c r="N22" s="144">
        <f t="shared" si="82"/>
      </c>
      <c r="O22" s="144">
        <f t="shared" ref="O22:O23" si="139">IFERROR(IF(A22="UK",8.95/P22,IF(A22="DE",11.43/P22,IF(A22="FR",15.27/P22,IF(A22="IT",16.34/P22,IF(A22="ES",20.62/P22,IF(A22="NL",12/P22,IF(A22="PL",15.06/P22,IF(A22="SE",18.5/P22,IF(A22="BE",15.27/P22))))))))),0)</f>
      </c>
      <c r="P22" s="142">
        <v>54</v>
      </c>
      <c r="Q22" s="149">
        <v>8</v>
      </c>
      <c r="R22" s="150">
        <f t="shared" si="57"/>
      </c>
      <c r="S22" s="147">
        <f t="shared" si="110"/>
      </c>
      <c r="T22" s="150">
        <f t="shared" si="29"/>
      </c>
      <c r="U22" s="150">
        <v>0.01</v>
      </c>
      <c r="V22" s="150">
        <f t="shared" si="6"/>
      </c>
      <c r="W22" s="150">
        <f t="shared" si="45"/>
      </c>
      <c r="X22" s="152">
        <v>0.1896</v>
      </c>
      <c r="Y22" s="167">
        <v>3</v>
      </c>
      <c r="Z22" s="153">
        <v>0</v>
      </c>
      <c r="AA22" s="153">
        <f t="shared" si="69"/>
      </c>
      <c r="AB22" s="144">
        <f t="shared" si="142"/>
      </c>
      <c r="AC22" s="144">
        <v>46</v>
      </c>
      <c r="AD22" s="154">
        <f t="shared" si="117"/>
      </c>
      <c r="AE22" s="149">
        <f t="shared" si="122"/>
      </c>
      <c r="AF22" s="150">
        <f t="shared" si="12"/>
      </c>
      <c r="AG22" s="150">
        <f t="shared" si="51"/>
      </c>
      <c r="AH22" s="149">
        <v>5</v>
      </c>
      <c r="AI22" s="150">
        <f t="shared" si="97"/>
      </c>
      <c r="AJ22" s="150"/>
      <c r="AK22" s="150"/>
      <c r="AL22" s="150"/>
      <c r="AM22" s="150"/>
      <c r="AN22" s="155"/>
      <c r="AO22" s="155"/>
      <c r="AP22" s="155"/>
      <c r="AQ22" s="155"/>
      <c r="AR22" s="155"/>
      <c r="AS22" s="155"/>
      <c r="AT22" s="155" t="s">
        <v>342</v>
      </c>
      <c r="AU22" s="155" t="s">
        <v>342</v>
      </c>
      <c r="AV22" s="155" t="s">
        <v>342</v>
      </c>
      <c r="AW22" s="155" t="s">
        <v>342</v>
      </c>
      <c r="AX22" s="155" t="s">
        <v>342</v>
      </c>
      <c r="AY22" s="155" t="s">
        <v>342</v>
      </c>
      <c r="AZ22" s="155" t="s">
        <v>342</v>
      </c>
      <c r="BA22" s="155" t="s">
        <v>342</v>
      </c>
      <c r="BB22" s="155" t="s">
        <v>342</v>
      </c>
      <c r="BC22" s="155" t="s">
        <v>342</v>
      </c>
      <c r="BD22" s="155" t="s">
        <v>342</v>
      </c>
      <c r="BE22" s="155" t="s">
        <v>342</v>
      </c>
      <c r="BF22" s="155" t="s">
        <v>342</v>
      </c>
      <c r="BG22" s="155" t="s">
        <v>342</v>
      </c>
      <c r="BH22" s="155" t="s">
        <v>342</v>
      </c>
      <c r="BI22" s="155" t="s">
        <v>342</v>
      </c>
      <c r="BJ22" s="155" t="s">
        <v>342</v>
      </c>
      <c r="BK22" s="155" t="s">
        <v>342</v>
      </c>
      <c r="BL22" s="155" t="s">
        <v>342</v>
      </c>
      <c r="BM22" s="155" t="s">
        <v>342</v>
      </c>
      <c r="BN22" s="155" t="s">
        <v>342</v>
      </c>
      <c r="BO22" s="155" t="s">
        <v>342</v>
      </c>
      <c r="BP22" s="155" t="s">
        <v>342</v>
      </c>
      <c r="BQ22" s="155" t="s">
        <v>342</v>
      </c>
      <c r="BR22" s="156">
        <f>IF(#REF!&lt;E22,1,0)</f>
      </c>
      <c r="BS22" s="142" t="str">
        <v>#VALUE!</v>
      </c>
    </row>
    <row customHeight="true" ht="17.777777777777775" r="23">
      <c r="A23" s="142" t="s">
        <v>357</v>
      </c>
      <c r="B23" s="142" t="s">
        <v>352</v>
      </c>
      <c r="C23" s="142" t="s">
        <v>353</v>
      </c>
      <c r="D23" s="159" t="s">
        <v>348</v>
      </c>
      <c r="E23" s="144">
        <v>17.25</v>
      </c>
      <c r="F23" s="145">
        <v>24.99</v>
      </c>
      <c r="G23" s="146">
        <f t="shared" si="126"/>
      </c>
      <c r="H23" s="146">
        <f t="shared" si="131"/>
      </c>
      <c r="I23" s="175">
        <f t="shared" si="21"/>
      </c>
      <c r="J23" s="147">
        <f t="shared" si="0"/>
      </c>
      <c r="K23" s="144">
        <f t="shared" si="63"/>
      </c>
      <c r="L23" s="148">
        <f t="shared" si="39"/>
      </c>
      <c r="M23" s="146">
        <f t="shared" si="104"/>
      </c>
      <c r="N23" s="144">
        <f t="shared" si="82"/>
      </c>
      <c r="O23" s="144">
        <f t="shared" si="139"/>
      </c>
      <c r="P23" s="142">
        <v>54</v>
      </c>
      <c r="Q23" s="149">
        <v>8</v>
      </c>
      <c r="R23" s="150">
        <f t="shared" si="57"/>
      </c>
      <c r="S23" s="147">
        <f t="shared" si="110"/>
      </c>
      <c r="T23" s="150">
        <f t="shared" si="29"/>
      </c>
      <c r="U23" s="150">
        <v>0.01</v>
      </c>
      <c r="V23" s="150">
        <f t="shared" si="6"/>
      </c>
      <c r="W23" s="150">
        <f t="shared" si="45"/>
      </c>
      <c r="X23" s="152">
        <v>0.1896</v>
      </c>
      <c r="Y23" s="167">
        <v>3</v>
      </c>
      <c r="Z23" s="153">
        <f>F23*0.1</f>
      </c>
      <c r="AA23" s="153">
        <f t="shared" si="69"/>
      </c>
      <c r="AB23" s="144">
        <f t="shared" si="142"/>
      </c>
      <c r="AC23" s="144">
        <v>46</v>
      </c>
      <c r="AD23" s="154">
        <f t="shared" si="117"/>
      </c>
      <c r="AE23" s="149">
        <f t="shared" si="122"/>
      </c>
      <c r="AF23" s="150">
        <f t="shared" si="12"/>
      </c>
      <c r="AG23" s="150">
        <f t="shared" si="51"/>
      </c>
      <c r="AH23" s="149">
        <v>5</v>
      </c>
      <c r="AI23" s="150">
        <f t="shared" si="97"/>
      </c>
      <c r="AJ23" s="150"/>
      <c r="AK23" s="150"/>
      <c r="AL23" s="150"/>
      <c r="AM23" s="150"/>
      <c r="AN23" s="155"/>
      <c r="AO23" s="155"/>
      <c r="AP23" s="155"/>
      <c r="AQ23" s="155"/>
      <c r="AR23" s="155"/>
      <c r="AS23" s="155"/>
      <c r="AT23" s="155" t="s">
        <v>342</v>
      </c>
      <c r="AU23" s="155" t="s">
        <v>342</v>
      </c>
      <c r="AV23" s="155" t="s">
        <v>342</v>
      </c>
      <c r="AW23" s="155" t="s">
        <v>342</v>
      </c>
      <c r="AX23" s="155" t="s">
        <v>342</v>
      </c>
      <c r="AY23" s="155" t="s">
        <v>342</v>
      </c>
      <c r="AZ23" s="155" t="s">
        <v>342</v>
      </c>
      <c r="BA23" s="155" t="s">
        <v>342</v>
      </c>
      <c r="BB23" s="155" t="s">
        <v>342</v>
      </c>
      <c r="BC23" s="155" t="s">
        <v>342</v>
      </c>
      <c r="BD23" s="155" t="s">
        <v>342</v>
      </c>
      <c r="BE23" s="155" t="s">
        <v>342</v>
      </c>
      <c r="BF23" s="155" t="s">
        <v>342</v>
      </c>
      <c r="BG23" s="155" t="s">
        <v>342</v>
      </c>
      <c r="BH23" s="155" t="s">
        <v>342</v>
      </c>
      <c r="BI23" s="155" t="s">
        <v>342</v>
      </c>
      <c r="BJ23" s="155" t="s">
        <v>342</v>
      </c>
      <c r="BK23" s="155" t="s">
        <v>342</v>
      </c>
      <c r="BL23" s="155" t="s">
        <v>342</v>
      </c>
      <c r="BM23" s="155" t="s">
        <v>342</v>
      </c>
      <c r="BN23" s="155" t="s">
        <v>342</v>
      </c>
      <c r="BO23" s="155" t="s">
        <v>342</v>
      </c>
      <c r="BP23" s="155" t="s">
        <v>342</v>
      </c>
      <c r="BQ23" s="155" t="s">
        <v>342</v>
      </c>
      <c r="BR23" s="156">
        <f t="shared" ref="BR23:BR25" si="77">IF(E23&lt;#REF!,1,0)</f>
      </c>
      <c r="BS23" s="142" t="str">
        <v>#VALUE!</v>
      </c>
    </row>
    <row customHeight="true" ht="17.777777777777775" r="24">
      <c r="A24" s="142" t="s">
        <v>357</v>
      </c>
      <c r="B24" s="142" t="s">
        <v>352</v>
      </c>
      <c r="C24" s="142" t="s">
        <v>353</v>
      </c>
      <c r="D24" s="143" t="s">
        <v>350</v>
      </c>
      <c r="E24" s="144">
        <v>13.8</v>
      </c>
      <c r="F24" s="145">
        <v>19.99</v>
      </c>
      <c r="G24" s="146">
        <f t="shared" si="126"/>
      </c>
      <c r="H24" s="146">
        <f t="shared" si="131"/>
      </c>
      <c r="I24" s="175">
        <f t="shared" si="21"/>
      </c>
      <c r="J24" s="147">
        <f t="shared" si="0"/>
      </c>
      <c r="K24" s="144">
        <f t="shared" si="63"/>
      </c>
      <c r="L24" s="148">
        <f t="shared" si="39"/>
      </c>
      <c r="M24" s="146">
        <f t="shared" si="104"/>
      </c>
      <c r="N24" s="144">
        <f t="shared" si="82"/>
      </c>
      <c r="O24" s="144">
        <f t="shared" ref="O24:O25" si="94">IFERROR(IF(A24="UK",8.95/P24,IF(A24="DE",7.75/P24,IF(A24="FR",14.25/P24,IF(A24="IT",15.25/P24,IF(A24="ES",19.25/P24,IF(A24="NL",16.75/P24,IF(A24="PL",14.05/P24,IF(A24="SE",18.25/P24,IF(A24="BE",14.25/P24))))))))),0)</f>
      </c>
      <c r="P24" s="142">
        <v>54</v>
      </c>
      <c r="Q24" s="149">
        <v>8</v>
      </c>
      <c r="R24" s="150">
        <f t="shared" si="57"/>
      </c>
      <c r="S24" s="147">
        <f t="shared" si="110"/>
      </c>
      <c r="T24" s="150">
        <f t="shared" si="29"/>
      </c>
      <c r="U24" s="150">
        <v>0.01</v>
      </c>
      <c r="V24" s="150">
        <f t="shared" si="6"/>
      </c>
      <c r="W24" s="150">
        <f t="shared" si="45"/>
      </c>
      <c r="X24" s="152">
        <v>0.1646</v>
      </c>
      <c r="Y24" s="167">
        <v>0</v>
      </c>
      <c r="Z24" s="153">
        <v>4.49</v>
      </c>
      <c r="AA24" s="153">
        <f t="shared" si="69"/>
      </c>
      <c r="AB24" s="144">
        <f t="shared" si="142"/>
      </c>
      <c r="AC24" s="144">
        <v>46</v>
      </c>
      <c r="AD24" s="154">
        <f t="shared" si="117"/>
      </c>
      <c r="AE24" s="149">
        <f t="shared" si="122"/>
      </c>
      <c r="AF24" s="150">
        <f t="shared" si="12"/>
      </c>
      <c r="AG24" s="150">
        <f t="shared" si="51"/>
      </c>
      <c r="AH24" s="149">
        <v>5</v>
      </c>
      <c r="AI24" s="150">
        <f t="shared" si="97"/>
      </c>
      <c r="AJ24" s="150"/>
      <c r="AK24" s="150"/>
      <c r="AL24" s="150"/>
      <c r="AM24" s="150"/>
      <c r="AN24" s="155"/>
      <c r="AO24" s="155"/>
      <c r="AP24" s="155"/>
      <c r="AQ24" s="155"/>
      <c r="AR24" s="155"/>
      <c r="AS24" s="155"/>
      <c r="AT24" s="155" t="s">
        <v>342</v>
      </c>
      <c r="AU24" s="155" t="s">
        <v>342</v>
      </c>
      <c r="AV24" s="155" t="s">
        <v>342</v>
      </c>
      <c r="AW24" s="155" t="s">
        <v>342</v>
      </c>
      <c r="AX24" s="155" t="s">
        <v>342</v>
      </c>
      <c r="AY24" s="155" t="s">
        <v>342</v>
      </c>
      <c r="AZ24" s="155" t="s">
        <v>342</v>
      </c>
      <c r="BA24" s="155" t="s">
        <v>342</v>
      </c>
      <c r="BB24" s="155" t="s">
        <v>342</v>
      </c>
      <c r="BC24" s="155" t="s">
        <v>342</v>
      </c>
      <c r="BD24" s="155" t="s">
        <v>342</v>
      </c>
      <c r="BE24" s="155" t="s">
        <v>342</v>
      </c>
      <c r="BF24" s="155" t="s">
        <v>342</v>
      </c>
      <c r="BG24" s="155" t="s">
        <v>342</v>
      </c>
      <c r="BH24" s="155" t="s">
        <v>342</v>
      </c>
      <c r="BI24" s="155" t="s">
        <v>342</v>
      </c>
      <c r="BJ24" s="155" t="s">
        <v>342</v>
      </c>
      <c r="BK24" s="155" t="s">
        <v>342</v>
      </c>
      <c r="BL24" s="155" t="s">
        <v>342</v>
      </c>
      <c r="BM24" s="155" t="s">
        <v>342</v>
      </c>
      <c r="BN24" s="155" t="s">
        <v>342</v>
      </c>
      <c r="BO24" s="155" t="s">
        <v>342</v>
      </c>
      <c r="BP24" s="155" t="s">
        <v>342</v>
      </c>
      <c r="BQ24" s="155" t="s">
        <v>342</v>
      </c>
      <c r="BR24" s="156">
        <f t="shared" si="77"/>
      </c>
      <c r="BS24" s="142" t="str">
        <v>#VALUE!</v>
      </c>
    </row>
    <row customHeight="true" ht="17.777777777777775" r="25">
      <c r="A25" s="142" t="s">
        <v>357</v>
      </c>
      <c r="B25" s="142" t="s">
        <v>352</v>
      </c>
      <c r="C25" s="142" t="s">
        <v>353</v>
      </c>
      <c r="D25" s="176" t="s">
        <v>349</v>
      </c>
      <c r="E25" s="144">
        <v>13.8</v>
      </c>
      <c r="F25" s="145">
        <v>19.99</v>
      </c>
      <c r="G25" s="146">
        <f t="shared" si="126"/>
      </c>
      <c r="H25" s="146">
        <f t="shared" si="131"/>
      </c>
      <c r="I25" s="175">
        <f t="shared" si="21"/>
      </c>
      <c r="J25" s="147">
        <f t="shared" si="0"/>
      </c>
      <c r="K25" s="144">
        <f t="shared" si="63"/>
      </c>
      <c r="L25" s="148">
        <f t="shared" si="39"/>
      </c>
      <c r="M25" s="146">
        <f t="shared" si="104"/>
      </c>
      <c r="N25" s="144">
        <f t="shared" si="82"/>
      </c>
      <c r="O25" s="144">
        <f t="shared" si="94"/>
      </c>
      <c r="P25" s="142">
        <v>54</v>
      </c>
      <c r="Q25" s="149">
        <v>8</v>
      </c>
      <c r="R25" s="150">
        <f t="shared" si="57"/>
      </c>
      <c r="S25" s="147">
        <f t="shared" si="110"/>
      </c>
      <c r="T25" s="150">
        <f t="shared" si="29"/>
      </c>
      <c r="U25" s="150">
        <v>0.01</v>
      </c>
      <c r="V25" s="150">
        <f t="shared" si="6"/>
      </c>
      <c r="W25" s="150">
        <f t="shared" si="45"/>
      </c>
      <c r="X25" s="152">
        <v>0.1646</v>
      </c>
      <c r="Y25" s="167">
        <v>0</v>
      </c>
      <c r="Z25" s="153">
        <v>3</v>
      </c>
      <c r="AA25" s="153">
        <f t="shared" si="69"/>
      </c>
      <c r="AB25" s="144">
        <f t="shared" si="142"/>
      </c>
      <c r="AC25" s="144">
        <v>46</v>
      </c>
      <c r="AD25" s="154">
        <f t="shared" si="117"/>
      </c>
      <c r="AE25" s="149">
        <f t="shared" si="122"/>
      </c>
      <c r="AF25" s="150">
        <f t="shared" si="12"/>
      </c>
      <c r="AG25" s="150">
        <f t="shared" si="51"/>
      </c>
      <c r="AH25" s="149">
        <v>5</v>
      </c>
      <c r="AI25" s="150">
        <f t="shared" si="97"/>
      </c>
      <c r="AJ25" s="150"/>
      <c r="AK25" s="150"/>
      <c r="AL25" s="150"/>
      <c r="AM25" s="150"/>
      <c r="AN25" s="155"/>
      <c r="AO25" s="155"/>
      <c r="AP25" s="155"/>
      <c r="AQ25" s="155"/>
      <c r="AR25" s="155"/>
      <c r="AS25" s="155"/>
      <c r="AT25" s="155" t="s">
        <v>342</v>
      </c>
      <c r="AU25" s="155" t="s">
        <v>342</v>
      </c>
      <c r="AV25" s="155" t="s">
        <v>342</v>
      </c>
      <c r="AW25" s="155" t="s">
        <v>342</v>
      </c>
      <c r="AX25" s="155" t="s">
        <v>342</v>
      </c>
      <c r="AY25" s="155" t="s">
        <v>342</v>
      </c>
      <c r="AZ25" s="155" t="s">
        <v>342</v>
      </c>
      <c r="BA25" s="155" t="s">
        <v>342</v>
      </c>
      <c r="BB25" s="155" t="s">
        <v>342</v>
      </c>
      <c r="BC25" s="155" t="s">
        <v>342</v>
      </c>
      <c r="BD25" s="155" t="s">
        <v>342</v>
      </c>
      <c r="BE25" s="155" t="s">
        <v>342</v>
      </c>
      <c r="BF25" s="155" t="s">
        <v>342</v>
      </c>
      <c r="BG25" s="155" t="s">
        <v>342</v>
      </c>
      <c r="BH25" s="155" t="s">
        <v>342</v>
      </c>
      <c r="BI25" s="155" t="s">
        <v>342</v>
      </c>
      <c r="BJ25" s="155" t="s">
        <v>342</v>
      </c>
      <c r="BK25" s="155" t="s">
        <v>342</v>
      </c>
      <c r="BL25" s="155" t="s">
        <v>342</v>
      </c>
      <c r="BM25" s="155" t="s">
        <v>342</v>
      </c>
      <c r="BN25" s="155" t="s">
        <v>342</v>
      </c>
      <c r="BO25" s="155" t="s">
        <v>342</v>
      </c>
      <c r="BP25" s="155" t="s">
        <v>342</v>
      </c>
      <c r="BQ25" s="155" t="s">
        <v>342</v>
      </c>
      <c r="BR25" s="156">
        <f t="shared" si="77"/>
      </c>
      <c r="BS25" s="142" t="str">
        <v>#VALUE!</v>
      </c>
    </row>
    <row customHeight="true" ht="17.777777777777775" r="26">
      <c r="A26" s="142"/>
      <c r="B26" s="142"/>
      <c r="C26" s="142"/>
      <c r="D26" s="143"/>
      <c r="E26" s="144"/>
      <c r="F26" s="145"/>
      <c r="G26" s="146"/>
      <c r="H26" s="146"/>
      <c r="I26" s="146"/>
      <c r="J26" s="147"/>
      <c r="K26" s="144"/>
      <c r="L26" s="148"/>
      <c r="M26" s="146"/>
      <c r="N26" s="144"/>
      <c r="O26" s="144"/>
      <c r="P26" s="142"/>
      <c r="Q26" s="149"/>
      <c r="R26" s="150"/>
      <c r="S26" s="147"/>
      <c r="T26" s="150"/>
      <c r="U26" s="150"/>
      <c r="V26" s="150"/>
      <c r="W26" s="150"/>
      <c r="X26" s="152"/>
      <c r="Y26" s="153"/>
      <c r="Z26" s="153"/>
      <c r="AA26" s="153"/>
      <c r="AB26" s="144"/>
      <c r="AC26" s="144"/>
      <c r="AD26" s="154"/>
      <c r="AE26" s="149"/>
      <c r="AF26" s="150"/>
      <c r="AG26" s="150"/>
      <c r="AH26" s="149"/>
      <c r="AI26" s="150"/>
      <c r="AJ26" s="150"/>
      <c r="AK26" s="150"/>
      <c r="AL26" s="150"/>
      <c r="AM26" s="150"/>
      <c r="AN26" s="155"/>
      <c r="AO26" s="155"/>
      <c r="AP26" s="155"/>
      <c r="AQ26" s="155"/>
      <c r="AR26" s="155"/>
      <c r="AS26" s="155"/>
      <c r="AT26" s="155"/>
      <c r="AU26" s="155"/>
      <c r="AV26" s="155"/>
      <c r="AW26" s="155"/>
      <c r="AX26" s="155"/>
      <c r="AY26" s="155"/>
      <c r="AZ26" s="155"/>
      <c r="BA26" s="155"/>
      <c r="BB26" s="155"/>
      <c r="BC26" s="155"/>
      <c r="BD26" s="155"/>
      <c r="BE26" s="155"/>
      <c r="BF26" s="155"/>
      <c r="BG26" s="155"/>
      <c r="BH26" s="155"/>
      <c r="BI26" s="155"/>
      <c r="BJ26" s="155"/>
      <c r="BK26" s="155"/>
      <c r="BL26" s="155"/>
      <c r="BM26" s="155"/>
      <c r="BN26" s="155"/>
      <c r="BO26" s="155"/>
      <c r="BP26" s="155"/>
      <c r="BQ26" s="155"/>
      <c r="BR26" s="156"/>
      <c r="BS26" s="142"/>
    </row>
    <row customHeight="true" ht="17.777777777777775" r="27">
      <c r="A27" s="142" t="s">
        <v>338</v>
      </c>
      <c r="B27" s="142"/>
      <c r="C27" s="142"/>
      <c r="D27" s="174" t="s">
        <v>358</v>
      </c>
      <c r="E27" s="144">
        <v>11.7</v>
      </c>
      <c r="F27" s="145">
        <v>16.99</v>
      </c>
      <c r="G27" s="146">
        <f t="shared" ref="G27:G31" si="127">(F27-Z27)</f>
      </c>
      <c r="H27" s="146">
        <f t="shared" ref="H27:H31" si="132">(F27-Z27)/1.2</f>
      </c>
      <c r="I27" s="146">
        <f t="shared" ref="I27:I31" si="22">E27-N27/Q27-AB27-Y27-O27-Z27-AA27</f>
      </c>
      <c r="J27" s="147">
        <f t="shared" ref="J27:J31" si="1">I27/E27</f>
      </c>
      <c r="K27" s="144">
        <f t="shared" ref="K27:K31" si="64">F27/1.2</f>
      </c>
      <c r="L27" s="148">
        <f t="shared" ref="L27:L31" si="40">(K27-E27)/K27</f>
      </c>
      <c r="M27" s="146">
        <f t="shared" ref="M27:M31" si="105">F27/1.2-E27</f>
      </c>
      <c r="N27" s="144">
        <f t="shared" ref="N27:N31" si="83">AD27+AH27</f>
      </c>
      <c r="O27" s="144">
        <f t="shared" ref="O27:O31" si="95">IFERROR(IF(A27="UK",8.95/P27,IF(A27="DE",7.75/P27,IF(A27="FR",14.25/P27,IF(A27="IT",15.25/P27,IF(A27="ES",19.25/P27,IF(A27="NL",16.75/P27,IF(A27="PL",14.05/P27,IF(A27="SE",18.25/P27,IF(A27="BE",14.25/P27))))))))),0)</f>
      </c>
      <c r="P27" s="142">
        <v>54</v>
      </c>
      <c r="Q27" s="149">
        <v>9</v>
      </c>
      <c r="R27" s="150">
        <f t="shared" ref="R27:R31" si="58">Y27/E27</f>
      </c>
      <c r="S27" s="147">
        <f t="shared" ref="S27:S31" si="111">Y27/F27</f>
      </c>
      <c r="T27" s="151">
        <f t="shared" ref="T27:T31" si="30">Z27/E27</f>
      </c>
      <c r="U27" s="150">
        <v>0.01</v>
      </c>
      <c r="V27" s="150">
        <f t="shared" ref="V27:V31" si="7">N27/(E27*Q27)</f>
      </c>
      <c r="W27" s="150">
        <f t="shared" ref="W27:W31" si="46">O27/E27</f>
      </c>
      <c r="X27" s="152">
        <v>0.158</v>
      </c>
      <c r="Y27" s="167">
        <v>3</v>
      </c>
      <c r="Z27" s="153">
        <v>0</v>
      </c>
      <c r="AA27" s="153">
        <f t="shared" ref="AA27:AA31" si="70">E27*U27</f>
      </c>
      <c r="AB27" s="144">
        <f t="shared" ref="AB27:AB31" si="143">E27*X27</f>
      </c>
      <c r="AC27" s="144">
        <v>25</v>
      </c>
      <c r="AD27" s="154">
        <f t="shared" ref="AD27:AD31" si="118">AC27/1.13</f>
      </c>
      <c r="AE27" s="149">
        <f>4.7/8.5</f>
      </c>
      <c r="AF27" s="150">
        <f t="shared" ref="AF27:AF31" si="13">AD27/(E27*Q27)</f>
      </c>
      <c r="AG27" s="150">
        <f t="shared" ref="AG27:AG31" si="52">AE27/Q27/E27</f>
      </c>
      <c r="AH27" s="149">
        <v>5</v>
      </c>
      <c r="AI27" s="150">
        <f>(K27-E27+AB27)/(K27-Z27)</f>
      </c>
      <c r="AJ27" s="150"/>
      <c r="AK27" s="150"/>
      <c r="AL27" s="150"/>
      <c r="AM27" s="150"/>
      <c r="AN27" s="155"/>
      <c r="AO27" s="155"/>
      <c r="AP27" s="155"/>
      <c r="AQ27" s="155"/>
      <c r="AR27" s="155"/>
      <c r="AS27" s="155"/>
      <c r="AT27" s="155" t="s">
        <v>342</v>
      </c>
      <c r="AU27" s="155" t="s">
        <v>342</v>
      </c>
      <c r="AV27" s="155" t="s">
        <v>342</v>
      </c>
      <c r="AW27" s="155" t="s">
        <v>342</v>
      </c>
      <c r="AX27" s="155" t="s">
        <v>342</v>
      </c>
      <c r="AY27" s="155" t="s">
        <v>342</v>
      </c>
      <c r="AZ27" s="155" t="s">
        <v>342</v>
      </c>
      <c r="BA27" s="155" t="s">
        <v>342</v>
      </c>
      <c r="BB27" s="155" t="s">
        <v>342</v>
      </c>
      <c r="BC27" s="155" t="s">
        <v>342</v>
      </c>
      <c r="BD27" s="155" t="s">
        <v>342</v>
      </c>
      <c r="BE27" s="155" t="s">
        <v>342</v>
      </c>
      <c r="BF27" s="155" t="s">
        <v>342</v>
      </c>
      <c r="BG27" s="155" t="s">
        <v>342</v>
      </c>
      <c r="BH27" s="155" t="s">
        <v>342</v>
      </c>
      <c r="BI27" s="155" t="s">
        <v>342</v>
      </c>
      <c r="BJ27" s="155" t="s">
        <v>342</v>
      </c>
      <c r="BK27" s="155" t="s">
        <v>342</v>
      </c>
      <c r="BL27" s="155" t="s">
        <v>342</v>
      </c>
      <c r="BM27" s="155" t="s">
        <v>342</v>
      </c>
      <c r="BN27" s="155" t="s">
        <v>342</v>
      </c>
      <c r="BO27" s="155" t="s">
        <v>342</v>
      </c>
      <c r="BP27" s="155" t="s">
        <v>342</v>
      </c>
      <c r="BQ27" s="155" t="s">
        <v>342</v>
      </c>
      <c r="BR27" s="156">
        <f t="shared" ref="BR27:BR31" si="78">IF(E27&lt;#REF!,1,0)</f>
      </c>
      <c r="BS27" s="142" t="str">
        <v>#VALUE!</v>
      </c>
    </row>
    <row customHeight="true" ht="17.777777777777775" r="28">
      <c r="A28" s="142" t="s">
        <v>351</v>
      </c>
      <c r="B28" s="142"/>
      <c r="C28" s="142"/>
      <c r="D28" s="174" t="s">
        <v>358</v>
      </c>
      <c r="E28" s="144">
        <v>11.7</v>
      </c>
      <c r="F28" s="145">
        <v>16.99</v>
      </c>
      <c r="G28" s="146">
        <f t="shared" si="127"/>
      </c>
      <c r="H28" s="146">
        <f t="shared" si="132"/>
      </c>
      <c r="I28" s="175">
        <f t="shared" si="22"/>
      </c>
      <c r="J28" s="147">
        <f t="shared" si="1"/>
      </c>
      <c r="K28" s="144">
        <f t="shared" si="64"/>
      </c>
      <c r="L28" s="148">
        <f t="shared" si="40"/>
      </c>
      <c r="M28" s="146">
        <f t="shared" si="105"/>
      </c>
      <c r="N28" s="144">
        <f t="shared" si="83"/>
      </c>
      <c r="O28" s="144">
        <f t="shared" si="95"/>
      </c>
      <c r="P28" s="142">
        <v>54</v>
      </c>
      <c r="Q28" s="149">
        <v>8</v>
      </c>
      <c r="R28" s="150">
        <f t="shared" si="58"/>
      </c>
      <c r="S28" s="147">
        <f t="shared" si="111"/>
      </c>
      <c r="T28" s="150">
        <f t="shared" si="30"/>
      </c>
      <c r="U28" s="150">
        <v>0.01</v>
      </c>
      <c r="V28" s="150">
        <f t="shared" si="7"/>
      </c>
      <c r="W28" s="150">
        <f t="shared" si="46"/>
      </c>
      <c r="X28" s="152">
        <v>0.1695</v>
      </c>
      <c r="Y28" s="167">
        <v>3</v>
      </c>
      <c r="Z28" s="153">
        <v>0</v>
      </c>
      <c r="AA28" s="153">
        <f t="shared" si="70"/>
      </c>
      <c r="AB28" s="144">
        <f t="shared" si="143"/>
      </c>
      <c r="AC28" s="144">
        <v>25</v>
      </c>
      <c r="AD28" s="154">
        <f t="shared" si="118"/>
      </c>
      <c r="AE28" s="149">
        <f t="shared" ref="AE28:AE31" si="123">4.1/7.4</f>
      </c>
      <c r="AF28" s="150">
        <f t="shared" si="13"/>
      </c>
      <c r="AG28" s="150">
        <f t="shared" si="52"/>
      </c>
      <c r="AH28" s="149">
        <v>5</v>
      </c>
      <c r="AI28" s="150">
        <f t="shared" ref="AI28:AI31" si="98">(K28-E28+AB28-Z28)/K28</f>
      </c>
      <c r="AJ28" s="150"/>
      <c r="AK28" s="150"/>
      <c r="AL28" s="150"/>
      <c r="AM28" s="150"/>
      <c r="AN28" s="155"/>
      <c r="AO28" s="155"/>
      <c r="AP28" s="155"/>
      <c r="AQ28" s="155"/>
      <c r="AR28" s="155"/>
      <c r="AS28" s="155"/>
      <c r="AT28" s="155" t="s">
        <v>342</v>
      </c>
      <c r="AU28" s="155" t="s">
        <v>342</v>
      </c>
      <c r="AV28" s="155" t="s">
        <v>342</v>
      </c>
      <c r="AW28" s="155" t="s">
        <v>342</v>
      </c>
      <c r="AX28" s="155" t="s">
        <v>342</v>
      </c>
      <c r="AY28" s="155" t="s">
        <v>342</v>
      </c>
      <c r="AZ28" s="155" t="s">
        <v>342</v>
      </c>
      <c r="BA28" s="155" t="s">
        <v>342</v>
      </c>
      <c r="BB28" s="155" t="s">
        <v>342</v>
      </c>
      <c r="BC28" s="155" t="s">
        <v>342</v>
      </c>
      <c r="BD28" s="155" t="s">
        <v>342</v>
      </c>
      <c r="BE28" s="155" t="s">
        <v>342</v>
      </c>
      <c r="BF28" s="155" t="s">
        <v>342</v>
      </c>
      <c r="BG28" s="155" t="s">
        <v>342</v>
      </c>
      <c r="BH28" s="155" t="s">
        <v>342</v>
      </c>
      <c r="BI28" s="155" t="s">
        <v>342</v>
      </c>
      <c r="BJ28" s="155" t="s">
        <v>342</v>
      </c>
      <c r="BK28" s="155" t="s">
        <v>342</v>
      </c>
      <c r="BL28" s="155" t="s">
        <v>342</v>
      </c>
      <c r="BM28" s="155" t="s">
        <v>342</v>
      </c>
      <c r="BN28" s="155" t="s">
        <v>342</v>
      </c>
      <c r="BO28" s="155" t="s">
        <v>342</v>
      </c>
      <c r="BP28" s="155" t="s">
        <v>342</v>
      </c>
      <c r="BQ28" s="155" t="s">
        <v>342</v>
      </c>
      <c r="BR28" s="156">
        <f t="shared" si="78"/>
      </c>
      <c r="BS28" s="142" t="str">
        <v>#VALUE!</v>
      </c>
    </row>
    <row customHeight="true" ht="17.777777777777775" r="29">
      <c r="A29" s="142" t="s">
        <v>354</v>
      </c>
      <c r="B29" s="142"/>
      <c r="C29" s="142"/>
      <c r="D29" s="174" t="s">
        <v>358</v>
      </c>
      <c r="E29" s="144">
        <v>11.7</v>
      </c>
      <c r="F29" s="145">
        <v>16.99</v>
      </c>
      <c r="G29" s="146">
        <f t="shared" si="127"/>
      </c>
      <c r="H29" s="146">
        <f t="shared" si="132"/>
      </c>
      <c r="I29" s="175">
        <f t="shared" si="22"/>
      </c>
      <c r="J29" s="147">
        <f t="shared" si="1"/>
      </c>
      <c r="K29" s="144">
        <f t="shared" si="64"/>
      </c>
      <c r="L29" s="148">
        <f t="shared" si="40"/>
      </c>
      <c r="M29" s="146">
        <f t="shared" si="105"/>
      </c>
      <c r="N29" s="144">
        <f t="shared" si="83"/>
      </c>
      <c r="O29" s="144">
        <f t="shared" si="95"/>
      </c>
      <c r="P29" s="142">
        <v>54</v>
      </c>
      <c r="Q29" s="149">
        <v>8</v>
      </c>
      <c r="R29" s="150">
        <f t="shared" si="58"/>
      </c>
      <c r="S29" s="147">
        <f t="shared" si="111"/>
      </c>
      <c r="T29" s="150">
        <f t="shared" si="30"/>
      </c>
      <c r="U29" s="150">
        <v>0.01</v>
      </c>
      <c r="V29" s="150">
        <f t="shared" si="7"/>
      </c>
      <c r="W29" s="150">
        <f t="shared" si="46"/>
      </c>
      <c r="X29" s="152">
        <v>0.198</v>
      </c>
      <c r="Y29" s="167">
        <v>3</v>
      </c>
      <c r="Z29" s="153">
        <v>0</v>
      </c>
      <c r="AA29" s="153">
        <f t="shared" si="70"/>
      </c>
      <c r="AB29" s="144">
        <f t="shared" si="143"/>
      </c>
      <c r="AC29" s="144">
        <v>25</v>
      </c>
      <c r="AD29" s="154">
        <f t="shared" si="118"/>
      </c>
      <c r="AE29" s="149">
        <f t="shared" si="123"/>
      </c>
      <c r="AF29" s="150">
        <f t="shared" si="13"/>
      </c>
      <c r="AG29" s="150">
        <f t="shared" si="52"/>
      </c>
      <c r="AH29" s="149">
        <v>5</v>
      </c>
      <c r="AI29" s="150">
        <f t="shared" si="98"/>
      </c>
      <c r="AJ29" s="150"/>
      <c r="AK29" s="150"/>
      <c r="AL29" s="150"/>
      <c r="AM29" s="150"/>
      <c r="AN29" s="155"/>
      <c r="AO29" s="155"/>
      <c r="AP29" s="155"/>
      <c r="AQ29" s="155"/>
      <c r="AR29" s="155"/>
      <c r="AS29" s="155"/>
      <c r="AT29" s="155" t="s">
        <v>342</v>
      </c>
      <c r="AU29" s="155" t="s">
        <v>342</v>
      </c>
      <c r="AV29" s="155" t="s">
        <v>342</v>
      </c>
      <c r="AW29" s="155" t="s">
        <v>342</v>
      </c>
      <c r="AX29" s="155" t="s">
        <v>342</v>
      </c>
      <c r="AY29" s="155" t="s">
        <v>342</v>
      </c>
      <c r="AZ29" s="155" t="s">
        <v>342</v>
      </c>
      <c r="BA29" s="155" t="s">
        <v>342</v>
      </c>
      <c r="BB29" s="155" t="s">
        <v>342</v>
      </c>
      <c r="BC29" s="155" t="s">
        <v>342</v>
      </c>
      <c r="BD29" s="155" t="s">
        <v>342</v>
      </c>
      <c r="BE29" s="155" t="s">
        <v>342</v>
      </c>
      <c r="BF29" s="155" t="s">
        <v>342</v>
      </c>
      <c r="BG29" s="155" t="s">
        <v>342</v>
      </c>
      <c r="BH29" s="155" t="s">
        <v>342</v>
      </c>
      <c r="BI29" s="155" t="s">
        <v>342</v>
      </c>
      <c r="BJ29" s="155" t="s">
        <v>342</v>
      </c>
      <c r="BK29" s="155" t="s">
        <v>342</v>
      </c>
      <c r="BL29" s="155" t="s">
        <v>342</v>
      </c>
      <c r="BM29" s="155" t="s">
        <v>342</v>
      </c>
      <c r="BN29" s="155" t="s">
        <v>342</v>
      </c>
      <c r="BO29" s="155" t="s">
        <v>342</v>
      </c>
      <c r="BP29" s="155" t="s">
        <v>342</v>
      </c>
      <c r="BQ29" s="155" t="s">
        <v>342</v>
      </c>
      <c r="BR29" s="156">
        <f t="shared" si="78"/>
      </c>
      <c r="BS29" s="142" t="str">
        <v>#VALUE!</v>
      </c>
    </row>
    <row customHeight="true" ht="17.777777777777775" r="30">
      <c r="A30" s="142" t="s">
        <v>355</v>
      </c>
      <c r="B30" s="142"/>
      <c r="C30" s="142"/>
      <c r="D30" s="174" t="s">
        <v>358</v>
      </c>
      <c r="E30" s="144">
        <v>11.7</v>
      </c>
      <c r="F30" s="145">
        <v>16.99</v>
      </c>
      <c r="G30" s="146">
        <f t="shared" si="127"/>
      </c>
      <c r="H30" s="146">
        <f t="shared" si="132"/>
      </c>
      <c r="I30" s="175">
        <f t="shared" si="22"/>
      </c>
      <c r="J30" s="147">
        <f t="shared" si="1"/>
      </c>
      <c r="K30" s="144">
        <f t="shared" si="64"/>
      </c>
      <c r="L30" s="148">
        <f t="shared" si="40"/>
      </c>
      <c r="M30" s="146">
        <f t="shared" si="105"/>
      </c>
      <c r="N30" s="144">
        <f t="shared" si="83"/>
      </c>
      <c r="O30" s="144">
        <f t="shared" si="95"/>
      </c>
      <c r="P30" s="142">
        <v>54</v>
      </c>
      <c r="Q30" s="149">
        <v>8</v>
      </c>
      <c r="R30" s="150">
        <f t="shared" si="58"/>
      </c>
      <c r="S30" s="147">
        <f t="shared" si="111"/>
      </c>
      <c r="T30" s="150">
        <f t="shared" si="30"/>
      </c>
      <c r="U30" s="150">
        <v>0.01</v>
      </c>
      <c r="V30" s="150">
        <f t="shared" si="7"/>
      </c>
      <c r="W30" s="150">
        <f t="shared" si="46"/>
      </c>
      <c r="X30" s="152">
        <v>0.1846</v>
      </c>
      <c r="Y30" s="167">
        <v>3</v>
      </c>
      <c r="Z30" s="153">
        <v>0</v>
      </c>
      <c r="AA30" s="153">
        <f t="shared" si="70"/>
      </c>
      <c r="AB30" s="144">
        <f t="shared" si="143"/>
      </c>
      <c r="AC30" s="144">
        <v>25</v>
      </c>
      <c r="AD30" s="154">
        <f t="shared" si="118"/>
      </c>
      <c r="AE30" s="149">
        <f t="shared" si="123"/>
      </c>
      <c r="AF30" s="150">
        <f t="shared" si="13"/>
      </c>
      <c r="AG30" s="150">
        <f t="shared" si="52"/>
      </c>
      <c r="AH30" s="149">
        <v>5</v>
      </c>
      <c r="AI30" s="150">
        <f t="shared" si="98"/>
      </c>
      <c r="AJ30" s="150"/>
      <c r="AK30" s="150"/>
      <c r="AL30" s="150"/>
      <c r="AM30" s="150"/>
      <c r="AN30" s="155"/>
      <c r="AO30" s="155"/>
      <c r="AP30" s="155"/>
      <c r="AQ30" s="155"/>
      <c r="AR30" s="155"/>
      <c r="AS30" s="155"/>
      <c r="AT30" s="155" t="s">
        <v>342</v>
      </c>
      <c r="AU30" s="155" t="s">
        <v>342</v>
      </c>
      <c r="AV30" s="155" t="s">
        <v>342</v>
      </c>
      <c r="AW30" s="155" t="s">
        <v>342</v>
      </c>
      <c r="AX30" s="155" t="s">
        <v>342</v>
      </c>
      <c r="AY30" s="155" t="s">
        <v>342</v>
      </c>
      <c r="AZ30" s="155" t="s">
        <v>342</v>
      </c>
      <c r="BA30" s="155" t="s">
        <v>342</v>
      </c>
      <c r="BB30" s="155" t="s">
        <v>342</v>
      </c>
      <c r="BC30" s="155" t="s">
        <v>342</v>
      </c>
      <c r="BD30" s="155" t="s">
        <v>342</v>
      </c>
      <c r="BE30" s="155" t="s">
        <v>342</v>
      </c>
      <c r="BF30" s="155" t="s">
        <v>342</v>
      </c>
      <c r="BG30" s="155" t="s">
        <v>342</v>
      </c>
      <c r="BH30" s="155" t="s">
        <v>342</v>
      </c>
      <c r="BI30" s="155" t="s">
        <v>342</v>
      </c>
      <c r="BJ30" s="155" t="s">
        <v>342</v>
      </c>
      <c r="BK30" s="155" t="s">
        <v>342</v>
      </c>
      <c r="BL30" s="155" t="s">
        <v>342</v>
      </c>
      <c r="BM30" s="155" t="s">
        <v>342</v>
      </c>
      <c r="BN30" s="155" t="s">
        <v>342</v>
      </c>
      <c r="BO30" s="155" t="s">
        <v>342</v>
      </c>
      <c r="BP30" s="155" t="s">
        <v>342</v>
      </c>
      <c r="BQ30" s="155" t="s">
        <v>342</v>
      </c>
      <c r="BR30" s="156">
        <f t="shared" si="78"/>
      </c>
      <c r="BS30" s="142" t="str">
        <v>#VALUE!</v>
      </c>
    </row>
    <row customHeight="true" ht="17.777777777777775" r="31">
      <c r="A31" s="142" t="s">
        <v>357</v>
      </c>
      <c r="B31" s="142"/>
      <c r="C31" s="142"/>
      <c r="D31" s="174" t="s">
        <v>358</v>
      </c>
      <c r="E31" s="144">
        <v>11.7</v>
      </c>
      <c r="F31" s="145">
        <v>16.99</v>
      </c>
      <c r="G31" s="146">
        <f t="shared" si="127"/>
      </c>
      <c r="H31" s="146">
        <f t="shared" si="132"/>
      </c>
      <c r="I31" s="175">
        <f t="shared" si="22"/>
      </c>
      <c r="J31" s="147">
        <f t="shared" si="1"/>
      </c>
      <c r="K31" s="144">
        <f t="shared" si="64"/>
      </c>
      <c r="L31" s="148">
        <f t="shared" si="40"/>
      </c>
      <c r="M31" s="146">
        <f t="shared" si="105"/>
      </c>
      <c r="N31" s="144">
        <f t="shared" si="83"/>
      </c>
      <c r="O31" s="144">
        <f t="shared" si="95"/>
      </c>
      <c r="P31" s="142">
        <v>54</v>
      </c>
      <c r="Q31" s="149">
        <v>8</v>
      </c>
      <c r="R31" s="150">
        <f t="shared" si="58"/>
      </c>
      <c r="S31" s="147">
        <f t="shared" si="111"/>
      </c>
      <c r="T31" s="150">
        <f t="shared" si="30"/>
      </c>
      <c r="U31" s="150">
        <v>0.01</v>
      </c>
      <c r="V31" s="150">
        <f t="shared" si="7"/>
      </c>
      <c r="W31" s="150">
        <f t="shared" si="46"/>
      </c>
      <c r="X31" s="152">
        <v>0.1646</v>
      </c>
      <c r="Y31" s="167">
        <v>3</v>
      </c>
      <c r="Z31" s="153">
        <v>0</v>
      </c>
      <c r="AA31" s="153">
        <f t="shared" si="70"/>
      </c>
      <c r="AB31" s="144">
        <f t="shared" si="143"/>
      </c>
      <c r="AC31" s="144">
        <v>25</v>
      </c>
      <c r="AD31" s="154">
        <f t="shared" si="118"/>
      </c>
      <c r="AE31" s="149">
        <f t="shared" si="123"/>
      </c>
      <c r="AF31" s="150">
        <f t="shared" si="13"/>
      </c>
      <c r="AG31" s="150">
        <f t="shared" si="52"/>
      </c>
      <c r="AH31" s="149">
        <v>5</v>
      </c>
      <c r="AI31" s="150">
        <f t="shared" si="98"/>
      </c>
      <c r="AJ31" s="150"/>
      <c r="AK31" s="150"/>
      <c r="AL31" s="150"/>
      <c r="AM31" s="150"/>
      <c r="AN31" s="155"/>
      <c r="AO31" s="155"/>
      <c r="AP31" s="155"/>
      <c r="AQ31" s="155"/>
      <c r="AR31" s="155"/>
      <c r="AS31" s="155"/>
      <c r="AT31" s="155" t="s">
        <v>342</v>
      </c>
      <c r="AU31" s="155" t="s">
        <v>342</v>
      </c>
      <c r="AV31" s="155" t="s">
        <v>342</v>
      </c>
      <c r="AW31" s="155" t="s">
        <v>342</v>
      </c>
      <c r="AX31" s="155" t="s">
        <v>342</v>
      </c>
      <c r="AY31" s="155" t="s">
        <v>342</v>
      </c>
      <c r="AZ31" s="155" t="s">
        <v>342</v>
      </c>
      <c r="BA31" s="155" t="s">
        <v>342</v>
      </c>
      <c r="BB31" s="155" t="s">
        <v>342</v>
      </c>
      <c r="BC31" s="155" t="s">
        <v>342</v>
      </c>
      <c r="BD31" s="155" t="s">
        <v>342</v>
      </c>
      <c r="BE31" s="155" t="s">
        <v>342</v>
      </c>
      <c r="BF31" s="155" t="s">
        <v>342</v>
      </c>
      <c r="BG31" s="155" t="s">
        <v>342</v>
      </c>
      <c r="BH31" s="155" t="s">
        <v>342</v>
      </c>
      <c r="BI31" s="155" t="s">
        <v>342</v>
      </c>
      <c r="BJ31" s="155" t="s">
        <v>342</v>
      </c>
      <c r="BK31" s="155" t="s">
        <v>342</v>
      </c>
      <c r="BL31" s="155" t="s">
        <v>342</v>
      </c>
      <c r="BM31" s="155" t="s">
        <v>342</v>
      </c>
      <c r="BN31" s="155" t="s">
        <v>342</v>
      </c>
      <c r="BO31" s="155" t="s">
        <v>342</v>
      </c>
      <c r="BP31" s="155" t="s">
        <v>342</v>
      </c>
      <c r="BQ31" s="155" t="s">
        <v>342</v>
      </c>
      <c r="BR31" s="156">
        <f t="shared" si="78"/>
      </c>
      <c r="BS31" s="142" t="str">
        <v>#VALUE!</v>
      </c>
    </row>
    <row customHeight="true" ht="17.777777777777775" r="32">
      <c r="A32" s="142"/>
      <c r="B32" s="142"/>
      <c r="C32" s="142"/>
      <c r="D32" s="143"/>
      <c r="E32" s="144"/>
      <c r="F32" s="145"/>
      <c r="G32" s="146"/>
      <c r="H32" s="146"/>
      <c r="I32" s="146"/>
      <c r="J32" s="147"/>
      <c r="K32" s="144"/>
      <c r="L32" s="148"/>
      <c r="M32" s="146"/>
      <c r="N32" s="144"/>
      <c r="O32" s="144"/>
      <c r="P32" s="142"/>
      <c r="Q32" s="149"/>
      <c r="R32" s="150"/>
      <c r="S32" s="147"/>
      <c r="T32" s="150"/>
      <c r="U32" s="150"/>
      <c r="V32" s="150"/>
      <c r="W32" s="150"/>
      <c r="X32" s="152"/>
      <c r="Y32" s="153"/>
      <c r="Z32" s="153"/>
      <c r="AA32" s="153"/>
      <c r="AB32" s="144"/>
      <c r="AC32" s="144"/>
      <c r="AD32" s="154"/>
      <c r="AE32" s="149"/>
      <c r="AF32" s="150"/>
      <c r="AG32" s="150"/>
      <c r="AH32" s="149"/>
      <c r="AI32" s="150"/>
      <c r="AJ32" s="150"/>
      <c r="AK32" s="150"/>
      <c r="AL32" s="150"/>
      <c r="AM32" s="150"/>
      <c r="AN32" s="155"/>
      <c r="AO32" s="155"/>
      <c r="AP32" s="155"/>
      <c r="AQ32" s="155"/>
      <c r="AR32" s="155"/>
      <c r="AS32" s="155"/>
      <c r="AT32" s="155"/>
      <c r="AU32" s="155"/>
      <c r="AV32" s="155"/>
      <c r="AW32" s="155"/>
      <c r="AX32" s="155"/>
      <c r="AY32" s="155"/>
      <c r="AZ32" s="155"/>
      <c r="BA32" s="155"/>
      <c r="BB32" s="155"/>
      <c r="BC32" s="155"/>
      <c r="BD32" s="155"/>
      <c r="BE32" s="155"/>
      <c r="BF32" s="155"/>
      <c r="BG32" s="155"/>
      <c r="BH32" s="155"/>
      <c r="BI32" s="155"/>
      <c r="BJ32" s="155"/>
      <c r="BK32" s="155"/>
      <c r="BL32" s="155"/>
      <c r="BM32" s="155"/>
      <c r="BN32" s="155"/>
      <c r="BO32" s="155"/>
      <c r="BP32" s="155"/>
      <c r="BQ32" s="155"/>
      <c r="BR32" s="156"/>
      <c r="BS32" s="142"/>
    </row>
    <row customHeight="true" ht="17.777777777777775" r="33">
      <c r="A33" s="142" t="s">
        <v>359</v>
      </c>
      <c r="B33" s="142" t="s">
        <v>352</v>
      </c>
      <c r="C33" s="142" t="s">
        <v>353</v>
      </c>
      <c r="D33" s="143" t="s">
        <v>360</v>
      </c>
      <c r="E33" s="144">
        <v>15.18</v>
      </c>
      <c r="F33" s="145">
        <v>21.99</v>
      </c>
      <c r="G33" s="146">
        <f t="shared" ref="G33:G39" si="128">(F33-Z33)</f>
      </c>
      <c r="H33" s="146">
        <f t="shared" ref="H33:H36" si="133">(F33-Z33)/1.2</f>
      </c>
      <c r="I33" s="146">
        <f t="shared" ref="I33:I36" si="23">E33-N33/Q33-AB33-Y33-O33-Z33-AA33</f>
      </c>
      <c r="J33" s="147">
        <f t="shared" ref="J33:J36" si="2">I33/E33</f>
      </c>
      <c r="K33" s="144">
        <f t="shared" ref="K33:K36" si="65">F33/1.2</f>
      </c>
      <c r="L33" s="148">
        <f t="shared" ref="L33:L36" si="41">(K33-E33)/K33</f>
      </c>
      <c r="M33" s="146">
        <f t="shared" ref="M33:M36" si="106">F33/1.2-E33</f>
      </c>
      <c r="N33" s="144">
        <f t="shared" ref="N33:N36" si="84">AD33+AH33</f>
      </c>
      <c r="O33" s="144">
        <f t="shared" ref="O33:O36" si="96">IFERROR(IF(A33="UK",8.95/P33,IF(A33="DE",7.75/P33,IF(A33="FR",14.25/P33,IF(A33="IT",15.25/P33,IF(A33="ES",19.25/P33,IF(A33="NL",16.75/P33,IF(A33="PL",14.05/P33,IF(A33="SE",18.25/P33,IF(A33="BE",14.25/P33))))))))),0)</f>
      </c>
      <c r="P33" s="142">
        <v>54</v>
      </c>
      <c r="Q33" s="149">
        <v>8</v>
      </c>
      <c r="R33" s="150">
        <v>0.1</v>
      </c>
      <c r="S33" s="147">
        <f t="shared" ref="S33:S36" si="112">Y33/F33</f>
      </c>
      <c r="T33" s="150">
        <v>0.05</v>
      </c>
      <c r="U33" s="150">
        <v>0.01</v>
      </c>
      <c r="V33" s="150">
        <f t="shared" ref="V33:V36" si="8">N33/(E33*Q33)</f>
      </c>
      <c r="W33" s="150">
        <f t="shared" ref="W33:W36" si="47">O33/E33</f>
      </c>
      <c r="X33" s="152">
        <v>0.158</v>
      </c>
      <c r="Y33" s="153">
        <v>0</v>
      </c>
      <c r="Z33" s="153">
        <v>0</v>
      </c>
      <c r="AA33" s="153">
        <f t="shared" ref="AA33:AA36" si="71">E33*U33</f>
      </c>
      <c r="AB33" s="144">
        <f t="shared" ref="AB33:AB36" si="144">E33*X33</f>
      </c>
      <c r="AC33" s="144">
        <v>46</v>
      </c>
      <c r="AD33" s="154">
        <f t="shared" ref="AD33:AD36" si="119">AC33/1.13</f>
      </c>
      <c r="AE33" s="149">
        <f t="shared" ref="AE33:AE36" si="124">4.1/7.4</f>
      </c>
      <c r="AF33" s="150">
        <f t="shared" ref="AF33:AF36" si="14">AD33/(E33*Q33)</f>
      </c>
      <c r="AG33" s="150">
        <f t="shared" ref="AG33:AG36" si="53">AE33/Q33/E33</f>
      </c>
      <c r="AH33" s="149">
        <v>5</v>
      </c>
      <c r="AI33" s="150">
        <f t="shared" ref="AI33:AI36" si="99">(K33-E33+AB33-Z33)/K33</f>
      </c>
      <c r="AJ33" s="150"/>
      <c r="AK33" s="150"/>
      <c r="AL33" s="150"/>
      <c r="AM33" s="150"/>
      <c r="AN33" s="155"/>
      <c r="AO33" s="155"/>
      <c r="AP33" s="155"/>
      <c r="AQ33" s="155"/>
      <c r="AR33" s="155"/>
      <c r="AS33" s="155"/>
      <c r="AT33" s="155" t="s">
        <v>342</v>
      </c>
      <c r="AU33" s="155" t="s">
        <v>342</v>
      </c>
      <c r="AV33" s="155" t="s">
        <v>342</v>
      </c>
      <c r="AW33" s="155" t="s">
        <v>342</v>
      </c>
      <c r="AX33" s="155" t="s">
        <v>342</v>
      </c>
      <c r="AY33" s="155" t="s">
        <v>342</v>
      </c>
      <c r="AZ33" s="155" t="s">
        <v>342</v>
      </c>
      <c r="BA33" s="155" t="s">
        <v>342</v>
      </c>
      <c r="BB33" s="155" t="s">
        <v>342</v>
      </c>
      <c r="BC33" s="155" t="s">
        <v>342</v>
      </c>
      <c r="BD33" s="155" t="s">
        <v>342</v>
      </c>
      <c r="BE33" s="155" t="s">
        <v>342</v>
      </c>
      <c r="BF33" s="155" t="s">
        <v>342</v>
      </c>
      <c r="BG33" s="155" t="s">
        <v>342</v>
      </c>
      <c r="BH33" s="155" t="s">
        <v>342</v>
      </c>
      <c r="BI33" s="155" t="s">
        <v>342</v>
      </c>
      <c r="BJ33" s="155" t="s">
        <v>342</v>
      </c>
      <c r="BK33" s="155" t="s">
        <v>342</v>
      </c>
      <c r="BL33" s="155" t="s">
        <v>342</v>
      </c>
      <c r="BM33" s="155" t="s">
        <v>342</v>
      </c>
      <c r="BN33" s="155" t="s">
        <v>342</v>
      </c>
      <c r="BO33" s="155" t="s">
        <v>342</v>
      </c>
      <c r="BP33" s="155" t="s">
        <v>342</v>
      </c>
      <c r="BQ33" s="155" t="s">
        <v>342</v>
      </c>
      <c r="BR33" s="156">
        <f t="shared" ref="BR33:BR36" si="89">IF(#REF!&lt;E33,1,0)</f>
      </c>
      <c r="BS33" s="142" t="str">
        <v>#VALUE!</v>
      </c>
    </row>
    <row customHeight="true" ht="17.777777777777775" r="34">
      <c r="A34" s="142" t="s">
        <v>361</v>
      </c>
      <c r="B34" s="142" t="s">
        <v>352</v>
      </c>
      <c r="C34" s="142" t="s">
        <v>353</v>
      </c>
      <c r="D34" s="143" t="s">
        <v>362</v>
      </c>
      <c r="E34" s="144">
        <v>13.5</v>
      </c>
      <c r="F34" s="145">
        <v>21.99</v>
      </c>
      <c r="G34" s="146">
        <f t="shared" si="128"/>
      </c>
      <c r="H34" s="146">
        <f t="shared" si="133"/>
      </c>
      <c r="I34" s="146">
        <f t="shared" si="23"/>
      </c>
      <c r="J34" s="147">
        <f t="shared" si="2"/>
      </c>
      <c r="K34" s="144">
        <f t="shared" si="65"/>
      </c>
      <c r="L34" s="148">
        <f t="shared" si="41"/>
      </c>
      <c r="M34" s="146">
        <f t="shared" si="106"/>
      </c>
      <c r="N34" s="144">
        <f t="shared" si="84"/>
      </c>
      <c r="O34" s="144">
        <f t="shared" si="96"/>
      </c>
      <c r="P34" s="142">
        <v>54</v>
      </c>
      <c r="Q34" s="149">
        <v>8</v>
      </c>
      <c r="R34" s="150">
        <v>0.1</v>
      </c>
      <c r="S34" s="147">
        <f t="shared" si="112"/>
      </c>
      <c r="T34" s="150">
        <v>0.05</v>
      </c>
      <c r="U34" s="150">
        <v>0.01</v>
      </c>
      <c r="V34" s="150">
        <f t="shared" si="8"/>
      </c>
      <c r="W34" s="150">
        <f t="shared" si="47"/>
      </c>
      <c r="X34" s="152">
        <v>0.158</v>
      </c>
      <c r="Y34" s="153">
        <v>0</v>
      </c>
      <c r="Z34" s="153">
        <v>0</v>
      </c>
      <c r="AA34" s="153">
        <f t="shared" si="71"/>
      </c>
      <c r="AB34" s="144">
        <f t="shared" si="144"/>
      </c>
      <c r="AC34" s="144">
        <v>46</v>
      </c>
      <c r="AD34" s="154">
        <f t="shared" si="119"/>
      </c>
      <c r="AE34" s="149">
        <f t="shared" si="124"/>
      </c>
      <c r="AF34" s="150">
        <f t="shared" si="14"/>
      </c>
      <c r="AG34" s="150">
        <f t="shared" si="53"/>
      </c>
      <c r="AH34" s="149">
        <v>5</v>
      </c>
      <c r="AI34" s="150">
        <f t="shared" si="99"/>
      </c>
      <c r="AJ34" s="150"/>
      <c r="AK34" s="150"/>
      <c r="AL34" s="150"/>
      <c r="AM34" s="150"/>
      <c r="AN34" s="155"/>
      <c r="AO34" s="155"/>
      <c r="AP34" s="155"/>
      <c r="AQ34" s="155"/>
      <c r="AR34" s="155"/>
      <c r="AS34" s="155"/>
      <c r="AT34" s="155" t="s">
        <v>342</v>
      </c>
      <c r="AU34" s="155" t="s">
        <v>342</v>
      </c>
      <c r="AV34" s="155" t="s">
        <v>342</v>
      </c>
      <c r="AW34" s="155" t="s">
        <v>342</v>
      </c>
      <c r="AX34" s="155" t="s">
        <v>342</v>
      </c>
      <c r="AY34" s="155" t="s">
        <v>342</v>
      </c>
      <c r="AZ34" s="155" t="s">
        <v>342</v>
      </c>
      <c r="BA34" s="155" t="s">
        <v>342</v>
      </c>
      <c r="BB34" s="155" t="s">
        <v>342</v>
      </c>
      <c r="BC34" s="155" t="s">
        <v>342</v>
      </c>
      <c r="BD34" s="155" t="s">
        <v>342</v>
      </c>
      <c r="BE34" s="155" t="s">
        <v>342</v>
      </c>
      <c r="BF34" s="155" t="s">
        <v>342</v>
      </c>
      <c r="BG34" s="155" t="s">
        <v>342</v>
      </c>
      <c r="BH34" s="155" t="s">
        <v>342</v>
      </c>
      <c r="BI34" s="155" t="s">
        <v>342</v>
      </c>
      <c r="BJ34" s="155" t="s">
        <v>342</v>
      </c>
      <c r="BK34" s="155" t="s">
        <v>342</v>
      </c>
      <c r="BL34" s="155" t="s">
        <v>342</v>
      </c>
      <c r="BM34" s="155" t="s">
        <v>342</v>
      </c>
      <c r="BN34" s="155" t="s">
        <v>342</v>
      </c>
      <c r="BO34" s="155" t="s">
        <v>342</v>
      </c>
      <c r="BP34" s="155" t="s">
        <v>342</v>
      </c>
      <c r="BQ34" s="155" t="s">
        <v>342</v>
      </c>
      <c r="BR34" s="156">
        <f t="shared" si="89"/>
      </c>
      <c r="BS34" s="142" t="str">
        <v>#VALUE!</v>
      </c>
    </row>
    <row customHeight="true" ht="17.777777777777775" r="35">
      <c r="A35" s="142" t="s">
        <v>363</v>
      </c>
      <c r="B35" s="142" t="s">
        <v>352</v>
      </c>
      <c r="C35" s="142" t="s">
        <v>353</v>
      </c>
      <c r="D35" s="143" t="s">
        <v>364</v>
      </c>
      <c r="E35" s="144">
        <v>15.18</v>
      </c>
      <c r="F35" s="145">
        <v>21.99</v>
      </c>
      <c r="G35" s="146">
        <f t="shared" si="128"/>
      </c>
      <c r="H35" s="146">
        <f t="shared" si="133"/>
      </c>
      <c r="I35" s="146">
        <f t="shared" si="23"/>
      </c>
      <c r="J35" s="147">
        <f t="shared" si="2"/>
      </c>
      <c r="K35" s="144">
        <f t="shared" si="65"/>
      </c>
      <c r="L35" s="148">
        <f t="shared" si="41"/>
      </c>
      <c r="M35" s="146">
        <f t="shared" si="106"/>
      </c>
      <c r="N35" s="144">
        <f t="shared" si="84"/>
      </c>
      <c r="O35" s="144">
        <f t="shared" si="96"/>
      </c>
      <c r="P35" s="142">
        <v>54</v>
      </c>
      <c r="Q35" s="149">
        <v>8</v>
      </c>
      <c r="R35" s="150">
        <v>0.1</v>
      </c>
      <c r="S35" s="147">
        <f t="shared" si="112"/>
      </c>
      <c r="T35" s="150">
        <v>0.05</v>
      </c>
      <c r="U35" s="150">
        <v>0.01</v>
      </c>
      <c r="V35" s="150">
        <f t="shared" si="8"/>
      </c>
      <c r="W35" s="150">
        <f t="shared" si="47"/>
      </c>
      <c r="X35" s="152">
        <v>0.223</v>
      </c>
      <c r="Y35" s="153">
        <v>0</v>
      </c>
      <c r="Z35" s="153">
        <v>0</v>
      </c>
      <c r="AA35" s="153">
        <f t="shared" si="71"/>
      </c>
      <c r="AB35" s="144">
        <f t="shared" si="144"/>
      </c>
      <c r="AC35" s="144">
        <v>46</v>
      </c>
      <c r="AD35" s="154">
        <f t="shared" si="119"/>
      </c>
      <c r="AE35" s="149">
        <f t="shared" si="124"/>
      </c>
      <c r="AF35" s="150">
        <f t="shared" si="14"/>
      </c>
      <c r="AG35" s="150">
        <f t="shared" si="53"/>
      </c>
      <c r="AH35" s="149">
        <v>5</v>
      </c>
      <c r="AI35" s="150">
        <f t="shared" si="99"/>
      </c>
      <c r="AJ35" s="150"/>
      <c r="AK35" s="150"/>
      <c r="AL35" s="150"/>
      <c r="AM35" s="150"/>
      <c r="AN35" s="155"/>
      <c r="AO35" s="155"/>
      <c r="AP35" s="155"/>
      <c r="AQ35" s="155"/>
      <c r="AR35" s="155"/>
      <c r="AS35" s="155"/>
      <c r="AT35" s="155" t="s">
        <v>342</v>
      </c>
      <c r="AU35" s="155" t="s">
        <v>342</v>
      </c>
      <c r="AV35" s="155" t="s">
        <v>342</v>
      </c>
      <c r="AW35" s="155" t="s">
        <v>342</v>
      </c>
      <c r="AX35" s="155" t="s">
        <v>342</v>
      </c>
      <c r="AY35" s="155" t="s">
        <v>342</v>
      </c>
      <c r="AZ35" s="155" t="s">
        <v>342</v>
      </c>
      <c r="BA35" s="155" t="s">
        <v>342</v>
      </c>
      <c r="BB35" s="155" t="s">
        <v>342</v>
      </c>
      <c r="BC35" s="155" t="s">
        <v>342</v>
      </c>
      <c r="BD35" s="155" t="s">
        <v>342</v>
      </c>
      <c r="BE35" s="155" t="s">
        <v>342</v>
      </c>
      <c r="BF35" s="155" t="s">
        <v>342</v>
      </c>
      <c r="BG35" s="155" t="s">
        <v>342</v>
      </c>
      <c r="BH35" s="155" t="s">
        <v>342</v>
      </c>
      <c r="BI35" s="155" t="s">
        <v>342</v>
      </c>
      <c r="BJ35" s="155" t="s">
        <v>342</v>
      </c>
      <c r="BK35" s="155" t="s">
        <v>342</v>
      </c>
      <c r="BL35" s="155" t="s">
        <v>342</v>
      </c>
      <c r="BM35" s="155" t="s">
        <v>342</v>
      </c>
      <c r="BN35" s="155" t="s">
        <v>342</v>
      </c>
      <c r="BO35" s="155" t="s">
        <v>342</v>
      </c>
      <c r="BP35" s="155" t="s">
        <v>342</v>
      </c>
      <c r="BQ35" s="155" t="s">
        <v>342</v>
      </c>
      <c r="BR35" s="156">
        <f t="shared" si="89"/>
      </c>
      <c r="BS35" s="142" t="str">
        <v>#VALUE!</v>
      </c>
    </row>
    <row customHeight="true" ht="17.777777777777775" r="36">
      <c r="A36" s="142" t="s">
        <v>365</v>
      </c>
      <c r="B36" s="142" t="s">
        <v>352</v>
      </c>
      <c r="C36" s="142" t="s">
        <v>353</v>
      </c>
      <c r="D36" s="143" t="s">
        <v>366</v>
      </c>
      <c r="E36" s="144">
        <v>15.18</v>
      </c>
      <c r="F36" s="145">
        <v>21.99</v>
      </c>
      <c r="G36" s="146">
        <f t="shared" si="128"/>
      </c>
      <c r="H36" s="146">
        <f t="shared" si="133"/>
      </c>
      <c r="I36" s="146">
        <f t="shared" si="23"/>
      </c>
      <c r="J36" s="147">
        <f t="shared" si="2"/>
      </c>
      <c r="K36" s="144">
        <f t="shared" si="65"/>
      </c>
      <c r="L36" s="148">
        <f t="shared" si="41"/>
      </c>
      <c r="M36" s="146">
        <f t="shared" si="106"/>
      </c>
      <c r="N36" s="144">
        <f t="shared" si="84"/>
      </c>
      <c r="O36" s="144">
        <f t="shared" si="96"/>
      </c>
      <c r="P36" s="142">
        <v>54</v>
      </c>
      <c r="Q36" s="149">
        <v>8</v>
      </c>
      <c r="R36" s="150">
        <v>0.1</v>
      </c>
      <c r="S36" s="147">
        <f t="shared" si="112"/>
      </c>
      <c r="T36" s="150">
        <v>0.05</v>
      </c>
      <c r="U36" s="150">
        <v>0.01</v>
      </c>
      <c r="V36" s="150">
        <f t="shared" si="8"/>
      </c>
      <c r="W36" s="150">
        <f t="shared" si="47"/>
      </c>
      <c r="X36" s="152">
        <v>0.158</v>
      </c>
      <c r="Y36" s="153">
        <v>0</v>
      </c>
      <c r="Z36" s="153">
        <v>0</v>
      </c>
      <c r="AA36" s="153">
        <f t="shared" si="71"/>
      </c>
      <c r="AB36" s="144">
        <f t="shared" si="144"/>
      </c>
      <c r="AC36" s="144">
        <v>46</v>
      </c>
      <c r="AD36" s="154">
        <f t="shared" si="119"/>
      </c>
      <c r="AE36" s="149">
        <f t="shared" si="124"/>
      </c>
      <c r="AF36" s="150">
        <f t="shared" si="14"/>
      </c>
      <c r="AG36" s="150">
        <f t="shared" si="53"/>
      </c>
      <c r="AH36" s="149">
        <v>5</v>
      </c>
      <c r="AI36" s="150">
        <f t="shared" si="99"/>
      </c>
      <c r="AJ36" s="150"/>
      <c r="AK36" s="150"/>
      <c r="AL36" s="150"/>
      <c r="AM36" s="150"/>
      <c r="AN36" s="155"/>
      <c r="AO36" s="155"/>
      <c r="AP36" s="155"/>
      <c r="AQ36" s="155"/>
      <c r="AR36" s="155"/>
      <c r="AS36" s="155"/>
      <c r="AT36" s="155" t="s">
        <v>342</v>
      </c>
      <c r="AU36" s="155" t="s">
        <v>342</v>
      </c>
      <c r="AV36" s="155" t="s">
        <v>342</v>
      </c>
      <c r="AW36" s="155" t="s">
        <v>342</v>
      </c>
      <c r="AX36" s="155" t="s">
        <v>342</v>
      </c>
      <c r="AY36" s="155" t="s">
        <v>342</v>
      </c>
      <c r="AZ36" s="155" t="s">
        <v>342</v>
      </c>
      <c r="BA36" s="155" t="s">
        <v>342</v>
      </c>
      <c r="BB36" s="155" t="s">
        <v>342</v>
      </c>
      <c r="BC36" s="155" t="s">
        <v>342</v>
      </c>
      <c r="BD36" s="155" t="s">
        <v>342</v>
      </c>
      <c r="BE36" s="155" t="s">
        <v>342</v>
      </c>
      <c r="BF36" s="155" t="s">
        <v>342</v>
      </c>
      <c r="BG36" s="155" t="s">
        <v>342</v>
      </c>
      <c r="BH36" s="155" t="s">
        <v>342</v>
      </c>
      <c r="BI36" s="155" t="s">
        <v>342</v>
      </c>
      <c r="BJ36" s="155" t="s">
        <v>342</v>
      </c>
      <c r="BK36" s="155" t="s">
        <v>342</v>
      </c>
      <c r="BL36" s="155" t="s">
        <v>342</v>
      </c>
      <c r="BM36" s="155" t="s">
        <v>342</v>
      </c>
      <c r="BN36" s="155" t="s">
        <v>342</v>
      </c>
      <c r="BO36" s="155" t="s">
        <v>342</v>
      </c>
      <c r="BP36" s="155" t="s">
        <v>342</v>
      </c>
      <c r="BQ36" s="155" t="s">
        <v>342</v>
      </c>
      <c r="BR36" s="156">
        <f t="shared" si="89"/>
      </c>
      <c r="BS36" s="142" t="str">
        <v>#VALUE!</v>
      </c>
    </row>
    <row customHeight="true" ht="17.037037037037035" r="37">
      <c r="A37" s="177"/>
      <c r="B37" s="177"/>
      <c r="C37" s="177"/>
      <c r="D37" s="177"/>
      <c r="E37" s="177"/>
      <c r="F37" s="177"/>
      <c r="G37" s="146">
        <f t="shared" si="128"/>
      </c>
      <c r="H37" s="177"/>
      <c r="I37" s="177"/>
      <c r="J37" s="177"/>
      <c r="K37" s="177"/>
      <c r="L37" s="177"/>
      <c r="M37" s="177"/>
      <c r="N37" s="144"/>
      <c r="O37" s="177"/>
      <c r="P37" s="177"/>
      <c r="Q37" s="177"/>
      <c r="R37" s="177"/>
      <c r="S37" s="177"/>
      <c r="T37" s="177"/>
      <c r="U37" s="177"/>
      <c r="V37" s="177"/>
      <c r="W37" s="177"/>
      <c r="X37" s="177"/>
      <c r="Y37" s="177"/>
      <c r="Z37" s="177"/>
      <c r="AA37" s="177"/>
      <c r="AB37" s="177"/>
      <c r="AC37" s="177"/>
      <c r="AD37" s="177"/>
      <c r="AE37" s="178"/>
      <c r="AF37" s="177"/>
      <c r="AG37" s="150"/>
      <c r="AH37" s="177"/>
      <c r="AI37" s="150"/>
      <c r="AJ37" s="177"/>
      <c r="AK37" s="177"/>
      <c r="AL37" s="177"/>
      <c r="AM37" s="177"/>
      <c r="AN37" s="177"/>
      <c r="AO37" s="177"/>
      <c r="AP37" s="177"/>
      <c r="AQ37" s="177"/>
      <c r="AR37" s="177"/>
      <c r="AS37" s="177"/>
      <c r="AT37" s="177"/>
      <c r="AU37" s="177"/>
      <c r="AV37" s="177"/>
      <c r="AW37" s="177"/>
      <c r="AX37" s="177"/>
      <c r="AY37" s="177"/>
      <c r="AZ37" s="177"/>
      <c r="BA37" s="177"/>
      <c r="BB37" s="177"/>
      <c r="BC37" s="177"/>
      <c r="BD37" s="177"/>
      <c r="BE37" s="177"/>
      <c r="BF37" s="177"/>
      <c r="BG37" s="177"/>
      <c r="BH37" s="177"/>
      <c r="BI37" s="177"/>
      <c r="BJ37" s="177"/>
      <c r="BK37" s="177"/>
      <c r="BL37" s="177"/>
      <c r="BM37" s="177"/>
      <c r="BN37" s="177"/>
      <c r="BO37" s="177"/>
      <c r="BP37" s="177"/>
      <c r="BQ37" s="177"/>
      <c r="BR37" s="177"/>
      <c r="BS37" s="177" t="str">
        <v>#VALUE!</v>
      </c>
    </row>
    <row customHeight="true" ht="17.777777777777775" r="38">
      <c r="A38" s="142" t="s">
        <v>338</v>
      </c>
      <c r="B38" s="142" t="s">
        <v>367</v>
      </c>
      <c r="C38" s="142" t="s">
        <v>368</v>
      </c>
      <c r="D38" s="176" t="s">
        <v>369</v>
      </c>
      <c r="E38" s="144">
        <v>28</v>
      </c>
      <c r="F38" s="173">
        <v>39.99</v>
      </c>
      <c r="G38" s="146">
        <f t="shared" si="128"/>
      </c>
      <c r="H38" s="146">
        <f t="shared" ref="H38:H53" si="134">(F38-Z38)/1.2</f>
      </c>
      <c r="I38" s="175">
        <f t="shared" ref="I38:I45" si="24">E38-N38/Q38-AB38-Y38-O38-Z38-AA38</f>
      </c>
      <c r="J38" s="147">
        <f t="shared" ref="J38:J53" si="3">I38/E38</f>
      </c>
      <c r="K38" s="144">
        <f t="shared" ref="K38:K53" si="66">F38/1.2</f>
      </c>
      <c r="L38" s="148">
        <f t="shared" ref="L38:L53" si="42">(K38-E38)/K38</f>
      </c>
      <c r="M38" s="146">
        <f t="shared" ref="M38:M53" si="107">F38/1.2-E38</f>
      </c>
      <c r="N38" s="144">
        <f t="shared" ref="N38:N53" si="85">AD38+AH38</f>
      </c>
      <c r="O38" s="144">
        <f t="shared" ref="O38:O53" si="140">IFERROR(IF(A38="UK",8.95/P38,IF(A38="DE",11.43/P38,IF(A38="FR",15.27/P38,IF(A38="IT",16.34/P38,IF(A38="ES",20.62/P38,IF(A38="NL",12/P38,IF(A38="PL",15.06/P38,IF(A38="SE",18.5/P38,IF(A38="BE",15.27/P38))))))))),0)</f>
      </c>
      <c r="P38" s="142">
        <v>27</v>
      </c>
      <c r="Q38" s="149">
        <v>9</v>
      </c>
      <c r="R38" s="150">
        <f t="shared" ref="R38:R39" si="59">Y38/E38</f>
      </c>
      <c r="S38" s="147">
        <f t="shared" ref="S38:S48" si="113">Y38/F38</f>
      </c>
      <c r="T38" s="150">
        <f t="shared" ref="T38:T49" si="31">Z38/E38</f>
      </c>
      <c r="U38" s="150">
        <v>0.01</v>
      </c>
      <c r="V38" s="150">
        <f t="shared" ref="V38:V53" si="9">N38/(E38*Q38)</f>
      </c>
      <c r="W38" s="150">
        <f t="shared" ref="W38:W53" si="48">O38/E38</f>
      </c>
      <c r="X38" s="152">
        <v>0.178</v>
      </c>
      <c r="Y38" s="153">
        <v>0</v>
      </c>
      <c r="Z38" s="153">
        <v>6</v>
      </c>
      <c r="AA38" s="153">
        <f t="shared" ref="AA38:AA53" si="72">E38*U38</f>
      </c>
      <c r="AB38" s="144">
        <f t="shared" ref="AB38:AB53" si="145">E38*X38</f>
      </c>
      <c r="AC38" s="144">
        <v>87.5</v>
      </c>
      <c r="AD38" s="154">
        <f t="shared" ref="AD38:AD53" si="120">AC38/1.13</f>
      </c>
      <c r="AE38" s="149">
        <f t="shared" ref="AE38:AE53" si="18">AH38/Q38</f>
      </c>
      <c r="AF38" s="150">
        <f t="shared" ref="AF38:AF53" si="15">AD38/(E38*Q38)</f>
      </c>
      <c r="AG38" s="150">
        <f t="shared" ref="AG38:AG53" si="54">AE38/Q38/E38</f>
      </c>
      <c r="AH38" s="149">
        <v>8</v>
      </c>
      <c r="AI38" s="150">
        <f t="shared" ref="AI38:AI53" si="100">(K38-E38+AB38-Z38)/K38</f>
      </c>
      <c r="AJ38" s="150"/>
      <c r="AK38" s="150"/>
      <c r="AL38" s="150"/>
      <c r="AM38" s="150"/>
      <c r="AN38" s="155"/>
      <c r="AO38" s="155"/>
      <c r="AP38" s="155"/>
      <c r="AQ38" s="155"/>
      <c r="AR38" s="155"/>
      <c r="AS38" s="155"/>
      <c r="AT38" s="155" t="s">
        <v>342</v>
      </c>
      <c r="AU38" s="155" t="s">
        <v>342</v>
      </c>
      <c r="AV38" s="155" t="s">
        <v>342</v>
      </c>
      <c r="AW38" s="155" t="s">
        <v>342</v>
      </c>
      <c r="AX38" s="155" t="s">
        <v>342</v>
      </c>
      <c r="AY38" s="155" t="s">
        <v>342</v>
      </c>
      <c r="AZ38" s="155" t="s">
        <v>342</v>
      </c>
      <c r="BA38" s="155" t="s">
        <v>342</v>
      </c>
      <c r="BB38" s="155" t="s">
        <v>342</v>
      </c>
      <c r="BC38" s="155" t="s">
        <v>342</v>
      </c>
      <c r="BD38" s="155" t="s">
        <v>342</v>
      </c>
      <c r="BE38" s="155" t="s">
        <v>342</v>
      </c>
      <c r="BF38" s="155" t="s">
        <v>342</v>
      </c>
      <c r="BG38" s="155" t="s">
        <v>342</v>
      </c>
      <c r="BH38" s="155" t="s">
        <v>342</v>
      </c>
      <c r="BI38" s="155" t="s">
        <v>342</v>
      </c>
      <c r="BJ38" s="155" t="s">
        <v>342</v>
      </c>
      <c r="BK38" s="155" t="s">
        <v>342</v>
      </c>
      <c r="BL38" s="155" t="s">
        <v>342</v>
      </c>
      <c r="BM38" s="155" t="s">
        <v>342</v>
      </c>
      <c r="BN38" s="155" t="s">
        <v>342</v>
      </c>
      <c r="BO38" s="155" t="s">
        <v>342</v>
      </c>
      <c r="BP38" s="155" t="s">
        <v>342</v>
      </c>
      <c r="BQ38" s="155" t="s">
        <v>342</v>
      </c>
      <c r="BR38" s="156">
        <f>IF(#REF!&lt;E38,1,0)</f>
      </c>
      <c r="BS38" s="142" t="str">
        <v>#VALUE!</v>
      </c>
    </row>
    <row customHeight="true" ht="17.777777777777775" r="39">
      <c r="A39" s="142" t="s">
        <v>338</v>
      </c>
      <c r="B39" s="142" t="s">
        <v>367</v>
      </c>
      <c r="C39" s="142" t="s">
        <v>368</v>
      </c>
      <c r="D39" s="143" t="s">
        <v>369</v>
      </c>
      <c r="E39" s="144">
        <v>28</v>
      </c>
      <c r="F39" s="145">
        <v>39.99</v>
      </c>
      <c r="G39" s="146">
        <f t="shared" si="128"/>
      </c>
      <c r="H39" s="146">
        <f t="shared" si="134"/>
      </c>
      <c r="I39" s="175">
        <f t="shared" si="24"/>
      </c>
      <c r="J39" s="147">
        <f t="shared" si="3"/>
      </c>
      <c r="K39" s="144">
        <f t="shared" si="66"/>
      </c>
      <c r="L39" s="148">
        <f t="shared" si="42"/>
      </c>
      <c r="M39" s="146">
        <f t="shared" si="107"/>
      </c>
      <c r="N39" s="144">
        <f t="shared" si="85"/>
      </c>
      <c r="O39" s="144">
        <f t="shared" si="140"/>
      </c>
      <c r="P39" s="142">
        <v>27</v>
      </c>
      <c r="Q39" s="149">
        <v>9</v>
      </c>
      <c r="R39" s="150">
        <f t="shared" si="59"/>
      </c>
      <c r="S39" s="147">
        <f t="shared" si="113"/>
      </c>
      <c r="T39" s="150">
        <f t="shared" si="31"/>
      </c>
      <c r="U39" s="150">
        <v>0.01</v>
      </c>
      <c r="V39" s="150">
        <f t="shared" si="9"/>
      </c>
      <c r="W39" s="150">
        <f t="shared" si="48"/>
      </c>
      <c r="X39" s="152">
        <v>0.178</v>
      </c>
      <c r="Y39" s="153">
        <v>0</v>
      </c>
      <c r="Z39" s="153">
        <v>3.72</v>
      </c>
      <c r="AA39" s="153">
        <f t="shared" si="72"/>
      </c>
      <c r="AB39" s="144">
        <f t="shared" si="145"/>
      </c>
      <c r="AC39" s="144">
        <v>87.5</v>
      </c>
      <c r="AD39" s="154">
        <f t="shared" si="120"/>
      </c>
      <c r="AE39" s="149">
        <f t="shared" si="18"/>
      </c>
      <c r="AF39" s="150">
        <f t="shared" si="15"/>
      </c>
      <c r="AG39" s="150">
        <f t="shared" si="54"/>
      </c>
      <c r="AH39" s="149">
        <v>8</v>
      </c>
      <c r="AI39" s="150">
        <f t="shared" si="100"/>
      </c>
      <c r="AJ39" s="150"/>
      <c r="AK39" s="150"/>
      <c r="AL39" s="150"/>
      <c r="AM39" s="150"/>
      <c r="AN39" s="155"/>
      <c r="AO39" s="155"/>
      <c r="AP39" s="155"/>
      <c r="AQ39" s="155"/>
      <c r="AR39" s="155"/>
      <c r="AS39" s="155"/>
      <c r="AT39" s="155" t="s">
        <v>342</v>
      </c>
      <c r="AU39" s="155" t="s">
        <v>342</v>
      </c>
      <c r="AV39" s="155" t="s">
        <v>342</v>
      </c>
      <c r="AW39" s="155" t="s">
        <v>342</v>
      </c>
      <c r="AX39" s="155" t="s">
        <v>342</v>
      </c>
      <c r="AY39" s="155" t="s">
        <v>342</v>
      </c>
      <c r="AZ39" s="155" t="s">
        <v>342</v>
      </c>
      <c r="BA39" s="155" t="s">
        <v>342</v>
      </c>
      <c r="BB39" s="155" t="s">
        <v>342</v>
      </c>
      <c r="BC39" s="155" t="s">
        <v>342</v>
      </c>
      <c r="BD39" s="155" t="s">
        <v>342</v>
      </c>
      <c r="BE39" s="155" t="s">
        <v>342</v>
      </c>
      <c r="BF39" s="155" t="s">
        <v>342</v>
      </c>
      <c r="BG39" s="155" t="s">
        <v>342</v>
      </c>
      <c r="BH39" s="155" t="s">
        <v>342</v>
      </c>
      <c r="BI39" s="155" t="s">
        <v>342</v>
      </c>
      <c r="BJ39" s="155" t="s">
        <v>342</v>
      </c>
      <c r="BK39" s="155" t="s">
        <v>342</v>
      </c>
      <c r="BL39" s="155" t="s">
        <v>342</v>
      </c>
      <c r="BM39" s="155" t="s">
        <v>342</v>
      </c>
      <c r="BN39" s="155" t="s">
        <v>342</v>
      </c>
      <c r="BO39" s="155" t="s">
        <v>342</v>
      </c>
      <c r="BP39" s="155" t="s">
        <v>342</v>
      </c>
      <c r="BQ39" s="155" t="s">
        <v>342</v>
      </c>
      <c r="BR39" s="156">
        <f t="shared" ref="BR39:BR41" si="79">IF(E39&lt;#REF!,1,0)</f>
      </c>
      <c r="BS39" s="142" t="str">
        <v>#VALUE!</v>
      </c>
    </row>
    <row customHeight="true" ht="17.777777777777775" r="40">
      <c r="A40" s="142" t="s">
        <v>338</v>
      </c>
      <c r="B40" s="142" t="s">
        <v>367</v>
      </c>
      <c r="C40" s="142" t="s">
        <v>368</v>
      </c>
      <c r="D40" s="143" t="s">
        <v>370</v>
      </c>
      <c r="E40" s="144">
        <v>28</v>
      </c>
      <c r="F40" s="145">
        <v>39.99</v>
      </c>
      <c r="G40" s="146">
        <v>29.74</v>
      </c>
      <c r="H40" s="146">
        <f t="shared" si="134"/>
      </c>
      <c r="I40" s="146">
        <f t="shared" si="24"/>
      </c>
      <c r="J40" s="147">
        <f t="shared" si="3"/>
      </c>
      <c r="K40" s="144">
        <f t="shared" si="66"/>
      </c>
      <c r="L40" s="148">
        <f t="shared" si="42"/>
      </c>
      <c r="M40" s="146">
        <f t="shared" si="107"/>
      </c>
      <c r="N40" s="144">
        <f t="shared" si="85"/>
      </c>
      <c r="O40" s="144">
        <f t="shared" si="140"/>
      </c>
      <c r="P40" s="142">
        <v>27</v>
      </c>
      <c r="Q40" s="149">
        <v>9</v>
      </c>
      <c r="R40" s="150">
        <v>0</v>
      </c>
      <c r="S40" s="147">
        <f t="shared" si="113"/>
      </c>
      <c r="T40" s="150">
        <f t="shared" si="31"/>
      </c>
      <c r="U40" s="150">
        <v>0.01</v>
      </c>
      <c r="V40" s="150">
        <f t="shared" si="9"/>
      </c>
      <c r="W40" s="150">
        <f t="shared" si="48"/>
      </c>
      <c r="X40" s="152">
        <v>0.178</v>
      </c>
      <c r="Y40" s="153">
        <v>0</v>
      </c>
      <c r="Z40" s="153">
        <v>0</v>
      </c>
      <c r="AA40" s="153">
        <f t="shared" si="72"/>
      </c>
      <c r="AB40" s="144">
        <f t="shared" si="145"/>
      </c>
      <c r="AC40" s="144">
        <v>87.5</v>
      </c>
      <c r="AD40" s="154">
        <f t="shared" si="120"/>
      </c>
      <c r="AE40" s="149">
        <f t="shared" si="18"/>
      </c>
      <c r="AF40" s="150">
        <f t="shared" si="15"/>
      </c>
      <c r="AG40" s="150">
        <f t="shared" si="54"/>
      </c>
      <c r="AH40" s="149">
        <v>8</v>
      </c>
      <c r="AI40" s="150">
        <f t="shared" si="100"/>
      </c>
      <c r="AJ40" s="150"/>
      <c r="AK40" s="150"/>
      <c r="AL40" s="150"/>
      <c r="AM40" s="150"/>
      <c r="AN40" s="155"/>
      <c r="AO40" s="155"/>
      <c r="AP40" s="155"/>
      <c r="AQ40" s="155"/>
      <c r="AR40" s="155"/>
      <c r="AS40" s="155"/>
      <c r="AT40" s="155" t="s">
        <v>342</v>
      </c>
      <c r="AU40" s="155" t="s">
        <v>342</v>
      </c>
      <c r="AV40" s="155" t="s">
        <v>342</v>
      </c>
      <c r="AW40" s="155" t="s">
        <v>342</v>
      </c>
      <c r="AX40" s="155" t="s">
        <v>342</v>
      </c>
      <c r="AY40" s="155" t="s">
        <v>342</v>
      </c>
      <c r="AZ40" s="155" t="s">
        <v>342</v>
      </c>
      <c r="BA40" s="155" t="s">
        <v>342</v>
      </c>
      <c r="BB40" s="155" t="s">
        <v>342</v>
      </c>
      <c r="BC40" s="155" t="s">
        <v>342</v>
      </c>
      <c r="BD40" s="155" t="s">
        <v>342</v>
      </c>
      <c r="BE40" s="155" t="s">
        <v>342</v>
      </c>
      <c r="BF40" s="155" t="s">
        <v>342</v>
      </c>
      <c r="BG40" s="155" t="s">
        <v>342</v>
      </c>
      <c r="BH40" s="155" t="s">
        <v>342</v>
      </c>
      <c r="BI40" s="155" t="s">
        <v>342</v>
      </c>
      <c r="BJ40" s="155" t="s">
        <v>342</v>
      </c>
      <c r="BK40" s="155" t="s">
        <v>342</v>
      </c>
      <c r="BL40" s="155" t="s">
        <v>342</v>
      </c>
      <c r="BM40" s="155" t="s">
        <v>342</v>
      </c>
      <c r="BN40" s="155" t="s">
        <v>342</v>
      </c>
      <c r="BO40" s="155" t="s">
        <v>342</v>
      </c>
      <c r="BP40" s="155" t="s">
        <v>342</v>
      </c>
      <c r="BQ40" s="155" t="s">
        <v>342</v>
      </c>
      <c r="BR40" s="156">
        <f t="shared" si="79"/>
      </c>
      <c r="BS40" s="142" t="str">
        <v>#VALUE!</v>
      </c>
    </row>
    <row customHeight="true" ht="17.777777777777775" r="41">
      <c r="A41" s="142" t="s">
        <v>338</v>
      </c>
      <c r="B41" s="142" t="s">
        <v>367</v>
      </c>
      <c r="C41" s="142" t="s">
        <v>368</v>
      </c>
      <c r="D41" s="143" t="s">
        <v>370</v>
      </c>
      <c r="E41" s="144">
        <v>28</v>
      </c>
      <c r="F41" s="145">
        <v>34.99</v>
      </c>
      <c r="G41" s="146">
        <f t="shared" ref="G41:G59" si="129">(F41-Z41)</f>
      </c>
      <c r="H41" s="146">
        <f t="shared" si="134"/>
      </c>
      <c r="I41" s="146">
        <f t="shared" si="24"/>
      </c>
      <c r="J41" s="147">
        <f t="shared" si="3"/>
      </c>
      <c r="K41" s="144">
        <f t="shared" si="66"/>
      </c>
      <c r="L41" s="148">
        <f t="shared" si="42"/>
      </c>
      <c r="M41" s="146">
        <f t="shared" si="107"/>
      </c>
      <c r="N41" s="144">
        <f t="shared" si="85"/>
      </c>
      <c r="O41" s="144">
        <f t="shared" si="140"/>
      </c>
      <c r="P41" s="142">
        <v>27</v>
      </c>
      <c r="Q41" s="149">
        <v>9</v>
      </c>
      <c r="R41" s="150">
        <f t="shared" ref="R41:R48" si="60">Y41/E41</f>
      </c>
      <c r="S41" s="147">
        <f t="shared" si="113"/>
      </c>
      <c r="T41" s="150">
        <f t="shared" si="31"/>
      </c>
      <c r="U41" s="150">
        <v>0.01</v>
      </c>
      <c r="V41" s="150">
        <f t="shared" si="9"/>
      </c>
      <c r="W41" s="150">
        <f t="shared" si="48"/>
      </c>
      <c r="X41" s="152">
        <v>0.178</v>
      </c>
      <c r="Y41" s="153">
        <v>0</v>
      </c>
      <c r="Z41" s="153">
        <v>0</v>
      </c>
      <c r="AA41" s="153">
        <f t="shared" si="72"/>
      </c>
      <c r="AB41" s="144">
        <f t="shared" si="145"/>
      </c>
      <c r="AC41" s="144">
        <v>87.5</v>
      </c>
      <c r="AD41" s="154">
        <f t="shared" si="120"/>
      </c>
      <c r="AE41" s="149">
        <f t="shared" si="18"/>
      </c>
      <c r="AF41" s="150">
        <f t="shared" si="15"/>
      </c>
      <c r="AG41" s="150">
        <f t="shared" si="54"/>
      </c>
      <c r="AH41" s="149">
        <v>8</v>
      </c>
      <c r="AI41" s="150">
        <f t="shared" si="100"/>
      </c>
      <c r="AJ41" s="150"/>
      <c r="AK41" s="150"/>
      <c r="AL41" s="150"/>
      <c r="AM41" s="150"/>
      <c r="AN41" s="155"/>
      <c r="AO41" s="155"/>
      <c r="AP41" s="155"/>
      <c r="AQ41" s="155"/>
      <c r="AR41" s="155"/>
      <c r="AS41" s="155"/>
      <c r="AT41" s="155" t="s">
        <v>342</v>
      </c>
      <c r="AU41" s="155" t="s">
        <v>342</v>
      </c>
      <c r="AV41" s="155" t="s">
        <v>342</v>
      </c>
      <c r="AW41" s="155" t="s">
        <v>342</v>
      </c>
      <c r="AX41" s="155" t="s">
        <v>342</v>
      </c>
      <c r="AY41" s="155" t="s">
        <v>342</v>
      </c>
      <c r="AZ41" s="155" t="s">
        <v>342</v>
      </c>
      <c r="BA41" s="155" t="s">
        <v>342</v>
      </c>
      <c r="BB41" s="155" t="s">
        <v>342</v>
      </c>
      <c r="BC41" s="155" t="s">
        <v>342</v>
      </c>
      <c r="BD41" s="155" t="s">
        <v>342</v>
      </c>
      <c r="BE41" s="155" t="s">
        <v>342</v>
      </c>
      <c r="BF41" s="155" t="s">
        <v>342</v>
      </c>
      <c r="BG41" s="155" t="s">
        <v>342</v>
      </c>
      <c r="BH41" s="155" t="s">
        <v>342</v>
      </c>
      <c r="BI41" s="155" t="s">
        <v>342</v>
      </c>
      <c r="BJ41" s="155" t="s">
        <v>342</v>
      </c>
      <c r="BK41" s="155" t="s">
        <v>342</v>
      </c>
      <c r="BL41" s="155" t="s">
        <v>342</v>
      </c>
      <c r="BM41" s="155" t="s">
        <v>342</v>
      </c>
      <c r="BN41" s="155" t="s">
        <v>342</v>
      </c>
      <c r="BO41" s="155" t="s">
        <v>342</v>
      </c>
      <c r="BP41" s="155" t="s">
        <v>342</v>
      </c>
      <c r="BQ41" s="155" t="s">
        <v>342</v>
      </c>
      <c r="BR41" s="156">
        <f t="shared" si="79"/>
      </c>
      <c r="BS41" s="142" t="str">
        <v>#VALUE!</v>
      </c>
    </row>
    <row customHeight="true" ht="20" r="42">
      <c r="A42" s="142" t="s">
        <v>351</v>
      </c>
      <c r="B42" s="142" t="s">
        <v>371</v>
      </c>
      <c r="C42" s="142" t="s">
        <v>372</v>
      </c>
      <c r="D42" s="176" t="s">
        <v>369</v>
      </c>
      <c r="E42" s="144">
        <v>28</v>
      </c>
      <c r="F42" s="173">
        <v>39.99</v>
      </c>
      <c r="G42" s="146">
        <f t="shared" si="129"/>
      </c>
      <c r="H42" s="146">
        <f t="shared" si="134"/>
      </c>
      <c r="I42" s="175">
        <f t="shared" si="24"/>
      </c>
      <c r="J42" s="147">
        <f t="shared" si="3"/>
      </c>
      <c r="K42" s="144">
        <f t="shared" si="66"/>
      </c>
      <c r="L42" s="148">
        <f t="shared" si="42"/>
      </c>
      <c r="M42" s="146">
        <f t="shared" si="107"/>
      </c>
      <c r="N42" s="144">
        <f t="shared" si="85"/>
      </c>
      <c r="O42" s="144">
        <f t="shared" si="140"/>
      </c>
      <c r="P42" s="142">
        <v>27</v>
      </c>
      <c r="Q42" s="149">
        <v>8</v>
      </c>
      <c r="R42" s="150">
        <f t="shared" si="60"/>
      </c>
      <c r="S42" s="147">
        <f t="shared" si="113"/>
      </c>
      <c r="T42" s="150">
        <f t="shared" si="31"/>
      </c>
      <c r="U42" s="150">
        <v>0.01</v>
      </c>
      <c r="V42" s="150">
        <f t="shared" si="9"/>
      </c>
      <c r="W42" s="150">
        <f t="shared" si="48"/>
      </c>
      <c r="X42" s="152">
        <v>0.188</v>
      </c>
      <c r="Y42" s="153">
        <v>0</v>
      </c>
      <c r="Z42" s="153">
        <v>0</v>
      </c>
      <c r="AA42" s="153">
        <f t="shared" si="72"/>
      </c>
      <c r="AB42" s="144">
        <f t="shared" si="145"/>
      </c>
      <c r="AC42" s="144">
        <v>84.5</v>
      </c>
      <c r="AD42" s="154">
        <f t="shared" si="120"/>
      </c>
      <c r="AE42" s="149">
        <f t="shared" si="18"/>
      </c>
      <c r="AF42" s="150">
        <f t="shared" si="15"/>
      </c>
      <c r="AG42" s="150">
        <f t="shared" si="54"/>
      </c>
      <c r="AH42" s="149">
        <v>6.5</v>
      </c>
      <c r="AI42" s="150">
        <f t="shared" si="100"/>
      </c>
      <c r="AJ42" s="150"/>
      <c r="AK42" s="150"/>
      <c r="AL42" s="150"/>
      <c r="AM42" s="150"/>
      <c r="AN42" s="155"/>
      <c r="AO42" s="155"/>
      <c r="AP42" s="155"/>
      <c r="AQ42" s="155"/>
      <c r="AR42" s="155"/>
      <c r="AS42" s="155"/>
      <c r="AT42" s="155" t="s">
        <v>342</v>
      </c>
      <c r="AU42" s="155" t="s">
        <v>342</v>
      </c>
      <c r="AV42" s="155" t="s">
        <v>342</v>
      </c>
      <c r="AW42" s="155" t="s">
        <v>342</v>
      </c>
      <c r="AX42" s="155" t="s">
        <v>342</v>
      </c>
      <c r="AY42" s="155" t="s">
        <v>342</v>
      </c>
      <c r="AZ42" s="155" t="s">
        <v>342</v>
      </c>
      <c r="BA42" s="155" t="s">
        <v>342</v>
      </c>
      <c r="BB42" s="155" t="s">
        <v>342</v>
      </c>
      <c r="BC42" s="155" t="s">
        <v>342</v>
      </c>
      <c r="BD42" s="155" t="s">
        <v>342</v>
      </c>
      <c r="BE42" s="155" t="s">
        <v>342</v>
      </c>
      <c r="BF42" s="155" t="s">
        <v>342</v>
      </c>
      <c r="BG42" s="155" t="s">
        <v>342</v>
      </c>
      <c r="BH42" s="155" t="s">
        <v>342</v>
      </c>
      <c r="BI42" s="155" t="s">
        <v>342</v>
      </c>
      <c r="BJ42" s="155" t="s">
        <v>342</v>
      </c>
      <c r="BK42" s="155" t="s">
        <v>342</v>
      </c>
      <c r="BL42" s="155" t="s">
        <v>342</v>
      </c>
      <c r="BM42" s="155" t="s">
        <v>342</v>
      </c>
      <c r="BN42" s="155" t="s">
        <v>342</v>
      </c>
      <c r="BO42" s="155" t="s">
        <v>342</v>
      </c>
      <c r="BP42" s="155" t="s">
        <v>342</v>
      </c>
      <c r="BQ42" s="155" t="s">
        <v>342</v>
      </c>
      <c r="BR42" s="156">
        <f>IF(#REF!&lt;E42,1,0)</f>
      </c>
      <c r="BS42" s="142" t="str">
        <v>#VALUE!</v>
      </c>
    </row>
    <row customHeight="true" ht="17.777777777777775" r="43">
      <c r="A43" s="142" t="s">
        <v>351</v>
      </c>
      <c r="B43" s="142" t="s">
        <v>371</v>
      </c>
      <c r="C43" s="142" t="s">
        <v>372</v>
      </c>
      <c r="D43" s="143" t="s">
        <v>370</v>
      </c>
      <c r="E43" s="144">
        <v>28</v>
      </c>
      <c r="F43" s="145">
        <v>39.99</v>
      </c>
      <c r="G43" s="146">
        <f t="shared" si="129"/>
      </c>
      <c r="H43" s="146">
        <f t="shared" si="134"/>
      </c>
      <c r="I43" s="146">
        <f t="shared" si="24"/>
      </c>
      <c r="J43" s="147">
        <f t="shared" si="3"/>
      </c>
      <c r="K43" s="144">
        <f t="shared" si="66"/>
      </c>
      <c r="L43" s="148">
        <f t="shared" si="42"/>
      </c>
      <c r="M43" s="146">
        <f t="shared" si="107"/>
      </c>
      <c r="N43" s="144">
        <f t="shared" si="85"/>
      </c>
      <c r="O43" s="144">
        <f t="shared" si="140"/>
      </c>
      <c r="P43" s="142">
        <v>27</v>
      </c>
      <c r="Q43" s="149">
        <v>8</v>
      </c>
      <c r="R43" s="150">
        <f t="shared" si="60"/>
      </c>
      <c r="S43" s="147">
        <f t="shared" si="113"/>
      </c>
      <c r="T43" s="150">
        <f t="shared" si="31"/>
      </c>
      <c r="U43" s="150">
        <v>0.01</v>
      </c>
      <c r="V43" s="150">
        <f t="shared" si="9"/>
      </c>
      <c r="W43" s="150">
        <f t="shared" si="48"/>
      </c>
      <c r="X43" s="152">
        <v>0.188</v>
      </c>
      <c r="Y43" s="153">
        <v>0</v>
      </c>
      <c r="Z43" s="153">
        <v>3.75</v>
      </c>
      <c r="AA43" s="153">
        <f t="shared" si="72"/>
      </c>
      <c r="AB43" s="144">
        <f t="shared" si="145"/>
      </c>
      <c r="AC43" s="144">
        <v>84.5</v>
      </c>
      <c r="AD43" s="154">
        <f t="shared" si="120"/>
      </c>
      <c r="AE43" s="149">
        <f t="shared" si="18"/>
      </c>
      <c r="AF43" s="150">
        <f t="shared" si="15"/>
      </c>
      <c r="AG43" s="150">
        <f t="shared" si="54"/>
      </c>
      <c r="AH43" s="149">
        <v>6.5</v>
      </c>
      <c r="AI43" s="150">
        <f t="shared" si="100"/>
      </c>
      <c r="AJ43" s="150"/>
      <c r="AK43" s="150"/>
      <c r="AL43" s="150"/>
      <c r="AM43" s="150"/>
      <c r="AN43" s="155"/>
      <c r="AO43" s="155"/>
      <c r="AP43" s="155"/>
      <c r="AQ43" s="155"/>
      <c r="AR43" s="155"/>
      <c r="AS43" s="155"/>
      <c r="AT43" s="155" t="s">
        <v>342</v>
      </c>
      <c r="AU43" s="155" t="s">
        <v>342</v>
      </c>
      <c r="AV43" s="155" t="s">
        <v>342</v>
      </c>
      <c r="AW43" s="155" t="s">
        <v>342</v>
      </c>
      <c r="AX43" s="155" t="s">
        <v>342</v>
      </c>
      <c r="AY43" s="155" t="s">
        <v>342</v>
      </c>
      <c r="AZ43" s="155" t="s">
        <v>342</v>
      </c>
      <c r="BA43" s="155" t="s">
        <v>342</v>
      </c>
      <c r="BB43" s="155" t="s">
        <v>342</v>
      </c>
      <c r="BC43" s="155" t="s">
        <v>342</v>
      </c>
      <c r="BD43" s="155" t="s">
        <v>342</v>
      </c>
      <c r="BE43" s="155" t="s">
        <v>342</v>
      </c>
      <c r="BF43" s="155" t="s">
        <v>342</v>
      </c>
      <c r="BG43" s="155" t="s">
        <v>342</v>
      </c>
      <c r="BH43" s="155" t="s">
        <v>342</v>
      </c>
      <c r="BI43" s="155" t="s">
        <v>342</v>
      </c>
      <c r="BJ43" s="155" t="s">
        <v>342</v>
      </c>
      <c r="BK43" s="155" t="s">
        <v>342</v>
      </c>
      <c r="BL43" s="155" t="s">
        <v>342</v>
      </c>
      <c r="BM43" s="155" t="s">
        <v>342</v>
      </c>
      <c r="BN43" s="155" t="s">
        <v>342</v>
      </c>
      <c r="BO43" s="155" t="s">
        <v>342</v>
      </c>
      <c r="BP43" s="155" t="s">
        <v>342</v>
      </c>
      <c r="BQ43" s="155" t="s">
        <v>342</v>
      </c>
      <c r="BR43" s="156">
        <f>IF(E43&lt;#REF!,1,0)</f>
      </c>
      <c r="BS43" s="142" t="str">
        <v>#VALUE!</v>
      </c>
    </row>
    <row customHeight="true" ht="17.777777777777775" r="44">
      <c r="A44" s="142" t="s">
        <v>354</v>
      </c>
      <c r="B44" s="142" t="s">
        <v>371</v>
      </c>
      <c r="C44" s="142" t="s">
        <v>372</v>
      </c>
      <c r="D44" s="176" t="s">
        <v>369</v>
      </c>
      <c r="E44" s="144">
        <v>28</v>
      </c>
      <c r="F44" s="173">
        <v>39.99</v>
      </c>
      <c r="G44" s="146">
        <f t="shared" si="129"/>
      </c>
      <c r="H44" s="146">
        <f t="shared" si="134"/>
      </c>
      <c r="I44" s="175">
        <f t="shared" si="24"/>
      </c>
      <c r="J44" s="147">
        <f t="shared" si="3"/>
      </c>
      <c r="K44" s="144">
        <f t="shared" si="66"/>
      </c>
      <c r="L44" s="148">
        <f t="shared" si="42"/>
      </c>
      <c r="M44" s="146">
        <f t="shared" si="107"/>
      </c>
      <c r="N44" s="144">
        <f t="shared" si="85"/>
      </c>
      <c r="O44" s="144">
        <f t="shared" si="140"/>
      </c>
      <c r="P44" s="142">
        <v>27</v>
      </c>
      <c r="Q44" s="149">
        <v>8</v>
      </c>
      <c r="R44" s="150">
        <f t="shared" si="60"/>
      </c>
      <c r="S44" s="147">
        <f t="shared" si="113"/>
      </c>
      <c r="T44" s="150">
        <f t="shared" si="31"/>
      </c>
      <c r="U44" s="150">
        <v>0.01</v>
      </c>
      <c r="V44" s="150">
        <f t="shared" si="9"/>
      </c>
      <c r="W44" s="150">
        <f t="shared" si="48"/>
      </c>
      <c r="X44" s="152">
        <v>0.188</v>
      </c>
      <c r="Y44" s="153">
        <v>0</v>
      </c>
      <c r="Z44" s="153">
        <v>0</v>
      </c>
      <c r="AA44" s="153">
        <f t="shared" si="72"/>
      </c>
      <c r="AB44" s="144">
        <f t="shared" si="145"/>
      </c>
      <c r="AC44" s="144">
        <v>84.5</v>
      </c>
      <c r="AD44" s="154">
        <f t="shared" si="120"/>
      </c>
      <c r="AE44" s="149">
        <f t="shared" si="18"/>
      </c>
      <c r="AF44" s="150">
        <f t="shared" si="15"/>
      </c>
      <c r="AG44" s="150">
        <f t="shared" si="54"/>
      </c>
      <c r="AH44" s="149">
        <v>6.5</v>
      </c>
      <c r="AI44" s="150">
        <f t="shared" si="100"/>
      </c>
      <c r="AJ44" s="150"/>
      <c r="AK44" s="150"/>
      <c r="AL44" s="150"/>
      <c r="AM44" s="150"/>
      <c r="AN44" s="155"/>
      <c r="AO44" s="155"/>
      <c r="AP44" s="155"/>
      <c r="AQ44" s="155"/>
      <c r="AR44" s="155"/>
      <c r="AS44" s="155"/>
      <c r="AT44" s="155" t="s">
        <v>342</v>
      </c>
      <c r="AU44" s="155" t="s">
        <v>342</v>
      </c>
      <c r="AV44" s="155" t="s">
        <v>342</v>
      </c>
      <c r="AW44" s="155" t="s">
        <v>342</v>
      </c>
      <c r="AX44" s="155" t="s">
        <v>342</v>
      </c>
      <c r="AY44" s="155" t="s">
        <v>342</v>
      </c>
      <c r="AZ44" s="155" t="s">
        <v>342</v>
      </c>
      <c r="BA44" s="155" t="s">
        <v>342</v>
      </c>
      <c r="BB44" s="155" t="s">
        <v>342</v>
      </c>
      <c r="BC44" s="155" t="s">
        <v>342</v>
      </c>
      <c r="BD44" s="155" t="s">
        <v>342</v>
      </c>
      <c r="BE44" s="155" t="s">
        <v>342</v>
      </c>
      <c r="BF44" s="155" t="s">
        <v>342</v>
      </c>
      <c r="BG44" s="155" t="s">
        <v>342</v>
      </c>
      <c r="BH44" s="155" t="s">
        <v>342</v>
      </c>
      <c r="BI44" s="155" t="s">
        <v>342</v>
      </c>
      <c r="BJ44" s="155" t="s">
        <v>342</v>
      </c>
      <c r="BK44" s="155" t="s">
        <v>342</v>
      </c>
      <c r="BL44" s="155" t="s">
        <v>342</v>
      </c>
      <c r="BM44" s="155" t="s">
        <v>342</v>
      </c>
      <c r="BN44" s="155" t="s">
        <v>342</v>
      </c>
      <c r="BO44" s="155" t="s">
        <v>342</v>
      </c>
      <c r="BP44" s="155" t="s">
        <v>342</v>
      </c>
      <c r="BQ44" s="155" t="s">
        <v>342</v>
      </c>
      <c r="BR44" s="156">
        <f>IF(#REF!&lt;E44,1,0)</f>
      </c>
      <c r="BS44" s="142" t="str">
        <v>#VALUE!</v>
      </c>
    </row>
    <row customHeight="true" ht="17.777777777777775" r="45">
      <c r="A45" s="142" t="s">
        <v>354</v>
      </c>
      <c r="B45" s="142" t="s">
        <v>371</v>
      </c>
      <c r="C45" s="142" t="s">
        <v>372</v>
      </c>
      <c r="D45" s="143" t="s">
        <v>370</v>
      </c>
      <c r="E45" s="144">
        <v>28</v>
      </c>
      <c r="F45" s="145">
        <v>36.95</v>
      </c>
      <c r="G45" s="146">
        <f t="shared" si="129"/>
      </c>
      <c r="H45" s="146">
        <f t="shared" si="134"/>
      </c>
      <c r="I45" s="146">
        <f t="shared" si="24"/>
      </c>
      <c r="J45" s="147">
        <f t="shared" si="3"/>
      </c>
      <c r="K45" s="144">
        <f t="shared" si="66"/>
      </c>
      <c r="L45" s="148">
        <f t="shared" si="42"/>
      </c>
      <c r="M45" s="146">
        <f t="shared" si="107"/>
      </c>
      <c r="N45" s="144">
        <f t="shared" si="85"/>
      </c>
      <c r="O45" s="144">
        <f t="shared" si="140"/>
      </c>
      <c r="P45" s="142">
        <v>27</v>
      </c>
      <c r="Q45" s="149">
        <v>8</v>
      </c>
      <c r="R45" s="150">
        <f t="shared" si="60"/>
      </c>
      <c r="S45" s="147">
        <f t="shared" si="113"/>
      </c>
      <c r="T45" s="150">
        <f t="shared" si="31"/>
      </c>
      <c r="U45" s="150">
        <v>0.01</v>
      </c>
      <c r="V45" s="150">
        <f t="shared" si="9"/>
      </c>
      <c r="W45" s="150">
        <f t="shared" si="48"/>
      </c>
      <c r="X45" s="152">
        <v>0.188</v>
      </c>
      <c r="Y45" s="153">
        <v>0</v>
      </c>
      <c r="Z45" s="153">
        <v>5</v>
      </c>
      <c r="AA45" s="153">
        <f t="shared" si="72"/>
      </c>
      <c r="AB45" s="144">
        <f t="shared" si="145"/>
      </c>
      <c r="AC45" s="144">
        <v>84.5</v>
      </c>
      <c r="AD45" s="154">
        <f t="shared" si="120"/>
      </c>
      <c r="AE45" s="149">
        <f t="shared" si="18"/>
      </c>
      <c r="AF45" s="150">
        <f t="shared" si="15"/>
      </c>
      <c r="AG45" s="150">
        <f t="shared" si="54"/>
      </c>
      <c r="AH45" s="149">
        <v>6.5</v>
      </c>
      <c r="AI45" s="150">
        <f t="shared" si="100"/>
      </c>
      <c r="AJ45" s="150"/>
      <c r="AK45" s="150"/>
      <c r="AL45" s="150"/>
      <c r="AM45" s="150"/>
      <c r="AN45" s="155"/>
      <c r="AO45" s="155"/>
      <c r="AP45" s="155"/>
      <c r="AQ45" s="155"/>
      <c r="AR45" s="155"/>
      <c r="AS45" s="155"/>
      <c r="AT45" s="155" t="s">
        <v>342</v>
      </c>
      <c r="AU45" s="155" t="s">
        <v>342</v>
      </c>
      <c r="AV45" s="155" t="s">
        <v>342</v>
      </c>
      <c r="AW45" s="155" t="s">
        <v>342</v>
      </c>
      <c r="AX45" s="155" t="s">
        <v>342</v>
      </c>
      <c r="AY45" s="155" t="s">
        <v>342</v>
      </c>
      <c r="AZ45" s="155" t="s">
        <v>342</v>
      </c>
      <c r="BA45" s="155" t="s">
        <v>342</v>
      </c>
      <c r="BB45" s="155" t="s">
        <v>342</v>
      </c>
      <c r="BC45" s="155" t="s">
        <v>342</v>
      </c>
      <c r="BD45" s="155" t="s">
        <v>342</v>
      </c>
      <c r="BE45" s="155" t="s">
        <v>342</v>
      </c>
      <c r="BF45" s="155" t="s">
        <v>342</v>
      </c>
      <c r="BG45" s="155" t="s">
        <v>342</v>
      </c>
      <c r="BH45" s="155" t="s">
        <v>342</v>
      </c>
      <c r="BI45" s="155" t="s">
        <v>342</v>
      </c>
      <c r="BJ45" s="155" t="s">
        <v>342</v>
      </c>
      <c r="BK45" s="155" t="s">
        <v>342</v>
      </c>
      <c r="BL45" s="155" t="s">
        <v>342</v>
      </c>
      <c r="BM45" s="155" t="s">
        <v>342</v>
      </c>
      <c r="BN45" s="155" t="s">
        <v>342</v>
      </c>
      <c r="BO45" s="155" t="s">
        <v>342</v>
      </c>
      <c r="BP45" s="155" t="s">
        <v>342</v>
      </c>
      <c r="BQ45" s="155" t="s">
        <v>342</v>
      </c>
      <c r="BR45" s="156">
        <f>IF(E45&lt;#REF!,1,0)</f>
      </c>
      <c r="BS45" s="142" t="str">
        <v>#VALUE!</v>
      </c>
    </row>
    <row customHeight="true" ht="17.777777777777775" r="46">
      <c r="A46" s="142" t="s">
        <v>355</v>
      </c>
      <c r="B46" s="142" t="s">
        <v>371</v>
      </c>
      <c r="C46" s="142" t="s">
        <v>372</v>
      </c>
      <c r="D46" s="176" t="s">
        <v>369</v>
      </c>
      <c r="E46" s="144">
        <v>29</v>
      </c>
      <c r="F46" s="173">
        <v>41.99</v>
      </c>
      <c r="G46" s="146">
        <f t="shared" si="129"/>
      </c>
      <c r="H46" s="146">
        <f t="shared" si="134"/>
      </c>
      <c r="I46" s="175">
        <f>E46-N46/Q46-AB46-O46-Z46-AA46-Y46</f>
      </c>
      <c r="J46" s="147">
        <f t="shared" si="3"/>
      </c>
      <c r="K46" s="144">
        <f t="shared" si="66"/>
      </c>
      <c r="L46" s="148">
        <f t="shared" si="42"/>
      </c>
      <c r="M46" s="146">
        <f t="shared" si="107"/>
      </c>
      <c r="N46" s="144">
        <f t="shared" si="85"/>
      </c>
      <c r="O46" s="144">
        <f t="shared" si="140"/>
      </c>
      <c r="P46" s="142">
        <v>27</v>
      </c>
      <c r="Q46" s="149">
        <v>8</v>
      </c>
      <c r="R46" s="150">
        <f t="shared" si="60"/>
      </c>
      <c r="S46" s="147">
        <f t="shared" si="113"/>
      </c>
      <c r="T46" s="150">
        <f t="shared" si="31"/>
      </c>
      <c r="U46" s="150">
        <v>0.01</v>
      </c>
      <c r="V46" s="150">
        <f t="shared" si="9"/>
      </c>
      <c r="W46" s="150">
        <f t="shared" si="48"/>
      </c>
      <c r="X46" s="152">
        <v>0.188</v>
      </c>
      <c r="Y46" s="153">
        <v>0</v>
      </c>
      <c r="Z46" s="153">
        <v>5.2</v>
      </c>
      <c r="AA46" s="153">
        <f t="shared" si="72"/>
      </c>
      <c r="AB46" s="144">
        <f t="shared" si="145"/>
      </c>
      <c r="AC46" s="144">
        <v>84.5</v>
      </c>
      <c r="AD46" s="154">
        <f t="shared" si="120"/>
      </c>
      <c r="AE46" s="149">
        <f t="shared" si="18"/>
      </c>
      <c r="AF46" s="150">
        <f t="shared" si="15"/>
      </c>
      <c r="AG46" s="150">
        <f t="shared" si="54"/>
      </c>
      <c r="AH46" s="149">
        <v>6.5</v>
      </c>
      <c r="AI46" s="150">
        <f t="shared" si="100"/>
      </c>
      <c r="AJ46" s="150"/>
      <c r="AK46" s="150"/>
      <c r="AL46" s="150"/>
      <c r="AM46" s="150"/>
      <c r="AN46" s="155"/>
      <c r="AO46" s="155"/>
      <c r="AP46" s="155"/>
      <c r="AQ46" s="155"/>
      <c r="AR46" s="155"/>
      <c r="AS46" s="155"/>
      <c r="AT46" s="155" t="s">
        <v>342</v>
      </c>
      <c r="AU46" s="155" t="s">
        <v>342</v>
      </c>
      <c r="AV46" s="155" t="s">
        <v>342</v>
      </c>
      <c r="AW46" s="155" t="s">
        <v>342</v>
      </c>
      <c r="AX46" s="155" t="s">
        <v>342</v>
      </c>
      <c r="AY46" s="155" t="s">
        <v>342</v>
      </c>
      <c r="AZ46" s="155" t="s">
        <v>342</v>
      </c>
      <c r="BA46" s="155" t="s">
        <v>342</v>
      </c>
      <c r="BB46" s="155" t="s">
        <v>342</v>
      </c>
      <c r="BC46" s="155" t="s">
        <v>342</v>
      </c>
      <c r="BD46" s="155" t="s">
        <v>342</v>
      </c>
      <c r="BE46" s="155" t="s">
        <v>342</v>
      </c>
      <c r="BF46" s="155" t="s">
        <v>342</v>
      </c>
      <c r="BG46" s="155" t="s">
        <v>342</v>
      </c>
      <c r="BH46" s="155" t="s">
        <v>342</v>
      </c>
      <c r="BI46" s="155" t="s">
        <v>342</v>
      </c>
      <c r="BJ46" s="155" t="s">
        <v>342</v>
      </c>
      <c r="BK46" s="155" t="s">
        <v>342</v>
      </c>
      <c r="BL46" s="155" t="s">
        <v>342</v>
      </c>
      <c r="BM46" s="155" t="s">
        <v>342</v>
      </c>
      <c r="BN46" s="155" t="s">
        <v>342</v>
      </c>
      <c r="BO46" s="155" t="s">
        <v>342</v>
      </c>
      <c r="BP46" s="155" t="s">
        <v>342</v>
      </c>
      <c r="BQ46" s="155" t="s">
        <v>342</v>
      </c>
      <c r="BR46" s="156">
        <f>IF(#REF!&lt;E46,1,0)</f>
      </c>
      <c r="BS46" s="142" t="str">
        <v>#VALUE!</v>
      </c>
    </row>
    <row customHeight="true" ht="17.777777777777775" r="47">
      <c r="A47" s="142" t="s">
        <v>355</v>
      </c>
      <c r="B47" s="142" t="s">
        <v>371</v>
      </c>
      <c r="C47" s="142" t="s">
        <v>372</v>
      </c>
      <c r="D47" s="143" t="s">
        <v>370</v>
      </c>
      <c r="E47" s="144">
        <v>29</v>
      </c>
      <c r="F47" s="145">
        <v>41.99</v>
      </c>
      <c r="G47" s="146">
        <f t="shared" si="129"/>
      </c>
      <c r="H47" s="146">
        <f t="shared" si="134"/>
      </c>
      <c r="I47" s="146">
        <f t="shared" ref="I47:I48" si="25">E47-N47/Q47-AB47-Y47-O47-Z47-AA47</f>
      </c>
      <c r="J47" s="147">
        <f t="shared" si="3"/>
      </c>
      <c r="K47" s="144">
        <f t="shared" si="66"/>
      </c>
      <c r="L47" s="148">
        <f t="shared" si="42"/>
      </c>
      <c r="M47" s="146">
        <f t="shared" si="107"/>
      </c>
      <c r="N47" s="144">
        <f t="shared" si="85"/>
      </c>
      <c r="O47" s="144">
        <f t="shared" si="140"/>
      </c>
      <c r="P47" s="142">
        <v>27</v>
      </c>
      <c r="Q47" s="149">
        <v>8</v>
      </c>
      <c r="R47" s="150">
        <f t="shared" si="60"/>
      </c>
      <c r="S47" s="147">
        <f t="shared" si="113"/>
      </c>
      <c r="T47" s="150">
        <f t="shared" si="31"/>
      </c>
      <c r="U47" s="150">
        <v>0.01</v>
      </c>
      <c r="V47" s="150">
        <f t="shared" si="9"/>
      </c>
      <c r="W47" s="150">
        <f t="shared" si="48"/>
      </c>
      <c r="X47" s="152">
        <v>0.188</v>
      </c>
      <c r="Y47" s="153">
        <v>0</v>
      </c>
      <c r="Z47" s="153">
        <v>6.62</v>
      </c>
      <c r="AA47" s="153">
        <f t="shared" si="72"/>
      </c>
      <c r="AB47" s="144">
        <f t="shared" si="145"/>
      </c>
      <c r="AC47" s="144">
        <v>84.5</v>
      </c>
      <c r="AD47" s="154">
        <f t="shared" si="120"/>
      </c>
      <c r="AE47" s="149">
        <f t="shared" si="18"/>
      </c>
      <c r="AF47" s="150">
        <f t="shared" si="15"/>
      </c>
      <c r="AG47" s="150">
        <f t="shared" si="54"/>
      </c>
      <c r="AH47" s="149">
        <v>6.5</v>
      </c>
      <c r="AI47" s="150">
        <f t="shared" si="100"/>
      </c>
      <c r="AJ47" s="150"/>
      <c r="AK47" s="150"/>
      <c r="AL47" s="150"/>
      <c r="AM47" s="150"/>
      <c r="AN47" s="155"/>
      <c r="AO47" s="155"/>
      <c r="AP47" s="155"/>
      <c r="AQ47" s="155"/>
      <c r="AR47" s="155"/>
      <c r="AS47" s="155"/>
      <c r="AT47" s="155" t="s">
        <v>342</v>
      </c>
      <c r="AU47" s="155" t="s">
        <v>342</v>
      </c>
      <c r="AV47" s="155" t="s">
        <v>342</v>
      </c>
      <c r="AW47" s="155" t="s">
        <v>342</v>
      </c>
      <c r="AX47" s="155" t="s">
        <v>342</v>
      </c>
      <c r="AY47" s="155" t="s">
        <v>342</v>
      </c>
      <c r="AZ47" s="155" t="s">
        <v>342</v>
      </c>
      <c r="BA47" s="155" t="s">
        <v>342</v>
      </c>
      <c r="BB47" s="155" t="s">
        <v>342</v>
      </c>
      <c r="BC47" s="155" t="s">
        <v>342</v>
      </c>
      <c r="BD47" s="155" t="s">
        <v>342</v>
      </c>
      <c r="BE47" s="155" t="s">
        <v>342</v>
      </c>
      <c r="BF47" s="155" t="s">
        <v>342</v>
      </c>
      <c r="BG47" s="155" t="s">
        <v>342</v>
      </c>
      <c r="BH47" s="155" t="s">
        <v>342</v>
      </c>
      <c r="BI47" s="155" t="s">
        <v>342</v>
      </c>
      <c r="BJ47" s="155" t="s">
        <v>342</v>
      </c>
      <c r="BK47" s="155" t="s">
        <v>342</v>
      </c>
      <c r="BL47" s="155" t="s">
        <v>342</v>
      </c>
      <c r="BM47" s="155" t="s">
        <v>342</v>
      </c>
      <c r="BN47" s="155" t="s">
        <v>342</v>
      </c>
      <c r="BO47" s="155" t="s">
        <v>342</v>
      </c>
      <c r="BP47" s="155" t="s">
        <v>342</v>
      </c>
      <c r="BQ47" s="155" t="s">
        <v>342</v>
      </c>
      <c r="BR47" s="156">
        <f t="shared" ref="BR47:BR48" si="80">IF(E47&lt;#REF!,1,0)</f>
      </c>
      <c r="BS47" s="142" t="str">
        <v>#VALUE!</v>
      </c>
    </row>
    <row customHeight="true" ht="17.777777777777775" r="48">
      <c r="A48" s="142" t="s">
        <v>357</v>
      </c>
      <c r="B48" s="142" t="s">
        <v>371</v>
      </c>
      <c r="C48" s="142" t="s">
        <v>372</v>
      </c>
      <c r="D48" s="143" t="s">
        <v>370</v>
      </c>
      <c r="E48" s="144">
        <v>29</v>
      </c>
      <c r="F48" s="145">
        <v>41.99</v>
      </c>
      <c r="G48" s="146">
        <f t="shared" si="129"/>
      </c>
      <c r="H48" s="146">
        <f t="shared" si="134"/>
      </c>
      <c r="I48" s="146">
        <f t="shared" si="25"/>
      </c>
      <c r="J48" s="147">
        <f t="shared" si="3"/>
      </c>
      <c r="K48" s="144">
        <f t="shared" si="66"/>
      </c>
      <c r="L48" s="148">
        <f t="shared" si="42"/>
      </c>
      <c r="M48" s="146">
        <f t="shared" si="107"/>
      </c>
      <c r="N48" s="144">
        <f t="shared" si="85"/>
      </c>
      <c r="O48" s="144">
        <f t="shared" si="140"/>
      </c>
      <c r="P48" s="142">
        <v>27</v>
      </c>
      <c r="Q48" s="149">
        <v>8</v>
      </c>
      <c r="R48" s="150">
        <f t="shared" si="60"/>
      </c>
      <c r="S48" s="147">
        <f t="shared" si="113"/>
      </c>
      <c r="T48" s="150">
        <f t="shared" si="31"/>
      </c>
      <c r="U48" s="150">
        <v>0.01</v>
      </c>
      <c r="V48" s="150">
        <f t="shared" si="9"/>
      </c>
      <c r="W48" s="150">
        <f t="shared" si="48"/>
      </c>
      <c r="X48" s="152">
        <v>0.188</v>
      </c>
      <c r="Y48" s="153">
        <v>0</v>
      </c>
      <c r="Z48" s="153">
        <v>5.21</v>
      </c>
      <c r="AA48" s="153">
        <f t="shared" si="72"/>
      </c>
      <c r="AB48" s="144">
        <f t="shared" si="145"/>
      </c>
      <c r="AC48" s="144">
        <v>84.5</v>
      </c>
      <c r="AD48" s="154">
        <f t="shared" si="120"/>
      </c>
      <c r="AE48" s="149">
        <f t="shared" si="18"/>
      </c>
      <c r="AF48" s="150">
        <f t="shared" si="15"/>
      </c>
      <c r="AG48" s="150">
        <f t="shared" si="54"/>
      </c>
      <c r="AH48" s="149">
        <v>6.5</v>
      </c>
      <c r="AI48" s="150">
        <f t="shared" si="100"/>
      </c>
      <c r="AJ48" s="150"/>
      <c r="AK48" s="150"/>
      <c r="AL48" s="150"/>
      <c r="AM48" s="150"/>
      <c r="AN48" s="155"/>
      <c r="AO48" s="155"/>
      <c r="AP48" s="155"/>
      <c r="AQ48" s="155"/>
      <c r="AR48" s="155"/>
      <c r="AS48" s="155"/>
      <c r="AT48" s="155" t="s">
        <v>342</v>
      </c>
      <c r="AU48" s="155" t="s">
        <v>342</v>
      </c>
      <c r="AV48" s="155" t="s">
        <v>342</v>
      </c>
      <c r="AW48" s="155" t="s">
        <v>342</v>
      </c>
      <c r="AX48" s="155" t="s">
        <v>342</v>
      </c>
      <c r="AY48" s="155" t="s">
        <v>342</v>
      </c>
      <c r="AZ48" s="155" t="s">
        <v>342</v>
      </c>
      <c r="BA48" s="155" t="s">
        <v>342</v>
      </c>
      <c r="BB48" s="155" t="s">
        <v>342</v>
      </c>
      <c r="BC48" s="155" t="s">
        <v>342</v>
      </c>
      <c r="BD48" s="155" t="s">
        <v>342</v>
      </c>
      <c r="BE48" s="155" t="s">
        <v>342</v>
      </c>
      <c r="BF48" s="155" t="s">
        <v>342</v>
      </c>
      <c r="BG48" s="155" t="s">
        <v>342</v>
      </c>
      <c r="BH48" s="155" t="s">
        <v>342</v>
      </c>
      <c r="BI48" s="155" t="s">
        <v>342</v>
      </c>
      <c r="BJ48" s="155" t="s">
        <v>342</v>
      </c>
      <c r="BK48" s="155" t="s">
        <v>342</v>
      </c>
      <c r="BL48" s="155" t="s">
        <v>342</v>
      </c>
      <c r="BM48" s="155" t="s">
        <v>342</v>
      </c>
      <c r="BN48" s="155" t="s">
        <v>342</v>
      </c>
      <c r="BO48" s="155" t="s">
        <v>342</v>
      </c>
      <c r="BP48" s="155" t="s">
        <v>342</v>
      </c>
      <c r="BQ48" s="155" t="s">
        <v>342</v>
      </c>
      <c r="BR48" s="156">
        <f t="shared" si="80"/>
      </c>
      <c r="BS48" s="142" t="str">
        <v>#VALUE!</v>
      </c>
    </row>
    <row customHeight="true" ht="17.777777777777775" r="49">
      <c r="A49" s="142" t="s">
        <v>357</v>
      </c>
      <c r="B49" s="142" t="s">
        <v>371</v>
      </c>
      <c r="C49" s="142" t="s">
        <v>372</v>
      </c>
      <c r="D49" s="176" t="s">
        <v>369</v>
      </c>
      <c r="E49" s="144">
        <v>29</v>
      </c>
      <c r="F49" s="173">
        <v>41.99</v>
      </c>
      <c r="G49" s="146">
        <f t="shared" si="129"/>
      </c>
      <c r="H49" s="146">
        <f t="shared" si="134"/>
      </c>
      <c r="I49" s="175">
        <f>E49-N49/Q49-AB49-Y48-O49-Z49-AA49-Y49</f>
      </c>
      <c r="J49" s="147">
        <f t="shared" si="3"/>
      </c>
      <c r="K49" s="144">
        <f t="shared" si="66"/>
      </c>
      <c r="L49" s="148">
        <f t="shared" si="42"/>
      </c>
      <c r="M49" s="146">
        <f t="shared" si="107"/>
      </c>
      <c r="N49" s="144">
        <f t="shared" si="85"/>
      </c>
      <c r="O49" s="144">
        <f t="shared" si="140"/>
      </c>
      <c r="P49" s="142">
        <v>27</v>
      </c>
      <c r="Q49" s="149">
        <v>8</v>
      </c>
      <c r="R49" s="150">
        <f>Y48/E49</f>
      </c>
      <c r="S49" s="147">
        <f>Y48/F49</f>
      </c>
      <c r="T49" s="150">
        <f t="shared" si="31"/>
      </c>
      <c r="U49" s="150">
        <v>0.01</v>
      </c>
      <c r="V49" s="150">
        <f t="shared" si="9"/>
      </c>
      <c r="W49" s="150">
        <f t="shared" si="48"/>
      </c>
      <c r="X49" s="152">
        <v>0.188</v>
      </c>
      <c r="Y49" s="153">
        <v>0</v>
      </c>
      <c r="Z49" s="153">
        <v>6.68</v>
      </c>
      <c r="AA49" s="153">
        <f t="shared" si="72"/>
      </c>
      <c r="AB49" s="144">
        <f t="shared" si="145"/>
      </c>
      <c r="AC49" s="144">
        <v>84.5</v>
      </c>
      <c r="AD49" s="154">
        <f t="shared" si="120"/>
      </c>
      <c r="AE49" s="149">
        <f t="shared" si="18"/>
      </c>
      <c r="AF49" s="150">
        <f t="shared" si="15"/>
      </c>
      <c r="AG49" s="150">
        <f t="shared" si="54"/>
      </c>
      <c r="AH49" s="149">
        <v>6.5</v>
      </c>
      <c r="AI49" s="150">
        <f t="shared" si="100"/>
      </c>
      <c r="AJ49" s="150"/>
      <c r="AK49" s="150"/>
      <c r="AL49" s="150"/>
      <c r="AM49" s="150"/>
      <c r="AN49" s="155"/>
      <c r="AO49" s="155"/>
      <c r="AP49" s="155"/>
      <c r="AQ49" s="155"/>
      <c r="AR49" s="155"/>
      <c r="AS49" s="155"/>
      <c r="AT49" s="155" t="s">
        <v>342</v>
      </c>
      <c r="AU49" s="155" t="s">
        <v>342</v>
      </c>
      <c r="AV49" s="155" t="s">
        <v>342</v>
      </c>
      <c r="AW49" s="155" t="s">
        <v>342</v>
      </c>
      <c r="AX49" s="155" t="s">
        <v>342</v>
      </c>
      <c r="AY49" s="155" t="s">
        <v>342</v>
      </c>
      <c r="AZ49" s="155" t="s">
        <v>342</v>
      </c>
      <c r="BA49" s="155" t="s">
        <v>342</v>
      </c>
      <c r="BB49" s="155" t="s">
        <v>342</v>
      </c>
      <c r="BC49" s="155" t="s">
        <v>342</v>
      </c>
      <c r="BD49" s="155" t="s">
        <v>342</v>
      </c>
      <c r="BE49" s="155" t="s">
        <v>342</v>
      </c>
      <c r="BF49" s="155" t="s">
        <v>342</v>
      </c>
      <c r="BG49" s="155" t="s">
        <v>342</v>
      </c>
      <c r="BH49" s="155" t="s">
        <v>342</v>
      </c>
      <c r="BI49" s="155" t="s">
        <v>342</v>
      </c>
      <c r="BJ49" s="155" t="s">
        <v>342</v>
      </c>
      <c r="BK49" s="155" t="s">
        <v>342</v>
      </c>
      <c r="BL49" s="155" t="s">
        <v>342</v>
      </c>
      <c r="BM49" s="155" t="s">
        <v>342</v>
      </c>
      <c r="BN49" s="155" t="s">
        <v>342</v>
      </c>
      <c r="BO49" s="155" t="s">
        <v>342</v>
      </c>
      <c r="BP49" s="155" t="s">
        <v>342</v>
      </c>
      <c r="BQ49" s="155" t="s">
        <v>342</v>
      </c>
      <c r="BR49" s="156">
        <f t="shared" ref="BR49:BR53" si="90">IF(#REF!&lt;E49,1,0)</f>
      </c>
      <c r="BS49" s="142" t="str">
        <v>#VALUE!</v>
      </c>
    </row>
    <row customHeight="true" ht="17.777777777777775" r="50">
      <c r="A50" s="142" t="s">
        <v>359</v>
      </c>
      <c r="B50" s="142" t="s">
        <v>371</v>
      </c>
      <c r="C50" s="142" t="s">
        <v>372</v>
      </c>
      <c r="D50" s="143" t="s">
        <v>373</v>
      </c>
      <c r="E50" s="144">
        <v>31.2</v>
      </c>
      <c r="F50" s="145">
        <v>44.99</v>
      </c>
      <c r="G50" s="146">
        <f t="shared" si="129"/>
      </c>
      <c r="H50" s="146">
        <f t="shared" si="134"/>
      </c>
      <c r="I50" s="146">
        <f t="shared" ref="I50:I53" si="26">E50-N50/Q50-AB50-Y50-O50-Z50-AA50</f>
      </c>
      <c r="J50" s="147">
        <f t="shared" si="3"/>
      </c>
      <c r="K50" s="144">
        <f t="shared" si="66"/>
      </c>
      <c r="L50" s="148">
        <f t="shared" si="42"/>
      </c>
      <c r="M50" s="146">
        <f t="shared" si="107"/>
      </c>
      <c r="N50" s="144">
        <f t="shared" si="85"/>
      </c>
      <c r="O50" s="144">
        <f t="shared" si="140"/>
      </c>
      <c r="P50" s="142">
        <v>27</v>
      </c>
      <c r="Q50" s="149">
        <v>8</v>
      </c>
      <c r="R50" s="150">
        <v>0.1</v>
      </c>
      <c r="S50" s="147">
        <f t="shared" ref="S50:S53" si="114">Y50/F50</f>
      </c>
      <c r="T50" s="150">
        <v>0.05</v>
      </c>
      <c r="U50" s="150">
        <v>0.01</v>
      </c>
      <c r="V50" s="150">
        <f t="shared" si="9"/>
      </c>
      <c r="W50" s="150">
        <f t="shared" si="48"/>
      </c>
      <c r="X50" s="152">
        <v>0.188</v>
      </c>
      <c r="Y50" s="153"/>
      <c r="Z50" s="153"/>
      <c r="AA50" s="153">
        <f t="shared" si="72"/>
      </c>
      <c r="AB50" s="144">
        <f t="shared" si="145"/>
      </c>
      <c r="AC50" s="144">
        <v>84.5</v>
      </c>
      <c r="AD50" s="154">
        <f t="shared" si="120"/>
      </c>
      <c r="AE50" s="149">
        <f t="shared" si="18"/>
      </c>
      <c r="AF50" s="150">
        <f t="shared" si="15"/>
      </c>
      <c r="AG50" s="150">
        <f t="shared" si="54"/>
      </c>
      <c r="AH50" s="149">
        <v>6.5</v>
      </c>
      <c r="AI50" s="150">
        <f t="shared" si="100"/>
      </c>
      <c r="AJ50" s="150"/>
      <c r="AK50" s="150"/>
      <c r="AL50" s="150"/>
      <c r="AM50" s="150"/>
      <c r="AN50" s="155"/>
      <c r="AO50" s="155"/>
      <c r="AP50" s="155"/>
      <c r="AQ50" s="155"/>
      <c r="AR50" s="155"/>
      <c r="AS50" s="155"/>
      <c r="AT50" s="155" t="s">
        <v>342</v>
      </c>
      <c r="AU50" s="155" t="s">
        <v>342</v>
      </c>
      <c r="AV50" s="155" t="s">
        <v>342</v>
      </c>
      <c r="AW50" s="155" t="s">
        <v>342</v>
      </c>
      <c r="AX50" s="155" t="s">
        <v>342</v>
      </c>
      <c r="AY50" s="155" t="s">
        <v>342</v>
      </c>
      <c r="AZ50" s="155" t="s">
        <v>342</v>
      </c>
      <c r="BA50" s="155" t="s">
        <v>342</v>
      </c>
      <c r="BB50" s="155" t="s">
        <v>342</v>
      </c>
      <c r="BC50" s="155" t="s">
        <v>342</v>
      </c>
      <c r="BD50" s="155" t="s">
        <v>342</v>
      </c>
      <c r="BE50" s="155" t="s">
        <v>342</v>
      </c>
      <c r="BF50" s="155" t="s">
        <v>342</v>
      </c>
      <c r="BG50" s="155" t="s">
        <v>342</v>
      </c>
      <c r="BH50" s="155" t="s">
        <v>342</v>
      </c>
      <c r="BI50" s="155" t="s">
        <v>342</v>
      </c>
      <c r="BJ50" s="155" t="s">
        <v>342</v>
      </c>
      <c r="BK50" s="155" t="s">
        <v>342</v>
      </c>
      <c r="BL50" s="155" t="s">
        <v>342</v>
      </c>
      <c r="BM50" s="155" t="s">
        <v>342</v>
      </c>
      <c r="BN50" s="155" t="s">
        <v>342</v>
      </c>
      <c r="BO50" s="155" t="s">
        <v>342</v>
      </c>
      <c r="BP50" s="155" t="s">
        <v>342</v>
      </c>
      <c r="BQ50" s="155" t="s">
        <v>342</v>
      </c>
      <c r="BR50" s="156">
        <f t="shared" si="90"/>
      </c>
      <c r="BS50" s="142" t="str">
        <v>#VALUE!</v>
      </c>
    </row>
    <row customHeight="true" ht="17.777777777777775" r="51">
      <c r="A51" s="142" t="s">
        <v>361</v>
      </c>
      <c r="B51" s="142" t="s">
        <v>371</v>
      </c>
      <c r="C51" s="142" t="s">
        <v>372</v>
      </c>
      <c r="D51" s="143" t="s">
        <v>373</v>
      </c>
      <c r="E51" s="144">
        <v>31.2</v>
      </c>
      <c r="F51" s="145">
        <v>44.99</v>
      </c>
      <c r="G51" s="146">
        <f t="shared" si="129"/>
      </c>
      <c r="H51" s="146">
        <f t="shared" si="134"/>
      </c>
      <c r="I51" s="146">
        <f t="shared" si="26"/>
      </c>
      <c r="J51" s="147">
        <f t="shared" si="3"/>
      </c>
      <c r="K51" s="144">
        <f t="shared" si="66"/>
      </c>
      <c r="L51" s="148">
        <f t="shared" si="42"/>
      </c>
      <c r="M51" s="146">
        <f t="shared" si="107"/>
      </c>
      <c r="N51" s="144">
        <f t="shared" si="85"/>
      </c>
      <c r="O51" s="144">
        <f t="shared" si="140"/>
      </c>
      <c r="P51" s="142">
        <v>27</v>
      </c>
      <c r="Q51" s="149">
        <v>8</v>
      </c>
      <c r="R51" s="150">
        <v>0.1</v>
      </c>
      <c r="S51" s="147">
        <f t="shared" si="114"/>
      </c>
      <c r="T51" s="150">
        <v>0.05</v>
      </c>
      <c r="U51" s="150">
        <v>0.01</v>
      </c>
      <c r="V51" s="150">
        <f t="shared" si="9"/>
      </c>
      <c r="W51" s="150">
        <f t="shared" si="48"/>
      </c>
      <c r="X51" s="152">
        <v>0.188</v>
      </c>
      <c r="Y51" s="153"/>
      <c r="Z51" s="153"/>
      <c r="AA51" s="153">
        <f t="shared" si="72"/>
      </c>
      <c r="AB51" s="144">
        <f t="shared" si="145"/>
      </c>
      <c r="AC51" s="144">
        <v>84.5</v>
      </c>
      <c r="AD51" s="154">
        <f t="shared" si="120"/>
      </c>
      <c r="AE51" s="149">
        <f t="shared" si="18"/>
      </c>
      <c r="AF51" s="150">
        <f t="shared" si="15"/>
      </c>
      <c r="AG51" s="150">
        <f t="shared" si="54"/>
      </c>
      <c r="AH51" s="149">
        <v>6.5</v>
      </c>
      <c r="AI51" s="150">
        <f t="shared" si="100"/>
      </c>
      <c r="AJ51" s="150"/>
      <c r="AK51" s="150"/>
      <c r="AL51" s="150"/>
      <c r="AM51" s="150"/>
      <c r="AN51" s="155"/>
      <c r="AO51" s="155"/>
      <c r="AP51" s="155"/>
      <c r="AQ51" s="155"/>
      <c r="AR51" s="155"/>
      <c r="AS51" s="155"/>
      <c r="AT51" s="155" t="s">
        <v>342</v>
      </c>
      <c r="AU51" s="155" t="s">
        <v>342</v>
      </c>
      <c r="AV51" s="155" t="s">
        <v>342</v>
      </c>
      <c r="AW51" s="155" t="s">
        <v>342</v>
      </c>
      <c r="AX51" s="155" t="s">
        <v>342</v>
      </c>
      <c r="AY51" s="155" t="s">
        <v>342</v>
      </c>
      <c r="AZ51" s="155" t="s">
        <v>342</v>
      </c>
      <c r="BA51" s="155" t="s">
        <v>342</v>
      </c>
      <c r="BB51" s="155" t="s">
        <v>342</v>
      </c>
      <c r="BC51" s="155" t="s">
        <v>342</v>
      </c>
      <c r="BD51" s="155" t="s">
        <v>342</v>
      </c>
      <c r="BE51" s="155" t="s">
        <v>342</v>
      </c>
      <c r="BF51" s="155" t="s">
        <v>342</v>
      </c>
      <c r="BG51" s="155" t="s">
        <v>342</v>
      </c>
      <c r="BH51" s="155" t="s">
        <v>342</v>
      </c>
      <c r="BI51" s="155" t="s">
        <v>342</v>
      </c>
      <c r="BJ51" s="155" t="s">
        <v>342</v>
      </c>
      <c r="BK51" s="155" t="s">
        <v>342</v>
      </c>
      <c r="BL51" s="155" t="s">
        <v>342</v>
      </c>
      <c r="BM51" s="155" t="s">
        <v>342</v>
      </c>
      <c r="BN51" s="155" t="s">
        <v>342</v>
      </c>
      <c r="BO51" s="155" t="s">
        <v>342</v>
      </c>
      <c r="BP51" s="155" t="s">
        <v>342</v>
      </c>
      <c r="BQ51" s="155" t="s">
        <v>342</v>
      </c>
      <c r="BR51" s="156">
        <f t="shared" si="90"/>
      </c>
      <c r="BS51" s="142" t="str">
        <v>#VALUE!</v>
      </c>
    </row>
    <row customHeight="true" ht="17.777777777777775" r="52">
      <c r="A52" s="142" t="s">
        <v>363</v>
      </c>
      <c r="B52" s="142" t="s">
        <v>371</v>
      </c>
      <c r="C52" s="142" t="s">
        <v>372</v>
      </c>
      <c r="D52" s="143" t="s">
        <v>373</v>
      </c>
      <c r="E52" s="144">
        <v>340</v>
      </c>
      <c r="F52" s="145">
        <v>490</v>
      </c>
      <c r="G52" s="146">
        <f t="shared" si="129"/>
      </c>
      <c r="H52" s="146">
        <f t="shared" si="134"/>
      </c>
      <c r="I52" s="146">
        <f t="shared" si="26"/>
      </c>
      <c r="J52" s="147">
        <f t="shared" si="3"/>
      </c>
      <c r="K52" s="144">
        <f t="shared" si="66"/>
      </c>
      <c r="L52" s="148">
        <f t="shared" si="42"/>
      </c>
      <c r="M52" s="146">
        <f t="shared" si="107"/>
      </c>
      <c r="N52" s="144">
        <f t="shared" si="85"/>
      </c>
      <c r="O52" s="144">
        <f t="shared" si="140"/>
      </c>
      <c r="P52" s="142">
        <v>27</v>
      </c>
      <c r="Q52" s="149">
        <v>0.758</v>
      </c>
      <c r="R52" s="150">
        <v>0.1</v>
      </c>
      <c r="S52" s="147">
        <f t="shared" si="114"/>
      </c>
      <c r="T52" s="150">
        <v>0.05</v>
      </c>
      <c r="U52" s="150">
        <v>0.01</v>
      </c>
      <c r="V52" s="150">
        <f t="shared" si="9"/>
      </c>
      <c r="W52" s="150">
        <f t="shared" si="48"/>
      </c>
      <c r="X52" s="152">
        <v>0.188</v>
      </c>
      <c r="Y52" s="153"/>
      <c r="Z52" s="153"/>
      <c r="AA52" s="153">
        <f t="shared" si="72"/>
      </c>
      <c r="AB52" s="144">
        <f t="shared" si="145"/>
      </c>
      <c r="AC52" s="144">
        <v>84.5</v>
      </c>
      <c r="AD52" s="154">
        <f t="shared" si="120"/>
      </c>
      <c r="AE52" s="149">
        <f t="shared" si="18"/>
      </c>
      <c r="AF52" s="150">
        <f t="shared" si="15"/>
      </c>
      <c r="AG52" s="150">
        <f t="shared" si="54"/>
      </c>
      <c r="AH52" s="149">
        <v>6.5</v>
      </c>
      <c r="AI52" s="150">
        <f t="shared" si="100"/>
      </c>
      <c r="AJ52" s="150"/>
      <c r="AK52" s="150"/>
      <c r="AL52" s="150"/>
      <c r="AM52" s="150"/>
      <c r="AN52" s="155"/>
      <c r="AO52" s="155"/>
      <c r="AP52" s="155"/>
      <c r="AQ52" s="155"/>
      <c r="AR52" s="155"/>
      <c r="AS52" s="155"/>
      <c r="AT52" s="155" t="s">
        <v>342</v>
      </c>
      <c r="AU52" s="155" t="s">
        <v>342</v>
      </c>
      <c r="AV52" s="155" t="s">
        <v>342</v>
      </c>
      <c r="AW52" s="155" t="s">
        <v>342</v>
      </c>
      <c r="AX52" s="155" t="s">
        <v>342</v>
      </c>
      <c r="AY52" s="155" t="s">
        <v>342</v>
      </c>
      <c r="AZ52" s="155" t="s">
        <v>342</v>
      </c>
      <c r="BA52" s="155" t="s">
        <v>342</v>
      </c>
      <c r="BB52" s="155" t="s">
        <v>342</v>
      </c>
      <c r="BC52" s="155" t="s">
        <v>342</v>
      </c>
      <c r="BD52" s="155" t="s">
        <v>342</v>
      </c>
      <c r="BE52" s="155" t="s">
        <v>342</v>
      </c>
      <c r="BF52" s="155" t="s">
        <v>342</v>
      </c>
      <c r="BG52" s="155" t="s">
        <v>342</v>
      </c>
      <c r="BH52" s="155" t="s">
        <v>342</v>
      </c>
      <c r="BI52" s="155" t="s">
        <v>342</v>
      </c>
      <c r="BJ52" s="155" t="s">
        <v>342</v>
      </c>
      <c r="BK52" s="155" t="s">
        <v>342</v>
      </c>
      <c r="BL52" s="155" t="s">
        <v>342</v>
      </c>
      <c r="BM52" s="155" t="s">
        <v>342</v>
      </c>
      <c r="BN52" s="155" t="s">
        <v>342</v>
      </c>
      <c r="BO52" s="155" t="s">
        <v>342</v>
      </c>
      <c r="BP52" s="155" t="s">
        <v>342</v>
      </c>
      <c r="BQ52" s="155" t="s">
        <v>342</v>
      </c>
      <c r="BR52" s="156">
        <f t="shared" si="90"/>
      </c>
      <c r="BS52" s="142" t="str">
        <v>#VALUE!</v>
      </c>
    </row>
    <row customHeight="true" ht="17.777777777777775" r="53">
      <c r="A53" s="142" t="s">
        <v>365</v>
      </c>
      <c r="B53" s="142" t="s">
        <v>371</v>
      </c>
      <c r="C53" s="142" t="s">
        <v>372</v>
      </c>
      <c r="D53" s="143" t="s">
        <v>373</v>
      </c>
      <c r="E53" s="144">
        <v>31.2</v>
      </c>
      <c r="F53" s="145">
        <v>44.99</v>
      </c>
      <c r="G53" s="146">
        <f t="shared" si="129"/>
      </c>
      <c r="H53" s="146">
        <f t="shared" si="134"/>
      </c>
      <c r="I53" s="146">
        <f t="shared" si="26"/>
      </c>
      <c r="J53" s="147">
        <f t="shared" si="3"/>
      </c>
      <c r="K53" s="144">
        <f t="shared" si="66"/>
      </c>
      <c r="L53" s="148">
        <f t="shared" si="42"/>
      </c>
      <c r="M53" s="146">
        <f t="shared" si="107"/>
      </c>
      <c r="N53" s="144">
        <f t="shared" si="85"/>
      </c>
      <c r="O53" s="144">
        <f t="shared" si="140"/>
      </c>
      <c r="P53" s="142">
        <v>27</v>
      </c>
      <c r="Q53" s="149">
        <v>8</v>
      </c>
      <c r="R53" s="150">
        <v>0.1</v>
      </c>
      <c r="S53" s="147">
        <f t="shared" si="114"/>
      </c>
      <c r="T53" s="150">
        <v>0.05</v>
      </c>
      <c r="U53" s="150">
        <v>0.01</v>
      </c>
      <c r="V53" s="150">
        <f t="shared" si="9"/>
      </c>
      <c r="W53" s="150">
        <f t="shared" si="48"/>
      </c>
      <c r="X53" s="152">
        <v>0.188</v>
      </c>
      <c r="Y53" s="153"/>
      <c r="Z53" s="153"/>
      <c r="AA53" s="153">
        <f t="shared" si="72"/>
      </c>
      <c r="AB53" s="144">
        <f t="shared" si="145"/>
      </c>
      <c r="AC53" s="144">
        <v>84.5</v>
      </c>
      <c r="AD53" s="154">
        <f t="shared" si="120"/>
      </c>
      <c r="AE53" s="149">
        <f t="shared" si="18"/>
      </c>
      <c r="AF53" s="150">
        <f t="shared" si="15"/>
      </c>
      <c r="AG53" s="150">
        <f t="shared" si="54"/>
      </c>
      <c r="AH53" s="149">
        <v>6.5</v>
      </c>
      <c r="AI53" s="150">
        <f t="shared" si="100"/>
      </c>
      <c r="AJ53" s="150"/>
      <c r="AK53" s="150"/>
      <c r="AL53" s="150"/>
      <c r="AM53" s="150"/>
      <c r="AN53" s="155"/>
      <c r="AO53" s="155"/>
      <c r="AP53" s="155"/>
      <c r="AQ53" s="155"/>
      <c r="AR53" s="155"/>
      <c r="AS53" s="155"/>
      <c r="AT53" s="155" t="s">
        <v>342</v>
      </c>
      <c r="AU53" s="155" t="s">
        <v>342</v>
      </c>
      <c r="AV53" s="155" t="s">
        <v>342</v>
      </c>
      <c r="AW53" s="155" t="s">
        <v>342</v>
      </c>
      <c r="AX53" s="155" t="s">
        <v>342</v>
      </c>
      <c r="AY53" s="155" t="s">
        <v>342</v>
      </c>
      <c r="AZ53" s="155" t="s">
        <v>342</v>
      </c>
      <c r="BA53" s="155" t="s">
        <v>342</v>
      </c>
      <c r="BB53" s="155" t="s">
        <v>342</v>
      </c>
      <c r="BC53" s="155" t="s">
        <v>342</v>
      </c>
      <c r="BD53" s="155" t="s">
        <v>342</v>
      </c>
      <c r="BE53" s="155" t="s">
        <v>342</v>
      </c>
      <c r="BF53" s="155" t="s">
        <v>342</v>
      </c>
      <c r="BG53" s="155" t="s">
        <v>342</v>
      </c>
      <c r="BH53" s="155" t="s">
        <v>342</v>
      </c>
      <c r="BI53" s="155" t="s">
        <v>342</v>
      </c>
      <c r="BJ53" s="155" t="s">
        <v>342</v>
      </c>
      <c r="BK53" s="155" t="s">
        <v>342</v>
      </c>
      <c r="BL53" s="155" t="s">
        <v>342</v>
      </c>
      <c r="BM53" s="155" t="s">
        <v>342</v>
      </c>
      <c r="BN53" s="155" t="s">
        <v>342</v>
      </c>
      <c r="BO53" s="155" t="s">
        <v>342</v>
      </c>
      <c r="BP53" s="155" t="s">
        <v>342</v>
      </c>
      <c r="BQ53" s="155" t="s">
        <v>342</v>
      </c>
      <c r="BR53" s="156">
        <f t="shared" si="90"/>
      </c>
      <c r="BS53" s="142" t="str">
        <v>#VALUE!</v>
      </c>
    </row>
    <row customHeight="true" ht="17.037037037037035" r="54">
      <c r="E54" s="177"/>
      <c r="F54" s="177"/>
      <c r="G54" s="146">
        <f t="shared" si="129"/>
      </c>
      <c r="H54" s="177"/>
      <c r="I54" s="177"/>
      <c r="N54" s="144"/>
      <c r="S54" s="177"/>
      <c r="AE54" s="178"/>
      <c r="AI54" s="150"/>
      <c r="BS54" s="177" t="str">
        <v>#VALUE!</v>
      </c>
    </row>
    <row customHeight="true" ht="17.777777777777775" r="55">
      <c r="A55" s="142" t="s">
        <v>338</v>
      </c>
      <c r="B55" s="142"/>
      <c r="C55" s="142"/>
      <c r="D55" s="179" t="s">
        <v>374</v>
      </c>
      <c r="E55" s="144">
        <v>33.99</v>
      </c>
      <c r="F55" s="145">
        <v>49.99</v>
      </c>
      <c r="G55" s="146">
        <f t="shared" si="129"/>
      </c>
      <c r="H55" s="146"/>
      <c r="I55" s="146">
        <f t="shared" ref="I55:I59" si="27">E55-N55/Q55-AB55-Y55-O55-Z55-AA55</f>
      </c>
      <c r="J55" s="147">
        <f t="shared" ref="J55:J59" si="4">I55/E55</f>
      </c>
      <c r="K55" s="144">
        <f t="shared" ref="K55:K59" si="67">F55/1.2</f>
      </c>
      <c r="L55" s="148">
        <f t="shared" ref="L55:L59" si="43">(K55-E55)/K55</f>
      </c>
      <c r="M55" s="146">
        <f t="shared" ref="M55:M59" si="108">F55/1.2-E55</f>
      </c>
      <c r="N55" s="144">
        <f t="shared" ref="N55:N59" si="86">AD55+AH55</f>
      </c>
      <c r="O55" s="144">
        <f t="shared" ref="O55:O59" si="62">IFERROR(IF(A55="UK",7.6/P55,IF(A55="DE",7.5/P55,IF(A55="FR",14/P55,IF(A55="IT",15/P55,IF(A55="ES",19/P55,IF(A55="NL",12/P55,IF(A55="PL",15.06/P55,IF(A55="SE",18.5/P55,IF(A55="BE",15.27/P55))))))))),0)</f>
      </c>
      <c r="P55" s="142">
        <v>2</v>
      </c>
      <c r="Q55" s="149">
        <v>7.4</v>
      </c>
      <c r="R55" s="150">
        <v>0.1</v>
      </c>
      <c r="S55" s="147">
        <f t="shared" ref="S55:S59" si="115">Y55/F55</f>
      </c>
      <c r="T55" s="150">
        <v>0.05</v>
      </c>
      <c r="U55" s="150">
        <v>0.01</v>
      </c>
      <c r="V55" s="150">
        <f t="shared" ref="V55:V59" si="10">N55/(E55*Q55)</f>
      </c>
      <c r="W55" s="150">
        <f t="shared" ref="W55:W59" si="49">O55/E55</f>
      </c>
      <c r="X55" s="152">
        <v>0.158</v>
      </c>
      <c r="Y55" s="153">
        <f t="shared" ref="Y55:Y59" si="36">E55*R55</f>
      </c>
      <c r="Z55" s="153">
        <f t="shared" ref="Z55:Z59" si="125">E55*T55</f>
      </c>
      <c r="AA55" s="153">
        <f t="shared" ref="AA55:AA59" si="73">E55*U55</f>
      </c>
      <c r="AB55" s="144">
        <f t="shared" ref="AB55:AB59" si="146">E55*X55</f>
      </c>
      <c r="AC55" s="144">
        <v>73.45</v>
      </c>
      <c r="AD55" s="154">
        <f t="shared" ref="AD55:AD59" si="103">73.45/1.13</f>
      </c>
      <c r="AE55" s="149">
        <f t="shared" ref="AE55:AE59" si="20">3.5/7.4</f>
      </c>
      <c r="AF55" s="150">
        <f t="shared" ref="AF55:AF59" si="16">AD55/(E55*Q55)</f>
      </c>
      <c r="AG55" s="150">
        <f t="shared" ref="AG55:AG59" si="55">AE55/Q55/E55</f>
      </c>
      <c r="AH55" s="149">
        <v>3.5</v>
      </c>
      <c r="AI55" s="150">
        <f t="shared" ref="AI55:AI59" si="101">(K55-E55+AB55-Z55)/K55</f>
      </c>
      <c r="AJ55" s="150"/>
      <c r="AK55" s="150"/>
      <c r="AL55" s="150"/>
      <c r="AM55" s="150"/>
      <c r="AN55" s="155"/>
      <c r="AO55" s="155"/>
      <c r="AP55" s="155"/>
      <c r="AQ55" s="155"/>
      <c r="AR55" s="155"/>
      <c r="AS55" s="155"/>
      <c r="AT55" s="155" t="s">
        <v>342</v>
      </c>
      <c r="AU55" s="155" t="s">
        <v>342</v>
      </c>
      <c r="AV55" s="155" t="s">
        <v>342</v>
      </c>
      <c r="AW55" s="155" t="s">
        <v>342</v>
      </c>
      <c r="AX55" s="155" t="s">
        <v>342</v>
      </c>
      <c r="AY55" s="155" t="s">
        <v>342</v>
      </c>
      <c r="AZ55" s="155" t="s">
        <v>342</v>
      </c>
      <c r="BA55" s="155" t="s">
        <v>342</v>
      </c>
      <c r="BB55" s="155" t="s">
        <v>342</v>
      </c>
      <c r="BC55" s="155" t="s">
        <v>342</v>
      </c>
      <c r="BD55" s="155" t="s">
        <v>342</v>
      </c>
      <c r="BE55" s="155" t="s">
        <v>342</v>
      </c>
      <c r="BF55" s="155" t="s">
        <v>342</v>
      </c>
      <c r="BG55" s="155" t="s">
        <v>342</v>
      </c>
      <c r="BH55" s="155" t="s">
        <v>342</v>
      </c>
      <c r="BI55" s="155" t="s">
        <v>342</v>
      </c>
      <c r="BJ55" s="155" t="s">
        <v>342</v>
      </c>
      <c r="BK55" s="155" t="s">
        <v>342</v>
      </c>
      <c r="BL55" s="155" t="s">
        <v>342</v>
      </c>
      <c r="BM55" s="155" t="s">
        <v>342</v>
      </c>
      <c r="BN55" s="155" t="s">
        <v>342</v>
      </c>
      <c r="BO55" s="155" t="s">
        <v>342</v>
      </c>
      <c r="BP55" s="155" t="s">
        <v>342</v>
      </c>
      <c r="BQ55" s="155" t="s">
        <v>342</v>
      </c>
      <c r="BR55" s="156">
        <f t="shared" ref="BR55:BR59" si="91">IF(#REF!&lt;E55,1,0)</f>
      </c>
      <c r="BS55" s="142" t="str">
        <v>#VALUE!</v>
      </c>
    </row>
    <row customHeight="true" ht="17.777777777777775" r="56">
      <c r="A56" s="142" t="s">
        <v>351</v>
      </c>
      <c r="B56" s="142"/>
      <c r="C56" s="142"/>
      <c r="D56" s="179" t="s">
        <v>374</v>
      </c>
      <c r="E56" s="144">
        <v>33.99</v>
      </c>
      <c r="F56" s="145">
        <v>49.99</v>
      </c>
      <c r="G56" s="146">
        <f t="shared" si="129"/>
      </c>
      <c r="H56" s="146"/>
      <c r="I56" s="146">
        <f t="shared" si="27"/>
      </c>
      <c r="J56" s="147">
        <f t="shared" si="4"/>
      </c>
      <c r="K56" s="144">
        <f t="shared" si="67"/>
      </c>
      <c r="L56" s="148">
        <f t="shared" si="43"/>
      </c>
      <c r="M56" s="146">
        <f t="shared" si="108"/>
      </c>
      <c r="N56" s="144">
        <f t="shared" si="86"/>
      </c>
      <c r="O56" s="144">
        <f t="shared" si="62"/>
      </c>
      <c r="P56" s="142">
        <v>2</v>
      </c>
      <c r="Q56" s="149">
        <v>7.4</v>
      </c>
      <c r="R56" s="150">
        <v>0.1</v>
      </c>
      <c r="S56" s="147">
        <f t="shared" si="115"/>
      </c>
      <c r="T56" s="150">
        <v>0.05</v>
      </c>
      <c r="U56" s="150">
        <v>0.01</v>
      </c>
      <c r="V56" s="150">
        <f t="shared" si="10"/>
      </c>
      <c r="W56" s="150">
        <f t="shared" si="49"/>
      </c>
      <c r="X56" s="152">
        <v>0.1695</v>
      </c>
      <c r="Y56" s="153">
        <f t="shared" si="36"/>
      </c>
      <c r="Z56" s="153">
        <f t="shared" si="125"/>
      </c>
      <c r="AA56" s="153">
        <f t="shared" si="73"/>
      </c>
      <c r="AB56" s="144">
        <f t="shared" si="146"/>
      </c>
      <c r="AC56" s="144">
        <v>73.45</v>
      </c>
      <c r="AD56" s="154">
        <f t="shared" si="103"/>
      </c>
      <c r="AE56" s="149">
        <f t="shared" si="20"/>
      </c>
      <c r="AF56" s="150">
        <f t="shared" si="16"/>
      </c>
      <c r="AG56" s="150">
        <f t="shared" si="55"/>
      </c>
      <c r="AH56" s="149">
        <v>3.5</v>
      </c>
      <c r="AI56" s="150">
        <f t="shared" si="101"/>
      </c>
      <c r="AJ56" s="150"/>
      <c r="AK56" s="150"/>
      <c r="AL56" s="150"/>
      <c r="AM56" s="150"/>
      <c r="AN56" s="155"/>
      <c r="AO56" s="155"/>
      <c r="AP56" s="155"/>
      <c r="AQ56" s="155"/>
      <c r="AR56" s="155"/>
      <c r="AS56" s="155"/>
      <c r="AT56" s="155" t="s">
        <v>342</v>
      </c>
      <c r="AU56" s="155" t="s">
        <v>342</v>
      </c>
      <c r="AV56" s="155" t="s">
        <v>342</v>
      </c>
      <c r="AW56" s="155" t="s">
        <v>342</v>
      </c>
      <c r="AX56" s="155" t="s">
        <v>342</v>
      </c>
      <c r="AY56" s="155" t="s">
        <v>342</v>
      </c>
      <c r="AZ56" s="155" t="s">
        <v>342</v>
      </c>
      <c r="BA56" s="155" t="s">
        <v>342</v>
      </c>
      <c r="BB56" s="155" t="s">
        <v>342</v>
      </c>
      <c r="BC56" s="155" t="s">
        <v>342</v>
      </c>
      <c r="BD56" s="155" t="s">
        <v>342</v>
      </c>
      <c r="BE56" s="155" t="s">
        <v>342</v>
      </c>
      <c r="BF56" s="155" t="s">
        <v>342</v>
      </c>
      <c r="BG56" s="155" t="s">
        <v>342</v>
      </c>
      <c r="BH56" s="155" t="s">
        <v>342</v>
      </c>
      <c r="BI56" s="155" t="s">
        <v>342</v>
      </c>
      <c r="BJ56" s="155" t="s">
        <v>342</v>
      </c>
      <c r="BK56" s="155" t="s">
        <v>342</v>
      </c>
      <c r="BL56" s="155" t="s">
        <v>342</v>
      </c>
      <c r="BM56" s="155" t="s">
        <v>342</v>
      </c>
      <c r="BN56" s="155" t="s">
        <v>342</v>
      </c>
      <c r="BO56" s="155" t="s">
        <v>342</v>
      </c>
      <c r="BP56" s="155" t="s">
        <v>342</v>
      </c>
      <c r="BQ56" s="155" t="s">
        <v>342</v>
      </c>
      <c r="BR56" s="156">
        <f t="shared" si="91"/>
      </c>
      <c r="BS56" s="142" t="str">
        <v>#VALUE!</v>
      </c>
    </row>
    <row customHeight="true" ht="17.777777777777775" r="57">
      <c r="A57" s="142" t="s">
        <v>354</v>
      </c>
      <c r="B57" s="142"/>
      <c r="C57" s="142"/>
      <c r="D57" s="179" t="s">
        <v>374</v>
      </c>
      <c r="E57" s="144">
        <v>33.99</v>
      </c>
      <c r="F57" s="145">
        <v>49.99</v>
      </c>
      <c r="G57" s="146">
        <f t="shared" si="129"/>
      </c>
      <c r="H57" s="146"/>
      <c r="I57" s="146">
        <f t="shared" si="27"/>
      </c>
      <c r="J57" s="147">
        <f t="shared" si="4"/>
      </c>
      <c r="K57" s="144">
        <f t="shared" si="67"/>
      </c>
      <c r="L57" s="148">
        <f t="shared" si="43"/>
      </c>
      <c r="M57" s="146">
        <f t="shared" si="108"/>
      </c>
      <c r="N57" s="144">
        <f t="shared" si="86"/>
      </c>
      <c r="O57" s="144">
        <f t="shared" si="62"/>
      </c>
      <c r="P57" s="142">
        <v>2</v>
      </c>
      <c r="Q57" s="149">
        <v>7.4</v>
      </c>
      <c r="R57" s="150">
        <v>0.1</v>
      </c>
      <c r="S57" s="147">
        <f t="shared" si="115"/>
      </c>
      <c r="T57" s="150">
        <v>0.05</v>
      </c>
      <c r="U57" s="150">
        <v>0.01</v>
      </c>
      <c r="V57" s="150">
        <f t="shared" si="10"/>
      </c>
      <c r="W57" s="150">
        <f t="shared" si="49"/>
      </c>
      <c r="X57" s="152">
        <v>0.198</v>
      </c>
      <c r="Y57" s="153">
        <f t="shared" si="36"/>
      </c>
      <c r="Z57" s="153">
        <f t="shared" si="125"/>
      </c>
      <c r="AA57" s="153">
        <f t="shared" si="73"/>
      </c>
      <c r="AB57" s="144">
        <f t="shared" si="146"/>
      </c>
      <c r="AC57" s="144">
        <v>73.45</v>
      </c>
      <c r="AD57" s="154">
        <f t="shared" si="103"/>
      </c>
      <c r="AE57" s="149">
        <f t="shared" si="20"/>
      </c>
      <c r="AF57" s="150">
        <f t="shared" si="16"/>
      </c>
      <c r="AG57" s="150">
        <f t="shared" si="55"/>
      </c>
      <c r="AH57" s="149">
        <v>3.5</v>
      </c>
      <c r="AI57" s="150">
        <f t="shared" si="101"/>
      </c>
      <c r="AJ57" s="150"/>
      <c r="AK57" s="150"/>
      <c r="AL57" s="150"/>
      <c r="AM57" s="150"/>
      <c r="AN57" s="155"/>
      <c r="AO57" s="155"/>
      <c r="AP57" s="155"/>
      <c r="AQ57" s="155"/>
      <c r="AR57" s="155"/>
      <c r="AS57" s="155"/>
      <c r="AT57" s="155" t="s">
        <v>342</v>
      </c>
      <c r="AU57" s="155" t="s">
        <v>342</v>
      </c>
      <c r="AV57" s="155" t="s">
        <v>342</v>
      </c>
      <c r="AW57" s="155" t="s">
        <v>342</v>
      </c>
      <c r="AX57" s="155" t="s">
        <v>342</v>
      </c>
      <c r="AY57" s="155" t="s">
        <v>342</v>
      </c>
      <c r="AZ57" s="155" t="s">
        <v>342</v>
      </c>
      <c r="BA57" s="155" t="s">
        <v>342</v>
      </c>
      <c r="BB57" s="155" t="s">
        <v>342</v>
      </c>
      <c r="BC57" s="155" t="s">
        <v>342</v>
      </c>
      <c r="BD57" s="155" t="s">
        <v>342</v>
      </c>
      <c r="BE57" s="155" t="s">
        <v>342</v>
      </c>
      <c r="BF57" s="155" t="s">
        <v>342</v>
      </c>
      <c r="BG57" s="155" t="s">
        <v>342</v>
      </c>
      <c r="BH57" s="155" t="s">
        <v>342</v>
      </c>
      <c r="BI57" s="155" t="s">
        <v>342</v>
      </c>
      <c r="BJ57" s="155" t="s">
        <v>342</v>
      </c>
      <c r="BK57" s="155" t="s">
        <v>342</v>
      </c>
      <c r="BL57" s="155" t="s">
        <v>342</v>
      </c>
      <c r="BM57" s="155" t="s">
        <v>342</v>
      </c>
      <c r="BN57" s="155" t="s">
        <v>342</v>
      </c>
      <c r="BO57" s="155" t="s">
        <v>342</v>
      </c>
      <c r="BP57" s="155" t="s">
        <v>342</v>
      </c>
      <c r="BQ57" s="155" t="s">
        <v>342</v>
      </c>
      <c r="BR57" s="156">
        <f t="shared" si="91"/>
      </c>
      <c r="BS57" s="142" t="str">
        <v>#VALUE!</v>
      </c>
    </row>
    <row customHeight="true" ht="17.777777777777775" r="58">
      <c r="A58" s="142" t="s">
        <v>355</v>
      </c>
      <c r="B58" s="142"/>
      <c r="C58" s="142"/>
      <c r="D58" s="179" t="s">
        <v>374</v>
      </c>
      <c r="E58" s="144">
        <v>33.99</v>
      </c>
      <c r="F58" s="145">
        <v>49.99</v>
      </c>
      <c r="G58" s="146">
        <f t="shared" si="129"/>
      </c>
      <c r="H58" s="146"/>
      <c r="I58" s="146">
        <f t="shared" si="27"/>
      </c>
      <c r="J58" s="147">
        <f t="shared" si="4"/>
      </c>
      <c r="K58" s="144">
        <f t="shared" si="67"/>
      </c>
      <c r="L58" s="148">
        <f t="shared" si="43"/>
      </c>
      <c r="M58" s="146">
        <f t="shared" si="108"/>
      </c>
      <c r="N58" s="144">
        <f t="shared" si="86"/>
      </c>
      <c r="O58" s="144">
        <f t="shared" si="62"/>
      </c>
      <c r="P58" s="142">
        <v>2</v>
      </c>
      <c r="Q58" s="149">
        <v>7.4</v>
      </c>
      <c r="R58" s="150">
        <v>0.1</v>
      </c>
      <c r="S58" s="147">
        <f t="shared" si="115"/>
      </c>
      <c r="T58" s="150">
        <v>0.05</v>
      </c>
      <c r="U58" s="150">
        <v>0.01</v>
      </c>
      <c r="V58" s="150">
        <f t="shared" si="10"/>
      </c>
      <c r="W58" s="150">
        <f t="shared" si="49"/>
      </c>
      <c r="X58" s="152">
        <v>0.1846</v>
      </c>
      <c r="Y58" s="153">
        <f t="shared" si="36"/>
      </c>
      <c r="Z58" s="153">
        <f t="shared" si="125"/>
      </c>
      <c r="AA58" s="153">
        <f t="shared" si="73"/>
      </c>
      <c r="AB58" s="144">
        <f t="shared" si="146"/>
      </c>
      <c r="AC58" s="144">
        <v>73.45</v>
      </c>
      <c r="AD58" s="154">
        <f t="shared" si="103"/>
      </c>
      <c r="AE58" s="149">
        <f t="shared" si="20"/>
      </c>
      <c r="AF58" s="150">
        <f t="shared" si="16"/>
      </c>
      <c r="AG58" s="150">
        <f t="shared" si="55"/>
      </c>
      <c r="AH58" s="149">
        <v>3.5</v>
      </c>
      <c r="AI58" s="150">
        <f t="shared" si="101"/>
      </c>
      <c r="AJ58" s="150"/>
      <c r="AK58" s="150"/>
      <c r="AL58" s="150"/>
      <c r="AM58" s="150"/>
      <c r="AN58" s="155"/>
      <c r="AO58" s="155"/>
      <c r="AP58" s="155"/>
      <c r="AQ58" s="155"/>
      <c r="AR58" s="155"/>
      <c r="AS58" s="155"/>
      <c r="AT58" s="155" t="s">
        <v>342</v>
      </c>
      <c r="AU58" s="155" t="s">
        <v>342</v>
      </c>
      <c r="AV58" s="155" t="s">
        <v>342</v>
      </c>
      <c r="AW58" s="155" t="s">
        <v>342</v>
      </c>
      <c r="AX58" s="155" t="s">
        <v>342</v>
      </c>
      <c r="AY58" s="155" t="s">
        <v>342</v>
      </c>
      <c r="AZ58" s="155" t="s">
        <v>342</v>
      </c>
      <c r="BA58" s="155" t="s">
        <v>342</v>
      </c>
      <c r="BB58" s="155" t="s">
        <v>342</v>
      </c>
      <c r="BC58" s="155" t="s">
        <v>342</v>
      </c>
      <c r="BD58" s="155" t="s">
        <v>342</v>
      </c>
      <c r="BE58" s="155" t="s">
        <v>342</v>
      </c>
      <c r="BF58" s="155" t="s">
        <v>342</v>
      </c>
      <c r="BG58" s="155" t="s">
        <v>342</v>
      </c>
      <c r="BH58" s="155" t="s">
        <v>342</v>
      </c>
      <c r="BI58" s="155" t="s">
        <v>342</v>
      </c>
      <c r="BJ58" s="155" t="s">
        <v>342</v>
      </c>
      <c r="BK58" s="155" t="s">
        <v>342</v>
      </c>
      <c r="BL58" s="155" t="s">
        <v>342</v>
      </c>
      <c r="BM58" s="155" t="s">
        <v>342</v>
      </c>
      <c r="BN58" s="155" t="s">
        <v>342</v>
      </c>
      <c r="BO58" s="155" t="s">
        <v>342</v>
      </c>
      <c r="BP58" s="155" t="s">
        <v>342</v>
      </c>
      <c r="BQ58" s="155" t="s">
        <v>342</v>
      </c>
      <c r="BR58" s="156">
        <f t="shared" si="91"/>
      </c>
      <c r="BS58" s="142" t="str">
        <v>#VALUE!</v>
      </c>
    </row>
    <row customHeight="true" ht="17.777777777777775" r="59">
      <c r="A59" s="142" t="s">
        <v>357</v>
      </c>
      <c r="B59" s="142"/>
      <c r="C59" s="142"/>
      <c r="D59" s="179" t="s">
        <v>374</v>
      </c>
      <c r="E59" s="144">
        <v>33.99</v>
      </c>
      <c r="F59" s="145">
        <v>49.99</v>
      </c>
      <c r="G59" s="146">
        <f t="shared" si="129"/>
      </c>
      <c r="H59" s="146"/>
      <c r="I59" s="146">
        <f t="shared" si="27"/>
      </c>
      <c r="J59" s="147">
        <f t="shared" si="4"/>
      </c>
      <c r="K59" s="144">
        <f t="shared" si="67"/>
      </c>
      <c r="L59" s="148">
        <f t="shared" si="43"/>
      </c>
      <c r="M59" s="146">
        <f t="shared" si="108"/>
      </c>
      <c r="N59" s="144">
        <f t="shared" si="86"/>
      </c>
      <c r="O59" s="144">
        <f t="shared" si="62"/>
      </c>
      <c r="P59" s="142">
        <v>2</v>
      </c>
      <c r="Q59" s="149">
        <v>7.4</v>
      </c>
      <c r="R59" s="150">
        <v>0.1</v>
      </c>
      <c r="S59" s="147">
        <f t="shared" si="115"/>
      </c>
      <c r="T59" s="150">
        <v>0.05</v>
      </c>
      <c r="U59" s="150">
        <v>0.01</v>
      </c>
      <c r="V59" s="150">
        <f t="shared" si="10"/>
      </c>
      <c r="W59" s="150">
        <f t="shared" si="49"/>
      </c>
      <c r="X59" s="152">
        <v>0.1646</v>
      </c>
      <c r="Y59" s="153">
        <f t="shared" si="36"/>
      </c>
      <c r="Z59" s="153">
        <f t="shared" si="125"/>
      </c>
      <c r="AA59" s="153">
        <f t="shared" si="73"/>
      </c>
      <c r="AB59" s="144">
        <f t="shared" si="146"/>
      </c>
      <c r="AC59" s="144">
        <v>73.45</v>
      </c>
      <c r="AD59" s="154">
        <f t="shared" si="103"/>
      </c>
      <c r="AE59" s="149">
        <f t="shared" si="20"/>
      </c>
      <c r="AF59" s="150">
        <f t="shared" si="16"/>
      </c>
      <c r="AG59" s="150">
        <f t="shared" si="55"/>
      </c>
      <c r="AH59" s="149">
        <v>3.5</v>
      </c>
      <c r="AI59" s="150">
        <f t="shared" si="101"/>
      </c>
      <c r="AJ59" s="150"/>
      <c r="AK59" s="150"/>
      <c r="AL59" s="150"/>
      <c r="AM59" s="150"/>
      <c r="AN59" s="155"/>
      <c r="AO59" s="155"/>
      <c r="AP59" s="155"/>
      <c r="AQ59" s="155"/>
      <c r="AR59" s="155"/>
      <c r="AS59" s="155"/>
      <c r="AT59" s="155" t="s">
        <v>342</v>
      </c>
      <c r="AU59" s="155" t="s">
        <v>342</v>
      </c>
      <c r="AV59" s="155" t="s">
        <v>342</v>
      </c>
      <c r="AW59" s="155" t="s">
        <v>342</v>
      </c>
      <c r="AX59" s="155" t="s">
        <v>342</v>
      </c>
      <c r="AY59" s="155" t="s">
        <v>342</v>
      </c>
      <c r="AZ59" s="155" t="s">
        <v>342</v>
      </c>
      <c r="BA59" s="155" t="s">
        <v>342</v>
      </c>
      <c r="BB59" s="155" t="s">
        <v>342</v>
      </c>
      <c r="BC59" s="155" t="s">
        <v>342</v>
      </c>
      <c r="BD59" s="155" t="s">
        <v>342</v>
      </c>
      <c r="BE59" s="155" t="s">
        <v>342</v>
      </c>
      <c r="BF59" s="155" t="s">
        <v>342</v>
      </c>
      <c r="BG59" s="155" t="s">
        <v>342</v>
      </c>
      <c r="BH59" s="155" t="s">
        <v>342</v>
      </c>
      <c r="BI59" s="155" t="s">
        <v>342</v>
      </c>
      <c r="BJ59" s="155" t="s">
        <v>342</v>
      </c>
      <c r="BK59" s="155" t="s">
        <v>342</v>
      </c>
      <c r="BL59" s="155" t="s">
        <v>342</v>
      </c>
      <c r="BM59" s="155" t="s">
        <v>342</v>
      </c>
      <c r="BN59" s="155" t="s">
        <v>342</v>
      </c>
      <c r="BO59" s="155" t="s">
        <v>342</v>
      </c>
      <c r="BP59" s="155" t="s">
        <v>342</v>
      </c>
      <c r="BQ59" s="155" t="s">
        <v>342</v>
      </c>
      <c r="BR59" s="156">
        <f t="shared" si="91"/>
      </c>
      <c r="BS59" s="142" t="str">
        <v>#VALUE!</v>
      </c>
    </row>
    <row customHeight="true" ht="13.333333333333332" r="60">
      <c r="G60" s="177"/>
      <c r="H60" s="177"/>
      <c r="S60" s="177"/>
      <c r="AE60" s="178"/>
      <c r="AI60" s="177"/>
    </row>
    <row customHeight="true" ht="17.777777777777775" r="61">
      <c r="A61" s="142" t="s">
        <v>338</v>
      </c>
      <c r="B61" s="142" t="s">
        <v>375</v>
      </c>
      <c r="C61" s="142"/>
      <c r="D61" s="176" t="s">
        <v>376</v>
      </c>
      <c r="E61" s="144">
        <v>17.5</v>
      </c>
      <c r="F61" s="173">
        <v>25</v>
      </c>
      <c r="G61" s="146">
        <f t="shared" ref="G61:G70" si="130">(F61-Z61)</f>
      </c>
      <c r="H61" s="146">
        <f t="shared" ref="H61:H70" si="135">(F61-Z61)/1.2</f>
      </c>
      <c r="I61" s="175">
        <v>5</v>
      </c>
      <c r="J61" s="147">
        <f t="shared" ref="J61:J70" si="5">I61/E61</f>
      </c>
      <c r="K61" s="144">
        <f t="shared" ref="K61:K70" si="68">F61/1.2</f>
      </c>
      <c r="L61" s="148">
        <f t="shared" ref="L61:L70" si="44">(K61-E61)/K61</f>
      </c>
      <c r="M61" s="146">
        <f t="shared" ref="M61:M70" si="109">F61/1.2-E61</f>
      </c>
      <c r="N61" s="144">
        <f t="shared" ref="N61:N70" si="87">AD61+AH61</f>
      </c>
      <c r="O61" s="144">
        <f t="shared" ref="O61:O70" si="141">IFERROR(IF(A61="UK",8.95/P61,IF(A61="DE",11.43/P61,IF(A61="FR",15.27/P61,IF(A61="IT",16.34/P61,IF(A61="ES",20.62/P61,IF(A61="NL",12/P61,IF(A61="PL",15.06/P61,IF(A61="SE",18.5/P61,IF(A61="BE",15.27/P61))))))))),0)</f>
      </c>
      <c r="P61" s="142">
        <v>36</v>
      </c>
      <c r="Q61" s="149">
        <v>9</v>
      </c>
      <c r="R61" s="150">
        <f t="shared" ref="R61:R68" si="61">Y61/E61</f>
      </c>
      <c r="S61" s="147">
        <f t="shared" ref="S61:S68" si="116">Y61/F61</f>
      </c>
      <c r="T61" s="150">
        <f t="shared" ref="T61:T70" si="32">Z61/E61</f>
      </c>
      <c r="U61" s="150">
        <v>0.01</v>
      </c>
      <c r="V61" s="150">
        <f t="shared" ref="V61:V70" si="11">N61/(E61*Q61)</f>
      </c>
      <c r="W61" s="150">
        <f t="shared" ref="W61:W70" si="50">O61/E61</f>
      </c>
      <c r="X61" s="152">
        <v>0.178</v>
      </c>
      <c r="Y61" s="153">
        <v>0</v>
      </c>
      <c r="Z61" s="153">
        <v>5</v>
      </c>
      <c r="AA61" s="153">
        <f t="shared" ref="AA61:AA70" si="74">E61*U61</f>
      </c>
      <c r="AB61" s="144">
        <f t="shared" ref="AB61:AB70" si="147">E61*X61</f>
      </c>
      <c r="AC61" s="144">
        <v>49</v>
      </c>
      <c r="AD61" s="154">
        <f t="shared" ref="AD61:AD70" si="121">AC61/1.13</f>
      </c>
      <c r="AE61" s="149">
        <f t="shared" ref="AE61:AE70" si="19">AH61/Q61</f>
      </c>
      <c r="AF61" s="150">
        <f t="shared" ref="AF61:AF70" si="17">AD61/(E61*Q61)</f>
      </c>
      <c r="AG61" s="150">
        <f t="shared" ref="AG61:AG70" si="56">AE61/Q61/E61</f>
      </c>
      <c r="AH61" s="149">
        <v>5</v>
      </c>
      <c r="AI61" s="150">
        <f t="shared" ref="AI61:AI70" si="102">(K61-E61+AB61-Z61)/K61</f>
      </c>
      <c r="AJ61" s="150"/>
      <c r="AK61" s="150"/>
      <c r="AL61" s="150"/>
      <c r="AM61" s="150"/>
      <c r="AN61" s="155"/>
      <c r="AO61" s="155"/>
      <c r="AP61" s="155"/>
      <c r="AQ61" s="155"/>
      <c r="AR61" s="155"/>
      <c r="AS61" s="155"/>
      <c r="AT61" s="155" t="s">
        <v>342</v>
      </c>
      <c r="AU61" s="155" t="s">
        <v>342</v>
      </c>
      <c r="AV61" s="155" t="s">
        <v>342</v>
      </c>
      <c r="AW61" s="155" t="s">
        <v>342</v>
      </c>
      <c r="AX61" s="155" t="s">
        <v>342</v>
      </c>
      <c r="AY61" s="155" t="s">
        <v>342</v>
      </c>
      <c r="AZ61" s="155" t="s">
        <v>342</v>
      </c>
      <c r="BA61" s="155" t="s">
        <v>342</v>
      </c>
      <c r="BB61" s="155" t="s">
        <v>342</v>
      </c>
      <c r="BC61" s="155" t="s">
        <v>342</v>
      </c>
      <c r="BD61" s="155" t="s">
        <v>342</v>
      </c>
      <c r="BE61" s="155" t="s">
        <v>342</v>
      </c>
      <c r="BF61" s="155" t="s">
        <v>342</v>
      </c>
      <c r="BG61" s="155" t="s">
        <v>342</v>
      </c>
      <c r="BH61" s="155" t="s">
        <v>342</v>
      </c>
      <c r="BI61" s="155" t="s">
        <v>342</v>
      </c>
      <c r="BJ61" s="155" t="s">
        <v>342</v>
      </c>
      <c r="BK61" s="155" t="s">
        <v>342</v>
      </c>
      <c r="BL61" s="155" t="s">
        <v>342</v>
      </c>
      <c r="BM61" s="155" t="s">
        <v>342</v>
      </c>
      <c r="BN61" s="155" t="s">
        <v>342</v>
      </c>
      <c r="BO61" s="155" t="s">
        <v>342</v>
      </c>
      <c r="BP61" s="155" t="s">
        <v>342</v>
      </c>
      <c r="BQ61" s="155" t="s">
        <v>342</v>
      </c>
      <c r="BR61" s="156">
        <f t="shared" ref="BR61:BR70" si="81">IF(E61&lt;#REF!,1,0)</f>
      </c>
      <c r="BS61" s="142" t="str">
        <v>#VALUE!</v>
      </c>
    </row>
    <row customHeight="true" ht="17.777777777777775" r="62">
      <c r="A62" s="142" t="s">
        <v>338</v>
      </c>
      <c r="B62" s="142" t="s">
        <v>375</v>
      </c>
      <c r="C62" s="142"/>
      <c r="D62" s="143" t="s">
        <v>370</v>
      </c>
      <c r="E62" s="144">
        <v>21</v>
      </c>
      <c r="F62" s="173">
        <v>29.99</v>
      </c>
      <c r="G62" s="146">
        <f t="shared" si="130"/>
      </c>
      <c r="H62" s="146">
        <f t="shared" si="135"/>
      </c>
      <c r="I62" s="175">
        <f t="shared" ref="I62:I66" si="28">E62-N62/Q62-AB62-Y62-O62-Z62-AA62</f>
      </c>
      <c r="J62" s="147">
        <f t="shared" si="5"/>
      </c>
      <c r="K62" s="144">
        <f t="shared" si="68"/>
      </c>
      <c r="L62" s="148">
        <f t="shared" si="44"/>
      </c>
      <c r="M62" s="146">
        <f t="shared" si="109"/>
      </c>
      <c r="N62" s="144">
        <f t="shared" si="87"/>
      </c>
      <c r="O62" s="144">
        <f t="shared" si="141"/>
      </c>
      <c r="P62" s="142">
        <v>36</v>
      </c>
      <c r="Q62" s="149">
        <v>9</v>
      </c>
      <c r="R62" s="150">
        <f t="shared" si="61"/>
      </c>
      <c r="S62" s="147">
        <f t="shared" si="116"/>
      </c>
      <c r="T62" s="150">
        <f t="shared" si="32"/>
      </c>
      <c r="U62" s="150">
        <v>0.01</v>
      </c>
      <c r="V62" s="150">
        <f t="shared" si="11"/>
      </c>
      <c r="W62" s="150">
        <f t="shared" si="50"/>
      </c>
      <c r="X62" s="152">
        <v>0.178</v>
      </c>
      <c r="Y62" s="153">
        <v>0</v>
      </c>
      <c r="Z62" s="153">
        <v>5</v>
      </c>
      <c r="AA62" s="153">
        <f t="shared" si="74"/>
      </c>
      <c r="AB62" s="144">
        <f t="shared" si="147"/>
      </c>
      <c r="AC62" s="144">
        <v>49</v>
      </c>
      <c r="AD62" s="154">
        <f t="shared" si="121"/>
      </c>
      <c r="AE62" s="149">
        <f t="shared" si="19"/>
      </c>
      <c r="AF62" s="150">
        <f t="shared" si="17"/>
      </c>
      <c r="AG62" s="150">
        <f t="shared" si="56"/>
      </c>
      <c r="AH62" s="149">
        <v>5</v>
      </c>
      <c r="AI62" s="150">
        <f t="shared" si="102"/>
      </c>
      <c r="AJ62" s="150"/>
      <c r="AK62" s="150"/>
      <c r="AL62" s="150"/>
      <c r="AM62" s="150"/>
      <c r="AN62" s="155"/>
      <c r="AO62" s="155"/>
      <c r="AP62" s="155"/>
      <c r="AQ62" s="155"/>
      <c r="AR62" s="155"/>
      <c r="AS62" s="155"/>
      <c r="AT62" s="155" t="s">
        <v>342</v>
      </c>
      <c r="AU62" s="155" t="s">
        <v>342</v>
      </c>
      <c r="AV62" s="155" t="s">
        <v>342</v>
      </c>
      <c r="AW62" s="155" t="s">
        <v>342</v>
      </c>
      <c r="AX62" s="155" t="s">
        <v>342</v>
      </c>
      <c r="AY62" s="155" t="s">
        <v>342</v>
      </c>
      <c r="AZ62" s="155" t="s">
        <v>342</v>
      </c>
      <c r="BA62" s="155" t="s">
        <v>342</v>
      </c>
      <c r="BB62" s="155" t="s">
        <v>342</v>
      </c>
      <c r="BC62" s="155" t="s">
        <v>342</v>
      </c>
      <c r="BD62" s="155" t="s">
        <v>342</v>
      </c>
      <c r="BE62" s="155" t="s">
        <v>342</v>
      </c>
      <c r="BF62" s="155" t="s">
        <v>342</v>
      </c>
      <c r="BG62" s="155" t="s">
        <v>342</v>
      </c>
      <c r="BH62" s="155" t="s">
        <v>342</v>
      </c>
      <c r="BI62" s="155" t="s">
        <v>342</v>
      </c>
      <c r="BJ62" s="155" t="s">
        <v>342</v>
      </c>
      <c r="BK62" s="155" t="s">
        <v>342</v>
      </c>
      <c r="BL62" s="155" t="s">
        <v>342</v>
      </c>
      <c r="BM62" s="155" t="s">
        <v>342</v>
      </c>
      <c r="BN62" s="155" t="s">
        <v>342</v>
      </c>
      <c r="BO62" s="155" t="s">
        <v>342</v>
      </c>
      <c r="BP62" s="155" t="s">
        <v>342</v>
      </c>
      <c r="BQ62" s="155" t="s">
        <v>342</v>
      </c>
      <c r="BR62" s="156">
        <f t="shared" si="81"/>
      </c>
      <c r="BS62" s="142" t="str">
        <v>#VALUE!</v>
      </c>
    </row>
    <row customHeight="true" ht="17.777777777777775" r="63">
      <c r="A63" s="142" t="s">
        <v>351</v>
      </c>
      <c r="B63" s="142" t="s">
        <v>375</v>
      </c>
      <c r="C63" s="142"/>
      <c r="D63" s="176" t="s">
        <v>369</v>
      </c>
      <c r="E63" s="144">
        <v>21</v>
      </c>
      <c r="F63" s="173">
        <v>29.99</v>
      </c>
      <c r="G63" s="146">
        <f t="shared" si="130"/>
      </c>
      <c r="H63" s="146">
        <f t="shared" si="135"/>
      </c>
      <c r="I63" s="175">
        <f t="shared" si="28"/>
      </c>
      <c r="J63" s="147">
        <f t="shared" si="5"/>
      </c>
      <c r="K63" s="144">
        <f t="shared" si="68"/>
      </c>
      <c r="L63" s="148">
        <f t="shared" si="44"/>
      </c>
      <c r="M63" s="146">
        <f t="shared" si="109"/>
      </c>
      <c r="N63" s="144">
        <f t="shared" si="87"/>
      </c>
      <c r="O63" s="144">
        <f t="shared" si="141"/>
      </c>
      <c r="P63" s="142">
        <v>36</v>
      </c>
      <c r="Q63" s="149">
        <v>8</v>
      </c>
      <c r="R63" s="150">
        <f t="shared" si="61"/>
      </c>
      <c r="S63" s="147">
        <f t="shared" si="116"/>
      </c>
      <c r="T63" s="150">
        <f t="shared" si="32"/>
      </c>
      <c r="U63" s="150">
        <v>0.01</v>
      </c>
      <c r="V63" s="150">
        <f t="shared" si="11"/>
      </c>
      <c r="W63" s="150">
        <f t="shared" si="50"/>
      </c>
      <c r="X63" s="152">
        <v>0.188</v>
      </c>
      <c r="Y63" s="153">
        <v>0</v>
      </c>
      <c r="Z63" s="153">
        <v>0</v>
      </c>
      <c r="AA63" s="153">
        <f t="shared" si="74"/>
      </c>
      <c r="AB63" s="144">
        <f t="shared" si="147"/>
      </c>
      <c r="AC63" s="144">
        <v>49</v>
      </c>
      <c r="AD63" s="154">
        <f t="shared" si="121"/>
      </c>
      <c r="AE63" s="149">
        <f t="shared" si="19"/>
      </c>
      <c r="AF63" s="150">
        <f t="shared" si="17"/>
      </c>
      <c r="AG63" s="150">
        <f t="shared" si="56"/>
      </c>
      <c r="AH63" s="149">
        <v>5</v>
      </c>
      <c r="AI63" s="150">
        <f t="shared" si="102"/>
      </c>
      <c r="AJ63" s="150"/>
      <c r="AK63" s="150"/>
      <c r="AL63" s="150"/>
      <c r="AM63" s="150"/>
      <c r="AN63" s="155"/>
      <c r="AO63" s="155"/>
      <c r="AP63" s="155"/>
      <c r="AQ63" s="155"/>
      <c r="AR63" s="155"/>
      <c r="AS63" s="155"/>
      <c r="AT63" s="155" t="s">
        <v>342</v>
      </c>
      <c r="AU63" s="155" t="s">
        <v>342</v>
      </c>
      <c r="AV63" s="155" t="s">
        <v>342</v>
      </c>
      <c r="AW63" s="155" t="s">
        <v>342</v>
      </c>
      <c r="AX63" s="155" t="s">
        <v>342</v>
      </c>
      <c r="AY63" s="155" t="s">
        <v>342</v>
      </c>
      <c r="AZ63" s="155" t="s">
        <v>342</v>
      </c>
      <c r="BA63" s="155" t="s">
        <v>342</v>
      </c>
      <c r="BB63" s="155" t="s">
        <v>342</v>
      </c>
      <c r="BC63" s="155" t="s">
        <v>342</v>
      </c>
      <c r="BD63" s="155" t="s">
        <v>342</v>
      </c>
      <c r="BE63" s="155" t="s">
        <v>342</v>
      </c>
      <c r="BF63" s="155" t="s">
        <v>342</v>
      </c>
      <c r="BG63" s="155" t="s">
        <v>342</v>
      </c>
      <c r="BH63" s="155" t="s">
        <v>342</v>
      </c>
      <c r="BI63" s="155" t="s">
        <v>342</v>
      </c>
      <c r="BJ63" s="155" t="s">
        <v>342</v>
      </c>
      <c r="BK63" s="155" t="s">
        <v>342</v>
      </c>
      <c r="BL63" s="155" t="s">
        <v>342</v>
      </c>
      <c r="BM63" s="155" t="s">
        <v>342</v>
      </c>
      <c r="BN63" s="155" t="s">
        <v>342</v>
      </c>
      <c r="BO63" s="155" t="s">
        <v>342</v>
      </c>
      <c r="BP63" s="155" t="s">
        <v>342</v>
      </c>
      <c r="BQ63" s="155" t="s">
        <v>342</v>
      </c>
      <c r="BR63" s="156">
        <f t="shared" si="81"/>
      </c>
      <c r="BS63" s="142" t="str">
        <v>#VALUE!</v>
      </c>
    </row>
    <row customHeight="true" ht="17.777777777777775" r="64">
      <c r="A64" s="142" t="s">
        <v>351</v>
      </c>
      <c r="B64" s="142" t="s">
        <v>375</v>
      </c>
      <c r="C64" s="142"/>
      <c r="D64" s="143" t="s">
        <v>370</v>
      </c>
      <c r="E64" s="144">
        <v>21</v>
      </c>
      <c r="F64" s="145">
        <v>29.99</v>
      </c>
      <c r="G64" s="146">
        <f t="shared" si="130"/>
      </c>
      <c r="H64" s="146">
        <f t="shared" si="135"/>
      </c>
      <c r="I64" s="175">
        <f t="shared" si="28"/>
      </c>
      <c r="J64" s="147">
        <f t="shared" si="5"/>
      </c>
      <c r="K64" s="144">
        <f t="shared" si="68"/>
      </c>
      <c r="L64" s="148">
        <f t="shared" si="44"/>
      </c>
      <c r="M64" s="146">
        <f t="shared" si="109"/>
      </c>
      <c r="N64" s="144">
        <f t="shared" si="87"/>
      </c>
      <c r="O64" s="144">
        <f t="shared" si="141"/>
      </c>
      <c r="P64" s="142">
        <v>36</v>
      </c>
      <c r="Q64" s="149">
        <v>8</v>
      </c>
      <c r="R64" s="150">
        <f t="shared" si="61"/>
      </c>
      <c r="S64" s="147">
        <f t="shared" si="116"/>
      </c>
      <c r="T64" s="150">
        <f t="shared" si="32"/>
      </c>
      <c r="U64" s="150">
        <v>0.01</v>
      </c>
      <c r="V64" s="150">
        <f t="shared" si="11"/>
      </c>
      <c r="W64" s="150">
        <f t="shared" si="50"/>
      </c>
      <c r="X64" s="152">
        <v>0.188</v>
      </c>
      <c r="Y64" s="153">
        <v>0</v>
      </c>
      <c r="Z64" s="153">
        <v>0</v>
      </c>
      <c r="AA64" s="153">
        <f t="shared" si="74"/>
      </c>
      <c r="AB64" s="144">
        <f t="shared" si="147"/>
      </c>
      <c r="AC64" s="144">
        <v>49</v>
      </c>
      <c r="AD64" s="154">
        <f t="shared" si="121"/>
      </c>
      <c r="AE64" s="149">
        <f t="shared" si="19"/>
      </c>
      <c r="AF64" s="150">
        <f t="shared" si="17"/>
      </c>
      <c r="AG64" s="150">
        <f t="shared" si="56"/>
      </c>
      <c r="AH64" s="149">
        <v>5</v>
      </c>
      <c r="AI64" s="150">
        <f t="shared" si="102"/>
      </c>
      <c r="AJ64" s="150"/>
      <c r="AK64" s="150"/>
      <c r="AL64" s="150"/>
      <c r="AM64" s="150"/>
      <c r="AN64" s="155"/>
      <c r="AO64" s="155"/>
      <c r="AP64" s="155"/>
      <c r="AQ64" s="155"/>
      <c r="AR64" s="155"/>
      <c r="AS64" s="155"/>
      <c r="AT64" s="155" t="s">
        <v>342</v>
      </c>
      <c r="AU64" s="155" t="s">
        <v>342</v>
      </c>
      <c r="AV64" s="155" t="s">
        <v>342</v>
      </c>
      <c r="AW64" s="155" t="s">
        <v>342</v>
      </c>
      <c r="AX64" s="155" t="s">
        <v>342</v>
      </c>
      <c r="AY64" s="155" t="s">
        <v>342</v>
      </c>
      <c r="AZ64" s="155" t="s">
        <v>342</v>
      </c>
      <c r="BA64" s="155" t="s">
        <v>342</v>
      </c>
      <c r="BB64" s="155" t="s">
        <v>342</v>
      </c>
      <c r="BC64" s="155" t="s">
        <v>342</v>
      </c>
      <c r="BD64" s="155" t="s">
        <v>342</v>
      </c>
      <c r="BE64" s="155" t="s">
        <v>342</v>
      </c>
      <c r="BF64" s="155" t="s">
        <v>342</v>
      </c>
      <c r="BG64" s="155" t="s">
        <v>342</v>
      </c>
      <c r="BH64" s="155" t="s">
        <v>342</v>
      </c>
      <c r="BI64" s="155" t="s">
        <v>342</v>
      </c>
      <c r="BJ64" s="155" t="s">
        <v>342</v>
      </c>
      <c r="BK64" s="155" t="s">
        <v>342</v>
      </c>
      <c r="BL64" s="155" t="s">
        <v>342</v>
      </c>
      <c r="BM64" s="155" t="s">
        <v>342</v>
      </c>
      <c r="BN64" s="155" t="s">
        <v>342</v>
      </c>
      <c r="BO64" s="155" t="s">
        <v>342</v>
      </c>
      <c r="BP64" s="155" t="s">
        <v>342</v>
      </c>
      <c r="BQ64" s="155" t="s">
        <v>342</v>
      </c>
      <c r="BR64" s="156">
        <f t="shared" si="81"/>
      </c>
      <c r="BS64" s="142" t="str">
        <v>#VALUE!</v>
      </c>
    </row>
    <row customHeight="true" ht="17.777777777777775" r="65">
      <c r="A65" s="142" t="s">
        <v>354</v>
      </c>
      <c r="B65" s="142" t="s">
        <v>375</v>
      </c>
      <c r="C65" s="142"/>
      <c r="D65" s="176" t="s">
        <v>369</v>
      </c>
      <c r="E65" s="144">
        <v>21</v>
      </c>
      <c r="F65" s="173">
        <v>29.99</v>
      </c>
      <c r="G65" s="146">
        <f t="shared" si="130"/>
      </c>
      <c r="H65" s="146">
        <f t="shared" si="135"/>
      </c>
      <c r="I65" s="175">
        <f t="shared" si="28"/>
      </c>
      <c r="J65" s="147">
        <f t="shared" si="5"/>
      </c>
      <c r="K65" s="144">
        <f t="shared" si="68"/>
      </c>
      <c r="L65" s="148">
        <f t="shared" si="44"/>
      </c>
      <c r="M65" s="146">
        <f t="shared" si="109"/>
      </c>
      <c r="N65" s="144">
        <f t="shared" si="87"/>
      </c>
      <c r="O65" s="144">
        <f t="shared" si="141"/>
      </c>
      <c r="P65" s="142">
        <v>36</v>
      </c>
      <c r="Q65" s="149">
        <v>8</v>
      </c>
      <c r="R65" s="150">
        <f t="shared" si="61"/>
      </c>
      <c r="S65" s="147">
        <f t="shared" si="116"/>
      </c>
      <c r="T65" s="150">
        <f t="shared" si="32"/>
      </c>
      <c r="U65" s="150">
        <v>0.01</v>
      </c>
      <c r="V65" s="150">
        <f t="shared" si="11"/>
      </c>
      <c r="W65" s="150">
        <f t="shared" si="50"/>
      </c>
      <c r="X65" s="152">
        <v>0.188</v>
      </c>
      <c r="Y65" s="153">
        <v>0</v>
      </c>
      <c r="Z65" s="153">
        <v>0</v>
      </c>
      <c r="AA65" s="153">
        <f t="shared" si="74"/>
      </c>
      <c r="AB65" s="144">
        <f t="shared" si="147"/>
      </c>
      <c r="AC65" s="144">
        <v>49</v>
      </c>
      <c r="AD65" s="154">
        <f t="shared" si="121"/>
      </c>
      <c r="AE65" s="149">
        <f t="shared" si="19"/>
      </c>
      <c r="AF65" s="150">
        <f t="shared" si="17"/>
      </c>
      <c r="AG65" s="150">
        <f t="shared" si="56"/>
      </c>
      <c r="AH65" s="149">
        <v>5</v>
      </c>
      <c r="AI65" s="150">
        <f t="shared" si="102"/>
      </c>
      <c r="AJ65" s="150"/>
      <c r="AK65" s="150"/>
      <c r="AL65" s="150"/>
      <c r="AM65" s="150"/>
      <c r="AN65" s="155"/>
      <c r="AO65" s="155"/>
      <c r="AP65" s="155"/>
      <c r="AQ65" s="155"/>
      <c r="AR65" s="155"/>
      <c r="AS65" s="155"/>
      <c r="AT65" s="155" t="s">
        <v>342</v>
      </c>
      <c r="AU65" s="155" t="s">
        <v>342</v>
      </c>
      <c r="AV65" s="155" t="s">
        <v>342</v>
      </c>
      <c r="AW65" s="155" t="s">
        <v>342</v>
      </c>
      <c r="AX65" s="155" t="s">
        <v>342</v>
      </c>
      <c r="AY65" s="155" t="s">
        <v>342</v>
      </c>
      <c r="AZ65" s="155" t="s">
        <v>342</v>
      </c>
      <c r="BA65" s="155" t="s">
        <v>342</v>
      </c>
      <c r="BB65" s="155" t="s">
        <v>342</v>
      </c>
      <c r="BC65" s="155" t="s">
        <v>342</v>
      </c>
      <c r="BD65" s="155" t="s">
        <v>342</v>
      </c>
      <c r="BE65" s="155" t="s">
        <v>342</v>
      </c>
      <c r="BF65" s="155" t="s">
        <v>342</v>
      </c>
      <c r="BG65" s="155" t="s">
        <v>342</v>
      </c>
      <c r="BH65" s="155" t="s">
        <v>342</v>
      </c>
      <c r="BI65" s="155" t="s">
        <v>342</v>
      </c>
      <c r="BJ65" s="155" t="s">
        <v>342</v>
      </c>
      <c r="BK65" s="155" t="s">
        <v>342</v>
      </c>
      <c r="BL65" s="155" t="s">
        <v>342</v>
      </c>
      <c r="BM65" s="155" t="s">
        <v>342</v>
      </c>
      <c r="BN65" s="155" t="s">
        <v>342</v>
      </c>
      <c r="BO65" s="155" t="s">
        <v>342</v>
      </c>
      <c r="BP65" s="155" t="s">
        <v>342</v>
      </c>
      <c r="BQ65" s="155" t="s">
        <v>342</v>
      </c>
      <c r="BR65" s="156">
        <f t="shared" si="81"/>
      </c>
      <c r="BS65" s="142" t="str">
        <v>#VALUE!</v>
      </c>
    </row>
    <row customHeight="true" ht="17.777777777777775" r="66">
      <c r="A66" s="142" t="s">
        <v>354</v>
      </c>
      <c r="B66" s="142" t="s">
        <v>375</v>
      </c>
      <c r="C66" s="142"/>
      <c r="D66" s="143" t="s">
        <v>370</v>
      </c>
      <c r="E66" s="144">
        <v>21</v>
      </c>
      <c r="F66" s="145">
        <v>29.99</v>
      </c>
      <c r="G66" s="146">
        <f t="shared" si="130"/>
      </c>
      <c r="H66" s="146">
        <f t="shared" si="135"/>
      </c>
      <c r="I66" s="146">
        <f t="shared" si="28"/>
      </c>
      <c r="J66" s="147">
        <f t="shared" si="5"/>
      </c>
      <c r="K66" s="144">
        <f t="shared" si="68"/>
      </c>
      <c r="L66" s="148">
        <f t="shared" si="44"/>
      </c>
      <c r="M66" s="146">
        <f t="shared" si="109"/>
      </c>
      <c r="N66" s="144">
        <f t="shared" si="87"/>
      </c>
      <c r="O66" s="144">
        <f t="shared" si="141"/>
      </c>
      <c r="P66" s="142">
        <v>36</v>
      </c>
      <c r="Q66" s="149">
        <v>8</v>
      </c>
      <c r="R66" s="150">
        <f t="shared" si="61"/>
      </c>
      <c r="S66" s="147">
        <f t="shared" si="116"/>
      </c>
      <c r="T66" s="150">
        <f t="shared" si="32"/>
      </c>
      <c r="U66" s="150">
        <v>0.01</v>
      </c>
      <c r="V66" s="150">
        <f t="shared" si="11"/>
      </c>
      <c r="W66" s="150">
        <f t="shared" si="50"/>
      </c>
      <c r="X66" s="152">
        <v>0.188</v>
      </c>
      <c r="Y66" s="153">
        <v>0</v>
      </c>
      <c r="Z66" s="153">
        <v>0</v>
      </c>
      <c r="AA66" s="153">
        <f t="shared" si="74"/>
      </c>
      <c r="AB66" s="144">
        <f t="shared" si="147"/>
      </c>
      <c r="AC66" s="144">
        <v>49</v>
      </c>
      <c r="AD66" s="154">
        <f t="shared" si="121"/>
      </c>
      <c r="AE66" s="149">
        <f t="shared" si="19"/>
      </c>
      <c r="AF66" s="150">
        <f t="shared" si="17"/>
      </c>
      <c r="AG66" s="150">
        <f t="shared" si="56"/>
      </c>
      <c r="AH66" s="149">
        <v>5</v>
      </c>
      <c r="AI66" s="150">
        <f t="shared" si="102"/>
      </c>
      <c r="AJ66" s="150"/>
      <c r="AK66" s="150"/>
      <c r="AL66" s="150"/>
      <c r="AM66" s="150"/>
      <c r="AN66" s="155"/>
      <c r="AO66" s="155"/>
      <c r="AP66" s="155"/>
      <c r="AQ66" s="155"/>
      <c r="AR66" s="155"/>
      <c r="AS66" s="155"/>
      <c r="AT66" s="155" t="s">
        <v>342</v>
      </c>
      <c r="AU66" s="155" t="s">
        <v>342</v>
      </c>
      <c r="AV66" s="155" t="s">
        <v>342</v>
      </c>
      <c r="AW66" s="155" t="s">
        <v>342</v>
      </c>
      <c r="AX66" s="155" t="s">
        <v>342</v>
      </c>
      <c r="AY66" s="155" t="s">
        <v>342</v>
      </c>
      <c r="AZ66" s="155" t="s">
        <v>342</v>
      </c>
      <c r="BA66" s="155" t="s">
        <v>342</v>
      </c>
      <c r="BB66" s="155" t="s">
        <v>342</v>
      </c>
      <c r="BC66" s="155" t="s">
        <v>342</v>
      </c>
      <c r="BD66" s="155" t="s">
        <v>342</v>
      </c>
      <c r="BE66" s="155" t="s">
        <v>342</v>
      </c>
      <c r="BF66" s="155" t="s">
        <v>342</v>
      </c>
      <c r="BG66" s="155" t="s">
        <v>342</v>
      </c>
      <c r="BH66" s="155" t="s">
        <v>342</v>
      </c>
      <c r="BI66" s="155" t="s">
        <v>342</v>
      </c>
      <c r="BJ66" s="155" t="s">
        <v>342</v>
      </c>
      <c r="BK66" s="155" t="s">
        <v>342</v>
      </c>
      <c r="BL66" s="155" t="s">
        <v>342</v>
      </c>
      <c r="BM66" s="155" t="s">
        <v>342</v>
      </c>
      <c r="BN66" s="155" t="s">
        <v>342</v>
      </c>
      <c r="BO66" s="155" t="s">
        <v>342</v>
      </c>
      <c r="BP66" s="155" t="s">
        <v>342</v>
      </c>
      <c r="BQ66" s="155" t="s">
        <v>342</v>
      </c>
      <c r="BR66" s="156">
        <f t="shared" si="81"/>
      </c>
      <c r="BS66" s="142" t="str">
        <v>#VALUE!</v>
      </c>
    </row>
    <row customHeight="true" ht="17.777777777777775" r="67">
      <c r="A67" s="142" t="s">
        <v>355</v>
      </c>
      <c r="B67" s="142" t="s">
        <v>375</v>
      </c>
      <c r="C67" s="142"/>
      <c r="D67" s="176" t="s">
        <v>369</v>
      </c>
      <c r="E67" s="144">
        <v>21</v>
      </c>
      <c r="F67" s="173">
        <v>29.99</v>
      </c>
      <c r="G67" s="146">
        <f t="shared" si="130"/>
      </c>
      <c r="H67" s="146">
        <f t="shared" si="135"/>
      </c>
      <c r="I67" s="175">
        <f>E67-N67/Q67-AB67-O67-Z67-AA67-Y67</f>
      </c>
      <c r="J67" s="147">
        <f t="shared" si="5"/>
      </c>
      <c r="K67" s="144">
        <f t="shared" si="68"/>
      </c>
      <c r="L67" s="148">
        <f t="shared" si="44"/>
      </c>
      <c r="M67" s="146">
        <f t="shared" si="109"/>
      </c>
      <c r="N67" s="144">
        <f t="shared" si="87"/>
      </c>
      <c r="O67" s="144">
        <f t="shared" si="141"/>
      </c>
      <c r="P67" s="142">
        <v>36</v>
      </c>
      <c r="Q67" s="149">
        <v>8</v>
      </c>
      <c r="R67" s="150">
        <f t="shared" si="61"/>
      </c>
      <c r="S67" s="147">
        <f t="shared" si="116"/>
      </c>
      <c r="T67" s="150">
        <f t="shared" si="32"/>
      </c>
      <c r="U67" s="150">
        <v>0.01</v>
      </c>
      <c r="V67" s="150">
        <f t="shared" si="11"/>
      </c>
      <c r="W67" s="150">
        <f t="shared" si="50"/>
      </c>
      <c r="X67" s="152">
        <v>0.188</v>
      </c>
      <c r="Y67" s="153">
        <v>0</v>
      </c>
      <c r="Z67" s="153">
        <v>0</v>
      </c>
      <c r="AA67" s="153">
        <f t="shared" si="74"/>
      </c>
      <c r="AB67" s="144">
        <f t="shared" si="147"/>
      </c>
      <c r="AC67" s="144">
        <v>49</v>
      </c>
      <c r="AD67" s="154">
        <f t="shared" si="121"/>
      </c>
      <c r="AE67" s="149">
        <f t="shared" si="19"/>
      </c>
      <c r="AF67" s="150">
        <f t="shared" si="17"/>
      </c>
      <c r="AG67" s="150">
        <f t="shared" si="56"/>
      </c>
      <c r="AH67" s="149">
        <v>5</v>
      </c>
      <c r="AI67" s="150">
        <f t="shared" si="102"/>
      </c>
      <c r="AJ67" s="150"/>
      <c r="AK67" s="150"/>
      <c r="AL67" s="150"/>
      <c r="AM67" s="150"/>
      <c r="AN67" s="155"/>
      <c r="AO67" s="155"/>
      <c r="AP67" s="155"/>
      <c r="AQ67" s="155"/>
      <c r="AR67" s="155"/>
      <c r="AS67" s="155"/>
      <c r="AT67" s="155" t="s">
        <v>342</v>
      </c>
      <c r="AU67" s="155" t="s">
        <v>342</v>
      </c>
      <c r="AV67" s="155" t="s">
        <v>342</v>
      </c>
      <c r="AW67" s="155" t="s">
        <v>342</v>
      </c>
      <c r="AX67" s="155" t="s">
        <v>342</v>
      </c>
      <c r="AY67" s="155" t="s">
        <v>342</v>
      </c>
      <c r="AZ67" s="155" t="s">
        <v>342</v>
      </c>
      <c r="BA67" s="155" t="s">
        <v>342</v>
      </c>
      <c r="BB67" s="155" t="s">
        <v>342</v>
      </c>
      <c r="BC67" s="155" t="s">
        <v>342</v>
      </c>
      <c r="BD67" s="155" t="s">
        <v>342</v>
      </c>
      <c r="BE67" s="155" t="s">
        <v>342</v>
      </c>
      <c r="BF67" s="155" t="s">
        <v>342</v>
      </c>
      <c r="BG67" s="155" t="s">
        <v>342</v>
      </c>
      <c r="BH67" s="155" t="s">
        <v>342</v>
      </c>
      <c r="BI67" s="155" t="s">
        <v>342</v>
      </c>
      <c r="BJ67" s="155" t="s">
        <v>342</v>
      </c>
      <c r="BK67" s="155" t="s">
        <v>342</v>
      </c>
      <c r="BL67" s="155" t="s">
        <v>342</v>
      </c>
      <c r="BM67" s="155" t="s">
        <v>342</v>
      </c>
      <c r="BN67" s="155" t="s">
        <v>342</v>
      </c>
      <c r="BO67" s="155" t="s">
        <v>342</v>
      </c>
      <c r="BP67" s="155" t="s">
        <v>342</v>
      </c>
      <c r="BQ67" s="155" t="s">
        <v>342</v>
      </c>
      <c r="BR67" s="156">
        <f t="shared" si="81"/>
      </c>
      <c r="BS67" s="142" t="str">
        <v>#VALUE!</v>
      </c>
    </row>
    <row customHeight="true" ht="17.777777777777775" r="68">
      <c r="A68" s="142" t="s">
        <v>355</v>
      </c>
      <c r="B68" s="142" t="s">
        <v>375</v>
      </c>
      <c r="C68" s="142"/>
      <c r="D68" s="143" t="s">
        <v>370</v>
      </c>
      <c r="E68" s="144">
        <v>21</v>
      </c>
      <c r="F68" s="145">
        <v>29.99</v>
      </c>
      <c r="G68" s="146">
        <f t="shared" si="130"/>
      </c>
      <c r="H68" s="146">
        <f t="shared" si="135"/>
      </c>
      <c r="I68" s="146">
        <f>E68-N68/Q68-AB68-Y68-O68-Z68-AA68</f>
      </c>
      <c r="J68" s="147">
        <f t="shared" si="5"/>
      </c>
      <c r="K68" s="144">
        <f t="shared" si="68"/>
      </c>
      <c r="L68" s="148">
        <f t="shared" si="44"/>
      </c>
      <c r="M68" s="146">
        <f t="shared" si="109"/>
      </c>
      <c r="N68" s="144">
        <f t="shared" si="87"/>
      </c>
      <c r="O68" s="144">
        <f t="shared" si="141"/>
      </c>
      <c r="P68" s="142">
        <v>36</v>
      </c>
      <c r="Q68" s="149">
        <v>8</v>
      </c>
      <c r="R68" s="150">
        <f t="shared" si="61"/>
      </c>
      <c r="S68" s="147">
        <f t="shared" si="116"/>
      </c>
      <c r="T68" s="150">
        <f t="shared" si="32"/>
      </c>
      <c r="U68" s="150">
        <v>0.01</v>
      </c>
      <c r="V68" s="150">
        <f t="shared" si="11"/>
      </c>
      <c r="W68" s="150">
        <f t="shared" si="50"/>
      </c>
      <c r="X68" s="152">
        <v>0.188</v>
      </c>
      <c r="Y68" s="153">
        <v>0</v>
      </c>
      <c r="Z68" s="153">
        <v>0</v>
      </c>
      <c r="AA68" s="153">
        <f t="shared" si="74"/>
      </c>
      <c r="AB68" s="144">
        <f t="shared" si="147"/>
      </c>
      <c r="AC68" s="144">
        <v>49</v>
      </c>
      <c r="AD68" s="154">
        <f t="shared" si="121"/>
      </c>
      <c r="AE68" s="149">
        <f t="shared" si="19"/>
      </c>
      <c r="AF68" s="150">
        <f t="shared" si="17"/>
      </c>
      <c r="AG68" s="150">
        <f t="shared" si="56"/>
      </c>
      <c r="AH68" s="149">
        <v>5</v>
      </c>
      <c r="AI68" s="150">
        <f t="shared" si="102"/>
      </c>
      <c r="AJ68" s="150"/>
      <c r="AK68" s="150"/>
      <c r="AL68" s="150"/>
      <c r="AM68" s="150"/>
      <c r="AN68" s="155"/>
      <c r="AO68" s="155"/>
      <c r="AP68" s="155"/>
      <c r="AQ68" s="155"/>
      <c r="AR68" s="155"/>
      <c r="AS68" s="155"/>
      <c r="AT68" s="155" t="s">
        <v>342</v>
      </c>
      <c r="AU68" s="155" t="s">
        <v>342</v>
      </c>
      <c r="AV68" s="155" t="s">
        <v>342</v>
      </c>
      <c r="AW68" s="155" t="s">
        <v>342</v>
      </c>
      <c r="AX68" s="155" t="s">
        <v>342</v>
      </c>
      <c r="AY68" s="155" t="s">
        <v>342</v>
      </c>
      <c r="AZ68" s="155" t="s">
        <v>342</v>
      </c>
      <c r="BA68" s="155" t="s">
        <v>342</v>
      </c>
      <c r="BB68" s="155" t="s">
        <v>342</v>
      </c>
      <c r="BC68" s="155" t="s">
        <v>342</v>
      </c>
      <c r="BD68" s="155" t="s">
        <v>342</v>
      </c>
      <c r="BE68" s="155" t="s">
        <v>342</v>
      </c>
      <c r="BF68" s="155" t="s">
        <v>342</v>
      </c>
      <c r="BG68" s="155" t="s">
        <v>342</v>
      </c>
      <c r="BH68" s="155" t="s">
        <v>342</v>
      </c>
      <c r="BI68" s="155" t="s">
        <v>342</v>
      </c>
      <c r="BJ68" s="155" t="s">
        <v>342</v>
      </c>
      <c r="BK68" s="155" t="s">
        <v>342</v>
      </c>
      <c r="BL68" s="155" t="s">
        <v>342</v>
      </c>
      <c r="BM68" s="155" t="s">
        <v>342</v>
      </c>
      <c r="BN68" s="155" t="s">
        <v>342</v>
      </c>
      <c r="BO68" s="155" t="s">
        <v>342</v>
      </c>
      <c r="BP68" s="155" t="s">
        <v>342</v>
      </c>
      <c r="BQ68" s="155" t="s">
        <v>342</v>
      </c>
      <c r="BR68" s="156">
        <f t="shared" si="81"/>
      </c>
      <c r="BS68" s="142" t="str">
        <v>#VALUE!</v>
      </c>
    </row>
    <row customHeight="true" ht="17.777777777777775" r="69">
      <c r="A69" s="142" t="s">
        <v>357</v>
      </c>
      <c r="B69" s="142" t="s">
        <v>375</v>
      </c>
      <c r="C69" s="142"/>
      <c r="D69" s="176" t="s">
        <v>369</v>
      </c>
      <c r="E69" s="144">
        <v>21</v>
      </c>
      <c r="F69" s="173">
        <v>29.99</v>
      </c>
      <c r="G69" s="146">
        <f t="shared" si="130"/>
      </c>
      <c r="H69" s="146">
        <f t="shared" si="135"/>
      </c>
      <c r="I69" s="175">
        <f>E69-N69/Q69-AB69-Y70-O69-Z69-AA69-Y69</f>
      </c>
      <c r="J69" s="147">
        <f t="shared" si="5"/>
      </c>
      <c r="K69" s="144">
        <f t="shared" si="68"/>
      </c>
      <c r="L69" s="148">
        <f t="shared" si="44"/>
      </c>
      <c r="M69" s="146">
        <f t="shared" si="109"/>
      </c>
      <c r="N69" s="144">
        <f t="shared" si="87"/>
      </c>
      <c r="O69" s="144">
        <f t="shared" si="141"/>
      </c>
      <c r="P69" s="142">
        <v>36</v>
      </c>
      <c r="Q69" s="149">
        <v>8</v>
      </c>
      <c r="R69" s="150">
        <f>Y70/E69</f>
      </c>
      <c r="S69" s="147">
        <f>Y70/F69</f>
      </c>
      <c r="T69" s="150">
        <f t="shared" si="32"/>
      </c>
      <c r="U69" s="150">
        <v>0.01</v>
      </c>
      <c r="V69" s="150">
        <f t="shared" si="11"/>
      </c>
      <c r="W69" s="150">
        <f t="shared" si="50"/>
      </c>
      <c r="X69" s="152">
        <v>0.188</v>
      </c>
      <c r="Y69" s="153">
        <v>0</v>
      </c>
      <c r="Z69" s="153">
        <v>0</v>
      </c>
      <c r="AA69" s="153">
        <f t="shared" si="74"/>
      </c>
      <c r="AB69" s="144">
        <f t="shared" si="147"/>
      </c>
      <c r="AC69" s="144">
        <v>49</v>
      </c>
      <c r="AD69" s="154">
        <f t="shared" si="121"/>
      </c>
      <c r="AE69" s="149">
        <f t="shared" si="19"/>
      </c>
      <c r="AF69" s="150">
        <f t="shared" si="17"/>
      </c>
      <c r="AG69" s="150">
        <f t="shared" si="56"/>
      </c>
      <c r="AH69" s="149">
        <v>5</v>
      </c>
      <c r="AI69" s="150">
        <f t="shared" si="102"/>
      </c>
      <c r="AJ69" s="150"/>
      <c r="AK69" s="150"/>
      <c r="AL69" s="150"/>
      <c r="AM69" s="150"/>
      <c r="AN69" s="155"/>
      <c r="AO69" s="155"/>
      <c r="AP69" s="155"/>
      <c r="AQ69" s="155"/>
      <c r="AR69" s="155"/>
      <c r="AS69" s="155"/>
      <c r="AT69" s="155" t="s">
        <v>342</v>
      </c>
      <c r="AU69" s="155" t="s">
        <v>342</v>
      </c>
      <c r="AV69" s="155" t="s">
        <v>342</v>
      </c>
      <c r="AW69" s="155" t="s">
        <v>342</v>
      </c>
      <c r="AX69" s="155" t="s">
        <v>342</v>
      </c>
      <c r="AY69" s="155" t="s">
        <v>342</v>
      </c>
      <c r="AZ69" s="155" t="s">
        <v>342</v>
      </c>
      <c r="BA69" s="155" t="s">
        <v>342</v>
      </c>
      <c r="BB69" s="155" t="s">
        <v>342</v>
      </c>
      <c r="BC69" s="155" t="s">
        <v>342</v>
      </c>
      <c r="BD69" s="155" t="s">
        <v>342</v>
      </c>
      <c r="BE69" s="155" t="s">
        <v>342</v>
      </c>
      <c r="BF69" s="155" t="s">
        <v>342</v>
      </c>
      <c r="BG69" s="155" t="s">
        <v>342</v>
      </c>
      <c r="BH69" s="155" t="s">
        <v>342</v>
      </c>
      <c r="BI69" s="155" t="s">
        <v>342</v>
      </c>
      <c r="BJ69" s="155" t="s">
        <v>342</v>
      </c>
      <c r="BK69" s="155" t="s">
        <v>342</v>
      </c>
      <c r="BL69" s="155" t="s">
        <v>342</v>
      </c>
      <c r="BM69" s="155" t="s">
        <v>342</v>
      </c>
      <c r="BN69" s="155" t="s">
        <v>342</v>
      </c>
      <c r="BO69" s="155" t="s">
        <v>342</v>
      </c>
      <c r="BP69" s="155" t="s">
        <v>342</v>
      </c>
      <c r="BQ69" s="155" t="s">
        <v>342</v>
      </c>
      <c r="BR69" s="156">
        <f t="shared" si="81"/>
      </c>
      <c r="BS69" s="142" t="str">
        <v>#VALUE!</v>
      </c>
    </row>
    <row customHeight="true" ht="17.777777777777775" r="70">
      <c r="A70" s="142" t="s">
        <v>357</v>
      </c>
      <c r="B70" s="142" t="s">
        <v>375</v>
      </c>
      <c r="C70" s="142"/>
      <c r="D70" s="143" t="s">
        <v>370</v>
      </c>
      <c r="E70" s="144">
        <v>21</v>
      </c>
      <c r="F70" s="145">
        <v>29.99</v>
      </c>
      <c r="G70" s="146">
        <f t="shared" si="130"/>
      </c>
      <c r="H70" s="146">
        <f t="shared" si="135"/>
      </c>
      <c r="I70" s="146">
        <f>E70-N70/Q70-AB70-Y70-O70-Z70-AA70</f>
      </c>
      <c r="J70" s="147">
        <f t="shared" si="5"/>
      </c>
      <c r="K70" s="144">
        <f t="shared" si="68"/>
      </c>
      <c r="L70" s="148">
        <f t="shared" si="44"/>
      </c>
      <c r="M70" s="146">
        <f t="shared" si="109"/>
      </c>
      <c r="N70" s="144">
        <f t="shared" si="87"/>
      </c>
      <c r="O70" s="144">
        <f t="shared" si="141"/>
      </c>
      <c r="P70" s="142">
        <v>36</v>
      </c>
      <c r="Q70" s="149">
        <v>8</v>
      </c>
      <c r="R70" s="150">
        <f>Y70/E70</f>
      </c>
      <c r="S70" s="147">
        <f>Y70/F70</f>
      </c>
      <c r="T70" s="150">
        <f t="shared" si="32"/>
      </c>
      <c r="U70" s="150">
        <v>0.01</v>
      </c>
      <c r="V70" s="150">
        <f t="shared" si="11"/>
      </c>
      <c r="W70" s="150">
        <f t="shared" si="50"/>
      </c>
      <c r="X70" s="152">
        <v>0.188</v>
      </c>
      <c r="Y70" s="153">
        <v>0</v>
      </c>
      <c r="Z70" s="153">
        <v>0</v>
      </c>
      <c r="AA70" s="153">
        <f t="shared" si="74"/>
      </c>
      <c r="AB70" s="144">
        <f t="shared" si="147"/>
      </c>
      <c r="AC70" s="144">
        <v>49</v>
      </c>
      <c r="AD70" s="154">
        <f t="shared" si="121"/>
      </c>
      <c r="AE70" s="149">
        <f t="shared" si="19"/>
      </c>
      <c r="AF70" s="150">
        <f t="shared" si="17"/>
      </c>
      <c r="AG70" s="150">
        <f t="shared" si="56"/>
      </c>
      <c r="AH70" s="149">
        <v>5</v>
      </c>
      <c r="AI70" s="150">
        <f t="shared" si="102"/>
      </c>
      <c r="AJ70" s="150"/>
      <c r="AK70" s="150"/>
      <c r="AL70" s="150"/>
      <c r="AM70" s="150"/>
      <c r="AN70" s="155"/>
      <c r="AO70" s="155"/>
      <c r="AP70" s="155"/>
      <c r="AQ70" s="155"/>
      <c r="AR70" s="155"/>
      <c r="AS70" s="155"/>
      <c r="AT70" s="155" t="s">
        <v>342</v>
      </c>
      <c r="AU70" s="155" t="s">
        <v>342</v>
      </c>
      <c r="AV70" s="155" t="s">
        <v>342</v>
      </c>
      <c r="AW70" s="155" t="s">
        <v>342</v>
      </c>
      <c r="AX70" s="155" t="s">
        <v>342</v>
      </c>
      <c r="AY70" s="155" t="s">
        <v>342</v>
      </c>
      <c r="AZ70" s="155" t="s">
        <v>342</v>
      </c>
      <c r="BA70" s="155" t="s">
        <v>342</v>
      </c>
      <c r="BB70" s="155" t="s">
        <v>342</v>
      </c>
      <c r="BC70" s="155" t="s">
        <v>342</v>
      </c>
      <c r="BD70" s="155" t="s">
        <v>342</v>
      </c>
      <c r="BE70" s="155" t="s">
        <v>342</v>
      </c>
      <c r="BF70" s="155" t="s">
        <v>342</v>
      </c>
      <c r="BG70" s="155" t="s">
        <v>342</v>
      </c>
      <c r="BH70" s="155" t="s">
        <v>342</v>
      </c>
      <c r="BI70" s="155" t="s">
        <v>342</v>
      </c>
      <c r="BJ70" s="155" t="s">
        <v>342</v>
      </c>
      <c r="BK70" s="155" t="s">
        <v>342</v>
      </c>
      <c r="BL70" s="155" t="s">
        <v>342</v>
      </c>
      <c r="BM70" s="155" t="s">
        <v>342</v>
      </c>
      <c r="BN70" s="155" t="s">
        <v>342</v>
      </c>
      <c r="BO70" s="155" t="s">
        <v>342</v>
      </c>
      <c r="BP70" s="155" t="s">
        <v>342</v>
      </c>
      <c r="BQ70" s="155" t="s">
        <v>342</v>
      </c>
      <c r="BR70" s="156">
        <f t="shared" si="81"/>
      </c>
      <c r="BS70" s="142" t="str">
        <v>#VALUE!</v>
      </c>
    </row>
  </sheetData>
  <autoFilter ref="A1:BS70"/>
  <conditionalFormatting sqref="J2:J36 J38:J53 J55:J59 J61:J70 Y2:Y36 Y38:Y53 Y55:AA59 Y61:Y70 Z2:Z8 Z26:Z26 Z32:Z36 Z50:Z53 AA2:AA36 AA38:AA53 AA61:AA70">
    <cfRule dxfId="3" operator="lessThanOrEqual" priority="1" stopIfTrue="true" type="cellIs">
      <formula>0</formula>
    </cfRule>
  </conditionalFormatting>
  <conditionalFormatting sqref="J2:J36 J38:J53 J55:J59 J61:J70">
    <cfRule dxfId="4" operator="lessThanOrEqual" priority="2" stopIfTrue="true" type="cellIs">
      <formula>0</formula>
    </cfRule>
  </conditionalFormatting>
  <conditionalFormatting sqref="G2:G59 G61:J70 H2:J36 H38:J53 H55:J59 Y2:Y36 Y38:Y53 Y55:AA59 Y61:Y70 Z2:Z8 Z26:Z26 Z32:Z36 Z50:Z53 AA2:AA36 AA38:AA53 AA61:AA70">
    <cfRule dxfId="5" operator="lessThanOrEqual" priority="3" stopIfTrue="true" type="cellIs">
      <formula>0</formula>
    </cfRule>
  </conditionalFormatting>
  <conditionalFormatting sqref="Z9:Z25 Z27:Z31 Z38:Z49 Z61:Z70">
    <cfRule dxfId="6" operator="lessThanOrEqual" priority="4" stopIfTrue="true" type="cellIs">
      <formula>0</formula>
    </cfRule>
  </conditionalFormatting>
  <conditionalFormatting sqref="G1:J1 N1:O1 Y1:Y1">
    <cfRule dxfId="7" operator="lessThanOrEqual" priority="5" stopIfTrue="true" type="cellIs">
      <formula>0</formula>
    </cfRule>
  </conditionalFormatting>
</worksheet>
</file>

<file path=xl/worksheets/sheet8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E2" xSplit="4" ySplit="1"/>
    </sheetView>
  </sheetViews>
  <sheetFormatPr defaultRowHeight="16"/>
  <cols>
    <col collapsed="false" customWidth="true" hidden="false" max="4" min="4" style="0" width="17.4"/>
    <col collapsed="false" customWidth="true" hidden="false" max="8" min="8" style="0" width="17.4"/>
    <col collapsed="false" customWidth="true" hidden="false" max="12" min="12" style="0" width="30.066666666666666"/>
    <col collapsed="false" customWidth="true" hidden="false" max="16" min="16" style="0" width="17.4"/>
    <col collapsed="false" customWidth="true" hidden="false" max="20" min="20" style="0" width="17.933333333333334"/>
    <col collapsed="false" customWidth="true" hidden="false" max="1" min="1" style="0" width="18.333333333333332"/>
    <col collapsed="false" customWidth="true" hidden="false" max="5" min="5" style="0" width="17.4"/>
    <col collapsed="false" customWidth="true" hidden="false" max="9" min="9" style="0" width="17.4"/>
    <col collapsed="false" customWidth="true" hidden="false" max="13" min="13" style="0" width="17.4"/>
    <col collapsed="false" customWidth="true" hidden="false" max="17" min="17" style="0" width="17.4"/>
    <col collapsed="false" customWidth="true" hidden="false" max="2" min="2" style="0" width="17.4"/>
    <col collapsed="false" customWidth="true" hidden="false" max="6" min="6" style="0" width="16.2"/>
    <col collapsed="false" customWidth="true" hidden="false" max="10" min="10" style="0" width="17.4"/>
    <col collapsed="false" customWidth="true" hidden="false" max="14" min="14" style="0" width="17.4"/>
    <col collapsed="false" customWidth="true" hidden="false" max="18" min="18" style="0" width="17.933333333333334"/>
    <col collapsed="false" customWidth="true" hidden="false" max="3" min="3" style="0" width="25.133333333333333"/>
    <col collapsed="false" customWidth="true" hidden="false" max="7" min="7" style="0" width="22.733333333333334"/>
    <col collapsed="false" customWidth="true" hidden="false" max="11" min="11" style="0" width="17.4"/>
    <col collapsed="false" customWidth="true" hidden="false" max="15" min="15" style="0" width="17.4"/>
    <col collapsed="false" customWidth="true" hidden="false" max="19" min="19" style="0" width="17.933333333333334"/>
  </cols>
  <sheetData>
    <row customHeight="true" ht="18.51851851851852" r="1">
      <c r="A1" s="180" t="s">
        <v>377</v>
      </c>
      <c r="B1" s="180" t="s">
        <v>378</v>
      </c>
      <c r="C1" s="180" t="s">
        <v>379</v>
      </c>
      <c r="D1" s="180" t="s">
        <v>380</v>
      </c>
      <c r="E1" s="180" t="s">
        <v>381</v>
      </c>
      <c r="F1" s="181" t="s">
        <v>382</v>
      </c>
      <c r="G1" s="181" t="s">
        <v>383</v>
      </c>
      <c r="H1" s="180" t="s">
        <v>384</v>
      </c>
      <c r="I1" s="180" t="s">
        <v>385</v>
      </c>
      <c r="J1" s="180" t="s">
        <v>386</v>
      </c>
      <c r="K1" s="180"/>
      <c r="L1" s="180"/>
      <c r="M1" s="180"/>
      <c r="N1" s="180"/>
      <c r="O1" s="180"/>
      <c r="P1" s="180"/>
      <c r="Q1" s="180"/>
    </row>
    <row customHeight="true" ht="18.51851851851852" r="2">
      <c r="A2" s="180" t="s">
        <v>387</v>
      </c>
      <c r="B2" s="180" t="s">
        <v>388</v>
      </c>
      <c r="C2" s="180" t="s">
        <v>389</v>
      </c>
      <c r="D2" s="180" t="s">
        <v>390</v>
      </c>
      <c r="E2" s="180">
        <v>16.99</v>
      </c>
      <c r="F2" s="180">
        <v>3</v>
      </c>
      <c r="G2" s="180">
        <v>2.05</v>
      </c>
      <c r="H2" s="180">
        <v>2.05</v>
      </c>
      <c r="I2" s="180"/>
      <c r="J2" s="180"/>
      <c r="K2" s="180"/>
      <c r="L2" s="180"/>
      <c r="M2" s="180"/>
      <c r="N2" s="180"/>
      <c r="O2" s="180"/>
      <c r="P2" s="180"/>
      <c r="Q2" s="180"/>
    </row>
    <row customHeight="true" ht="18.51851851851852" r="3">
      <c r="A3" s="180" t="s">
        <v>387</v>
      </c>
      <c r="B3" s="180" t="s">
        <v>388</v>
      </c>
      <c r="C3" s="180" t="s">
        <v>391</v>
      </c>
      <c r="D3" s="180" t="s">
        <v>390</v>
      </c>
      <c r="E3" s="180">
        <v>16.99</v>
      </c>
      <c r="F3" s="180">
        <v>3</v>
      </c>
      <c r="G3" s="180">
        <v>2.05</v>
      </c>
      <c r="H3" s="180">
        <v>2.05</v>
      </c>
      <c r="I3" s="180"/>
      <c r="J3" s="180"/>
      <c r="K3" s="180"/>
      <c r="L3" s="180"/>
      <c r="M3" s="180"/>
      <c r="N3" s="180"/>
      <c r="O3" s="180"/>
      <c r="P3" s="180"/>
      <c r="Q3" s="180"/>
    </row>
    <row customHeight="true" ht="18.51851851851852" r="4">
      <c r="A4" s="180" t="s">
        <v>392</v>
      </c>
      <c r="B4" s="180" t="s">
        <v>388</v>
      </c>
      <c r="C4" s="180" t="s">
        <v>391</v>
      </c>
      <c r="D4" s="180" t="s">
        <v>390</v>
      </c>
      <c r="E4" s="180">
        <v>16.99</v>
      </c>
      <c r="F4" s="180">
        <v>3</v>
      </c>
      <c r="G4" s="180">
        <v>1.75</v>
      </c>
      <c r="H4" s="180">
        <v>1.75</v>
      </c>
      <c r="I4" s="180"/>
      <c r="J4" s="180"/>
      <c r="K4" s="180"/>
      <c r="L4" s="180"/>
      <c r="M4" s="180"/>
      <c r="N4" s="180"/>
      <c r="O4" s="180"/>
      <c r="P4" s="180"/>
      <c r="Q4" s="180"/>
    </row>
    <row customHeight="true" ht="18.51851851851852" r="5">
      <c r="A5" s="180" t="s">
        <v>393</v>
      </c>
      <c r="B5" s="180" t="s">
        <v>388</v>
      </c>
      <c r="C5" s="180" t="s">
        <v>389</v>
      </c>
      <c r="D5" s="180" t="s">
        <v>394</v>
      </c>
      <c r="E5" s="180">
        <v>16.99</v>
      </c>
      <c r="F5" s="180">
        <v>3</v>
      </c>
      <c r="G5" s="180">
        <v>1.95</v>
      </c>
      <c r="H5" s="180">
        <v>1.95</v>
      </c>
      <c r="I5" s="180"/>
      <c r="J5" s="180"/>
      <c r="K5" s="180"/>
      <c r="L5" s="180"/>
      <c r="M5" s="180"/>
      <c r="N5" s="180"/>
      <c r="O5" s="180"/>
      <c r="P5" s="180"/>
      <c r="Q5" s="180"/>
    </row>
    <row customHeight="true" ht="18.51851851851852" r="6">
      <c r="A6" s="180" t="s">
        <v>393</v>
      </c>
      <c r="B6" s="180" t="s">
        <v>388</v>
      </c>
      <c r="C6" s="180" t="s">
        <v>391</v>
      </c>
      <c r="D6" s="180" t="s">
        <v>394</v>
      </c>
      <c r="E6" s="180">
        <v>16.99</v>
      </c>
      <c r="F6" s="180">
        <v>3</v>
      </c>
      <c r="G6" s="180">
        <v>1.95</v>
      </c>
      <c r="H6" s="180">
        <v>1.95</v>
      </c>
      <c r="I6" s="180"/>
      <c r="J6" s="180"/>
      <c r="K6" s="180"/>
      <c r="L6" s="180"/>
      <c r="M6" s="180"/>
      <c r="N6" s="180"/>
      <c r="O6" s="180"/>
      <c r="P6" s="180"/>
      <c r="Q6" s="180"/>
    </row>
    <row customHeight="true" ht="18.51851851851852" r="7">
      <c r="A7" s="180" t="s">
        <v>395</v>
      </c>
      <c r="B7" s="180" t="s">
        <v>388</v>
      </c>
      <c r="C7" s="180" t="s">
        <v>389</v>
      </c>
      <c r="D7" s="180" t="s">
        <v>390</v>
      </c>
      <c r="E7" s="180">
        <v>18.69</v>
      </c>
      <c r="F7" s="180">
        <v>3.29</v>
      </c>
      <c r="G7" s="180">
        <v>2.25</v>
      </c>
      <c r="H7" s="180">
        <v>2.25</v>
      </c>
      <c r="I7" s="180"/>
      <c r="J7" s="180"/>
      <c r="K7" s="180"/>
      <c r="L7" s="180"/>
      <c r="M7" s="180"/>
      <c r="N7" s="180"/>
      <c r="O7" s="180"/>
      <c r="P7" s="180"/>
      <c r="Q7" s="180"/>
    </row>
    <row customHeight="true" ht="18.51851851851852" r="8">
      <c r="A8" s="180" t="s">
        <v>395</v>
      </c>
      <c r="B8" s="180" t="s">
        <v>388</v>
      </c>
      <c r="C8" s="180" t="s">
        <v>391</v>
      </c>
      <c r="D8" s="180" t="s">
        <v>390</v>
      </c>
      <c r="E8" s="180">
        <v>18.69</v>
      </c>
      <c r="F8" s="180">
        <v>3.29</v>
      </c>
      <c r="G8" s="180">
        <v>2.25</v>
      </c>
      <c r="H8" s="180">
        <v>2.25</v>
      </c>
      <c r="I8" s="180"/>
      <c r="J8" s="180"/>
      <c r="K8" s="180"/>
      <c r="L8" s="180"/>
      <c r="M8" s="180"/>
      <c r="N8" s="180"/>
      <c r="O8" s="180"/>
      <c r="P8" s="180"/>
      <c r="Q8" s="180"/>
    </row>
    <row customHeight="true" ht="18.51851851851852" r="9">
      <c r="A9" s="180" t="s">
        <v>396</v>
      </c>
      <c r="B9" s="180" t="s">
        <v>388</v>
      </c>
      <c r="C9" s="180" t="s">
        <v>389</v>
      </c>
      <c r="D9" s="180" t="s">
        <v>397</v>
      </c>
      <c r="E9" s="180">
        <v>14.99</v>
      </c>
      <c r="F9" s="180">
        <v>5</v>
      </c>
      <c r="G9" s="180">
        <v>1.24</v>
      </c>
      <c r="H9" s="180">
        <v>1.24</v>
      </c>
      <c r="I9" s="180"/>
      <c r="J9" s="180"/>
      <c r="K9" s="180"/>
      <c r="L9" s="180"/>
      <c r="M9" s="180"/>
      <c r="N9" s="180"/>
      <c r="O9" s="180"/>
      <c r="P9" s="180"/>
      <c r="Q9" s="180"/>
    </row>
    <row customHeight="true" ht="18.51851851851852" r="10">
      <c r="A10" s="180" t="s">
        <v>396</v>
      </c>
      <c r="B10" s="180" t="s">
        <v>388</v>
      </c>
      <c r="C10" s="180" t="s">
        <v>391</v>
      </c>
      <c r="D10" s="180" t="s">
        <v>397</v>
      </c>
      <c r="E10" s="180">
        <v>14.99</v>
      </c>
      <c r="F10" s="180">
        <v>5</v>
      </c>
      <c r="G10" s="180">
        <v>1.24</v>
      </c>
      <c r="H10" s="180">
        <v>1.24</v>
      </c>
      <c r="I10" s="180"/>
      <c r="J10" s="180"/>
      <c r="K10" s="180"/>
      <c r="L10" s="180"/>
      <c r="M10" s="180"/>
      <c r="N10" s="180"/>
      <c r="O10" s="180"/>
      <c r="P10" s="180"/>
      <c r="Q10" s="180"/>
    </row>
    <row customHeight="true" ht="18.51851851851852" r="11">
      <c r="A11" s="180" t="s">
        <v>398</v>
      </c>
      <c r="B11" s="180" t="s">
        <v>388</v>
      </c>
      <c r="C11" s="180" t="s">
        <v>389</v>
      </c>
      <c r="D11" s="180" t="s">
        <v>397</v>
      </c>
      <c r="E11" s="180">
        <v>14.99</v>
      </c>
      <c r="F11" s="180"/>
      <c r="G11" s="180"/>
      <c r="H11" s="180"/>
      <c r="I11" s="180"/>
      <c r="J11" s="180"/>
      <c r="K11" s="180"/>
      <c r="L11" s="180"/>
      <c r="M11" s="180"/>
      <c r="N11" s="180"/>
      <c r="O11" s="180"/>
      <c r="P11" s="180"/>
      <c r="Q11" s="180"/>
    </row>
    <row customHeight="true" ht="18.51851851851852" r="12">
      <c r="A12" s="180" t="s">
        <v>398</v>
      </c>
      <c r="B12" s="180" t="s">
        <v>388</v>
      </c>
      <c r="C12" s="180" t="s">
        <v>391</v>
      </c>
      <c r="D12" s="180" t="s">
        <v>397</v>
      </c>
      <c r="E12" s="180">
        <v>14.99</v>
      </c>
      <c r="F12" s="180"/>
      <c r="G12" s="180"/>
      <c r="H12" s="180"/>
      <c r="I12" s="180"/>
      <c r="J12" s="180"/>
      <c r="K12" s="180"/>
      <c r="L12" s="180"/>
      <c r="M12" s="180"/>
      <c r="N12" s="180"/>
      <c r="O12" s="180"/>
      <c r="P12" s="180"/>
      <c r="Q12" s="180"/>
    </row>
    <row customHeight="true" ht="18.51851851851852" r="13">
      <c r="A13" s="180" t="s">
        <v>392</v>
      </c>
      <c r="B13" s="180" t="s">
        <v>388</v>
      </c>
      <c r="C13" s="180" t="s">
        <v>399</v>
      </c>
      <c r="D13" s="180" t="s">
        <v>390</v>
      </c>
      <c r="E13" s="180">
        <v>38.24</v>
      </c>
      <c r="F13" s="180">
        <v>6.75</v>
      </c>
      <c r="G13" s="180">
        <v>4.65</v>
      </c>
      <c r="H13" s="180">
        <v>4.65</v>
      </c>
      <c r="I13" s="180"/>
      <c r="J13" s="180"/>
      <c r="K13" s="180"/>
      <c r="L13" s="180"/>
      <c r="M13" s="180"/>
      <c r="N13" s="180"/>
      <c r="O13" s="180"/>
      <c r="P13" s="180"/>
      <c r="Q13" s="180"/>
    </row>
    <row customHeight="true" ht="18.51851851851852" r="14">
      <c r="A14" s="180" t="s">
        <v>393</v>
      </c>
      <c r="B14" s="180" t="s">
        <v>388</v>
      </c>
      <c r="C14" s="180" t="s">
        <v>399</v>
      </c>
      <c r="D14" s="180" t="s">
        <v>390</v>
      </c>
      <c r="E14" s="180">
        <v>38.24</v>
      </c>
      <c r="F14" s="180">
        <v>6.75</v>
      </c>
      <c r="G14" s="180">
        <v>5.07</v>
      </c>
      <c r="H14" s="180">
        <v>5.07</v>
      </c>
      <c r="I14" s="180"/>
      <c r="J14" s="180"/>
      <c r="K14" s="180"/>
      <c r="L14" s="180"/>
      <c r="M14" s="180"/>
      <c r="N14" s="180"/>
      <c r="O14" s="180"/>
      <c r="P14" s="180"/>
      <c r="Q14" s="180"/>
    </row>
    <row customHeight="true" ht="18.51851851851852" r="15">
      <c r="A15" s="180" t="s">
        <v>396</v>
      </c>
      <c r="B15" s="180" t="s">
        <v>388</v>
      </c>
      <c r="C15" s="180" t="s">
        <v>399</v>
      </c>
      <c r="D15" s="180" t="s">
        <v>400</v>
      </c>
      <c r="E15" s="180">
        <v>29.74</v>
      </c>
      <c r="F15" s="180">
        <v>5.25</v>
      </c>
      <c r="G15" s="180">
        <v>8.27</v>
      </c>
      <c r="H15" s="180">
        <v>8.27</v>
      </c>
      <c r="I15" s="180"/>
      <c r="J15" s="180"/>
      <c r="K15" s="180"/>
      <c r="L15" s="180"/>
      <c r="M15" s="180"/>
      <c r="N15" s="180"/>
      <c r="O15" s="180"/>
      <c r="P15" s="180"/>
      <c r="Q15" s="180"/>
    </row>
    <row customHeight="true" ht="18.51851851851852" r="16">
      <c r="A16" s="180" t="s">
        <v>395</v>
      </c>
      <c r="B16" s="180" t="s">
        <v>388</v>
      </c>
      <c r="C16" s="180" t="s">
        <v>389</v>
      </c>
      <c r="D16" s="180" t="s">
        <v>401</v>
      </c>
      <c r="E16" s="180">
        <v>18.69</v>
      </c>
      <c r="F16" s="180">
        <v>3.29</v>
      </c>
      <c r="G16" s="180">
        <v>2.25</v>
      </c>
      <c r="H16" s="180">
        <v>2.25</v>
      </c>
      <c r="I16" s="180"/>
      <c r="J16" s="180"/>
      <c r="K16" s="180"/>
      <c r="L16" s="180"/>
      <c r="M16" s="180"/>
      <c r="N16" s="180"/>
      <c r="O16" s="180"/>
      <c r="P16" s="180"/>
      <c r="Q16" s="180"/>
    </row>
    <row customHeight="true" ht="18.51851851851852" r="17">
      <c r="A17" s="180" t="s">
        <v>395</v>
      </c>
      <c r="B17" s="180" t="s">
        <v>388</v>
      </c>
      <c r="C17" s="180" t="s">
        <v>391</v>
      </c>
      <c r="D17" s="180" t="s">
        <v>401</v>
      </c>
      <c r="E17" s="180">
        <v>18.69</v>
      </c>
      <c r="F17" s="180">
        <v>3.29</v>
      </c>
      <c r="G17" s="180">
        <v>2.25</v>
      </c>
      <c r="H17" s="180">
        <v>2.25</v>
      </c>
      <c r="I17" s="180"/>
      <c r="J17" s="180"/>
      <c r="K17" s="180"/>
      <c r="L17" s="180"/>
      <c r="M17" s="180"/>
      <c r="N17" s="180"/>
      <c r="O17" s="180"/>
      <c r="P17" s="180"/>
      <c r="Q17" s="180"/>
    </row>
    <row customHeight="true" ht="18.51851851851852" r="18">
      <c r="A18" s="180"/>
      <c r="B18" s="180"/>
      <c r="C18" s="180"/>
      <c r="D18" s="180"/>
      <c r="E18" s="180"/>
      <c r="F18" s="180"/>
      <c r="G18" s="180"/>
      <c r="H18" s="180"/>
      <c r="I18" s="180"/>
      <c r="J18" s="180"/>
      <c r="K18" s="180"/>
      <c r="L18" s="180"/>
      <c r="M18" s="180"/>
      <c r="N18" s="180"/>
      <c r="O18" s="180"/>
      <c r="P18" s="180"/>
      <c r="Q18" s="180"/>
    </row>
    <row customHeight="true" ht="18.51851851851852" r="19">
      <c r="A19" s="180" t="s">
        <v>396</v>
      </c>
      <c r="B19" s="180" t="s">
        <v>388</v>
      </c>
      <c r="C19" s="180" t="s">
        <v>399</v>
      </c>
      <c r="D19" s="180" t="s">
        <v>402</v>
      </c>
      <c r="E19" s="180">
        <v>29.74</v>
      </c>
      <c r="F19" s="180">
        <v>4.38</v>
      </c>
      <c r="G19" s="180">
        <v>9.14</v>
      </c>
      <c r="H19" s="180">
        <v>9.14</v>
      </c>
      <c r="I19" s="180">
        <v>80</v>
      </c>
      <c r="J19" s="180"/>
      <c r="K19" s="180"/>
      <c r="L19" s="180"/>
      <c r="M19" s="180"/>
      <c r="N19" s="180"/>
      <c r="O19" s="180"/>
      <c r="P19" s="180"/>
      <c r="Q19" s="180"/>
    </row>
    <row customHeight="true" ht="18.51851851851852" r="20">
      <c r="A20" s="180" t="s">
        <v>387</v>
      </c>
      <c r="B20" s="180" t="s">
        <v>388</v>
      </c>
      <c r="C20" s="180" t="s">
        <v>399</v>
      </c>
      <c r="D20" s="180" t="s">
        <v>403</v>
      </c>
      <c r="E20" s="180">
        <v>29.74</v>
      </c>
      <c r="F20" s="180">
        <v>4.41</v>
      </c>
      <c r="G20" s="180">
        <v>7.52</v>
      </c>
      <c r="H20" s="180">
        <v>7.52</v>
      </c>
      <c r="I20" s="180">
        <v>35</v>
      </c>
      <c r="J20" s="180"/>
      <c r="K20" s="180"/>
      <c r="L20" s="180"/>
      <c r="M20" s="180"/>
      <c r="N20" s="180"/>
      <c r="O20" s="180"/>
      <c r="P20" s="180"/>
      <c r="Q20" s="180"/>
    </row>
    <row customHeight="true" ht="18.51851851851852" r="21">
      <c r="A21" s="180" t="s">
        <v>395</v>
      </c>
      <c r="B21" s="180" t="s">
        <v>388</v>
      </c>
      <c r="C21" s="180" t="s">
        <v>399</v>
      </c>
      <c r="D21" s="180" t="s">
        <v>404</v>
      </c>
      <c r="E21" s="180">
        <v>35.1</v>
      </c>
      <c r="F21" s="180">
        <v>1.54</v>
      </c>
      <c r="G21" s="180">
        <v>9.45</v>
      </c>
      <c r="H21" s="180">
        <v>9.45</v>
      </c>
      <c r="I21" s="180">
        <v>40</v>
      </c>
      <c r="J21" s="180"/>
      <c r="K21" s="180"/>
      <c r="L21" s="180"/>
      <c r="M21" s="180"/>
      <c r="N21" s="180"/>
      <c r="O21" s="180"/>
      <c r="P21" s="180"/>
      <c r="Q21" s="180"/>
    </row>
    <row customHeight="true" ht="18.51851851851852" r="22">
      <c r="A22" s="180" t="s">
        <v>392</v>
      </c>
      <c r="B22" s="180" t="s">
        <v>388</v>
      </c>
      <c r="C22" s="180" t="s">
        <v>399</v>
      </c>
      <c r="D22" s="180" t="s">
        <v>405</v>
      </c>
      <c r="E22" s="180">
        <v>35.69</v>
      </c>
      <c r="F22" s="180">
        <v>5.17</v>
      </c>
      <c r="G22" s="180">
        <v>6.96</v>
      </c>
      <c r="H22" s="180">
        <v>6.96</v>
      </c>
      <c r="I22" s="180">
        <v>50</v>
      </c>
      <c r="J22" s="180"/>
      <c r="K22" s="180"/>
      <c r="L22" s="180"/>
      <c r="M22" s="180"/>
      <c r="N22" s="180"/>
      <c r="O22" s="180"/>
      <c r="P22" s="180"/>
      <c r="Q22" s="180"/>
    </row>
    <row customHeight="true" ht="18.51851851851852" r="23">
      <c r="A23" s="180" t="s">
        <v>393</v>
      </c>
      <c r="B23" s="180" t="s">
        <v>388</v>
      </c>
      <c r="C23" s="180" t="s">
        <v>399</v>
      </c>
      <c r="D23" s="180" t="s">
        <v>402</v>
      </c>
      <c r="E23" s="180">
        <v>35.69</v>
      </c>
      <c r="F23" s="180">
        <v>5.2</v>
      </c>
      <c r="G23" s="180">
        <v>7.35</v>
      </c>
      <c r="H23" s="180">
        <v>7.35</v>
      </c>
      <c r="I23" s="180">
        <v>50</v>
      </c>
      <c r="J23" s="180"/>
      <c r="K23" s="182"/>
      <c r="L23" s="182"/>
      <c r="M23" s="182"/>
      <c r="N23" s="182"/>
      <c r="O23" s="182"/>
      <c r="P23" s="182"/>
      <c r="Q23" s="182"/>
    </row>
    <row customHeight="true" ht="18.51851851851852" r="24">
      <c r="A24" s="180"/>
      <c r="B24" s="180"/>
      <c r="C24" s="180"/>
      <c r="D24" s="180"/>
      <c r="E24" s="180"/>
      <c r="F24" s="180"/>
      <c r="G24" s="180"/>
      <c r="H24" s="180"/>
      <c r="I24" s="180"/>
      <c r="J24" s="180"/>
      <c r="K24" s="180"/>
      <c r="L24" s="180"/>
      <c r="M24" s="180"/>
      <c r="N24" s="180"/>
      <c r="O24" s="180"/>
      <c r="P24" s="180"/>
      <c r="Q24" s="180"/>
    </row>
    <row customHeight="true" ht="18.51851851851852" r="25">
      <c r="A25" s="180" t="s">
        <v>396</v>
      </c>
      <c r="B25" s="180" t="s">
        <v>388</v>
      </c>
      <c r="C25" s="180" t="s">
        <v>389</v>
      </c>
      <c r="D25" s="180" t="s">
        <v>405</v>
      </c>
      <c r="E25" s="180">
        <v>14.99</v>
      </c>
      <c r="F25" s="180">
        <v>4.17</v>
      </c>
      <c r="G25" s="180">
        <v>2.07</v>
      </c>
      <c r="H25" s="180">
        <v>2.07</v>
      </c>
      <c r="I25" s="180">
        <v>40</v>
      </c>
      <c r="J25" s="180"/>
      <c r="K25" s="180"/>
      <c r="L25" s="180"/>
      <c r="M25" s="180"/>
      <c r="N25" s="180"/>
      <c r="O25" s="180"/>
      <c r="P25" s="180"/>
      <c r="Q25" s="180"/>
    </row>
    <row customHeight="true" ht="18.51851851851852" r="26">
      <c r="A26" s="180" t="s">
        <v>396</v>
      </c>
      <c r="B26" s="180" t="s">
        <v>388</v>
      </c>
      <c r="C26" s="180" t="s">
        <v>391</v>
      </c>
      <c r="D26" s="180" t="s">
        <v>405</v>
      </c>
      <c r="E26" s="180">
        <v>14.99</v>
      </c>
      <c r="F26" s="180">
        <v>4.17</v>
      </c>
      <c r="G26" s="180">
        <v>2.07</v>
      </c>
      <c r="H26" s="180">
        <v>2.07</v>
      </c>
      <c r="I26" s="180">
        <v>40</v>
      </c>
      <c r="J26" s="180"/>
      <c r="K26" s="180"/>
      <c r="L26" s="180"/>
      <c r="M26" s="180"/>
      <c r="N26" s="180"/>
      <c r="O26" s="180"/>
      <c r="P26" s="180"/>
      <c r="Q26" s="180"/>
    </row>
    <row customHeight="true" ht="18.51851851851852" r="27">
      <c r="A27" s="180" t="s">
        <v>387</v>
      </c>
      <c r="B27" s="180" t="s">
        <v>388</v>
      </c>
      <c r="C27" s="180" t="s">
        <v>389</v>
      </c>
      <c r="D27" s="180" t="s">
        <v>405</v>
      </c>
      <c r="E27" s="180">
        <v>16.99</v>
      </c>
      <c r="F27" s="180">
        <v>2.52</v>
      </c>
      <c r="G27" s="180">
        <v>2.52</v>
      </c>
      <c r="H27" s="180">
        <v>2.88</v>
      </c>
      <c r="I27" s="180">
        <v>50</v>
      </c>
      <c r="J27" s="180"/>
      <c r="K27" s="180"/>
      <c r="L27" s="180"/>
      <c r="M27" s="180"/>
      <c r="N27" s="180"/>
      <c r="O27" s="180"/>
      <c r="P27" s="180"/>
      <c r="Q27" s="180"/>
    </row>
    <row customHeight="true" ht="18.51851851851852" r="28">
      <c r="A28" s="180" t="s">
        <v>387</v>
      </c>
      <c r="B28" s="180" t="s">
        <v>388</v>
      </c>
      <c r="C28" s="180" t="s">
        <v>391</v>
      </c>
      <c r="D28" s="180" t="s">
        <v>405</v>
      </c>
      <c r="E28" s="180">
        <v>16.99</v>
      </c>
      <c r="F28" s="180">
        <v>2.52</v>
      </c>
      <c r="G28" s="180">
        <v>2.52</v>
      </c>
      <c r="H28" s="180">
        <v>2.88</v>
      </c>
      <c r="I28" s="180">
        <v>50</v>
      </c>
      <c r="J28" s="180"/>
      <c r="K28" s="180"/>
      <c r="L28" s="180"/>
      <c r="M28" s="180"/>
      <c r="N28" s="180"/>
      <c r="O28" s="180"/>
      <c r="P28" s="180"/>
      <c r="Q28" s="180"/>
    </row>
    <row customHeight="true" ht="18.51851851851852" r="29">
      <c r="A29" s="180" t="s">
        <v>395</v>
      </c>
      <c r="B29" s="180" t="s">
        <v>388</v>
      </c>
      <c r="C29" s="180" t="s">
        <v>389</v>
      </c>
      <c r="D29" s="180" t="s">
        <v>405</v>
      </c>
      <c r="E29" s="180">
        <v>20.89</v>
      </c>
      <c r="F29" s="180">
        <v>0.92</v>
      </c>
      <c r="G29" s="180">
        <v>5.11</v>
      </c>
      <c r="H29" s="180">
        <v>5.11</v>
      </c>
      <c r="I29" s="180">
        <v>80</v>
      </c>
      <c r="J29" s="180"/>
      <c r="K29" s="182"/>
      <c r="L29" s="182"/>
      <c r="M29" s="182"/>
      <c r="N29" s="182"/>
      <c r="O29" s="182"/>
      <c r="P29" s="182"/>
      <c r="Q29" s="182"/>
    </row>
    <row customHeight="true" ht="18.51851851851852" r="30">
      <c r="A30" s="180" t="s">
        <v>395</v>
      </c>
      <c r="B30" s="180" t="s">
        <v>388</v>
      </c>
      <c r="C30" s="180" t="s">
        <v>391</v>
      </c>
      <c r="D30" s="180" t="s">
        <v>405</v>
      </c>
      <c r="E30" s="180">
        <v>20.89</v>
      </c>
      <c r="F30" s="180">
        <v>0.92</v>
      </c>
      <c r="G30" s="180">
        <v>5.11</v>
      </c>
      <c r="H30" s="180">
        <v>5.11</v>
      </c>
      <c r="I30" s="180">
        <v>80</v>
      </c>
      <c r="J30" s="180"/>
      <c r="K30" s="182"/>
      <c r="L30" s="182"/>
      <c r="M30" s="182"/>
      <c r="N30" s="182"/>
      <c r="O30" s="182"/>
      <c r="P30" s="182"/>
      <c r="Q30" s="182"/>
    </row>
    <row customHeight="true" ht="18.51851851851852" r="31">
      <c r="A31" s="180" t="s">
        <v>392</v>
      </c>
      <c r="B31" s="180" t="s">
        <v>388</v>
      </c>
      <c r="C31" s="180" t="s">
        <v>389</v>
      </c>
      <c r="D31" s="180" t="s">
        <v>405</v>
      </c>
      <c r="E31" s="180">
        <v>16.14</v>
      </c>
      <c r="F31" s="180">
        <v>2.34</v>
      </c>
      <c r="G31" s="180">
        <v>2.23</v>
      </c>
      <c r="H31" s="180">
        <v>2.23</v>
      </c>
      <c r="I31" s="180">
        <v>25</v>
      </c>
      <c r="J31" s="180"/>
      <c r="K31" s="182"/>
      <c r="L31" s="182"/>
      <c r="M31" s="182"/>
      <c r="N31" s="182"/>
      <c r="O31" s="182"/>
      <c r="P31" s="182"/>
      <c r="Q31" s="182"/>
    </row>
    <row customHeight="true" ht="18.51851851851852" r="32">
      <c r="A32" s="180" t="s">
        <v>392</v>
      </c>
      <c r="B32" s="180" t="s">
        <v>388</v>
      </c>
      <c r="C32" s="180" t="s">
        <v>391</v>
      </c>
      <c r="D32" s="180" t="s">
        <v>405</v>
      </c>
      <c r="E32" s="180">
        <v>16.99</v>
      </c>
      <c r="F32" s="180">
        <v>2.46</v>
      </c>
      <c r="G32" s="180">
        <v>2.64</v>
      </c>
      <c r="H32" s="180">
        <v>2.64</v>
      </c>
      <c r="I32" s="180">
        <v>25</v>
      </c>
      <c r="J32" s="180"/>
      <c r="K32" s="182"/>
      <c r="L32" s="182"/>
      <c r="M32" s="182"/>
      <c r="N32" s="182"/>
      <c r="O32" s="182"/>
      <c r="P32" s="182"/>
      <c r="Q32" s="182"/>
    </row>
    <row customHeight="true" ht="18.51851851851852" r="33">
      <c r="A33" s="180" t="s">
        <v>393</v>
      </c>
      <c r="B33" s="180" t="s">
        <v>388</v>
      </c>
      <c r="C33" s="180" t="s">
        <v>389</v>
      </c>
      <c r="D33" s="180" t="s">
        <v>405</v>
      </c>
      <c r="E33" s="180">
        <v>16.99</v>
      </c>
      <c r="F33" s="180">
        <v>2.48</v>
      </c>
      <c r="G33" s="180">
        <v>2.82</v>
      </c>
      <c r="H33" s="180">
        <v>2.82</v>
      </c>
      <c r="I33" s="180">
        <v>80</v>
      </c>
      <c r="J33" s="180"/>
      <c r="K33" s="182"/>
      <c r="L33" s="182"/>
      <c r="M33" s="182"/>
      <c r="N33" s="182"/>
      <c r="O33" s="182"/>
      <c r="P33" s="182"/>
      <c r="Q33" s="182"/>
    </row>
    <row customHeight="true" ht="18.51851851851852" r="34">
      <c r="A34" s="180" t="s">
        <v>393</v>
      </c>
      <c r="B34" s="180" t="s">
        <v>388</v>
      </c>
      <c r="C34" s="180" t="s">
        <v>391</v>
      </c>
      <c r="D34" s="180" t="s">
        <v>405</v>
      </c>
      <c r="E34" s="180">
        <v>16.99</v>
      </c>
      <c r="F34" s="180">
        <v>2.48</v>
      </c>
      <c r="G34" s="180">
        <v>2.82</v>
      </c>
      <c r="H34" s="180">
        <v>2.82</v>
      </c>
      <c r="I34" s="180">
        <v>80</v>
      </c>
      <c r="J34" s="180"/>
      <c r="K34" s="180"/>
      <c r="L34" s="180"/>
      <c r="M34" s="180"/>
      <c r="N34" s="180"/>
      <c r="O34" s="180"/>
      <c r="P34" s="180"/>
      <c r="Q34" s="180"/>
    </row>
    <row customHeight="true" ht="18.51851851851852" r="35">
      <c r="A35" s="180"/>
      <c r="B35" s="180"/>
      <c r="C35" s="180"/>
      <c r="D35" s="180"/>
      <c r="E35" s="180"/>
      <c r="F35" s="180"/>
      <c r="G35" s="180"/>
      <c r="H35" s="180"/>
      <c r="I35" s="180"/>
      <c r="J35" s="180"/>
      <c r="K35" s="180"/>
      <c r="L35" s="180"/>
      <c r="M35" s="180"/>
      <c r="N35" s="180"/>
      <c r="O35" s="180"/>
      <c r="P35" s="180"/>
      <c r="Q35" s="180"/>
    </row>
    <row customHeight="true" ht="18.51851851851852" r="36">
      <c r="A36" s="180" t="s">
        <v>387</v>
      </c>
      <c r="B36" s="180" t="s">
        <v>388</v>
      </c>
      <c r="C36" s="180" t="s">
        <v>399</v>
      </c>
      <c r="D36" s="180" t="s">
        <v>406</v>
      </c>
      <c r="E36" s="180">
        <v>29.74</v>
      </c>
      <c r="F36" s="180">
        <v>4.41</v>
      </c>
      <c r="G36" s="180">
        <v>7.52</v>
      </c>
      <c r="H36" s="180">
        <v>7.52</v>
      </c>
      <c r="I36" s="180">
        <v>45</v>
      </c>
      <c r="J36" s="180"/>
      <c r="K36" s="180"/>
      <c r="L36" s="180" t="s">
        <v>407</v>
      </c>
      <c r="M36" s="180"/>
      <c r="N36" s="180"/>
      <c r="O36" s="180"/>
      <c r="P36" s="180"/>
      <c r="Q36" s="180"/>
    </row>
    <row customHeight="true" ht="18.51851851851852" r="37">
      <c r="A37" s="180"/>
      <c r="B37" s="180"/>
      <c r="C37" s="180"/>
      <c r="D37" s="180"/>
      <c r="E37" s="180"/>
      <c r="F37" s="180"/>
      <c r="G37" s="180"/>
      <c r="H37" s="180"/>
      <c r="I37" s="180"/>
      <c r="J37" s="180"/>
      <c r="K37" s="180"/>
      <c r="L37" s="180"/>
      <c r="M37" s="180"/>
      <c r="N37" s="180"/>
      <c r="O37" s="180"/>
      <c r="P37" s="180"/>
      <c r="Q37" s="180"/>
    </row>
    <row customHeight="true" ht="18.51851851851852" r="38">
      <c r="A38" s="180" t="s">
        <v>395</v>
      </c>
      <c r="B38" s="180" t="s">
        <v>388</v>
      </c>
      <c r="C38" s="180" t="s">
        <v>389</v>
      </c>
      <c r="D38" s="180" t="s">
        <v>408</v>
      </c>
      <c r="E38" s="180">
        <v>17.01</v>
      </c>
      <c r="F38" s="180" t="s">
        <v>409</v>
      </c>
      <c r="G38" s="180" t="s">
        <v>409</v>
      </c>
      <c r="H38" s="180"/>
      <c r="I38" s="180">
        <v>50</v>
      </c>
      <c r="J38" s="180"/>
      <c r="K38" s="182" t="s">
        <v>410</v>
      </c>
      <c r="L38" s="182"/>
      <c r="M38" s="182"/>
      <c r="N38" s="182"/>
      <c r="O38" s="182"/>
      <c r="P38" s="182"/>
      <c r="Q38" s="182"/>
    </row>
    <row customHeight="true" ht="18.51851851851852" r="39">
      <c r="A39" s="180" t="s">
        <v>395</v>
      </c>
      <c r="B39" s="180" t="s">
        <v>388</v>
      </c>
      <c r="C39" s="180" t="s">
        <v>391</v>
      </c>
      <c r="D39" s="180" t="s">
        <v>408</v>
      </c>
      <c r="E39" s="180">
        <v>16.99</v>
      </c>
      <c r="F39" s="180" t="s">
        <v>409</v>
      </c>
      <c r="G39" s="180" t="s">
        <v>409</v>
      </c>
      <c r="H39" s="180"/>
      <c r="I39" s="180">
        <v>60</v>
      </c>
      <c r="J39" s="180"/>
      <c r="K39" s="182" t="s">
        <v>410</v>
      </c>
      <c r="L39" s="182"/>
      <c r="M39" s="182"/>
      <c r="N39" s="182"/>
      <c r="O39" s="182"/>
      <c r="P39" s="182"/>
      <c r="Q39" s="182"/>
    </row>
    <row customHeight="true" ht="18.51851851851852" r="40">
      <c r="A40" s="180" t="s">
        <v>387</v>
      </c>
      <c r="B40" s="180" t="s">
        <v>388</v>
      </c>
      <c r="C40" s="180" t="s">
        <v>389</v>
      </c>
      <c r="D40" s="180" t="s">
        <v>408</v>
      </c>
      <c r="E40" s="180">
        <v>16.99</v>
      </c>
      <c r="F40" s="180" t="s">
        <v>409</v>
      </c>
      <c r="G40" s="180" t="s">
        <v>409</v>
      </c>
      <c r="H40" s="180">
        <v>2.88</v>
      </c>
      <c r="I40" s="180">
        <v>40</v>
      </c>
      <c r="J40" s="180"/>
      <c r="K40" s="182" t="s">
        <v>410</v>
      </c>
      <c r="L40" s="180"/>
      <c r="M40" s="180"/>
      <c r="N40" s="180"/>
      <c r="O40" s="180"/>
      <c r="P40" s="180"/>
      <c r="Q40" s="180"/>
    </row>
    <row customHeight="true" ht="18.51851851851852" r="41">
      <c r="A41" s="180" t="s">
        <v>387</v>
      </c>
      <c r="B41" s="180" t="s">
        <v>388</v>
      </c>
      <c r="C41" s="180" t="s">
        <v>391</v>
      </c>
      <c r="D41" s="180" t="s">
        <v>408</v>
      </c>
      <c r="E41" s="180">
        <v>16.99</v>
      </c>
      <c r="F41" s="180" t="s">
        <v>409</v>
      </c>
      <c r="G41" s="180" t="s">
        <v>409</v>
      </c>
      <c r="H41" s="180">
        <v>2.88</v>
      </c>
      <c r="I41" s="180">
        <v>40</v>
      </c>
      <c r="J41" s="180"/>
      <c r="K41" s="182" t="s">
        <v>410</v>
      </c>
      <c r="L41" s="180"/>
      <c r="M41" s="180"/>
      <c r="N41" s="180"/>
      <c r="O41" s="180"/>
      <c r="P41" s="180"/>
      <c r="Q41" s="180"/>
    </row>
    <row customHeight="true" ht="18.51851851851852" r="42">
      <c r="A42" s="180" t="s">
        <v>392</v>
      </c>
      <c r="B42" s="180" t="s">
        <v>388</v>
      </c>
      <c r="C42" s="180" t="s">
        <v>389</v>
      </c>
      <c r="D42" s="180" t="s">
        <v>411</v>
      </c>
      <c r="E42" s="180">
        <v>15.33</v>
      </c>
      <c r="F42" s="180" t="s">
        <v>409</v>
      </c>
      <c r="G42" s="180" t="s">
        <v>409</v>
      </c>
      <c r="H42" s="180"/>
      <c r="I42" s="180">
        <v>80</v>
      </c>
      <c r="J42" s="180"/>
      <c r="K42" s="182" t="s">
        <v>410</v>
      </c>
      <c r="L42" s="180" t="s">
        <v>412</v>
      </c>
      <c r="M42" s="182"/>
      <c r="N42" s="182"/>
      <c r="O42" s="182"/>
      <c r="P42" s="182"/>
      <c r="Q42" s="182"/>
    </row>
    <row customHeight="true" ht="18.51851851851852" r="43">
      <c r="A43" s="180" t="s">
        <v>392</v>
      </c>
      <c r="B43" s="180" t="s">
        <v>388</v>
      </c>
      <c r="C43" s="180" t="s">
        <v>391</v>
      </c>
      <c r="D43" s="180" t="s">
        <v>411</v>
      </c>
      <c r="E43" s="180">
        <v>16.99</v>
      </c>
      <c r="F43" s="180" t="s">
        <v>409</v>
      </c>
      <c r="G43" s="180" t="s">
        <v>409</v>
      </c>
      <c r="H43" s="180"/>
      <c r="I43" s="180">
        <v>80</v>
      </c>
      <c r="J43" s="180"/>
      <c r="K43" s="182" t="s">
        <v>410</v>
      </c>
      <c r="L43" s="180" t="s">
        <v>412</v>
      </c>
      <c r="M43" s="182"/>
      <c r="N43" s="182"/>
      <c r="O43" s="182"/>
      <c r="P43" s="182"/>
      <c r="Q43" s="182"/>
    </row>
    <row customHeight="true" ht="18.51851851851852" r="44">
      <c r="A44" s="180"/>
      <c r="B44" s="180"/>
      <c r="C44" s="180"/>
      <c r="D44" s="180"/>
      <c r="E44" s="180"/>
      <c r="F44" s="180"/>
      <c r="G44" s="180"/>
      <c r="H44" s="180"/>
      <c r="I44" s="180"/>
      <c r="J44" s="180"/>
      <c r="K44" s="180"/>
      <c r="L44" s="180"/>
      <c r="M44" s="180"/>
      <c r="N44" s="180"/>
      <c r="O44" s="180"/>
      <c r="P44" s="180"/>
      <c r="Q44" s="180"/>
    </row>
    <row customHeight="true" ht="18.51851851851852" r="45">
      <c r="A45" s="180" t="s">
        <v>396</v>
      </c>
      <c r="B45" s="180" t="s">
        <v>388</v>
      </c>
      <c r="C45" s="180" t="s">
        <v>399</v>
      </c>
      <c r="D45" s="180" t="s">
        <v>413</v>
      </c>
      <c r="E45" s="180">
        <v>29.74</v>
      </c>
      <c r="F45" s="180">
        <v>4.38</v>
      </c>
      <c r="G45" s="180">
        <v>8.81</v>
      </c>
      <c r="H45" s="180">
        <v>8.81</v>
      </c>
      <c r="I45" s="180">
        <v>60</v>
      </c>
      <c r="J45" s="180"/>
      <c r="K45" s="180"/>
      <c r="L45" s="180"/>
      <c r="M45" s="180"/>
      <c r="N45" s="180"/>
      <c r="O45" s="180"/>
      <c r="P45" s="180"/>
      <c r="Q45" s="180"/>
    </row>
    <row customHeight="true" ht="18.51851851851852" r="46">
      <c r="A46" s="180" t="s">
        <v>396</v>
      </c>
      <c r="B46" s="180" t="s">
        <v>388</v>
      </c>
      <c r="C46" s="180" t="s">
        <v>399</v>
      </c>
      <c r="D46" s="180" t="s">
        <v>414</v>
      </c>
      <c r="E46" s="180">
        <v>29.74</v>
      </c>
      <c r="F46" s="180"/>
      <c r="G46" s="180"/>
      <c r="H46" s="180"/>
      <c r="I46" s="180">
        <v>40</v>
      </c>
      <c r="J46" s="180"/>
      <c r="K46" s="180" t="s">
        <v>410</v>
      </c>
      <c r="L46" s="180" t="s">
        <v>415</v>
      </c>
      <c r="M46" s="180" t="s">
        <v>416</v>
      </c>
      <c r="N46" s="180"/>
      <c r="O46" s="180"/>
      <c r="P46" s="180"/>
      <c r="Q46" s="180"/>
    </row>
    <row customHeight="true" ht="18.51851851851852" r="47">
      <c r="A47" s="180" t="s">
        <v>396</v>
      </c>
      <c r="B47" s="180" t="s">
        <v>388</v>
      </c>
      <c r="C47" s="180" t="s">
        <v>399</v>
      </c>
      <c r="D47" s="180" t="s">
        <v>417</v>
      </c>
      <c r="E47" s="180">
        <v>29.74</v>
      </c>
      <c r="F47" s="180">
        <v>4.38</v>
      </c>
      <c r="G47" s="180">
        <v>8.81</v>
      </c>
      <c r="H47" s="180">
        <v>8.81</v>
      </c>
      <c r="I47" s="180">
        <v>350</v>
      </c>
      <c r="J47" s="180"/>
      <c r="K47" s="180"/>
      <c r="L47" s="180"/>
      <c r="M47" s="180"/>
      <c r="N47" s="180"/>
      <c r="O47" s="180"/>
      <c r="P47" s="180"/>
      <c r="Q47" s="180"/>
    </row>
    <row customHeight="true" ht="18.51851851851852" r="48">
      <c r="A48" s="180"/>
      <c r="B48" s="180"/>
      <c r="C48" s="180"/>
      <c r="D48" s="180"/>
      <c r="E48" s="180"/>
      <c r="F48" s="180"/>
      <c r="G48" s="180"/>
      <c r="H48" s="180"/>
      <c r="I48" s="180"/>
      <c r="J48" s="180"/>
    </row>
    <row customHeight="true" ht="18.51851851851852" r="49">
      <c r="A49" s="180" t="s">
        <v>396</v>
      </c>
      <c r="B49" s="180" t="s">
        <v>388</v>
      </c>
      <c r="C49" s="180" t="s">
        <v>389</v>
      </c>
      <c r="D49" s="180" t="s">
        <v>418</v>
      </c>
      <c r="E49" s="180">
        <v>14.99</v>
      </c>
      <c r="F49" s="180" t="s">
        <v>409</v>
      </c>
      <c r="G49" s="180" t="s">
        <v>409</v>
      </c>
      <c r="H49" s="180"/>
      <c r="I49" s="180">
        <v>80</v>
      </c>
      <c r="J49" s="180"/>
      <c r="K49" s="182" t="s">
        <v>410</v>
      </c>
      <c r="L49" s="180" t="s">
        <v>412</v>
      </c>
      <c r="M49" s="180"/>
      <c r="N49" s="180"/>
      <c r="O49" s="180"/>
      <c r="P49" s="180"/>
      <c r="Q49" s="180"/>
    </row>
    <row customHeight="true" ht="18.51851851851852" r="50">
      <c r="A50" s="180" t="s">
        <v>396</v>
      </c>
      <c r="B50" s="180" t="s">
        <v>388</v>
      </c>
      <c r="C50" s="180" t="s">
        <v>391</v>
      </c>
      <c r="D50" s="180" t="s">
        <v>418</v>
      </c>
      <c r="E50" s="180">
        <v>14.99</v>
      </c>
      <c r="F50" s="180" t="s">
        <v>409</v>
      </c>
      <c r="G50" s="180" t="s">
        <v>409</v>
      </c>
      <c r="H50" s="180"/>
      <c r="I50" s="180">
        <v>80</v>
      </c>
      <c r="J50" s="180"/>
      <c r="K50" s="182" t="s">
        <v>410</v>
      </c>
      <c r="L50" s="180" t="s">
        <v>412</v>
      </c>
      <c r="M50" s="180"/>
      <c r="N50" s="180"/>
      <c r="O50" s="180"/>
      <c r="P50" s="180"/>
      <c r="Q50" s="180"/>
    </row>
    <row customHeight="true" ht="18.51851851851852" r="51">
      <c r="A51" s="180"/>
      <c r="B51" s="180"/>
      <c r="C51" s="180"/>
      <c r="D51" s="180"/>
      <c r="E51" s="180"/>
      <c r="F51" s="180"/>
      <c r="G51" s="180"/>
      <c r="H51" s="180"/>
      <c r="I51" s="180"/>
      <c r="J51" s="180"/>
      <c r="K51" s="182"/>
      <c r="L51" s="182"/>
    </row>
    <row customHeight="true" ht="18.51851851851852" r="52">
      <c r="A52" s="180" t="s">
        <v>395</v>
      </c>
      <c r="B52" s="180" t="s">
        <v>388</v>
      </c>
      <c r="C52" s="180" t="s">
        <v>389</v>
      </c>
      <c r="D52" s="180" t="s">
        <v>419</v>
      </c>
      <c r="E52" s="180">
        <v>16.99</v>
      </c>
      <c r="F52" s="180">
        <v>4.17</v>
      </c>
      <c r="G52" s="180">
        <v>2.54</v>
      </c>
      <c r="H52" s="180">
        <v>2.54</v>
      </c>
      <c r="I52" s="180">
        <v>100</v>
      </c>
      <c r="J52" s="180"/>
      <c r="K52" s="182" t="s">
        <v>420</v>
      </c>
      <c r="L52" s="182"/>
      <c r="M52" s="182"/>
      <c r="N52" s="182"/>
      <c r="O52" s="182"/>
      <c r="P52" s="182"/>
      <c r="Q52" s="182"/>
    </row>
    <row customHeight="true" ht="18.51851851851852" r="53">
      <c r="A53" s="180" t="s">
        <v>395</v>
      </c>
      <c r="B53" s="180" t="s">
        <v>388</v>
      </c>
      <c r="C53" s="180" t="s">
        <v>391</v>
      </c>
      <c r="D53" s="180" t="s">
        <v>419</v>
      </c>
      <c r="E53" s="180">
        <v>16.99</v>
      </c>
      <c r="F53" s="180">
        <v>4.17</v>
      </c>
      <c r="G53" s="180">
        <v>2.54</v>
      </c>
      <c r="H53" s="180">
        <v>2.54</v>
      </c>
      <c r="I53" s="180">
        <v>80</v>
      </c>
      <c r="J53" s="180"/>
      <c r="K53" s="182" t="s">
        <v>420</v>
      </c>
      <c r="L53" s="182"/>
      <c r="M53" s="182"/>
      <c r="N53" s="182"/>
      <c r="O53" s="182"/>
      <c r="P53" s="182"/>
      <c r="Q53" s="182"/>
    </row>
    <row customHeight="true" ht="18.51851851851852" r="54">
      <c r="A54" s="180" t="s">
        <v>387</v>
      </c>
      <c r="B54" s="180" t="s">
        <v>388</v>
      </c>
      <c r="C54" s="180" t="s">
        <v>389</v>
      </c>
      <c r="D54" s="180" t="s">
        <v>419</v>
      </c>
      <c r="E54" s="180">
        <v>16.99</v>
      </c>
      <c r="F54" s="180">
        <v>2.52</v>
      </c>
      <c r="G54" s="180">
        <v>2.88</v>
      </c>
      <c r="H54" s="180">
        <v>2.88</v>
      </c>
      <c r="I54" s="180">
        <v>60</v>
      </c>
      <c r="J54" s="180"/>
      <c r="K54" s="182" t="s">
        <v>420</v>
      </c>
      <c r="L54" s="180"/>
      <c r="M54" s="180"/>
      <c r="N54" s="180"/>
      <c r="O54" s="180"/>
      <c r="P54" s="180"/>
      <c r="Q54" s="180"/>
    </row>
    <row customHeight="true" ht="18.51851851851852" r="55">
      <c r="A55" s="180" t="s">
        <v>387</v>
      </c>
      <c r="B55" s="180" t="s">
        <v>388</v>
      </c>
      <c r="C55" s="180" t="s">
        <v>391</v>
      </c>
      <c r="D55" s="180" t="s">
        <v>419</v>
      </c>
      <c r="E55" s="180">
        <v>16.99</v>
      </c>
      <c r="F55" s="180">
        <v>2.52</v>
      </c>
      <c r="G55" s="180">
        <v>2.88</v>
      </c>
      <c r="H55" s="180">
        <v>2.88</v>
      </c>
      <c r="I55" s="180">
        <v>60</v>
      </c>
      <c r="J55" s="180"/>
      <c r="K55" s="182" t="s">
        <v>420</v>
      </c>
      <c r="L55" s="180"/>
      <c r="M55" s="180"/>
      <c r="N55" s="180"/>
      <c r="O55" s="180"/>
      <c r="P55" s="180"/>
      <c r="Q55" s="180"/>
    </row>
    <row customHeight="true" ht="18.51851851851852" r="56">
      <c r="A56" s="180" t="s">
        <v>393</v>
      </c>
      <c r="B56" s="180" t="s">
        <v>388</v>
      </c>
      <c r="C56" s="180" t="s">
        <v>389</v>
      </c>
      <c r="D56" s="180" t="s">
        <v>421</v>
      </c>
      <c r="E56" s="180">
        <v>16.99</v>
      </c>
      <c r="F56" s="180">
        <v>2.48</v>
      </c>
      <c r="G56" s="180">
        <v>2.82</v>
      </c>
      <c r="H56" s="180">
        <v>2.82</v>
      </c>
      <c r="I56" s="180">
        <v>150</v>
      </c>
      <c r="J56" s="180"/>
      <c r="K56" s="182" t="s">
        <v>420</v>
      </c>
      <c r="L56" s="182"/>
      <c r="M56" s="182"/>
      <c r="N56" s="182"/>
      <c r="O56" s="182"/>
      <c r="P56" s="182"/>
      <c r="Q56" s="182"/>
    </row>
    <row customHeight="true" ht="18.51851851851852" r="57">
      <c r="A57" s="180" t="s">
        <v>393</v>
      </c>
      <c r="B57" s="180" t="s">
        <v>388</v>
      </c>
      <c r="C57" s="180" t="s">
        <v>391</v>
      </c>
      <c r="D57" s="180" t="s">
        <v>421</v>
      </c>
      <c r="E57" s="180">
        <v>16.99</v>
      </c>
      <c r="F57" s="180">
        <v>2.48</v>
      </c>
      <c r="G57" s="180">
        <v>2.82</v>
      </c>
      <c r="H57" s="180">
        <v>2.82</v>
      </c>
      <c r="I57" s="180">
        <v>130</v>
      </c>
      <c r="J57" s="180"/>
      <c r="K57" s="182" t="s">
        <v>420</v>
      </c>
      <c r="L57" s="180"/>
      <c r="M57" s="180"/>
      <c r="N57" s="180"/>
      <c r="O57" s="180"/>
      <c r="P57" s="180"/>
      <c r="Q57" s="180"/>
    </row>
    <row customHeight="true" ht="18.51851851851852" r="58">
      <c r="A58" s="180" t="s">
        <v>392</v>
      </c>
      <c r="B58" s="180" t="s">
        <v>388</v>
      </c>
      <c r="C58" s="180" t="s">
        <v>389</v>
      </c>
      <c r="D58" s="180" t="s">
        <v>421</v>
      </c>
      <c r="E58" s="180">
        <v>16.14</v>
      </c>
      <c r="F58" s="180">
        <v>2.4</v>
      </c>
      <c r="G58" s="180">
        <v>2.7</v>
      </c>
      <c r="H58" s="180">
        <v>2.7</v>
      </c>
      <c r="I58" s="180">
        <v>35</v>
      </c>
      <c r="J58" s="180"/>
      <c r="K58" s="182" t="s">
        <v>420</v>
      </c>
      <c r="L58" s="182"/>
      <c r="M58" s="182"/>
      <c r="N58" s="182"/>
      <c r="O58" s="182"/>
      <c r="P58" s="182"/>
      <c r="Q58" s="182"/>
    </row>
    <row customHeight="true" ht="18.51851851851852" r="59">
      <c r="A59" s="180" t="s">
        <v>392</v>
      </c>
      <c r="B59" s="180" t="s">
        <v>388</v>
      </c>
      <c r="C59" s="180" t="s">
        <v>391</v>
      </c>
      <c r="D59" s="180" t="s">
        <v>421</v>
      </c>
      <c r="E59" s="180">
        <v>16.6</v>
      </c>
      <c r="F59" s="180">
        <v>2.34</v>
      </c>
      <c r="G59" s="180">
        <v>2.7</v>
      </c>
      <c r="H59" s="180">
        <v>2.7</v>
      </c>
      <c r="I59" s="180">
        <v>35</v>
      </c>
      <c r="J59" s="180"/>
      <c r="K59" s="182" t="s">
        <v>420</v>
      </c>
      <c r="L59" s="180"/>
      <c r="M59" s="180"/>
      <c r="N59" s="180"/>
      <c r="O59" s="180"/>
      <c r="P59" s="180"/>
      <c r="Q59" s="180"/>
    </row>
    <row customHeight="true" ht="18.51851851851852" r="60">
      <c r="A60" s="180" t="s">
        <v>396</v>
      </c>
      <c r="B60" s="180" t="s">
        <v>388</v>
      </c>
      <c r="C60" s="180" t="s">
        <v>389</v>
      </c>
      <c r="D60" s="180" t="s">
        <v>421</v>
      </c>
      <c r="E60" s="180">
        <v>14.99</v>
      </c>
      <c r="F60" s="180">
        <v>4.17</v>
      </c>
      <c r="G60" s="180">
        <v>2.07</v>
      </c>
      <c r="H60" s="180">
        <v>2.07</v>
      </c>
      <c r="I60" s="180">
        <v>35</v>
      </c>
      <c r="J60" s="180"/>
      <c r="K60" s="182" t="s">
        <v>420</v>
      </c>
      <c r="L60" s="180"/>
      <c r="M60" s="180"/>
      <c r="N60" s="180"/>
      <c r="O60" s="180"/>
      <c r="P60" s="180"/>
      <c r="Q60" s="180"/>
    </row>
    <row customHeight="true" ht="18.51851851851852" r="61">
      <c r="A61" s="180" t="s">
        <v>396</v>
      </c>
      <c r="B61" s="180" t="s">
        <v>388</v>
      </c>
      <c r="C61" s="180" t="s">
        <v>391</v>
      </c>
      <c r="D61" s="180" t="s">
        <v>421</v>
      </c>
      <c r="E61" s="180">
        <v>14.99</v>
      </c>
      <c r="F61" s="180">
        <v>4.17</v>
      </c>
      <c r="G61" s="180">
        <v>2.07</v>
      </c>
      <c r="H61" s="180">
        <v>2.07</v>
      </c>
      <c r="I61" s="180">
        <v>35</v>
      </c>
      <c r="J61" s="180"/>
      <c r="K61" s="182" t="s">
        <v>420</v>
      </c>
      <c r="L61" s="180"/>
      <c r="M61" s="180"/>
      <c r="N61" s="180"/>
      <c r="O61" s="180"/>
      <c r="P61" s="180"/>
      <c r="Q61" s="180"/>
    </row>
    <row customHeight="true" ht="18.51851851851852" r="62">
      <c r="A62" s="180"/>
      <c r="B62" s="180"/>
      <c r="C62" s="180"/>
      <c r="D62" s="180"/>
      <c r="E62" s="180"/>
      <c r="F62" s="180"/>
      <c r="G62" s="180"/>
      <c r="H62" s="180"/>
      <c r="I62" s="180"/>
      <c r="J62" s="180"/>
    </row>
    <row customHeight="true" ht="18.51851851851852" r="63">
      <c r="A63" s="180" t="s">
        <v>395</v>
      </c>
      <c r="B63" s="180" t="s">
        <v>388</v>
      </c>
      <c r="C63" s="180" t="s">
        <v>389</v>
      </c>
      <c r="D63" s="180" t="s">
        <v>414</v>
      </c>
      <c r="E63" s="180">
        <v>17.01</v>
      </c>
      <c r="F63" s="180">
        <v>5</v>
      </c>
      <c r="G63" s="180">
        <v>0.82</v>
      </c>
      <c r="H63" s="180">
        <v>0.82</v>
      </c>
      <c r="I63" s="180">
        <v>100</v>
      </c>
      <c r="J63" s="180"/>
      <c r="K63" s="182" t="s">
        <v>410</v>
      </c>
      <c r="L63" s="182" t="s">
        <v>422</v>
      </c>
      <c r="M63" s="182" t="s">
        <v>416</v>
      </c>
      <c r="N63" s="182"/>
      <c r="O63" s="182"/>
      <c r="P63" s="182"/>
      <c r="Q63" s="182"/>
    </row>
    <row customHeight="true" ht="18.51851851851852" r="64">
      <c r="A64" s="180" t="s">
        <v>395</v>
      </c>
      <c r="B64" s="180" t="s">
        <v>388</v>
      </c>
      <c r="C64" s="180" t="s">
        <v>391</v>
      </c>
      <c r="D64" s="180" t="s">
        <v>414</v>
      </c>
      <c r="E64" s="180">
        <v>16.99</v>
      </c>
      <c r="F64" s="180">
        <v>5</v>
      </c>
      <c r="G64" s="180">
        <v>0.82</v>
      </c>
      <c r="H64" s="180">
        <v>0.82</v>
      </c>
      <c r="I64" s="180">
        <v>100</v>
      </c>
      <c r="J64" s="180"/>
      <c r="K64" s="182" t="s">
        <v>410</v>
      </c>
      <c r="L64" s="182" t="s">
        <v>422</v>
      </c>
      <c r="M64" s="182" t="s">
        <v>416</v>
      </c>
      <c r="N64" s="182"/>
      <c r="O64" s="182"/>
      <c r="P64" s="182"/>
      <c r="Q64" s="182"/>
    </row>
    <row customHeight="true" ht="18.51851851851852" r="65">
      <c r="A65" s="180" t="s">
        <v>387</v>
      </c>
      <c r="B65" s="180" t="s">
        <v>388</v>
      </c>
      <c r="C65" s="180" t="s">
        <v>389</v>
      </c>
      <c r="D65" s="180" t="s">
        <v>414</v>
      </c>
      <c r="E65" s="180">
        <v>16.99</v>
      </c>
      <c r="F65" s="180">
        <v>3</v>
      </c>
      <c r="G65" s="180">
        <v>2.5</v>
      </c>
      <c r="H65" s="180">
        <v>2.5</v>
      </c>
      <c r="I65" s="180">
        <v>60</v>
      </c>
      <c r="J65" s="180"/>
      <c r="K65" s="182" t="s">
        <v>410</v>
      </c>
      <c r="L65" s="182" t="s">
        <v>422</v>
      </c>
      <c r="M65" s="182" t="s">
        <v>416</v>
      </c>
      <c r="N65" s="180"/>
      <c r="O65" s="180"/>
      <c r="P65" s="180"/>
      <c r="Q65" s="180"/>
    </row>
    <row customHeight="true" ht="18.51851851851852" r="66">
      <c r="A66" s="180" t="s">
        <v>387</v>
      </c>
      <c r="B66" s="180" t="s">
        <v>388</v>
      </c>
      <c r="C66" s="180" t="s">
        <v>391</v>
      </c>
      <c r="D66" s="180" t="s">
        <v>414</v>
      </c>
      <c r="E66" s="180">
        <v>16.99</v>
      </c>
      <c r="F66" s="180">
        <v>3</v>
      </c>
      <c r="G66" s="180">
        <v>2.5</v>
      </c>
      <c r="H66" s="180">
        <v>2.5</v>
      </c>
      <c r="I66" s="180">
        <v>60</v>
      </c>
      <c r="J66" s="180"/>
      <c r="K66" s="182" t="s">
        <v>410</v>
      </c>
      <c r="L66" s="183" t="s">
        <v>423</v>
      </c>
      <c r="M66" s="182" t="s">
        <v>416</v>
      </c>
      <c r="N66" s="180"/>
      <c r="O66" s="180"/>
      <c r="P66" s="180"/>
      <c r="Q66" s="180"/>
    </row>
    <row customHeight="true" ht="18.51851851851852" r="67">
      <c r="A67" s="180"/>
      <c r="B67" s="180"/>
      <c r="C67" s="180"/>
      <c r="D67" s="180"/>
      <c r="E67" s="180"/>
      <c r="F67" s="180"/>
      <c r="G67" s="180"/>
      <c r="H67" s="180"/>
      <c r="I67" s="180"/>
      <c r="J67" s="180"/>
      <c r="K67" s="180"/>
      <c r="L67" s="184" t="s">
        <v>424</v>
      </c>
      <c r="M67" s="180"/>
      <c r="N67" s="180"/>
      <c r="O67" s="180"/>
      <c r="P67" s="180"/>
      <c r="Q67" s="180"/>
    </row>
    <row customHeight="true" ht="18.51851851851852" r="68">
      <c r="A68" s="180" t="s">
        <v>395</v>
      </c>
      <c r="B68" s="180" t="s">
        <v>388</v>
      </c>
      <c r="C68" s="180" t="s">
        <v>389</v>
      </c>
      <c r="D68" s="180" t="s">
        <v>425</v>
      </c>
      <c r="E68" s="180">
        <v>16.14</v>
      </c>
      <c r="F68" s="180">
        <v>4.88</v>
      </c>
      <c r="G68" s="180">
        <v>1.83</v>
      </c>
      <c r="H68" s="180">
        <v>1.83</v>
      </c>
      <c r="I68" s="180">
        <v>200</v>
      </c>
      <c r="J68" s="180"/>
      <c r="K68" s="182" t="s">
        <v>420</v>
      </c>
      <c r="L68" s="182"/>
      <c r="M68" s="182"/>
      <c r="N68" s="182"/>
      <c r="O68" s="182"/>
      <c r="P68" s="182"/>
      <c r="Q68" s="182"/>
    </row>
    <row customHeight="true" ht="18.51851851851852" r="69">
      <c r="A69" s="180" t="s">
        <v>395</v>
      </c>
      <c r="B69" s="180" t="s">
        <v>388</v>
      </c>
      <c r="C69" s="180" t="s">
        <v>391</v>
      </c>
      <c r="D69" s="180" t="s">
        <v>425</v>
      </c>
      <c r="E69" s="180">
        <v>16.14</v>
      </c>
      <c r="F69" s="180">
        <v>4.88</v>
      </c>
      <c r="G69" s="180">
        <v>1.83</v>
      </c>
      <c r="H69" s="180">
        <v>1.83</v>
      </c>
      <c r="I69" s="180">
        <v>200</v>
      </c>
      <c r="J69" s="180"/>
      <c r="K69" s="182" t="s">
        <v>420</v>
      </c>
      <c r="L69" s="182"/>
      <c r="M69" s="182"/>
      <c r="N69" s="182"/>
      <c r="O69" s="182"/>
      <c r="P69" s="182"/>
      <c r="Q69" s="182"/>
    </row>
    <row customHeight="true" ht="18.51851851851852" r="70">
      <c r="A70" s="180" t="s">
        <v>387</v>
      </c>
      <c r="B70" s="180" t="s">
        <v>388</v>
      </c>
      <c r="C70" s="180" t="s">
        <v>389</v>
      </c>
      <c r="D70" s="180" t="s">
        <v>426</v>
      </c>
      <c r="E70" s="180">
        <v>16.99</v>
      </c>
      <c r="F70" s="180">
        <v>2.52</v>
      </c>
      <c r="G70" s="180">
        <v>2.88</v>
      </c>
      <c r="H70" s="180">
        <v>2.88</v>
      </c>
      <c r="I70" s="180">
        <v>200</v>
      </c>
      <c r="J70" s="180"/>
      <c r="K70" s="182" t="s">
        <v>420</v>
      </c>
      <c r="L70" s="180"/>
      <c r="M70" s="180"/>
      <c r="N70" s="180"/>
      <c r="O70" s="180"/>
      <c r="P70" s="180"/>
      <c r="Q70" s="180"/>
    </row>
    <row customHeight="true" ht="18.51851851851852" r="71">
      <c r="A71" s="180" t="s">
        <v>387</v>
      </c>
      <c r="B71" s="180" t="s">
        <v>388</v>
      </c>
      <c r="C71" s="180" t="s">
        <v>391</v>
      </c>
      <c r="D71" s="180" t="s">
        <v>426</v>
      </c>
      <c r="E71" s="180">
        <v>16.99</v>
      </c>
      <c r="F71" s="180">
        <v>2.52</v>
      </c>
      <c r="G71" s="180">
        <v>2.88</v>
      </c>
      <c r="H71" s="180">
        <v>2.88</v>
      </c>
      <c r="I71" s="180">
        <v>200</v>
      </c>
      <c r="J71" s="180"/>
      <c r="K71" s="182" t="s">
        <v>420</v>
      </c>
      <c r="L71" s="183"/>
      <c r="M71" s="180"/>
      <c r="N71" s="180"/>
      <c r="O71" s="180"/>
      <c r="P71" s="180"/>
      <c r="Q71" s="180"/>
    </row>
    <row customHeight="true" ht="18.51851851851852" r="72">
      <c r="A72" s="180" t="s">
        <v>392</v>
      </c>
      <c r="B72" s="180" t="s">
        <v>388</v>
      </c>
      <c r="C72" s="180" t="s">
        <v>389</v>
      </c>
      <c r="D72" s="180" t="s">
        <v>426</v>
      </c>
      <c r="E72" s="180">
        <v>14.56</v>
      </c>
      <c r="F72" s="180">
        <v>3.64</v>
      </c>
      <c r="G72" s="180">
        <v>1.5</v>
      </c>
      <c r="H72" s="180">
        <v>1.5</v>
      </c>
      <c r="I72" s="180">
        <v>100</v>
      </c>
      <c r="J72" s="180"/>
      <c r="K72" s="182" t="s">
        <v>420</v>
      </c>
      <c r="L72" s="183"/>
      <c r="M72" s="182"/>
      <c r="N72" s="182"/>
      <c r="O72" s="182"/>
      <c r="P72" s="182"/>
      <c r="Q72" s="182"/>
    </row>
    <row customHeight="true" ht="18.51851851851852" r="73">
      <c r="A73" s="180" t="s">
        <v>392</v>
      </c>
      <c r="B73" s="180" t="s">
        <v>388</v>
      </c>
      <c r="C73" s="180" t="s">
        <v>391</v>
      </c>
      <c r="D73" s="180" t="s">
        <v>426</v>
      </c>
      <c r="E73" s="180">
        <v>15.33</v>
      </c>
      <c r="F73" s="180">
        <v>3.28</v>
      </c>
      <c r="G73" s="180">
        <v>1.8</v>
      </c>
      <c r="H73" s="180">
        <v>1.8</v>
      </c>
      <c r="I73" s="180">
        <v>70</v>
      </c>
      <c r="J73" s="180"/>
      <c r="K73" s="182" t="s">
        <v>420</v>
      </c>
      <c r="L73" s="183"/>
      <c r="M73" s="180"/>
      <c r="N73" s="180"/>
      <c r="O73" s="180"/>
      <c r="P73" s="180"/>
      <c r="Q73" s="182"/>
    </row>
    <row customHeight="true" ht="18.51851851851852" r="74">
      <c r="A74" s="180" t="s">
        <v>393</v>
      </c>
      <c r="B74" s="180" t="s">
        <v>388</v>
      </c>
      <c r="C74" s="180" t="s">
        <v>389</v>
      </c>
      <c r="D74" s="180" t="s">
        <v>425</v>
      </c>
      <c r="E74" s="180">
        <v>16.99</v>
      </c>
      <c r="F74" s="180">
        <v>2.48</v>
      </c>
      <c r="G74" s="180">
        <v>2.82</v>
      </c>
      <c r="H74" s="180">
        <v>2.82</v>
      </c>
      <c r="I74" s="180">
        <v>200</v>
      </c>
      <c r="J74" s="180"/>
      <c r="K74" s="182" t="s">
        <v>420</v>
      </c>
      <c r="L74" s="180" t="s">
        <v>423</v>
      </c>
      <c r="M74" s="182"/>
      <c r="N74" s="182"/>
      <c r="O74" s="182"/>
      <c r="P74" s="182"/>
      <c r="Q74" s="182"/>
    </row>
    <row customHeight="true" ht="18.51851851851852" r="75">
      <c r="A75" s="180" t="s">
        <v>393</v>
      </c>
      <c r="B75" s="180" t="s">
        <v>388</v>
      </c>
      <c r="C75" s="180" t="s">
        <v>391</v>
      </c>
      <c r="D75" s="180" t="s">
        <v>425</v>
      </c>
      <c r="E75" s="180">
        <v>16.99</v>
      </c>
      <c r="F75" s="180">
        <v>2.48</v>
      </c>
      <c r="G75" s="180">
        <v>2.82</v>
      </c>
      <c r="H75" s="180">
        <v>2.82</v>
      </c>
      <c r="I75" s="180">
        <v>200</v>
      </c>
      <c r="J75" s="180"/>
      <c r="K75" s="182" t="s">
        <v>420</v>
      </c>
      <c r="L75" s="180" t="s">
        <v>423</v>
      </c>
      <c r="M75" s="180"/>
      <c r="N75" s="180"/>
      <c r="O75" s="180"/>
      <c r="P75" s="180"/>
      <c r="Q75" s="180"/>
    </row>
    <row customHeight="true" ht="18.51851851851852" r="76">
      <c r="A76" s="180" t="s">
        <v>396</v>
      </c>
      <c r="B76" s="180" t="s">
        <v>388</v>
      </c>
      <c r="C76" s="180" t="s">
        <v>389</v>
      </c>
      <c r="D76" s="180" t="s">
        <v>425</v>
      </c>
      <c r="E76" s="180">
        <v>14.24</v>
      </c>
      <c r="F76" s="180">
        <v>4.79</v>
      </c>
      <c r="G76" s="180">
        <v>1.45</v>
      </c>
      <c r="H76" s="180">
        <v>1.45</v>
      </c>
      <c r="I76" s="180">
        <v>100</v>
      </c>
      <c r="J76" s="180"/>
      <c r="K76" s="182" t="s">
        <v>420</v>
      </c>
      <c r="L76" s="180"/>
      <c r="M76" s="180"/>
      <c r="N76" s="180"/>
      <c r="O76" s="180"/>
      <c r="P76" s="180"/>
      <c r="Q76" s="180"/>
    </row>
    <row customHeight="true" ht="18.51851851851852" r="77">
      <c r="A77" s="180" t="s">
        <v>396</v>
      </c>
      <c r="B77" s="180" t="s">
        <v>388</v>
      </c>
      <c r="C77" s="180" t="s">
        <v>391</v>
      </c>
      <c r="D77" s="180" t="s">
        <v>425</v>
      </c>
      <c r="E77" s="180">
        <v>14.24</v>
      </c>
      <c r="F77" s="180">
        <v>4.79</v>
      </c>
      <c r="G77" s="180">
        <v>1.45</v>
      </c>
      <c r="H77" s="180">
        <v>1.45</v>
      </c>
      <c r="I77" s="180">
        <v>100</v>
      </c>
      <c r="J77" s="180"/>
      <c r="K77" s="182" t="s">
        <v>420</v>
      </c>
      <c r="L77" s="180"/>
      <c r="M77" s="180"/>
      <c r="N77" s="180"/>
      <c r="O77" s="180"/>
      <c r="P77" s="180"/>
      <c r="Q77" s="180"/>
    </row>
    <row customHeight="true" ht="18.51851851851852" r="78">
      <c r="A78" s="180"/>
      <c r="B78" s="180"/>
      <c r="C78" s="180"/>
      <c r="D78" s="180"/>
      <c r="E78" s="180"/>
      <c r="F78" s="180"/>
      <c r="G78" s="180"/>
      <c r="H78" s="180"/>
      <c r="I78" s="180"/>
      <c r="J78" s="180"/>
      <c r="K78" s="180"/>
      <c r="L78" s="180"/>
      <c r="M78" s="180"/>
      <c r="N78" s="180"/>
      <c r="O78" s="180"/>
      <c r="P78" s="180"/>
      <c r="Q78" s="180"/>
    </row>
    <row customHeight="true" ht="18.51851851851852" r="79">
      <c r="A79" s="180" t="s">
        <v>387</v>
      </c>
      <c r="B79" s="180" t="s">
        <v>388</v>
      </c>
      <c r="C79" s="180" t="s">
        <v>399</v>
      </c>
      <c r="D79" s="180" t="s">
        <v>425</v>
      </c>
      <c r="E79" s="180">
        <v>29.74</v>
      </c>
      <c r="F79" s="180">
        <v>4.41</v>
      </c>
      <c r="G79" s="180">
        <v>7.33</v>
      </c>
      <c r="H79" s="180">
        <v>7.33</v>
      </c>
      <c r="I79" s="180">
        <v>200</v>
      </c>
      <c r="J79" s="180"/>
      <c r="K79" s="182" t="s">
        <v>420</v>
      </c>
      <c r="L79" s="180"/>
      <c r="M79" s="180"/>
      <c r="N79" s="180"/>
      <c r="O79" s="180"/>
      <c r="P79" s="180"/>
      <c r="Q79" s="180"/>
    </row>
    <row customHeight="true" ht="18.51851851851852" r="80">
      <c r="A80" s="180" t="s">
        <v>395</v>
      </c>
      <c r="B80" s="180" t="s">
        <v>388</v>
      </c>
      <c r="C80" s="180" t="s">
        <v>399</v>
      </c>
      <c r="D80" s="180" t="s">
        <v>425</v>
      </c>
      <c r="E80" s="180">
        <v>33.34</v>
      </c>
      <c r="F80" s="180">
        <v>1.47</v>
      </c>
      <c r="G80" s="180">
        <v>9.52</v>
      </c>
      <c r="H80" s="180">
        <v>9.52</v>
      </c>
      <c r="I80" s="180">
        <v>100</v>
      </c>
      <c r="J80" s="180"/>
      <c r="K80" s="182" t="s">
        <v>420</v>
      </c>
      <c r="L80" s="180"/>
      <c r="M80" s="180"/>
      <c r="N80" s="180"/>
      <c r="O80" s="180"/>
      <c r="P80" s="180"/>
      <c r="Q80" s="180"/>
    </row>
    <row customHeight="true" ht="18.51851851851852" r="81">
      <c r="A81" s="180" t="s">
        <v>392</v>
      </c>
      <c r="B81" s="180" t="s">
        <v>388</v>
      </c>
      <c r="C81" s="180" t="s">
        <v>399</v>
      </c>
      <c r="D81" s="180" t="s">
        <v>425</v>
      </c>
      <c r="E81" s="180">
        <v>35.69</v>
      </c>
      <c r="F81" s="180">
        <v>5.17</v>
      </c>
      <c r="G81" s="180">
        <v>6.96</v>
      </c>
      <c r="H81" s="180">
        <v>6.96</v>
      </c>
      <c r="I81" s="180">
        <v>250</v>
      </c>
      <c r="J81" s="180"/>
      <c r="K81" s="182" t="s">
        <v>420</v>
      </c>
      <c r="L81" s="180"/>
      <c r="M81" s="180"/>
      <c r="N81" s="180"/>
      <c r="O81" s="180"/>
      <c r="P81" s="180"/>
      <c r="Q81" s="180"/>
    </row>
    <row customHeight="true" ht="18.51851851851852" r="82">
      <c r="A82" s="180" t="s">
        <v>393</v>
      </c>
      <c r="B82" s="180" t="s">
        <v>388</v>
      </c>
      <c r="C82" s="180" t="s">
        <v>399</v>
      </c>
      <c r="D82" s="180" t="s">
        <v>425</v>
      </c>
      <c r="E82" s="180">
        <v>35.69</v>
      </c>
      <c r="F82" s="180">
        <v>5.2</v>
      </c>
      <c r="G82" s="180">
        <v>7.35</v>
      </c>
      <c r="H82" s="180">
        <v>7.35</v>
      </c>
      <c r="I82" s="180">
        <v>220</v>
      </c>
      <c r="J82" s="180"/>
      <c r="K82" s="182" t="s">
        <v>420</v>
      </c>
      <c r="L82" s="182"/>
      <c r="M82" s="182"/>
      <c r="N82" s="182"/>
      <c r="O82" s="182"/>
      <c r="P82" s="182"/>
      <c r="Q82" s="182"/>
    </row>
    <row customHeight="true" ht="18.51851851851852" r="83">
      <c r="A83" s="180"/>
      <c r="B83" s="180"/>
      <c r="C83" s="180"/>
      <c r="D83" s="180"/>
      <c r="E83" s="180"/>
      <c r="F83" s="180"/>
      <c r="G83" s="180"/>
      <c r="H83" s="180"/>
      <c r="I83" s="180"/>
      <c r="J83" s="180"/>
      <c r="K83" s="180"/>
      <c r="L83" s="180"/>
      <c r="M83" s="180"/>
      <c r="N83" s="180"/>
      <c r="O83" s="180"/>
      <c r="P83" s="180"/>
      <c r="Q83" s="180"/>
    </row>
    <row customHeight="true" ht="18.51851851851852" r="84">
      <c r="A84" s="180" t="s">
        <v>396</v>
      </c>
      <c r="B84" s="180" t="s">
        <v>388</v>
      </c>
      <c r="C84" s="180" t="s">
        <v>399</v>
      </c>
      <c r="D84" s="180" t="s">
        <v>427</v>
      </c>
      <c r="E84" s="180">
        <v>29.74</v>
      </c>
      <c r="F84" s="180">
        <v>4.38</v>
      </c>
      <c r="G84" s="180">
        <v>8.81</v>
      </c>
      <c r="H84" s="180">
        <v>8.81</v>
      </c>
      <c r="I84" s="180">
        <v>540</v>
      </c>
      <c r="J84" s="180"/>
      <c r="K84" s="180"/>
      <c r="L84" s="182" t="s">
        <v>428</v>
      </c>
      <c r="M84" s="180" t="s">
        <v>429</v>
      </c>
      <c r="N84" s="180"/>
      <c r="O84" s="180"/>
      <c r="P84" s="180"/>
      <c r="Q84" s="180"/>
    </row>
    <row customHeight="true" ht="18.51851851851852" r="85">
      <c r="A85" s="180"/>
      <c r="B85" s="180"/>
      <c r="C85" s="180"/>
      <c r="D85" s="180"/>
      <c r="E85" s="180"/>
      <c r="F85" s="180"/>
      <c r="G85" s="180"/>
      <c r="H85" s="180"/>
      <c r="I85" s="180"/>
      <c r="J85" s="180"/>
      <c r="K85" s="180"/>
      <c r="L85" s="180"/>
      <c r="M85" s="180"/>
      <c r="N85" s="180"/>
      <c r="O85" s="180"/>
      <c r="P85" s="180"/>
      <c r="Q85" s="180"/>
    </row>
    <row customHeight="true" ht="18.51851851851852" r="86">
      <c r="A86" s="180" t="s">
        <v>392</v>
      </c>
      <c r="B86" s="180" t="s">
        <v>388</v>
      </c>
      <c r="C86" s="180" t="s">
        <v>399</v>
      </c>
      <c r="D86" s="180" t="s">
        <v>430</v>
      </c>
      <c r="E86" s="180">
        <v>33.91</v>
      </c>
      <c r="F86" s="180">
        <v>6.62</v>
      </c>
      <c r="G86" s="180">
        <v>5.62</v>
      </c>
      <c r="H86" s="180">
        <v>5.62</v>
      </c>
      <c r="I86" s="180">
        <v>300</v>
      </c>
      <c r="J86" s="180"/>
      <c r="K86" s="182" t="s">
        <v>420</v>
      </c>
      <c r="L86" s="180" t="s">
        <v>431</v>
      </c>
      <c r="M86" s="180"/>
      <c r="N86" s="180"/>
      <c r="O86" s="180"/>
      <c r="P86" s="180"/>
      <c r="Q86" s="180"/>
    </row>
    <row customHeight="true" ht="18.51851851851852" r="87">
      <c r="A87" s="180" t="s">
        <v>387</v>
      </c>
      <c r="B87" s="180" t="s">
        <v>388</v>
      </c>
      <c r="C87" s="180" t="s">
        <v>399</v>
      </c>
      <c r="D87" s="180" t="s">
        <v>430</v>
      </c>
      <c r="E87" s="180">
        <v>29.74</v>
      </c>
      <c r="F87" s="180">
        <v>5.66</v>
      </c>
      <c r="G87" s="180">
        <v>6.36</v>
      </c>
      <c r="H87" s="180">
        <v>6.36</v>
      </c>
      <c r="I87" s="180">
        <v>200</v>
      </c>
      <c r="J87" s="180"/>
      <c r="K87" s="182" t="s">
        <v>420</v>
      </c>
      <c r="L87" s="180" t="s">
        <v>431</v>
      </c>
      <c r="M87" s="180"/>
      <c r="N87" s="180"/>
      <c r="O87" s="180"/>
      <c r="P87" s="180"/>
      <c r="Q87" s="180"/>
    </row>
    <row customHeight="true" ht="18.51851851851852" r="88">
      <c r="A88" s="180" t="s">
        <v>393</v>
      </c>
      <c r="B88" s="180" t="s">
        <v>388</v>
      </c>
      <c r="C88" s="180" t="s">
        <v>399</v>
      </c>
      <c r="D88" s="180" t="s">
        <v>430</v>
      </c>
      <c r="E88" s="180">
        <v>35.69</v>
      </c>
      <c r="F88" s="180">
        <v>5.2</v>
      </c>
      <c r="G88" s="180">
        <v>7.44</v>
      </c>
      <c r="H88" s="180">
        <v>7.44</v>
      </c>
      <c r="I88" s="180">
        <v>200</v>
      </c>
      <c r="J88" s="180"/>
      <c r="K88" s="182" t="s">
        <v>420</v>
      </c>
      <c r="L88" s="182" t="s">
        <v>432</v>
      </c>
      <c r="M88" s="182" t="s">
        <v>433</v>
      </c>
      <c r="N88" s="182"/>
      <c r="O88" s="182"/>
      <c r="P88" s="182"/>
      <c r="Q88" s="182"/>
    </row>
    <row customHeight="true" ht="18.51851851851852" r="89">
      <c r="A89" s="180" t="s">
        <v>395</v>
      </c>
      <c r="B89" s="180" t="s">
        <v>388</v>
      </c>
      <c r="C89" s="180" t="s">
        <v>399</v>
      </c>
      <c r="D89" s="180" t="s">
        <v>430</v>
      </c>
      <c r="E89" s="180">
        <v>33.34</v>
      </c>
      <c r="F89" s="180">
        <v>1.47</v>
      </c>
      <c r="G89" s="180">
        <v>9.52</v>
      </c>
      <c r="H89" s="180">
        <v>9.52</v>
      </c>
      <c r="I89" s="180">
        <v>100</v>
      </c>
      <c r="J89" s="180"/>
      <c r="K89" s="182" t="s">
        <v>420</v>
      </c>
      <c r="L89" s="182" t="s">
        <v>432</v>
      </c>
      <c r="M89" s="182" t="s">
        <v>433</v>
      </c>
      <c r="N89" s="180"/>
      <c r="O89" s="180"/>
      <c r="P89" s="180"/>
      <c r="Q89" s="180"/>
    </row>
    <row customHeight="true" ht="18.51851851851852" r="90">
      <c r="A90" s="180"/>
      <c r="B90" s="180"/>
      <c r="C90" s="180"/>
      <c r="D90" s="180"/>
      <c r="E90" s="180"/>
      <c r="F90" s="180"/>
      <c r="G90" s="180"/>
      <c r="H90" s="180"/>
      <c r="I90" s="180"/>
      <c r="J90" s="180"/>
      <c r="K90" s="180"/>
      <c r="L90" s="180"/>
      <c r="M90" s="180"/>
      <c r="N90" s="180"/>
      <c r="O90" s="180"/>
      <c r="P90" s="180"/>
      <c r="Q90" s="180"/>
    </row>
    <row customHeight="true" ht="18.51851851851852" r="91">
      <c r="A91" s="180" t="s">
        <v>395</v>
      </c>
      <c r="B91" s="180" t="s">
        <v>388</v>
      </c>
      <c r="C91" s="180" t="s">
        <v>389</v>
      </c>
      <c r="D91" s="180" t="s">
        <v>430</v>
      </c>
      <c r="E91" s="180">
        <v>16.14</v>
      </c>
      <c r="F91" s="180">
        <v>4.88</v>
      </c>
      <c r="G91" s="180">
        <v>1.83</v>
      </c>
      <c r="H91" s="180">
        <v>1.83</v>
      </c>
      <c r="I91" s="180">
        <v>200</v>
      </c>
      <c r="J91" s="180"/>
      <c r="K91" s="182" t="s">
        <v>420</v>
      </c>
      <c r="L91" s="180" t="s">
        <v>431</v>
      </c>
      <c r="M91" s="182" t="s">
        <v>423</v>
      </c>
      <c r="N91" s="182"/>
      <c r="O91" s="182"/>
      <c r="P91" s="182"/>
      <c r="Q91" s="182"/>
    </row>
    <row customHeight="true" ht="18.51851851851852" r="92">
      <c r="A92" s="180" t="s">
        <v>395</v>
      </c>
      <c r="B92" s="180" t="s">
        <v>388</v>
      </c>
      <c r="C92" s="180" t="s">
        <v>391</v>
      </c>
      <c r="D92" s="180" t="s">
        <v>430</v>
      </c>
      <c r="E92" s="180">
        <v>15.33</v>
      </c>
      <c r="F92" s="180">
        <v>5.55</v>
      </c>
      <c r="G92" s="180">
        <v>0.55</v>
      </c>
      <c r="H92" s="180">
        <v>0.55</v>
      </c>
      <c r="I92" s="180">
        <v>200</v>
      </c>
      <c r="J92" s="180"/>
      <c r="K92" s="182" t="s">
        <v>420</v>
      </c>
      <c r="L92" s="180" t="s">
        <v>431</v>
      </c>
      <c r="M92" s="182" t="s">
        <v>423</v>
      </c>
      <c r="N92" s="182"/>
      <c r="O92" s="182"/>
      <c r="P92" s="182"/>
      <c r="Q92" s="182"/>
    </row>
    <row customHeight="true" ht="18.51851851851852" r="93">
      <c r="A93" s="180" t="s">
        <v>387</v>
      </c>
      <c r="B93" s="180" t="s">
        <v>388</v>
      </c>
      <c r="C93" s="180" t="s">
        <v>389</v>
      </c>
      <c r="D93" s="180" t="s">
        <v>430</v>
      </c>
      <c r="E93" s="180">
        <v>14.44</v>
      </c>
      <c r="F93" s="180">
        <v>2.15</v>
      </c>
      <c r="G93" s="180">
        <v>3.32</v>
      </c>
      <c r="H93" s="180">
        <v>3.32</v>
      </c>
      <c r="I93" s="180">
        <v>300</v>
      </c>
      <c r="J93" s="180"/>
      <c r="K93" s="182" t="s">
        <v>420</v>
      </c>
      <c r="L93" s="180" t="s">
        <v>431</v>
      </c>
      <c r="M93" s="180"/>
      <c r="N93" s="180"/>
      <c r="O93" s="180"/>
      <c r="P93" s="180"/>
      <c r="Q93" s="180"/>
    </row>
    <row customHeight="true" ht="18.51851851851852" r="94">
      <c r="A94" s="180" t="s">
        <v>387</v>
      </c>
      <c r="B94" s="180" t="s">
        <v>388</v>
      </c>
      <c r="C94" s="180" t="s">
        <v>391</v>
      </c>
      <c r="D94" s="180" t="s">
        <v>430</v>
      </c>
      <c r="E94" s="180">
        <v>14.44</v>
      </c>
      <c r="F94" s="180">
        <v>2.15</v>
      </c>
      <c r="G94" s="180">
        <v>3.32</v>
      </c>
      <c r="H94" s="180">
        <v>3.32</v>
      </c>
      <c r="I94" s="180">
        <v>200</v>
      </c>
      <c r="J94" s="180"/>
      <c r="K94" s="182" t="s">
        <v>420</v>
      </c>
      <c r="L94" s="180" t="s">
        <v>431</v>
      </c>
      <c r="M94" s="180"/>
      <c r="N94" s="180"/>
      <c r="O94" s="180"/>
      <c r="P94" s="180"/>
      <c r="Q94" s="180"/>
    </row>
    <row customHeight="true" ht="18.51851851851852" r="95">
      <c r="A95" s="180" t="s">
        <v>392</v>
      </c>
      <c r="B95" s="180" t="s">
        <v>388</v>
      </c>
      <c r="C95" s="180" t="s">
        <v>389</v>
      </c>
      <c r="D95" s="180" t="s">
        <v>430</v>
      </c>
      <c r="E95" s="180">
        <v>14.56</v>
      </c>
      <c r="F95" s="180">
        <v>3.64</v>
      </c>
      <c r="G95" s="180">
        <v>1.5</v>
      </c>
      <c r="H95" s="180">
        <v>1.5</v>
      </c>
      <c r="I95" s="180">
        <v>200</v>
      </c>
      <c r="J95" s="180"/>
      <c r="K95" s="182" t="s">
        <v>420</v>
      </c>
      <c r="L95" s="180" t="s">
        <v>431</v>
      </c>
      <c r="M95" s="182"/>
      <c r="N95" s="182"/>
      <c r="O95" s="182"/>
      <c r="P95" s="182"/>
      <c r="Q95" s="182"/>
    </row>
    <row customHeight="true" ht="18.51851851851852" r="96">
      <c r="A96" s="180" t="s">
        <v>392</v>
      </c>
      <c r="B96" s="180" t="s">
        <v>388</v>
      </c>
      <c r="C96" s="180" t="s">
        <v>391</v>
      </c>
      <c r="D96" s="180" t="s">
        <v>430</v>
      </c>
      <c r="E96" s="180">
        <v>15.33</v>
      </c>
      <c r="F96" s="180">
        <v>3.28</v>
      </c>
      <c r="G96" s="180">
        <v>1.8</v>
      </c>
      <c r="H96" s="180">
        <v>1.8</v>
      </c>
      <c r="I96" s="180">
        <v>100</v>
      </c>
      <c r="J96" s="180"/>
      <c r="K96" s="182" t="s">
        <v>420</v>
      </c>
      <c r="L96" s="180" t="s">
        <v>431</v>
      </c>
      <c r="M96" s="180"/>
      <c r="N96" s="180"/>
      <c r="O96" s="180"/>
      <c r="P96" s="180"/>
      <c r="Q96" s="182"/>
    </row>
    <row customHeight="true" ht="18.51851851851852" r="97">
      <c r="A97" s="180" t="s">
        <v>393</v>
      </c>
      <c r="B97" s="180" t="s">
        <v>388</v>
      </c>
      <c r="C97" s="180" t="s">
        <v>389</v>
      </c>
      <c r="D97" s="180" t="s">
        <v>430</v>
      </c>
      <c r="E97" s="180">
        <v>16.99</v>
      </c>
      <c r="F97" s="180">
        <v>2.48</v>
      </c>
      <c r="G97" s="180">
        <v>2.82</v>
      </c>
      <c r="H97" s="180">
        <v>2.82</v>
      </c>
      <c r="I97" s="180">
        <v>200</v>
      </c>
      <c r="J97" s="180"/>
      <c r="K97" s="182" t="s">
        <v>420</v>
      </c>
      <c r="L97" s="182" t="s">
        <v>434</v>
      </c>
      <c r="M97" s="182" t="s">
        <v>435</v>
      </c>
      <c r="N97" s="182"/>
      <c r="O97" s="182"/>
      <c r="P97" s="182"/>
      <c r="Q97" s="182"/>
    </row>
    <row customHeight="true" ht="18.51851851851852" r="98">
      <c r="A98" s="180" t="s">
        <v>393</v>
      </c>
      <c r="B98" s="180" t="s">
        <v>388</v>
      </c>
      <c r="C98" s="180" t="s">
        <v>391</v>
      </c>
      <c r="D98" s="180" t="s">
        <v>430</v>
      </c>
      <c r="E98" s="180">
        <v>16.99</v>
      </c>
      <c r="F98" s="180">
        <v>2.48</v>
      </c>
      <c r="G98" s="180">
        <v>2.82</v>
      </c>
      <c r="H98" s="180">
        <v>2.82</v>
      </c>
      <c r="I98" s="180">
        <v>200</v>
      </c>
      <c r="J98" s="180"/>
      <c r="K98" s="182" t="s">
        <v>420</v>
      </c>
      <c r="L98" s="182" t="s">
        <v>434</v>
      </c>
      <c r="M98" s="182" t="s">
        <v>435</v>
      </c>
      <c r="N98" s="180"/>
      <c r="O98" s="180"/>
      <c r="P98" s="180"/>
      <c r="Q98" s="180"/>
    </row>
    <row customHeight="true" ht="18.51851851851852" r="99">
      <c r="A99" s="180" t="s">
        <v>396</v>
      </c>
      <c r="B99" s="180" t="s">
        <v>388</v>
      </c>
      <c r="C99" s="180" t="s">
        <v>389</v>
      </c>
      <c r="D99" s="180" t="s">
        <v>436</v>
      </c>
      <c r="E99" s="180">
        <v>14.24</v>
      </c>
      <c r="F99" s="180">
        <v>4.79</v>
      </c>
      <c r="G99" s="180">
        <v>1.45</v>
      </c>
      <c r="H99" s="180">
        <v>1.45</v>
      </c>
      <c r="I99" s="180">
        <v>100</v>
      </c>
      <c r="J99" s="180"/>
      <c r="K99" s="182" t="s">
        <v>437</v>
      </c>
      <c r="L99" s="180" t="s">
        <v>438</v>
      </c>
      <c r="M99" s="180"/>
      <c r="N99" s="180"/>
      <c r="O99" s="180"/>
      <c r="P99" s="180"/>
      <c r="Q99" s="180"/>
    </row>
    <row customHeight="true" ht="18.51851851851852" r="100">
      <c r="A100" s="180" t="s">
        <v>396</v>
      </c>
      <c r="B100" s="180" t="s">
        <v>388</v>
      </c>
      <c r="C100" s="180" t="s">
        <v>391</v>
      </c>
      <c r="D100" s="180" t="s">
        <v>436</v>
      </c>
      <c r="E100" s="180">
        <v>14.24</v>
      </c>
      <c r="F100" s="180">
        <v>4.79</v>
      </c>
      <c r="G100" s="180">
        <v>1.45</v>
      </c>
      <c r="H100" s="180">
        <v>1.45</v>
      </c>
      <c r="I100" s="180">
        <v>100</v>
      </c>
      <c r="J100" s="180"/>
      <c r="K100" s="182" t="s">
        <v>437</v>
      </c>
      <c r="L100" s="180" t="s">
        <v>438</v>
      </c>
      <c r="M100" s="180"/>
      <c r="N100" s="180"/>
      <c r="O100" s="180"/>
      <c r="P100" s="180"/>
      <c r="Q100" s="180"/>
    </row>
    <row customHeight="true" ht="18.51851851851852" r="101">
      <c r="A101" s="180"/>
      <c r="B101" s="180"/>
      <c r="C101" s="180"/>
      <c r="D101" s="180"/>
      <c r="E101" s="180"/>
      <c r="F101" s="180"/>
      <c r="G101" s="180"/>
      <c r="H101" s="180"/>
      <c r="I101" s="180"/>
      <c r="J101" s="180"/>
      <c r="K101" s="180"/>
      <c r="L101" s="180"/>
      <c r="M101" s="180"/>
      <c r="N101" s="180"/>
      <c r="O101" s="180"/>
      <c r="P101" s="180"/>
      <c r="Q101" s="180"/>
    </row>
    <row customHeight="true" ht="18.51851851851852" r="102">
      <c r="A102" s="180" t="s">
        <v>396</v>
      </c>
      <c r="B102" s="180" t="s">
        <v>388</v>
      </c>
      <c r="C102" s="180" t="s">
        <v>399</v>
      </c>
      <c r="D102" s="180" t="s">
        <v>439</v>
      </c>
      <c r="E102" s="180">
        <v>25.27</v>
      </c>
      <c r="F102" s="180">
        <v>3.72</v>
      </c>
      <c r="G102" s="180">
        <v>9.47</v>
      </c>
      <c r="H102" s="180">
        <v>9.47</v>
      </c>
      <c r="I102" s="180">
        <v>500</v>
      </c>
      <c r="J102" s="180"/>
      <c r="K102" s="180"/>
      <c r="L102" s="182" t="s">
        <v>432</v>
      </c>
      <c r="M102" s="180" t="s">
        <v>440</v>
      </c>
      <c r="N102" s="180"/>
      <c r="O102" s="180"/>
      <c r="P102" s="180"/>
      <c r="Q102" s="180"/>
    </row>
    <row customHeight="true" ht="18.51851851851852" r="103">
      <c r="A103" s="180"/>
      <c r="B103" s="180"/>
      <c r="C103" s="180"/>
      <c r="D103" s="180"/>
      <c r="E103" s="180"/>
      <c r="F103" s="180"/>
      <c r="G103" s="180"/>
      <c r="H103" s="180"/>
      <c r="I103" s="180"/>
      <c r="J103" s="180"/>
      <c r="K103" s="180"/>
      <c r="L103" s="180"/>
      <c r="M103" s="180"/>
      <c r="N103" s="180"/>
      <c r="O103" s="180"/>
      <c r="P103" s="180"/>
      <c r="Q103" s="180"/>
    </row>
    <row customHeight="true" ht="18.51851851851852" r="104">
      <c r="A104" s="180" t="s">
        <v>396</v>
      </c>
      <c r="B104" s="180" t="s">
        <v>388</v>
      </c>
      <c r="C104" s="180" t="s">
        <v>389</v>
      </c>
      <c r="D104" s="180" t="s">
        <v>441</v>
      </c>
      <c r="E104" s="180">
        <v>14.24</v>
      </c>
      <c r="F104" s="180">
        <v>4.8</v>
      </c>
      <c r="G104" s="180">
        <v>1.44</v>
      </c>
      <c r="H104" s="180">
        <v>1.44</v>
      </c>
      <c r="I104" s="180">
        <v>100</v>
      </c>
      <c r="J104" s="180"/>
      <c r="K104" s="182" t="s">
        <v>420</v>
      </c>
      <c r="L104" s="180" t="s">
        <v>442</v>
      </c>
      <c r="M104" s="180"/>
      <c r="N104" s="180"/>
      <c r="O104" s="180"/>
      <c r="P104" s="180"/>
      <c r="Q104" s="180"/>
    </row>
    <row customHeight="true" ht="18.51851851851852" r="105">
      <c r="A105" s="180" t="s">
        <v>396</v>
      </c>
      <c r="B105" s="180" t="s">
        <v>388</v>
      </c>
      <c r="C105" s="180" t="s">
        <v>391</v>
      </c>
      <c r="D105" s="180" t="s">
        <v>441</v>
      </c>
      <c r="E105" s="180">
        <v>14.24</v>
      </c>
      <c r="F105" s="180">
        <v>4.79</v>
      </c>
      <c r="G105" s="180">
        <v>1.45</v>
      </c>
      <c r="H105" s="180">
        <v>1.45</v>
      </c>
      <c r="I105" s="180">
        <v>100</v>
      </c>
      <c r="J105" s="180"/>
      <c r="K105" s="182" t="s">
        <v>420</v>
      </c>
      <c r="L105" s="180" t="s">
        <v>442</v>
      </c>
      <c r="M105" s="180"/>
      <c r="N105" s="180"/>
      <c r="O105" s="180"/>
      <c r="P105" s="180"/>
      <c r="Q105" s="180"/>
    </row>
    <row customHeight="true" ht="18.51851851851852" r="106">
      <c r="A106" s="180"/>
      <c r="B106" s="180"/>
      <c r="C106" s="180"/>
      <c r="D106" s="180"/>
      <c r="E106" s="180"/>
      <c r="F106" s="180"/>
      <c r="G106" s="180"/>
      <c r="H106" s="180"/>
      <c r="I106" s="180"/>
      <c r="J106" s="180"/>
      <c r="K106" s="180"/>
      <c r="L106" s="180"/>
      <c r="M106" s="180"/>
      <c r="N106" s="180"/>
      <c r="O106" s="180"/>
      <c r="P106" s="180"/>
      <c r="Q106" s="180"/>
    </row>
    <row customHeight="true" ht="18.51851851851852" r="107">
      <c r="A107" s="180" t="s">
        <v>392</v>
      </c>
      <c r="B107" s="180" t="s">
        <v>388</v>
      </c>
      <c r="C107" s="180" t="s">
        <v>391</v>
      </c>
      <c r="D107" s="180" t="s">
        <v>443</v>
      </c>
      <c r="E107" s="180">
        <v>15.26</v>
      </c>
      <c r="F107" s="180">
        <v>3.29</v>
      </c>
      <c r="G107" s="180">
        <v>1.8</v>
      </c>
      <c r="H107" s="180">
        <v>1.8</v>
      </c>
      <c r="I107" s="180">
        <v>100</v>
      </c>
      <c r="J107" s="180"/>
      <c r="K107" s="182" t="s">
        <v>420</v>
      </c>
      <c r="L107" s="180" t="s">
        <v>431</v>
      </c>
      <c r="M107" s="180"/>
      <c r="N107" s="180"/>
      <c r="O107" s="180"/>
      <c r="P107" s="180"/>
      <c r="Q107" s="182"/>
    </row>
    <row customHeight="true" ht="18.51851851851852" r="108">
      <c r="A108" s="180" t="s">
        <v>395</v>
      </c>
      <c r="B108" s="180" t="s">
        <v>388</v>
      </c>
      <c r="C108" s="180" t="s">
        <v>391</v>
      </c>
      <c r="D108" s="180" t="s">
        <v>444</v>
      </c>
      <c r="E108" s="180">
        <v>16.14</v>
      </c>
      <c r="F108" s="180">
        <v>4.88</v>
      </c>
      <c r="G108" s="180">
        <v>1.17</v>
      </c>
      <c r="H108" s="180">
        <v>1.17</v>
      </c>
      <c r="I108" s="180">
        <v>200</v>
      </c>
      <c r="J108" s="180"/>
      <c r="K108" s="182" t="s">
        <v>420</v>
      </c>
      <c r="L108" s="180"/>
      <c r="M108" s="182"/>
      <c r="N108" s="182"/>
      <c r="O108" s="182"/>
      <c r="P108" s="182"/>
      <c r="Q108" s="182"/>
    </row>
    <row customHeight="true" ht="18.51851851851852" r="109">
      <c r="A109" s="180"/>
      <c r="B109" s="180"/>
      <c r="C109" s="180"/>
      <c r="D109" s="180"/>
      <c r="E109" s="180"/>
      <c r="F109" s="180"/>
      <c r="G109" s="180"/>
      <c r="H109" s="180"/>
      <c r="I109" s="180"/>
      <c r="J109" s="180"/>
      <c r="K109" s="180"/>
      <c r="L109" s="180"/>
      <c r="M109" s="180"/>
      <c r="N109" s="180"/>
      <c r="O109" s="180"/>
      <c r="P109" s="180"/>
      <c r="Q109" s="180"/>
    </row>
    <row customHeight="true" ht="18.51851851851852" r="110">
      <c r="A110" s="180" t="s">
        <v>392</v>
      </c>
      <c r="B110" s="180" t="s">
        <v>388</v>
      </c>
      <c r="C110" s="180" t="s">
        <v>445</v>
      </c>
      <c r="D110" s="180" t="s">
        <v>446</v>
      </c>
      <c r="E110" s="180">
        <v>35.69</v>
      </c>
      <c r="F110" s="180">
        <v>5.17</v>
      </c>
      <c r="G110" s="180">
        <v>7.32</v>
      </c>
      <c r="H110" s="180">
        <v>7.32</v>
      </c>
      <c r="I110" s="180">
        <v>60</v>
      </c>
      <c r="J110" s="180"/>
      <c r="K110" s="182" t="s">
        <v>420</v>
      </c>
      <c r="L110" s="180"/>
      <c r="M110" s="180"/>
      <c r="N110" s="180"/>
      <c r="O110" s="180"/>
      <c r="P110" s="180"/>
      <c r="Q110" s="180"/>
    </row>
    <row customHeight="true" ht="18.51851851851852" r="111">
      <c r="A111" s="180" t="s">
        <v>393</v>
      </c>
      <c r="B111" s="180" t="s">
        <v>388</v>
      </c>
      <c r="C111" s="180" t="s">
        <v>445</v>
      </c>
      <c r="D111" s="180" t="s">
        <v>443</v>
      </c>
      <c r="E111" s="180">
        <v>35.69</v>
      </c>
      <c r="F111" s="180">
        <v>5.21</v>
      </c>
      <c r="G111" s="180">
        <v>7.12</v>
      </c>
      <c r="H111" s="180">
        <v>7.12</v>
      </c>
      <c r="I111" s="180">
        <v>70</v>
      </c>
      <c r="J111" s="180"/>
      <c r="K111" s="182" t="s">
        <v>420</v>
      </c>
      <c r="L111" s="180"/>
      <c r="M111" s="180"/>
      <c r="N111" s="180"/>
      <c r="O111" s="180"/>
      <c r="P111" s="180"/>
      <c r="Q111" s="180"/>
    </row>
    <row customHeight="true" ht="18.51851851851852" r="112">
      <c r="A112" s="180" t="s">
        <v>395</v>
      </c>
      <c r="B112" s="180" t="s">
        <v>388</v>
      </c>
      <c r="C112" s="180" t="s">
        <v>445</v>
      </c>
      <c r="D112" s="180" t="s">
        <v>443</v>
      </c>
      <c r="E112" s="180">
        <v>37.99</v>
      </c>
      <c r="F112" s="180">
        <v>1.67</v>
      </c>
      <c r="G112" s="180">
        <v>10</v>
      </c>
      <c r="H112" s="180">
        <v>10</v>
      </c>
      <c r="I112" s="180">
        <v>50</v>
      </c>
      <c r="J112" s="180"/>
      <c r="K112" s="182" t="s">
        <v>420</v>
      </c>
      <c r="L112" s="180" t="s">
        <v>423</v>
      </c>
      <c r="M112" s="180"/>
      <c r="N112" s="180"/>
      <c r="O112" s="180"/>
      <c r="P112" s="180"/>
      <c r="Q112" s="180"/>
    </row>
    <row customHeight="true" ht="18.51851851851852" r="113">
      <c r="A113" s="180" t="s">
        <v>387</v>
      </c>
      <c r="B113" s="180" t="s">
        <v>388</v>
      </c>
      <c r="C113" s="180" t="s">
        <v>445</v>
      </c>
      <c r="D113" s="180" t="s">
        <v>447</v>
      </c>
      <c r="E113" s="180">
        <v>34.99</v>
      </c>
      <c r="F113" s="180">
        <v>5</v>
      </c>
      <c r="G113" s="180">
        <v>6.87</v>
      </c>
      <c r="H113" s="180">
        <v>6.87</v>
      </c>
      <c r="I113" s="180">
        <v>50</v>
      </c>
      <c r="J113" s="180"/>
      <c r="K113" s="182" t="s">
        <v>420</v>
      </c>
      <c r="L113" s="180" t="s">
        <v>448</v>
      </c>
      <c r="M113" s="180"/>
      <c r="N113" s="180"/>
      <c r="O113" s="180"/>
      <c r="P113" s="180"/>
      <c r="Q113" s="180"/>
    </row>
    <row customHeight="true" ht="18.51851851851852" r="114">
      <c r="A114" s="180" t="s">
        <v>387</v>
      </c>
      <c r="B114" s="180" t="s">
        <v>388</v>
      </c>
      <c r="C114" s="180" t="s">
        <v>449</v>
      </c>
      <c r="D114" s="180" t="s">
        <v>444</v>
      </c>
      <c r="E114" s="180">
        <v>28.25</v>
      </c>
      <c r="F114" s="180">
        <v>3.75</v>
      </c>
      <c r="G114" s="180">
        <v>8.12</v>
      </c>
      <c r="H114" s="180">
        <v>8.12</v>
      </c>
      <c r="I114" s="180">
        <v>140</v>
      </c>
      <c r="J114" s="180"/>
      <c r="K114" s="182" t="s">
        <v>420</v>
      </c>
      <c r="L114" s="180"/>
      <c r="M114" s="180"/>
      <c r="N114" s="180"/>
      <c r="O114" s="180"/>
      <c r="P114" s="180"/>
      <c r="Q114" s="180"/>
    </row>
    <row customHeight="true" ht="18.51851851851852" r="115">
      <c r="A115" s="180" t="s">
        <v>395</v>
      </c>
      <c r="B115" s="180" t="s">
        <v>388</v>
      </c>
      <c r="C115" s="180" t="s">
        <v>449</v>
      </c>
      <c r="D115" s="180" t="s">
        <v>450</v>
      </c>
      <c r="E115" s="180">
        <v>33.34</v>
      </c>
      <c r="F115" s="180">
        <v>5.55</v>
      </c>
      <c r="G115" s="180">
        <v>5.58</v>
      </c>
      <c r="H115" s="180">
        <v>5.58</v>
      </c>
      <c r="I115" s="180">
        <v>140</v>
      </c>
      <c r="J115" s="180"/>
      <c r="K115" s="182" t="s">
        <v>420</v>
      </c>
      <c r="L115" s="182"/>
      <c r="M115" s="182"/>
      <c r="N115" s="180"/>
      <c r="O115" s="180"/>
      <c r="P115" s="180"/>
      <c r="Q115" s="180"/>
    </row>
    <row customHeight="true" ht="18.51851851851852" r="116">
      <c r="A116" s="180" t="s">
        <v>392</v>
      </c>
      <c r="B116" s="180" t="s">
        <v>388</v>
      </c>
      <c r="C116" s="180" t="s">
        <v>449</v>
      </c>
      <c r="D116" s="180" t="s">
        <v>444</v>
      </c>
      <c r="E116" s="180">
        <v>33.91</v>
      </c>
      <c r="F116" s="180">
        <v>6.62</v>
      </c>
      <c r="G116" s="180">
        <v>5.87</v>
      </c>
      <c r="H116" s="180">
        <v>5.87</v>
      </c>
      <c r="I116" s="180">
        <v>150</v>
      </c>
      <c r="J116" s="180"/>
      <c r="K116" s="182" t="s">
        <v>420</v>
      </c>
      <c r="L116" s="182"/>
      <c r="M116" s="182"/>
      <c r="N116" s="180"/>
      <c r="O116" s="180"/>
      <c r="P116" s="180"/>
      <c r="Q116" s="180"/>
    </row>
  </sheetData>
</worksheet>
</file>

<file path=xl/worksheets/sheet9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3" min="3" style="0" width="17.4"/>
    <col collapsed="false" customWidth="true" hidden="false" max="19" min="19" style="0" width="17.4"/>
    <col collapsed="false" customWidth="true" hidden="false" max="36" min="36" style="0" width="17.4"/>
    <col collapsed="false" customWidth="true" hidden="false" max="52" min="52" style="0" width="17.4"/>
    <col collapsed="false" customWidth="true" hidden="false" max="68" min="68" style="0" width="17.4"/>
    <col collapsed="false" customWidth="true" hidden="false" max="14" min="14" style="0" width="17.4"/>
    <col collapsed="false" customWidth="true" hidden="false" max="35" min="35" style="0" width="17.4"/>
    <col collapsed="false" customWidth="true" hidden="false" max="51" min="51" style="0" width="17.4"/>
    <col collapsed="false" customWidth="true" hidden="false" max="67" min="67" style="0" width="17.4"/>
    <col collapsed="false" customWidth="true" hidden="false" max="13" min="13" style="0" width="17.4"/>
    <col collapsed="false" customWidth="true" hidden="false" max="30" min="30" style="0" width="17.4"/>
    <col collapsed="false" customWidth="true" hidden="false" max="46" min="46" style="0" width="17.4"/>
    <col collapsed="false" customWidth="true" hidden="false" max="62" min="62" style="0" width="17.4"/>
    <col collapsed="false" customWidth="true" hidden="false" max="16" min="16" style="0" width="17.4"/>
    <col collapsed="false" customWidth="true" hidden="false" max="29" min="29" style="0" width="17.4"/>
    <col collapsed="false" customWidth="true" hidden="false" max="45" min="45" style="0" width="17.4"/>
    <col collapsed="false" customWidth="true" hidden="false" max="61" min="61" style="0" width="17.4"/>
    <col collapsed="false" customWidth="true" hidden="false" max="15" min="15" style="0" width="17.4"/>
    <col collapsed="false" customWidth="true" hidden="false" max="32" min="32" style="0" width="17.4"/>
    <col collapsed="false" customWidth="true" hidden="false" max="48" min="48" style="0" width="17.4"/>
    <col collapsed="false" customWidth="true" hidden="false" max="64" min="64" style="0" width="17.4"/>
    <col collapsed="false" customWidth="true" hidden="false" max="10" min="10" style="0" width="17.4"/>
    <col collapsed="false" customWidth="true" hidden="false" max="31" min="31" style="0" width="17.4"/>
    <col collapsed="false" customWidth="true" hidden="false" max="47" min="47" style="0" width="17.4"/>
    <col collapsed="false" customWidth="true" hidden="false" max="63" min="63" style="0" width="17.4"/>
    <col collapsed="false" customWidth="true" hidden="false" max="9" min="9" style="0" width="17.4"/>
    <col collapsed="false" customWidth="true" hidden="false" max="26" min="26" style="0" width="17.4"/>
    <col collapsed="false" customWidth="true" hidden="false" max="42" min="42" style="0" width="17.4"/>
    <col collapsed="false" customWidth="true" hidden="false" max="58" min="58" style="0" width="17.4"/>
    <col collapsed="false" customWidth="true" hidden="false" max="12" min="12" style="0" width="17.4"/>
    <col collapsed="false" customWidth="true" hidden="false" max="25" min="25" style="0" width="17.4"/>
    <col collapsed="false" customWidth="true" hidden="false" max="41" min="41" style="0" width="17.4"/>
    <col collapsed="false" customWidth="true" hidden="false" max="57" min="57" style="0" width="17.4"/>
    <col collapsed="false" customWidth="true" hidden="false" max="11" min="11" style="0" width="17.4"/>
    <col collapsed="false" customWidth="true" hidden="false" max="28" min="28" style="0" width="17.4"/>
    <col collapsed="false" customWidth="true" hidden="false" max="44" min="44" style="0" width="17.4"/>
    <col collapsed="false" customWidth="true" hidden="false" max="60" min="60" style="0" width="17.4"/>
    <col collapsed="false" customWidth="true" hidden="false" max="6" min="6" style="0" width="17.4"/>
    <col collapsed="false" customWidth="true" hidden="false" max="27" min="27" style="0" width="17.4"/>
    <col collapsed="false" customWidth="true" hidden="false" max="43" min="43" style="0" width="17.4"/>
    <col collapsed="false" customWidth="true" hidden="false" max="59" min="59" style="0" width="17.4"/>
    <col collapsed="false" customWidth="true" hidden="false" max="5" min="5" style="0" width="17.4"/>
    <col collapsed="false" customWidth="true" hidden="false" max="22" min="22" style="0" width="17.4"/>
    <col collapsed="false" customWidth="true" hidden="false" max="38" min="38" style="0" width="17.4"/>
    <col collapsed="false" customWidth="true" hidden="false" max="54" min="54" style="0" width="17.4"/>
    <col collapsed="false" customWidth="true" hidden="false" max="70" min="70" style="0" width="17.4"/>
    <col collapsed="false" customWidth="true" hidden="false" max="8" min="8" style="0" width="17.4"/>
    <col collapsed="false" customWidth="true" hidden="false" max="21" min="21" style="0" width="17.4"/>
    <col collapsed="false" customWidth="true" hidden="false" max="37" min="37" style="0" width="17.4"/>
    <col collapsed="false" customWidth="true" hidden="false" max="53" min="53" style="0" width="17.4"/>
    <col collapsed="false" customWidth="true" hidden="false" max="69" min="69" style="0" width="17.4"/>
    <col collapsed="false" customWidth="true" hidden="false" max="7" min="7" style="0" width="17.4"/>
    <col collapsed="false" customWidth="true" hidden="false" max="24" min="24" style="0" width="17.4"/>
    <col collapsed="false" customWidth="true" hidden="false" max="40" min="40" style="0" width="17.4"/>
    <col collapsed="false" customWidth="true" hidden="false" max="56" min="56" style="0" width="17.4"/>
    <col collapsed="false" customWidth="true" hidden="false" max="72" min="72" style="0" width="17.4"/>
    <col collapsed="false" customWidth="true" hidden="false" max="2" min="2" style="0" width="17.4"/>
    <col collapsed="false" customWidth="true" hidden="false" max="23" min="23" style="0" width="17.4"/>
    <col collapsed="false" customWidth="true" hidden="false" max="39" min="39" style="0" width="17.4"/>
    <col collapsed="false" customWidth="true" hidden="false" max="55" min="55" style="0" width="17.4"/>
    <col collapsed="false" customWidth="true" hidden="false" max="71" min="71" style="0" width="17.4"/>
    <col collapsed="false" customWidth="true" hidden="false" max="1" min="1" style="0" width="17.4"/>
    <col collapsed="false" customWidth="true" hidden="false" max="18" min="18" style="0" width="17.4"/>
    <col collapsed="false" customWidth="true" hidden="false" max="34" min="34" style="0" width="17.4"/>
    <col collapsed="false" customWidth="true" hidden="false" max="50" min="50" style="0" width="17.4"/>
    <col collapsed="false" customWidth="true" hidden="false" max="66" min="66" style="0" width="17.4"/>
    <col collapsed="false" customWidth="true" hidden="false" max="65" min="65" style="0" width="17.4"/>
    <col collapsed="false" customWidth="true" hidden="false" max="4" min="4" style="0" width="17.4"/>
    <col collapsed="false" customWidth="true" hidden="false" max="17" min="17" style="0" width="17.4"/>
    <col collapsed="false" customWidth="true" hidden="false" max="20" min="20" style="0" width="17.4"/>
    <col collapsed="false" customWidth="true" hidden="false" max="33" min="33" style="0" width="17.4"/>
    <col collapsed="false" customWidth="true" hidden="false" max="49" min="49" style="0" width="17.4"/>
  </cols>
  <sheetData>
    <row customHeight="true" ht="18.51851851851852" r="1">
      <c r="A1" s="185" t="s">
        <v>451</v>
      </c>
      <c r="B1" s="186" t="s">
        <v>452</v>
      </c>
      <c r="C1" s="186" t="s">
        <v>453</v>
      </c>
      <c r="D1" s="185" t="s">
        <v>454</v>
      </c>
      <c r="E1" s="185" t="s">
        <v>455</v>
      </c>
      <c r="F1" s="187" t="s">
        <v>456</v>
      </c>
      <c r="G1" s="188" t="s">
        <v>457</v>
      </c>
      <c r="H1" s="189" t="s">
        <v>458</v>
      </c>
      <c r="I1" s="189" t="s">
        <v>459</v>
      </c>
      <c r="J1" s="190" t="s">
        <v>460</v>
      </c>
      <c r="K1" s="191" t="s">
        <v>461</v>
      </c>
      <c r="L1" s="192" t="s">
        <v>462</v>
      </c>
      <c r="M1" s="193" t="s">
        <v>463</v>
      </c>
      <c r="N1" s="194" t="s">
        <v>464</v>
      </c>
      <c r="O1" s="195" t="s">
        <v>465</v>
      </c>
      <c r="P1" s="196" t="s">
        <v>466</v>
      </c>
      <c r="Q1" s="197" t="s">
        <v>467</v>
      </c>
      <c r="R1" s="192" t="s">
        <v>468</v>
      </c>
      <c r="S1" s="198" t="s">
        <v>469</v>
      </c>
      <c r="T1" s="185" t="s">
        <v>470</v>
      </c>
      <c r="U1" s="199" t="s">
        <v>471</v>
      </c>
      <c r="V1" s="199" t="s">
        <v>472</v>
      </c>
      <c r="W1" s="199" t="s">
        <v>473</v>
      </c>
      <c r="X1" s="200" t="s">
        <v>474</v>
      </c>
      <c r="Y1" s="200" t="s">
        <v>475</v>
      </c>
      <c r="Z1" s="199" t="s">
        <v>476</v>
      </c>
      <c r="AA1" s="201" t="s">
        <v>477</v>
      </c>
      <c r="AB1" s="201" t="s">
        <v>478</v>
      </c>
      <c r="AC1" s="201" t="s">
        <v>479</v>
      </c>
      <c r="AD1" s="201" t="s">
        <v>480</v>
      </c>
      <c r="AE1" s="202" t="s">
        <v>481</v>
      </c>
      <c r="AF1" s="203" t="s">
        <v>482</v>
      </c>
      <c r="AG1" s="202" t="s">
        <v>483</v>
      </c>
      <c r="AH1" s="204" t="s">
        <v>484</v>
      </c>
      <c r="AI1" s="204" t="s">
        <v>485</v>
      </c>
      <c r="AJ1" s="205" t="s">
        <v>486</v>
      </c>
      <c r="AK1" s="206" t="s">
        <v>487</v>
      </c>
      <c r="AL1" s="206" t="s">
        <v>488</v>
      </c>
      <c r="AM1" s="206" t="s">
        <v>489</v>
      </c>
      <c r="AN1" s="206" t="s">
        <v>490</v>
      </c>
      <c r="AO1" s="206" t="s">
        <v>491</v>
      </c>
      <c r="AP1" s="206" t="s">
        <v>492</v>
      </c>
      <c r="AQ1" s="206" t="s">
        <v>493</v>
      </c>
      <c r="AR1" s="206" t="s">
        <v>494</v>
      </c>
      <c r="AS1" s="206" t="s">
        <v>495</v>
      </c>
      <c r="AT1" s="206" t="s">
        <v>496</v>
      </c>
      <c r="AU1" s="207" t="s">
        <v>497</v>
      </c>
      <c r="AV1" s="207" t="s">
        <v>498</v>
      </c>
      <c r="AW1" s="207" t="s">
        <v>499</v>
      </c>
      <c r="AX1" s="207" t="s">
        <v>488</v>
      </c>
      <c r="AY1" s="207" t="s">
        <v>489</v>
      </c>
      <c r="AZ1" s="207" t="s">
        <v>490</v>
      </c>
      <c r="BA1" s="208" t="s">
        <v>491</v>
      </c>
      <c r="BB1" s="208" t="s">
        <v>492</v>
      </c>
      <c r="BC1" s="208" t="s">
        <v>493</v>
      </c>
      <c r="BD1" s="208" t="s">
        <v>494</v>
      </c>
      <c r="BE1" s="208" t="s">
        <v>495</v>
      </c>
      <c r="BF1" s="208" t="s">
        <v>496</v>
      </c>
      <c r="BG1" s="209" t="s">
        <v>500</v>
      </c>
      <c r="BH1" s="209" t="s">
        <v>498</v>
      </c>
      <c r="BI1" s="209" t="s">
        <v>499</v>
      </c>
      <c r="BJ1" s="209" t="s">
        <v>488</v>
      </c>
      <c r="BK1" s="209" t="s">
        <v>489</v>
      </c>
      <c r="BL1" s="209" t="s">
        <v>490</v>
      </c>
      <c r="BM1" s="204" t="s">
        <v>491</v>
      </c>
      <c r="BN1" s="204" t="s">
        <v>492</v>
      </c>
      <c r="BO1" s="204" t="s">
        <v>493</v>
      </c>
      <c r="BP1" s="204" t="s">
        <v>494</v>
      </c>
      <c r="BQ1" s="204" t="s">
        <v>495</v>
      </c>
      <c r="BR1" s="204" t="s">
        <v>496</v>
      </c>
      <c r="BS1" s="210" t="s">
        <v>501</v>
      </c>
      <c r="BT1" s="211" t="s">
        <v>502</v>
      </c>
    </row>
    <row customHeight="true" ht="18.51851851851852" r="2">
      <c r="A2" s="211" t="s">
        <v>503</v>
      </c>
      <c r="B2" s="211"/>
      <c r="C2" s="211"/>
      <c r="D2" s="212"/>
      <c r="E2" s="213" t="s">
        <v>504</v>
      </c>
      <c r="F2" s="214">
        <v>17.29</v>
      </c>
      <c r="G2" s="214">
        <v>24.92</v>
      </c>
      <c r="H2" s="215">
        <f t="shared" ref="H2:H10" si="14">INDEX(#NULL!,MATCH(1,(#NULL!=A2)*(#NULL!=C2),0))</f>
      </c>
      <c r="I2" s="215">
        <f t="shared" ref="I2:I10" si="9">H2=J2</f>
      </c>
      <c r="J2" s="216">
        <v>17.3</v>
      </c>
      <c r="K2" s="214">
        <v>24.99</v>
      </c>
      <c r="L2" s="217">
        <f t="shared" ref="L2:L10" si="4">J2-Q2/T2-AD2-AA2-R2-AB2-AC2</f>
      </c>
      <c r="M2" s="218">
        <f t="shared" ref="M2:M10" si="0">L2/J2</f>
      </c>
      <c r="N2" s="215">
        <f t="shared" ref="N2:N10" si="15">K2/1.2</f>
      </c>
      <c r="O2" s="219">
        <f t="shared" ref="O2:O10" si="10">(N2-J2)/N2</f>
      </c>
      <c r="P2" s="217">
        <f t="shared" ref="P2:P10" si="5">K2/1.2-J2</f>
      </c>
      <c r="Q2" s="215">
        <f t="shared" ref="Q2:Q10" si="1">AF2+AG2</f>
      </c>
      <c r="R2" s="215">
        <f t="shared" ref="R2:R10" si="16">IFERROR(IF(A2="UK",8.95/S2,IF(A2="DE",11.43/S2,IF(A2="FR",15.27/S2,IF(A2="IT",16.34/S2,IF(A2="ES",20.62/S2,IF(A2="NL",12/S2,IF(A2="PL",15.06/S2,IF(A2="SE",18.5/S2,IF(A2="BE",15.27/S2))))))))),0)</f>
      </c>
      <c r="S2" s="211">
        <v>16</v>
      </c>
      <c r="T2" s="220">
        <v>8.5</v>
      </c>
      <c r="U2" s="221">
        <v>0.05</v>
      </c>
      <c r="V2" s="221">
        <v>0.1</v>
      </c>
      <c r="W2" s="221">
        <v>0.01</v>
      </c>
      <c r="X2" s="221">
        <f t="shared" ref="X2:X10" si="11">Q2/(J2*T2)</f>
      </c>
      <c r="Y2" s="221">
        <f t="shared" ref="Y2:Y10" si="6">R2/J2</f>
      </c>
      <c r="Z2" s="219">
        <v>0.158</v>
      </c>
      <c r="AA2" s="222">
        <f t="shared" ref="AA2:AA10" si="2">J2*U2</f>
      </c>
      <c r="AB2" s="222">
        <f t="shared" ref="AB2:AB10" si="17">J2*V2</f>
      </c>
      <c r="AC2" s="222">
        <f t="shared" ref="AC2:AC10" si="12">J2*W2</f>
      </c>
      <c r="AD2" s="215">
        <f t="shared" ref="AD2:AD10" si="7">J2*Z2</f>
      </c>
      <c r="AE2" s="215">
        <f>61+2.5</f>
      </c>
      <c r="AF2" s="223">
        <f t="shared" ref="AF2:AF10" si="18">AE2/1.13</f>
      </c>
      <c r="AG2" s="220">
        <v>9.27</v>
      </c>
      <c r="AH2" s="221">
        <f t="shared" ref="AH2:AH10" si="13">AF2/(J2*T2)</f>
      </c>
      <c r="AI2" s="221">
        <f t="shared" ref="AI2:AI10" si="8">AG2/T2/J2</f>
      </c>
      <c r="AJ2" s="220">
        <v>9.27</v>
      </c>
      <c r="AK2" s="221"/>
      <c r="AL2" s="221"/>
      <c r="AM2" s="221"/>
      <c r="AN2" s="221"/>
      <c r="AO2" s="221"/>
      <c r="AP2" s="221"/>
      <c r="AQ2" s="221"/>
      <c r="AR2" s="221"/>
      <c r="AS2" s="221"/>
      <c r="AT2" s="221"/>
      <c r="AU2" s="224" t="s">
        <v>505</v>
      </c>
      <c r="AV2" s="224" t="s">
        <v>505</v>
      </c>
      <c r="AW2" s="224" t="s">
        <v>505</v>
      </c>
      <c r="AX2" s="224" t="s">
        <v>505</v>
      </c>
      <c r="AY2" s="224" t="s">
        <v>505</v>
      </c>
      <c r="AZ2" s="224" t="s">
        <v>505</v>
      </c>
      <c r="BA2" s="224" t="s">
        <v>505</v>
      </c>
      <c r="BB2" s="224" t="s">
        <v>505</v>
      </c>
      <c r="BC2" s="224" t="s">
        <v>505</v>
      </c>
      <c r="BD2" s="224" t="s">
        <v>505</v>
      </c>
      <c r="BE2" s="224" t="s">
        <v>505</v>
      </c>
      <c r="BF2" s="224" t="s">
        <v>505</v>
      </c>
      <c r="BG2" s="224" t="s">
        <v>505</v>
      </c>
      <c r="BH2" s="224" t="s">
        <v>505</v>
      </c>
      <c r="BI2" s="224" t="s">
        <v>505</v>
      </c>
      <c r="BJ2" s="224" t="s">
        <v>505</v>
      </c>
      <c r="BK2" s="224" t="s">
        <v>505</v>
      </c>
      <c r="BL2" s="224" t="s">
        <v>505</v>
      </c>
      <c r="BM2" s="224" t="s">
        <v>505</v>
      </c>
      <c r="BN2" s="224" t="s">
        <v>505</v>
      </c>
      <c r="BO2" s="224" t="s">
        <v>505</v>
      </c>
      <c r="BP2" s="224" t="s">
        <v>505</v>
      </c>
      <c r="BQ2" s="224" t="s">
        <v>505</v>
      </c>
      <c r="BR2" s="224" t="s">
        <v>505</v>
      </c>
      <c r="BS2" s="225"/>
      <c r="BT2" s="211" t="str">
        <v>#VALUE!</v>
      </c>
    </row>
    <row customHeight="true" ht="18.51851851851852" r="3">
      <c r="A3" s="211" t="s">
        <v>506</v>
      </c>
      <c r="B3" s="211"/>
      <c r="C3" s="211"/>
      <c r="D3" s="212"/>
      <c r="E3" s="213" t="s">
        <v>504</v>
      </c>
      <c r="F3" s="214">
        <v>20.33</v>
      </c>
      <c r="G3" s="214">
        <v>29.99</v>
      </c>
      <c r="H3" s="215">
        <f t="shared" si="14"/>
      </c>
      <c r="I3" s="215">
        <f t="shared" si="9"/>
      </c>
      <c r="J3" s="214">
        <v>20.33</v>
      </c>
      <c r="K3" s="214">
        <v>29.99</v>
      </c>
      <c r="L3" s="217">
        <f t="shared" si="4"/>
      </c>
      <c r="M3" s="218">
        <f t="shared" si="0"/>
      </c>
      <c r="N3" s="215">
        <f t="shared" si="15"/>
      </c>
      <c r="O3" s="219">
        <f t="shared" si="10"/>
      </c>
      <c r="P3" s="217">
        <f t="shared" si="5"/>
      </c>
      <c r="Q3" s="215">
        <f t="shared" si="1"/>
      </c>
      <c r="R3" s="215">
        <f t="shared" si="16"/>
      </c>
      <c r="S3" s="211">
        <v>16</v>
      </c>
      <c r="T3" s="220">
        <v>7.4</v>
      </c>
      <c r="U3" s="221">
        <v>0.05</v>
      </c>
      <c r="V3" s="221">
        <v>0.1</v>
      </c>
      <c r="W3" s="221">
        <v>0.01</v>
      </c>
      <c r="X3" s="221">
        <f t="shared" si="11"/>
      </c>
      <c r="Y3" s="221">
        <f t="shared" si="6"/>
      </c>
      <c r="Z3" s="219">
        <v>0.1695</v>
      </c>
      <c r="AA3" s="222">
        <f t="shared" si="2"/>
      </c>
      <c r="AB3" s="222">
        <f t="shared" si="17"/>
      </c>
      <c r="AC3" s="222">
        <f t="shared" si="12"/>
      </c>
      <c r="AD3" s="215">
        <f t="shared" si="7"/>
      </c>
      <c r="AE3" s="215">
        <v>61</v>
      </c>
      <c r="AF3" s="223">
        <f t="shared" si="18"/>
      </c>
      <c r="AG3" s="223">
        <v>8.8</v>
      </c>
      <c r="AH3" s="221">
        <f t="shared" si="13"/>
      </c>
      <c r="AI3" s="221">
        <f t="shared" si="8"/>
      </c>
      <c r="AJ3" s="223">
        <v>8.8</v>
      </c>
      <c r="AK3" s="221"/>
      <c r="AL3" s="221"/>
      <c r="AM3" s="221"/>
      <c r="AN3" s="221"/>
      <c r="AO3" s="224"/>
      <c r="AP3" s="224"/>
      <c r="AQ3" s="224"/>
      <c r="AR3" s="224"/>
      <c r="AS3" s="224"/>
      <c r="AT3" s="224"/>
      <c r="AU3" s="224" t="s">
        <v>505</v>
      </c>
      <c r="AV3" s="224" t="s">
        <v>505</v>
      </c>
      <c r="AW3" s="224" t="s">
        <v>505</v>
      </c>
      <c r="AX3" s="224" t="s">
        <v>505</v>
      </c>
      <c r="AY3" s="224" t="s">
        <v>505</v>
      </c>
      <c r="AZ3" s="224" t="s">
        <v>505</v>
      </c>
      <c r="BA3" s="224" t="s">
        <v>505</v>
      </c>
      <c r="BB3" s="224" t="s">
        <v>505</v>
      </c>
      <c r="BC3" s="224" t="s">
        <v>505</v>
      </c>
      <c r="BD3" s="224" t="s">
        <v>505</v>
      </c>
      <c r="BE3" s="224" t="s">
        <v>505</v>
      </c>
      <c r="BF3" s="224" t="s">
        <v>505</v>
      </c>
      <c r="BG3" s="224" t="s">
        <v>505</v>
      </c>
      <c r="BH3" s="224" t="s">
        <v>505</v>
      </c>
      <c r="BI3" s="224" t="s">
        <v>505</v>
      </c>
      <c r="BJ3" s="224" t="s">
        <v>505</v>
      </c>
      <c r="BK3" s="224" t="s">
        <v>505</v>
      </c>
      <c r="BL3" s="224" t="s">
        <v>505</v>
      </c>
      <c r="BM3" s="224" t="s">
        <v>505</v>
      </c>
      <c r="BN3" s="224" t="s">
        <v>505</v>
      </c>
      <c r="BO3" s="224" t="s">
        <v>505</v>
      </c>
      <c r="BP3" s="224" t="s">
        <v>505</v>
      </c>
      <c r="BQ3" s="224" t="s">
        <v>505</v>
      </c>
      <c r="BR3" s="224" t="s">
        <v>505</v>
      </c>
      <c r="BS3" s="225"/>
      <c r="BT3" s="211" t="str">
        <v>#VALUE!</v>
      </c>
    </row>
    <row customHeight="true" ht="18.51851851851852" r="4">
      <c r="A4" s="211" t="s">
        <v>507</v>
      </c>
      <c r="B4" s="211"/>
      <c r="C4" s="211"/>
      <c r="D4" s="212"/>
      <c r="E4" s="213" t="s">
        <v>504</v>
      </c>
      <c r="F4" s="214">
        <v>20.65</v>
      </c>
      <c r="G4" s="214">
        <v>29.99</v>
      </c>
      <c r="H4" s="215">
        <f t="shared" si="14"/>
      </c>
      <c r="I4" s="215">
        <f t="shared" si="9"/>
      </c>
      <c r="J4" s="214">
        <v>20.65</v>
      </c>
      <c r="K4" s="214">
        <v>29.99</v>
      </c>
      <c r="L4" s="217">
        <f t="shared" si="4"/>
      </c>
      <c r="M4" s="218">
        <f t="shared" si="0"/>
      </c>
      <c r="N4" s="215">
        <f t="shared" si="15"/>
      </c>
      <c r="O4" s="219">
        <f t="shared" si="10"/>
      </c>
      <c r="P4" s="217">
        <f t="shared" si="5"/>
      </c>
      <c r="Q4" s="215">
        <f t="shared" si="1"/>
      </c>
      <c r="R4" s="215">
        <f t="shared" si="16"/>
      </c>
      <c r="S4" s="211">
        <v>16</v>
      </c>
      <c r="T4" s="220">
        <v>7.4</v>
      </c>
      <c r="U4" s="221">
        <v>0.05</v>
      </c>
      <c r="V4" s="221">
        <v>0.1</v>
      </c>
      <c r="W4" s="221">
        <v>0.01</v>
      </c>
      <c r="X4" s="221">
        <f t="shared" si="11"/>
      </c>
      <c r="Y4" s="221">
        <f t="shared" si="6"/>
      </c>
      <c r="Z4" s="219">
        <v>0.198</v>
      </c>
      <c r="AA4" s="222">
        <f t="shared" si="2"/>
      </c>
      <c r="AB4" s="222">
        <f t="shared" si="17"/>
      </c>
      <c r="AC4" s="222">
        <f t="shared" si="12"/>
      </c>
      <c r="AD4" s="215">
        <f t="shared" si="7"/>
      </c>
      <c r="AE4" s="215">
        <v>61</v>
      </c>
      <c r="AF4" s="223">
        <f t="shared" si="18"/>
      </c>
      <c r="AG4" s="223">
        <v>8.8</v>
      </c>
      <c r="AH4" s="221">
        <f t="shared" si="13"/>
      </c>
      <c r="AI4" s="221">
        <f t="shared" si="8"/>
      </c>
      <c r="AJ4" s="223">
        <v>8.8</v>
      </c>
      <c r="AK4" s="221"/>
      <c r="AL4" s="221"/>
      <c r="AM4" s="221"/>
      <c r="AN4" s="221"/>
      <c r="AO4" s="224"/>
      <c r="AP4" s="224"/>
      <c r="AQ4" s="224"/>
      <c r="AR4" s="224"/>
      <c r="AS4" s="224"/>
      <c r="AT4" s="224"/>
      <c r="AU4" s="224" t="s">
        <v>505</v>
      </c>
      <c r="AV4" s="224" t="s">
        <v>505</v>
      </c>
      <c r="AW4" s="224" t="s">
        <v>505</v>
      </c>
      <c r="AX4" s="224" t="s">
        <v>505</v>
      </c>
      <c r="AY4" s="224" t="s">
        <v>505</v>
      </c>
      <c r="AZ4" s="224" t="s">
        <v>505</v>
      </c>
      <c r="BA4" s="224" t="s">
        <v>505</v>
      </c>
      <c r="BB4" s="224" t="s">
        <v>505</v>
      </c>
      <c r="BC4" s="224" t="s">
        <v>505</v>
      </c>
      <c r="BD4" s="224" t="s">
        <v>505</v>
      </c>
      <c r="BE4" s="224" t="s">
        <v>505</v>
      </c>
      <c r="BF4" s="224" t="s">
        <v>505</v>
      </c>
      <c r="BG4" s="224" t="s">
        <v>505</v>
      </c>
      <c r="BH4" s="224" t="s">
        <v>505</v>
      </c>
      <c r="BI4" s="224" t="s">
        <v>505</v>
      </c>
      <c r="BJ4" s="224" t="s">
        <v>505</v>
      </c>
      <c r="BK4" s="224" t="s">
        <v>505</v>
      </c>
      <c r="BL4" s="224" t="s">
        <v>505</v>
      </c>
      <c r="BM4" s="224" t="s">
        <v>505</v>
      </c>
      <c r="BN4" s="224" t="s">
        <v>505</v>
      </c>
      <c r="BO4" s="224" t="s">
        <v>505</v>
      </c>
      <c r="BP4" s="224" t="s">
        <v>505</v>
      </c>
      <c r="BQ4" s="224" t="s">
        <v>505</v>
      </c>
      <c r="BR4" s="224" t="s">
        <v>505</v>
      </c>
      <c r="BS4" s="225"/>
      <c r="BT4" s="211" t="str">
        <v>#VALUE!</v>
      </c>
    </row>
    <row customHeight="true" ht="18.51851851851852" r="5">
      <c r="A5" s="211" t="s">
        <v>508</v>
      </c>
      <c r="B5" s="211"/>
      <c r="C5" s="211"/>
      <c r="D5" s="212"/>
      <c r="E5" s="213" t="s">
        <v>504</v>
      </c>
      <c r="F5" s="214">
        <v>20.99</v>
      </c>
      <c r="G5" s="214">
        <v>29.99</v>
      </c>
      <c r="H5" s="215">
        <f t="shared" si="14"/>
      </c>
      <c r="I5" s="215">
        <f t="shared" si="9"/>
      </c>
      <c r="J5" s="214">
        <v>20.99</v>
      </c>
      <c r="K5" s="214">
        <v>29.99</v>
      </c>
      <c r="L5" s="217">
        <f t="shared" si="4"/>
      </c>
      <c r="M5" s="218">
        <f t="shared" si="0"/>
      </c>
      <c r="N5" s="215">
        <f t="shared" si="15"/>
      </c>
      <c r="O5" s="219">
        <f t="shared" si="10"/>
      </c>
      <c r="P5" s="217">
        <f t="shared" si="5"/>
      </c>
      <c r="Q5" s="215">
        <f t="shared" si="1"/>
      </c>
      <c r="R5" s="215">
        <f t="shared" si="16"/>
      </c>
      <c r="S5" s="211">
        <v>16</v>
      </c>
      <c r="T5" s="220">
        <v>7.4</v>
      </c>
      <c r="U5" s="221">
        <v>0.05</v>
      </c>
      <c r="V5" s="221">
        <v>0.1</v>
      </c>
      <c r="W5" s="221">
        <v>0.01</v>
      </c>
      <c r="X5" s="221">
        <f t="shared" si="11"/>
      </c>
      <c r="Y5" s="221">
        <f t="shared" si="6"/>
      </c>
      <c r="Z5" s="219">
        <v>0.1846</v>
      </c>
      <c r="AA5" s="222">
        <f t="shared" si="2"/>
      </c>
      <c r="AB5" s="222">
        <f t="shared" si="17"/>
      </c>
      <c r="AC5" s="222">
        <f t="shared" si="12"/>
      </c>
      <c r="AD5" s="215">
        <f t="shared" si="7"/>
      </c>
      <c r="AE5" s="215">
        <v>61</v>
      </c>
      <c r="AF5" s="223">
        <f t="shared" si="18"/>
      </c>
      <c r="AG5" s="223">
        <v>8.8</v>
      </c>
      <c r="AH5" s="221">
        <f t="shared" si="13"/>
      </c>
      <c r="AI5" s="221">
        <f t="shared" si="8"/>
      </c>
      <c r="AJ5" s="223">
        <v>8.8</v>
      </c>
      <c r="AK5" s="218"/>
      <c r="AL5" s="218"/>
      <c r="AM5" s="218"/>
      <c r="AN5" s="218"/>
      <c r="AO5" s="224"/>
      <c r="AP5" s="224"/>
      <c r="AQ5" s="224"/>
      <c r="AR5" s="224"/>
      <c r="AS5" s="224"/>
      <c r="AT5" s="224"/>
      <c r="AU5" s="224" t="s">
        <v>505</v>
      </c>
      <c r="AV5" s="224" t="s">
        <v>505</v>
      </c>
      <c r="AW5" s="224" t="s">
        <v>505</v>
      </c>
      <c r="AX5" s="224" t="s">
        <v>505</v>
      </c>
      <c r="AY5" s="224" t="s">
        <v>505</v>
      </c>
      <c r="AZ5" s="224" t="s">
        <v>505</v>
      </c>
      <c r="BA5" s="224" t="s">
        <v>505</v>
      </c>
      <c r="BB5" s="224" t="s">
        <v>505</v>
      </c>
      <c r="BC5" s="224" t="s">
        <v>505</v>
      </c>
      <c r="BD5" s="224" t="s">
        <v>505</v>
      </c>
      <c r="BE5" s="224" t="s">
        <v>505</v>
      </c>
      <c r="BF5" s="224" t="s">
        <v>505</v>
      </c>
      <c r="BG5" s="224" t="s">
        <v>505</v>
      </c>
      <c r="BH5" s="224" t="s">
        <v>505</v>
      </c>
      <c r="BI5" s="224" t="s">
        <v>505</v>
      </c>
      <c r="BJ5" s="224" t="s">
        <v>505</v>
      </c>
      <c r="BK5" s="224" t="s">
        <v>505</v>
      </c>
      <c r="BL5" s="224" t="s">
        <v>505</v>
      </c>
      <c r="BM5" s="224" t="s">
        <v>505</v>
      </c>
      <c r="BN5" s="224" t="s">
        <v>505</v>
      </c>
      <c r="BO5" s="224" t="s">
        <v>505</v>
      </c>
      <c r="BP5" s="224" t="s">
        <v>505</v>
      </c>
      <c r="BQ5" s="224" t="s">
        <v>505</v>
      </c>
      <c r="BR5" s="224" t="s">
        <v>505</v>
      </c>
      <c r="BS5" s="225"/>
      <c r="BT5" s="211" t="str">
        <v>#VALUE!</v>
      </c>
    </row>
    <row customHeight="true" ht="18.51851851851852" r="6">
      <c r="A6" s="211" t="s">
        <v>509</v>
      </c>
      <c r="B6" s="211"/>
      <c r="C6" s="211"/>
      <c r="D6" s="212"/>
      <c r="E6" s="213" t="s">
        <v>504</v>
      </c>
      <c r="F6" s="214">
        <v>20.99</v>
      </c>
      <c r="G6" s="214">
        <v>29.99</v>
      </c>
      <c r="H6" s="215">
        <f t="shared" si="14"/>
      </c>
      <c r="I6" s="215">
        <f t="shared" si="9"/>
      </c>
      <c r="J6" s="214">
        <v>20.99</v>
      </c>
      <c r="K6" s="214">
        <v>29.99</v>
      </c>
      <c r="L6" s="217">
        <f t="shared" si="4"/>
      </c>
      <c r="M6" s="218">
        <f t="shared" si="0"/>
      </c>
      <c r="N6" s="215">
        <f t="shared" si="15"/>
      </c>
      <c r="O6" s="219">
        <f t="shared" si="10"/>
      </c>
      <c r="P6" s="217">
        <f t="shared" si="5"/>
      </c>
      <c r="Q6" s="215">
        <f t="shared" si="1"/>
      </c>
      <c r="R6" s="215">
        <f t="shared" si="16"/>
      </c>
      <c r="S6" s="211">
        <v>16</v>
      </c>
      <c r="T6" s="220">
        <v>7.4</v>
      </c>
      <c r="U6" s="221">
        <v>0.05</v>
      </c>
      <c r="V6" s="221">
        <v>0.1</v>
      </c>
      <c r="W6" s="221">
        <v>0.01</v>
      </c>
      <c r="X6" s="221">
        <f t="shared" si="11"/>
      </c>
      <c r="Y6" s="221">
        <f t="shared" si="6"/>
      </c>
      <c r="Z6" s="219">
        <v>0.1646</v>
      </c>
      <c r="AA6" s="222">
        <f t="shared" si="2"/>
      </c>
      <c r="AB6" s="222">
        <f t="shared" si="17"/>
      </c>
      <c r="AC6" s="222">
        <f t="shared" si="12"/>
      </c>
      <c r="AD6" s="215">
        <f t="shared" si="7"/>
      </c>
      <c r="AE6" s="215">
        <v>61</v>
      </c>
      <c r="AF6" s="223">
        <f t="shared" si="18"/>
      </c>
      <c r="AG6" s="223">
        <v>8.8</v>
      </c>
      <c r="AH6" s="221">
        <f t="shared" si="13"/>
      </c>
      <c r="AI6" s="221">
        <f t="shared" si="8"/>
      </c>
      <c r="AJ6" s="223">
        <v>8.8</v>
      </c>
      <c r="AK6" s="221"/>
      <c r="AL6" s="221"/>
      <c r="AM6" s="221"/>
      <c r="AN6" s="221"/>
      <c r="AO6" s="224"/>
      <c r="AP6" s="224"/>
      <c r="AQ6" s="224"/>
      <c r="AR6" s="224"/>
      <c r="AS6" s="224"/>
      <c r="AT6" s="224"/>
      <c r="AU6" s="224" t="s">
        <v>505</v>
      </c>
      <c r="AV6" s="224" t="s">
        <v>505</v>
      </c>
      <c r="AW6" s="224" t="s">
        <v>505</v>
      </c>
      <c r="AX6" s="224" t="s">
        <v>505</v>
      </c>
      <c r="AY6" s="224" t="s">
        <v>505</v>
      </c>
      <c r="AZ6" s="224" t="s">
        <v>505</v>
      </c>
      <c r="BA6" s="224" t="s">
        <v>505</v>
      </c>
      <c r="BB6" s="224" t="s">
        <v>505</v>
      </c>
      <c r="BC6" s="224" t="s">
        <v>505</v>
      </c>
      <c r="BD6" s="224" t="s">
        <v>505</v>
      </c>
      <c r="BE6" s="224" t="s">
        <v>505</v>
      </c>
      <c r="BF6" s="224" t="s">
        <v>505</v>
      </c>
      <c r="BG6" s="224" t="s">
        <v>505</v>
      </c>
      <c r="BH6" s="224" t="s">
        <v>505</v>
      </c>
      <c r="BI6" s="224" t="s">
        <v>505</v>
      </c>
      <c r="BJ6" s="224" t="s">
        <v>505</v>
      </c>
      <c r="BK6" s="224" t="s">
        <v>505</v>
      </c>
      <c r="BL6" s="224" t="s">
        <v>505</v>
      </c>
      <c r="BM6" s="224" t="s">
        <v>505</v>
      </c>
      <c r="BN6" s="224" t="s">
        <v>505</v>
      </c>
      <c r="BO6" s="224" t="s">
        <v>505</v>
      </c>
      <c r="BP6" s="224" t="s">
        <v>505</v>
      </c>
      <c r="BQ6" s="224" t="s">
        <v>505</v>
      </c>
      <c r="BR6" s="224" t="s">
        <v>505</v>
      </c>
      <c r="BS6" s="225"/>
      <c r="BT6" s="211" t="str">
        <v>#VALUE!</v>
      </c>
    </row>
    <row customHeight="true" ht="18.51851851851852" r="7">
      <c r="A7" s="211" t="s">
        <v>510</v>
      </c>
      <c r="B7" s="211"/>
      <c r="C7" s="211"/>
      <c r="D7" s="212"/>
      <c r="E7" s="213" t="s">
        <v>504</v>
      </c>
      <c r="F7" s="215">
        <v>48</v>
      </c>
      <c r="G7" s="226">
        <v>66.99</v>
      </c>
      <c r="H7" s="215">
        <f t="shared" si="14"/>
      </c>
      <c r="I7" s="215">
        <f t="shared" si="9"/>
      </c>
      <c r="J7" s="215">
        <v>22</v>
      </c>
      <c r="K7" s="226">
        <v>35</v>
      </c>
      <c r="L7" s="217">
        <f t="shared" si="4"/>
      </c>
      <c r="M7" s="218">
        <f t="shared" si="0"/>
      </c>
      <c r="N7" s="215">
        <f t="shared" si="15"/>
      </c>
      <c r="O7" s="219">
        <f t="shared" si="10"/>
      </c>
      <c r="P7" s="217">
        <f t="shared" si="5"/>
      </c>
      <c r="Q7" s="215">
        <f t="shared" si="1"/>
      </c>
      <c r="R7" s="215">
        <f t="shared" si="16"/>
      </c>
      <c r="S7" s="211">
        <v>16</v>
      </c>
      <c r="T7" s="220">
        <v>7.4</v>
      </c>
      <c r="U7" s="221">
        <v>0.05</v>
      </c>
      <c r="V7" s="221">
        <v>0.1</v>
      </c>
      <c r="W7" s="221">
        <v>0.01</v>
      </c>
      <c r="X7" s="221">
        <f t="shared" si="11"/>
      </c>
      <c r="Y7" s="221">
        <f t="shared" si="6"/>
      </c>
      <c r="Z7" s="219">
        <v>0.158</v>
      </c>
      <c r="AA7" s="222">
        <f t="shared" si="2"/>
      </c>
      <c r="AB7" s="222">
        <f t="shared" si="17"/>
      </c>
      <c r="AC7" s="222">
        <f t="shared" si="12"/>
      </c>
      <c r="AD7" s="215">
        <f t="shared" si="7"/>
      </c>
      <c r="AE7" s="215">
        <v>61</v>
      </c>
      <c r="AF7" s="223">
        <f t="shared" si="18"/>
      </c>
      <c r="AG7" s="223">
        <v>8.8</v>
      </c>
      <c r="AH7" s="221">
        <f t="shared" si="13"/>
      </c>
      <c r="AI7" s="221">
        <f t="shared" si="8"/>
      </c>
      <c r="AJ7" s="223">
        <v>8.8</v>
      </c>
      <c r="AK7" s="224"/>
      <c r="AL7" s="224"/>
      <c r="AM7" s="224"/>
      <c r="AN7" s="224"/>
      <c r="AO7" s="224"/>
      <c r="AP7" s="224"/>
      <c r="AQ7" s="224"/>
      <c r="AR7" s="224"/>
      <c r="AS7" s="224"/>
      <c r="AT7" s="224"/>
      <c r="AU7" s="224" t="s">
        <v>505</v>
      </c>
      <c r="AV7" s="224" t="s">
        <v>505</v>
      </c>
      <c r="AW7" s="224" t="s">
        <v>505</v>
      </c>
      <c r="AX7" s="224" t="s">
        <v>505</v>
      </c>
      <c r="AY7" s="224" t="s">
        <v>505</v>
      </c>
      <c r="AZ7" s="224" t="s">
        <v>505</v>
      </c>
      <c r="BA7" s="224" t="s">
        <v>505</v>
      </c>
      <c r="BB7" s="224" t="s">
        <v>505</v>
      </c>
      <c r="BC7" s="224" t="s">
        <v>505</v>
      </c>
      <c r="BD7" s="224" t="s">
        <v>505</v>
      </c>
      <c r="BE7" s="224" t="s">
        <v>505</v>
      </c>
      <c r="BF7" s="224" t="s">
        <v>505</v>
      </c>
      <c r="BG7" s="224" t="s">
        <v>505</v>
      </c>
      <c r="BH7" s="224" t="s">
        <v>505</v>
      </c>
      <c r="BI7" s="224" t="s">
        <v>505</v>
      </c>
      <c r="BJ7" s="224" t="s">
        <v>505</v>
      </c>
      <c r="BK7" s="224" t="s">
        <v>505</v>
      </c>
      <c r="BL7" s="224" t="s">
        <v>505</v>
      </c>
      <c r="BM7" s="224" t="s">
        <v>505</v>
      </c>
      <c r="BN7" s="224" t="s">
        <v>505</v>
      </c>
      <c r="BO7" s="224" t="s">
        <v>505</v>
      </c>
      <c r="BP7" s="224" t="s">
        <v>505</v>
      </c>
      <c r="BQ7" s="224" t="s">
        <v>505</v>
      </c>
      <c r="BR7" s="224" t="s">
        <v>505</v>
      </c>
      <c r="BS7" s="227">
        <f t="shared" ref="BS7:BS10" si="3">IF(H7&lt;J7,1,0)</f>
      </c>
      <c r="BT7" s="211" t="str">
        <v>#VALUE!</v>
      </c>
    </row>
    <row customHeight="true" ht="18.51851851851852" r="8">
      <c r="A8" s="211" t="s">
        <v>511</v>
      </c>
      <c r="B8" s="211"/>
      <c r="C8" s="211"/>
      <c r="D8" s="212"/>
      <c r="E8" s="213" t="s">
        <v>504</v>
      </c>
      <c r="F8" s="215">
        <v>209.99</v>
      </c>
      <c r="G8" s="226">
        <v>329</v>
      </c>
      <c r="H8" s="215">
        <f t="shared" si="14"/>
      </c>
      <c r="I8" s="215">
        <f t="shared" si="9"/>
      </c>
      <c r="J8" s="215">
        <v>99</v>
      </c>
      <c r="K8" s="226">
        <v>168</v>
      </c>
      <c r="L8" s="217">
        <f t="shared" si="4"/>
      </c>
      <c r="M8" s="218">
        <f t="shared" si="0"/>
      </c>
      <c r="N8" s="215">
        <f t="shared" si="15"/>
      </c>
      <c r="O8" s="219">
        <f t="shared" si="10"/>
      </c>
      <c r="P8" s="217">
        <f t="shared" si="5"/>
      </c>
      <c r="Q8" s="215">
        <f t="shared" si="1"/>
      </c>
      <c r="R8" s="215">
        <f t="shared" si="16"/>
      </c>
      <c r="S8" s="211">
        <v>16</v>
      </c>
      <c r="T8" s="220">
        <v>1.6</v>
      </c>
      <c r="U8" s="221">
        <v>0.05</v>
      </c>
      <c r="V8" s="221">
        <v>0.1</v>
      </c>
      <c r="W8" s="221">
        <v>0.01</v>
      </c>
      <c r="X8" s="221">
        <f t="shared" si="11"/>
      </c>
      <c r="Y8" s="221">
        <f t="shared" si="6"/>
      </c>
      <c r="Z8" s="219">
        <v>0.158</v>
      </c>
      <c r="AA8" s="222">
        <f t="shared" si="2"/>
      </c>
      <c r="AB8" s="222">
        <f t="shared" si="17"/>
      </c>
      <c r="AC8" s="222">
        <f t="shared" si="12"/>
      </c>
      <c r="AD8" s="215">
        <f t="shared" si="7"/>
      </c>
      <c r="AE8" s="215">
        <v>61</v>
      </c>
      <c r="AF8" s="223">
        <f t="shared" si="18"/>
      </c>
      <c r="AG8" s="223">
        <v>8.8</v>
      </c>
      <c r="AH8" s="221">
        <f t="shared" si="13"/>
      </c>
      <c r="AI8" s="221">
        <f t="shared" si="8"/>
      </c>
      <c r="AJ8" s="223">
        <v>8.8</v>
      </c>
      <c r="AK8" s="224"/>
      <c r="AL8" s="224"/>
      <c r="AM8" s="224"/>
      <c r="AN8" s="224"/>
      <c r="AO8" s="224"/>
      <c r="AP8" s="224"/>
      <c r="AQ8" s="224"/>
      <c r="AR8" s="224"/>
      <c r="AS8" s="224"/>
      <c r="AT8" s="224"/>
      <c r="AU8" s="224" t="s">
        <v>505</v>
      </c>
      <c r="AV8" s="224" t="s">
        <v>505</v>
      </c>
      <c r="AW8" s="224" t="s">
        <v>505</v>
      </c>
      <c r="AX8" s="224" t="s">
        <v>505</v>
      </c>
      <c r="AY8" s="224" t="s">
        <v>505</v>
      </c>
      <c r="AZ8" s="224" t="s">
        <v>505</v>
      </c>
      <c r="BA8" s="224" t="s">
        <v>505</v>
      </c>
      <c r="BB8" s="224" t="s">
        <v>505</v>
      </c>
      <c r="BC8" s="224" t="s">
        <v>505</v>
      </c>
      <c r="BD8" s="224" t="s">
        <v>505</v>
      </c>
      <c r="BE8" s="224" t="s">
        <v>505</v>
      </c>
      <c r="BF8" s="224" t="s">
        <v>505</v>
      </c>
      <c r="BG8" s="224" t="s">
        <v>505</v>
      </c>
      <c r="BH8" s="224" t="s">
        <v>505</v>
      </c>
      <c r="BI8" s="224" t="s">
        <v>505</v>
      </c>
      <c r="BJ8" s="224" t="s">
        <v>505</v>
      </c>
      <c r="BK8" s="224" t="s">
        <v>505</v>
      </c>
      <c r="BL8" s="224" t="s">
        <v>505</v>
      </c>
      <c r="BM8" s="224" t="s">
        <v>505</v>
      </c>
      <c r="BN8" s="224" t="s">
        <v>505</v>
      </c>
      <c r="BO8" s="224" t="s">
        <v>505</v>
      </c>
      <c r="BP8" s="224" t="s">
        <v>505</v>
      </c>
      <c r="BQ8" s="224" t="s">
        <v>505</v>
      </c>
      <c r="BR8" s="224" t="s">
        <v>505</v>
      </c>
      <c r="BS8" s="227">
        <f t="shared" si="3"/>
      </c>
      <c r="BT8" s="211" t="str">
        <v>#VALUE!</v>
      </c>
    </row>
    <row customHeight="true" ht="18.51851851851852" r="9">
      <c r="A9" s="211" t="s">
        <v>512</v>
      </c>
      <c r="B9" s="211"/>
      <c r="C9" s="211"/>
      <c r="D9" s="212"/>
      <c r="E9" s="213" t="s">
        <v>504</v>
      </c>
      <c r="F9" s="215">
        <v>474.5115</v>
      </c>
      <c r="G9" s="226">
        <v>720.76</v>
      </c>
      <c r="H9" s="215">
        <f t="shared" si="14"/>
      </c>
      <c r="I9" s="215">
        <f t="shared" si="9"/>
      </c>
      <c r="J9" s="215">
        <v>270</v>
      </c>
      <c r="K9" s="226">
        <v>538</v>
      </c>
      <c r="L9" s="217">
        <f t="shared" si="4"/>
      </c>
      <c r="M9" s="218">
        <f t="shared" si="0"/>
      </c>
      <c r="N9" s="215">
        <f t="shared" si="15"/>
      </c>
      <c r="O9" s="219">
        <f t="shared" si="10"/>
      </c>
      <c r="P9" s="217">
        <f t="shared" si="5"/>
      </c>
      <c r="Q9" s="215">
        <f t="shared" si="1"/>
      </c>
      <c r="R9" s="215">
        <f t="shared" si="16"/>
      </c>
      <c r="S9" s="211">
        <v>16</v>
      </c>
      <c r="T9" s="220">
        <v>0.6</v>
      </c>
      <c r="U9" s="221">
        <v>0.05</v>
      </c>
      <c r="V9" s="221">
        <v>0.1</v>
      </c>
      <c r="W9" s="221">
        <v>0.01</v>
      </c>
      <c r="X9" s="221">
        <f t="shared" si="11"/>
      </c>
      <c r="Y9" s="221">
        <f t="shared" si="6"/>
      </c>
      <c r="Z9" s="219">
        <v>0.223</v>
      </c>
      <c r="AA9" s="222">
        <f t="shared" si="2"/>
      </c>
      <c r="AB9" s="222">
        <f t="shared" si="17"/>
      </c>
      <c r="AC9" s="222">
        <f t="shared" si="12"/>
      </c>
      <c r="AD9" s="215">
        <f t="shared" si="7"/>
      </c>
      <c r="AE9" s="215">
        <v>61</v>
      </c>
      <c r="AF9" s="223">
        <f t="shared" si="18"/>
      </c>
      <c r="AG9" s="223">
        <v>8.8</v>
      </c>
      <c r="AH9" s="221">
        <f t="shared" si="13"/>
      </c>
      <c r="AI9" s="221">
        <f t="shared" si="8"/>
      </c>
      <c r="AJ9" s="223">
        <v>8.8</v>
      </c>
      <c r="AK9" s="224"/>
      <c r="AL9" s="224"/>
      <c r="AM9" s="224"/>
      <c r="AN9" s="224"/>
      <c r="AO9" s="224"/>
      <c r="AP9" s="224"/>
      <c r="AQ9" s="224"/>
      <c r="AR9" s="224"/>
      <c r="AS9" s="224"/>
      <c r="AT9" s="224"/>
      <c r="AU9" s="224" t="s">
        <v>505</v>
      </c>
      <c r="AV9" s="224" t="s">
        <v>505</v>
      </c>
      <c r="AW9" s="224" t="s">
        <v>505</v>
      </c>
      <c r="AX9" s="224" t="s">
        <v>505</v>
      </c>
      <c r="AY9" s="224" t="s">
        <v>505</v>
      </c>
      <c r="AZ9" s="224" t="s">
        <v>505</v>
      </c>
      <c r="BA9" s="224" t="s">
        <v>505</v>
      </c>
      <c r="BB9" s="224" t="s">
        <v>505</v>
      </c>
      <c r="BC9" s="224" t="s">
        <v>505</v>
      </c>
      <c r="BD9" s="224" t="s">
        <v>505</v>
      </c>
      <c r="BE9" s="224" t="s">
        <v>505</v>
      </c>
      <c r="BF9" s="224" t="s">
        <v>505</v>
      </c>
      <c r="BG9" s="224" t="s">
        <v>505</v>
      </c>
      <c r="BH9" s="224" t="s">
        <v>505</v>
      </c>
      <c r="BI9" s="224" t="s">
        <v>505</v>
      </c>
      <c r="BJ9" s="224" t="s">
        <v>505</v>
      </c>
      <c r="BK9" s="224" t="s">
        <v>505</v>
      </c>
      <c r="BL9" s="224" t="s">
        <v>505</v>
      </c>
      <c r="BM9" s="224" t="s">
        <v>505</v>
      </c>
      <c r="BN9" s="224" t="s">
        <v>505</v>
      </c>
      <c r="BO9" s="224" t="s">
        <v>505</v>
      </c>
      <c r="BP9" s="224" t="s">
        <v>505</v>
      </c>
      <c r="BQ9" s="224" t="s">
        <v>505</v>
      </c>
      <c r="BR9" s="224" t="s">
        <v>505</v>
      </c>
      <c r="BS9" s="227">
        <f t="shared" si="3"/>
      </c>
      <c r="BT9" s="211" t="str">
        <v>#VALUE!</v>
      </c>
    </row>
    <row customHeight="true" ht="18.51851851851852" r="10">
      <c r="A10" s="211" t="s">
        <v>513</v>
      </c>
      <c r="B10" s="211"/>
      <c r="C10" s="211"/>
      <c r="D10" s="212"/>
      <c r="E10" s="213" t="s">
        <v>504</v>
      </c>
      <c r="F10" s="215">
        <f>G10*0.7</f>
      </c>
      <c r="G10" s="226">
        <v>32.989</v>
      </c>
      <c r="H10" s="215">
        <f t="shared" si="14"/>
      </c>
      <c r="I10" s="215">
        <f t="shared" si="9"/>
      </c>
      <c r="J10" s="215">
        <v>23.09</v>
      </c>
      <c r="K10" s="226">
        <v>32.989</v>
      </c>
      <c r="L10" s="217">
        <f t="shared" si="4"/>
      </c>
      <c r="M10" s="218">
        <f t="shared" si="0"/>
      </c>
      <c r="N10" s="215">
        <f t="shared" si="15"/>
      </c>
      <c r="O10" s="219">
        <f t="shared" si="10"/>
      </c>
      <c r="P10" s="217">
        <f t="shared" si="5"/>
      </c>
      <c r="Q10" s="215">
        <f t="shared" si="1"/>
      </c>
      <c r="R10" s="215">
        <f t="shared" si="16"/>
      </c>
      <c r="S10" s="211">
        <v>16</v>
      </c>
      <c r="T10" s="220">
        <v>7.4</v>
      </c>
      <c r="U10" s="221">
        <v>0.06</v>
      </c>
      <c r="V10" s="221">
        <v>0.1</v>
      </c>
      <c r="W10" s="221">
        <v>0.01</v>
      </c>
      <c r="X10" s="221">
        <f t="shared" si="11"/>
      </c>
      <c r="Y10" s="221">
        <f t="shared" si="6"/>
      </c>
      <c r="Z10" s="219">
        <v>0.158</v>
      </c>
      <c r="AA10" s="222">
        <f t="shared" si="2"/>
      </c>
      <c r="AB10" s="222">
        <f t="shared" si="17"/>
      </c>
      <c r="AC10" s="222">
        <f t="shared" si="12"/>
      </c>
      <c r="AD10" s="215">
        <f t="shared" si="7"/>
      </c>
      <c r="AE10" s="215">
        <v>61</v>
      </c>
      <c r="AF10" s="223">
        <f t="shared" si="18"/>
      </c>
      <c r="AG10" s="223">
        <v>8.8</v>
      </c>
      <c r="AH10" s="221">
        <f t="shared" si="13"/>
      </c>
      <c r="AI10" s="221">
        <f t="shared" si="8"/>
      </c>
      <c r="AJ10" s="223">
        <v>8.8</v>
      </c>
      <c r="AK10" s="221"/>
      <c r="AL10" s="221"/>
      <c r="AM10" s="221"/>
      <c r="AN10" s="221"/>
      <c r="AO10" s="224"/>
      <c r="AP10" s="224"/>
      <c r="AQ10" s="224"/>
      <c r="AR10" s="224"/>
      <c r="AS10" s="224"/>
      <c r="AT10" s="224"/>
      <c r="AU10" s="224" t="s">
        <v>505</v>
      </c>
      <c r="AV10" s="224" t="s">
        <v>505</v>
      </c>
      <c r="AW10" s="224" t="s">
        <v>505</v>
      </c>
      <c r="AX10" s="224" t="s">
        <v>505</v>
      </c>
      <c r="AY10" s="224" t="s">
        <v>505</v>
      </c>
      <c r="AZ10" s="224" t="s">
        <v>505</v>
      </c>
      <c r="BA10" s="224" t="s">
        <v>505</v>
      </c>
      <c r="BB10" s="224" t="s">
        <v>505</v>
      </c>
      <c r="BC10" s="224" t="s">
        <v>505</v>
      </c>
      <c r="BD10" s="224" t="s">
        <v>505</v>
      </c>
      <c r="BE10" s="224" t="s">
        <v>505</v>
      </c>
      <c r="BF10" s="224" t="s">
        <v>505</v>
      </c>
      <c r="BG10" s="224" t="s">
        <v>505</v>
      </c>
      <c r="BH10" s="224" t="s">
        <v>505</v>
      </c>
      <c r="BI10" s="224" t="s">
        <v>505</v>
      </c>
      <c r="BJ10" s="224" t="s">
        <v>505</v>
      </c>
      <c r="BK10" s="224" t="s">
        <v>505</v>
      </c>
      <c r="BL10" s="224" t="s">
        <v>505</v>
      </c>
      <c r="BM10" s="224" t="s">
        <v>505</v>
      </c>
      <c r="BN10" s="224" t="s">
        <v>505</v>
      </c>
      <c r="BO10" s="224" t="s">
        <v>505</v>
      </c>
      <c r="BP10" s="224" t="s">
        <v>505</v>
      </c>
      <c r="BQ10" s="224" t="s">
        <v>505</v>
      </c>
      <c r="BR10" s="224" t="s">
        <v>505</v>
      </c>
      <c r="BS10" s="227">
        <f t="shared" si="3"/>
      </c>
      <c r="BT10" s="211" t="str">
        <v>#VALUE!</v>
      </c>
    </row>
    <row customHeight="true" ht="18.51851851851852" r="11">
      <c r="A11" s="211"/>
      <c r="B11" s="211"/>
      <c r="C11" s="211"/>
      <c r="D11" s="212"/>
      <c r="E11" s="213"/>
      <c r="F11" s="215"/>
      <c r="G11" s="226"/>
      <c r="H11" s="215"/>
      <c r="I11" s="215"/>
      <c r="J11" s="215"/>
      <c r="K11" s="226"/>
      <c r="L11" s="217"/>
      <c r="M11" s="218"/>
      <c r="N11" s="215"/>
      <c r="O11" s="219"/>
      <c r="P11" s="217"/>
      <c r="Q11" s="215"/>
      <c r="R11" s="215"/>
      <c r="S11" s="211"/>
      <c r="T11" s="220"/>
      <c r="U11" s="221"/>
      <c r="V11" s="221"/>
      <c r="W11" s="221"/>
      <c r="X11" s="221"/>
      <c r="Y11" s="221"/>
      <c r="Z11" s="219"/>
      <c r="AA11" s="222"/>
      <c r="AB11" s="222"/>
      <c r="AC11" s="222"/>
      <c r="AD11" s="215"/>
      <c r="AE11" s="215"/>
      <c r="AF11" s="223"/>
      <c r="AG11" s="223"/>
      <c r="AH11" s="221"/>
      <c r="AI11" s="221"/>
      <c r="AJ11" s="223"/>
      <c r="AK11" s="221"/>
      <c r="AL11" s="221"/>
      <c r="AM11" s="221"/>
      <c r="AN11" s="221"/>
      <c r="AO11" s="224"/>
      <c r="AP11" s="224"/>
      <c r="AQ11" s="224"/>
      <c r="AR11" s="224"/>
      <c r="AS11" s="224"/>
      <c r="AT11" s="224"/>
      <c r="AU11" s="224"/>
      <c r="AV11" s="224"/>
      <c r="AW11" s="224"/>
      <c r="AX11" s="224"/>
      <c r="AY11" s="224"/>
      <c r="AZ11" s="224"/>
      <c r="BA11" s="224"/>
      <c r="BB11" s="224"/>
      <c r="BC11" s="224"/>
      <c r="BD11" s="224"/>
      <c r="BE11" s="224"/>
      <c r="BF11" s="224"/>
      <c r="BG11" s="224"/>
      <c r="BH11" s="224"/>
      <c r="BI11" s="224"/>
      <c r="BJ11" s="224"/>
      <c r="BK11" s="224"/>
      <c r="BL11" s="224"/>
      <c r="BM11" s="224"/>
      <c r="BN11" s="224"/>
      <c r="BO11" s="224"/>
      <c r="BP11" s="224"/>
      <c r="BQ11" s="224"/>
      <c r="BR11" s="224"/>
      <c r="BS11" s="227"/>
      <c r="BT11" s="211"/>
    </row>
    <row customHeight="true" ht="18.51851851851852" r="12">
      <c r="A12" s="211"/>
      <c r="B12" s="211"/>
      <c r="C12" s="211"/>
      <c r="D12" s="212"/>
      <c r="E12" s="213"/>
      <c r="F12" s="215"/>
      <c r="G12" s="226"/>
      <c r="H12" s="215"/>
      <c r="I12" s="215"/>
      <c r="J12" s="215"/>
      <c r="K12" s="226"/>
      <c r="L12" s="217"/>
      <c r="M12" s="218"/>
      <c r="N12" s="215"/>
      <c r="O12" s="219"/>
      <c r="P12" s="217"/>
      <c r="Q12" s="215"/>
      <c r="R12" s="215"/>
      <c r="S12" s="211"/>
      <c r="T12" s="220"/>
      <c r="U12" s="221"/>
      <c r="V12" s="221"/>
      <c r="W12" s="221"/>
      <c r="X12" s="221"/>
      <c r="Y12" s="221"/>
      <c r="Z12" s="219"/>
      <c r="AA12" s="222"/>
      <c r="AB12" s="222"/>
      <c r="AC12" s="222"/>
      <c r="AD12" s="215"/>
      <c r="AE12" s="215"/>
      <c r="AF12" s="223"/>
      <c r="AG12" s="223"/>
      <c r="AH12" s="221"/>
      <c r="AI12" s="221"/>
      <c r="AJ12" s="223"/>
      <c r="AK12" s="221"/>
      <c r="AL12" s="221"/>
      <c r="AM12" s="221"/>
      <c r="AN12" s="221"/>
      <c r="AO12" s="224"/>
      <c r="AP12" s="224"/>
      <c r="AQ12" s="224"/>
      <c r="AR12" s="224"/>
      <c r="AS12" s="224"/>
      <c r="AT12" s="224"/>
      <c r="AU12" s="224"/>
      <c r="AV12" s="224"/>
      <c r="AW12" s="224"/>
      <c r="AX12" s="224"/>
      <c r="AY12" s="224"/>
      <c r="AZ12" s="224"/>
      <c r="BA12" s="224"/>
      <c r="BB12" s="224"/>
      <c r="BC12" s="224"/>
      <c r="BD12" s="224"/>
      <c r="BE12" s="224"/>
      <c r="BF12" s="224"/>
      <c r="BG12" s="224"/>
      <c r="BH12" s="224"/>
      <c r="BI12" s="224"/>
      <c r="BJ12" s="224"/>
      <c r="BK12" s="224"/>
      <c r="BL12" s="224"/>
      <c r="BM12" s="224"/>
      <c r="BN12" s="224"/>
      <c r="BO12" s="224"/>
      <c r="BP12" s="224"/>
      <c r="BQ12" s="224"/>
      <c r="BR12" s="224"/>
      <c r="BS12" s="227"/>
      <c r="BT12" s="211"/>
    </row>
    <row customHeight="true" ht="18.51851851851852" r="13">
      <c r="A13" s="211"/>
      <c r="B13" s="211"/>
      <c r="C13" s="211"/>
      <c r="D13" s="212"/>
      <c r="E13" s="213"/>
      <c r="F13" s="215"/>
      <c r="G13" s="226"/>
      <c r="H13" s="215"/>
      <c r="I13" s="215"/>
      <c r="J13" s="215"/>
      <c r="K13" s="226"/>
      <c r="L13" s="217"/>
      <c r="M13" s="218"/>
      <c r="N13" s="215"/>
      <c r="O13" s="219"/>
      <c r="P13" s="217"/>
      <c r="Q13" s="215"/>
      <c r="R13" s="215"/>
      <c r="S13" s="211"/>
      <c r="T13" s="220"/>
      <c r="U13" s="221"/>
      <c r="V13" s="221"/>
      <c r="W13" s="221"/>
      <c r="X13" s="221"/>
      <c r="Y13" s="221"/>
      <c r="Z13" s="219"/>
      <c r="AA13" s="222"/>
      <c r="AB13" s="222"/>
      <c r="AC13" s="222"/>
      <c r="AD13" s="215"/>
      <c r="AE13" s="215"/>
      <c r="AF13" s="223"/>
      <c r="AG13" s="223"/>
      <c r="AH13" s="221"/>
      <c r="AI13" s="221"/>
      <c r="AJ13" s="223"/>
      <c r="AK13" s="221"/>
      <c r="AL13" s="221"/>
      <c r="AM13" s="221"/>
      <c r="AN13" s="221"/>
      <c r="AO13" s="224"/>
      <c r="AP13" s="224"/>
      <c r="AQ13" s="224"/>
      <c r="AR13" s="224"/>
      <c r="AS13" s="224"/>
      <c r="AT13" s="224"/>
      <c r="AU13" s="224"/>
      <c r="AV13" s="224"/>
      <c r="AW13" s="224"/>
      <c r="AX13" s="224"/>
      <c r="AY13" s="224"/>
      <c r="AZ13" s="224"/>
      <c r="BA13" s="224"/>
      <c r="BB13" s="224"/>
      <c r="BC13" s="224"/>
      <c r="BD13" s="224"/>
      <c r="BE13" s="224"/>
      <c r="BF13" s="224"/>
      <c r="BG13" s="224"/>
      <c r="BH13" s="224"/>
      <c r="BI13" s="224"/>
      <c r="BJ13" s="224"/>
      <c r="BK13" s="224"/>
      <c r="BL13" s="224"/>
      <c r="BM13" s="224"/>
      <c r="BN13" s="224"/>
      <c r="BO13" s="224"/>
      <c r="BP13" s="224"/>
      <c r="BQ13" s="224"/>
      <c r="BR13" s="224"/>
      <c r="BS13" s="227"/>
      <c r="BT13" s="211"/>
    </row>
    <row customHeight="true" ht="18.51851851851852" r="14">
      <c r="A14" s="211"/>
      <c r="B14" s="211"/>
      <c r="C14" s="211"/>
      <c r="D14" s="212"/>
      <c r="E14" s="213"/>
      <c r="F14" s="215"/>
      <c r="G14" s="226"/>
      <c r="H14" s="215"/>
      <c r="I14" s="215"/>
      <c r="J14" s="215"/>
      <c r="K14" s="226"/>
      <c r="L14" s="217"/>
      <c r="M14" s="218"/>
      <c r="N14" s="215"/>
      <c r="O14" s="219"/>
      <c r="P14" s="217"/>
      <c r="Q14" s="215"/>
      <c r="R14" s="215"/>
      <c r="S14" s="211"/>
      <c r="T14" s="220"/>
      <c r="U14" s="221"/>
      <c r="V14" s="221"/>
      <c r="W14" s="221"/>
      <c r="X14" s="221"/>
      <c r="Y14" s="221"/>
      <c r="Z14" s="219"/>
      <c r="AA14" s="222"/>
      <c r="AB14" s="222"/>
      <c r="AC14" s="222"/>
      <c r="AD14" s="215"/>
      <c r="AE14" s="215"/>
      <c r="AF14" s="223"/>
      <c r="AG14" s="223"/>
      <c r="AH14" s="221"/>
      <c r="AI14" s="221"/>
      <c r="AJ14" s="223"/>
      <c r="AK14" s="221"/>
      <c r="AL14" s="221"/>
      <c r="AM14" s="221"/>
      <c r="AN14" s="221"/>
      <c r="AO14" s="224"/>
      <c r="AP14" s="224"/>
      <c r="AQ14" s="224"/>
      <c r="AR14" s="224"/>
      <c r="AS14" s="224"/>
      <c r="AT14" s="224"/>
      <c r="AU14" s="224"/>
      <c r="AV14" s="224"/>
      <c r="AW14" s="224"/>
      <c r="AX14" s="224"/>
      <c r="AY14" s="224"/>
      <c r="AZ14" s="224"/>
      <c r="BA14" s="224"/>
      <c r="BB14" s="224"/>
      <c r="BC14" s="224"/>
      <c r="BD14" s="224"/>
      <c r="BE14" s="224"/>
      <c r="BF14" s="224"/>
      <c r="BG14" s="224"/>
      <c r="BH14" s="224"/>
      <c r="BI14" s="224"/>
      <c r="BJ14" s="224"/>
      <c r="BK14" s="224"/>
      <c r="BL14" s="224"/>
      <c r="BM14" s="224"/>
      <c r="BN14" s="224"/>
      <c r="BO14" s="224"/>
      <c r="BP14" s="224"/>
      <c r="BQ14" s="224"/>
      <c r="BR14" s="224"/>
      <c r="BS14" s="227"/>
      <c r="BT14" s="211"/>
    </row>
    <row customHeight="true" ht="18.51851851851852" r="15">
      <c r="A15" s="211"/>
      <c r="B15" s="211"/>
      <c r="C15" s="211"/>
      <c r="D15" s="212"/>
      <c r="E15" s="213"/>
      <c r="F15" s="215"/>
      <c r="G15" s="226"/>
      <c r="H15" s="215"/>
      <c r="I15" s="215"/>
      <c r="J15" s="215"/>
      <c r="K15" s="226"/>
      <c r="L15" s="217"/>
      <c r="M15" s="218"/>
      <c r="N15" s="215"/>
      <c r="O15" s="219"/>
      <c r="P15" s="217"/>
      <c r="Q15" s="215"/>
      <c r="R15" s="215"/>
      <c r="S15" s="211"/>
      <c r="T15" s="220"/>
      <c r="U15" s="221"/>
      <c r="V15" s="221"/>
      <c r="W15" s="221"/>
      <c r="X15" s="221"/>
      <c r="Y15" s="221"/>
      <c r="Z15" s="219"/>
      <c r="AA15" s="222"/>
      <c r="AB15" s="222"/>
      <c r="AC15" s="222"/>
      <c r="AD15" s="215"/>
      <c r="AE15" s="215"/>
      <c r="AF15" s="223"/>
      <c r="AG15" s="223"/>
      <c r="AH15" s="221"/>
      <c r="AI15" s="221"/>
      <c r="AJ15" s="223"/>
      <c r="AK15" s="221"/>
      <c r="AL15" s="221"/>
      <c r="AM15" s="221"/>
      <c r="AN15" s="221"/>
      <c r="AO15" s="224"/>
      <c r="AP15" s="224"/>
      <c r="AQ15" s="224"/>
      <c r="AR15" s="224"/>
      <c r="AS15" s="224"/>
      <c r="AT15" s="224"/>
      <c r="AU15" s="224"/>
      <c r="AV15" s="224"/>
      <c r="AW15" s="224"/>
      <c r="AX15" s="224"/>
      <c r="AY15" s="224"/>
      <c r="AZ15" s="224"/>
      <c r="BA15" s="224"/>
      <c r="BB15" s="224"/>
      <c r="BC15" s="224"/>
      <c r="BD15" s="224"/>
      <c r="BE15" s="224"/>
      <c r="BF15" s="224"/>
      <c r="BG15" s="224"/>
      <c r="BH15" s="224"/>
      <c r="BI15" s="224"/>
      <c r="BJ15" s="224"/>
      <c r="BK15" s="224"/>
      <c r="BL15" s="224"/>
      <c r="BM15" s="224"/>
      <c r="BN15" s="224"/>
      <c r="BO15" s="224"/>
      <c r="BP15" s="224"/>
      <c r="BQ15" s="224"/>
      <c r="BR15" s="224"/>
      <c r="BS15" s="227"/>
      <c r="BT15" s="211"/>
    </row>
    <row customHeight="true" ht="18.51851851851852" r="16">
      <c r="A16" s="211"/>
      <c r="B16" s="211"/>
      <c r="C16" s="211"/>
      <c r="D16" s="212"/>
      <c r="E16" s="213"/>
      <c r="F16" s="215"/>
      <c r="G16" s="226"/>
      <c r="H16" s="215"/>
      <c r="I16" s="215"/>
      <c r="J16" s="215"/>
      <c r="K16" s="226"/>
      <c r="L16" s="217"/>
      <c r="M16" s="218"/>
      <c r="N16" s="215"/>
      <c r="O16" s="219"/>
      <c r="P16" s="217"/>
      <c r="Q16" s="215"/>
      <c r="R16" s="215"/>
      <c r="S16" s="211"/>
      <c r="T16" s="220"/>
      <c r="U16" s="221"/>
      <c r="V16" s="221"/>
      <c r="W16" s="221"/>
      <c r="X16" s="221"/>
      <c r="Y16" s="221"/>
      <c r="Z16" s="219"/>
      <c r="AA16" s="222"/>
      <c r="AB16" s="222"/>
      <c r="AC16" s="222"/>
      <c r="AD16" s="215"/>
      <c r="AE16" s="215"/>
      <c r="AF16" s="223"/>
      <c r="AG16" s="223"/>
      <c r="AH16" s="221"/>
      <c r="AI16" s="221"/>
      <c r="AJ16" s="223"/>
      <c r="AK16" s="221"/>
      <c r="AL16" s="221"/>
      <c r="AM16" s="221"/>
      <c r="AN16" s="221"/>
      <c r="AO16" s="224"/>
      <c r="AP16" s="224"/>
      <c r="AQ16" s="224"/>
      <c r="AR16" s="224"/>
      <c r="AS16" s="224"/>
      <c r="AT16" s="224"/>
      <c r="AU16" s="224"/>
      <c r="AV16" s="224"/>
      <c r="AW16" s="224"/>
      <c r="AX16" s="224"/>
      <c r="AY16" s="224"/>
      <c r="AZ16" s="224"/>
      <c r="BA16" s="224"/>
      <c r="BB16" s="224"/>
      <c r="BC16" s="224"/>
      <c r="BD16" s="224"/>
      <c r="BE16" s="224"/>
      <c r="BF16" s="224"/>
      <c r="BG16" s="224"/>
      <c r="BH16" s="224"/>
      <c r="BI16" s="224"/>
      <c r="BJ16" s="224"/>
      <c r="BK16" s="224"/>
      <c r="BL16" s="224"/>
      <c r="BM16" s="224"/>
      <c r="BN16" s="224"/>
      <c r="BO16" s="224"/>
      <c r="BP16" s="224"/>
      <c r="BQ16" s="224"/>
      <c r="BR16" s="224"/>
      <c r="BS16" s="227"/>
      <c r="BT16" s="211"/>
    </row>
    <row customHeight="true" ht="18.51851851851852" r="17">
      <c r="A17" s="211"/>
      <c r="B17" s="211"/>
      <c r="C17" s="211"/>
      <c r="D17" s="212"/>
      <c r="E17" s="213"/>
      <c r="F17" s="215"/>
      <c r="G17" s="226"/>
      <c r="H17" s="215"/>
      <c r="I17" s="215"/>
      <c r="J17" s="215"/>
      <c r="K17" s="226"/>
      <c r="L17" s="217"/>
      <c r="M17" s="218"/>
      <c r="N17" s="215"/>
      <c r="O17" s="219"/>
      <c r="P17" s="217"/>
      <c r="Q17" s="215"/>
      <c r="R17" s="215"/>
      <c r="S17" s="211"/>
      <c r="T17" s="220"/>
      <c r="U17" s="221"/>
      <c r="V17" s="221"/>
      <c r="W17" s="221"/>
      <c r="X17" s="221"/>
      <c r="Y17" s="221"/>
      <c r="Z17" s="219"/>
      <c r="AA17" s="222"/>
      <c r="AB17" s="222"/>
      <c r="AC17" s="222"/>
      <c r="AD17" s="215"/>
      <c r="AE17" s="215"/>
      <c r="AF17" s="223"/>
      <c r="AG17" s="223"/>
      <c r="AH17" s="221"/>
      <c r="AI17" s="221"/>
      <c r="AJ17" s="223"/>
      <c r="AK17" s="221"/>
      <c r="AL17" s="221"/>
      <c r="AM17" s="221"/>
      <c r="AN17" s="221"/>
      <c r="AO17" s="224"/>
      <c r="AP17" s="224"/>
      <c r="AQ17" s="224"/>
      <c r="AR17" s="224"/>
      <c r="AS17" s="224"/>
      <c r="AT17" s="224"/>
      <c r="AU17" s="224"/>
      <c r="AV17" s="224"/>
      <c r="AW17" s="224"/>
      <c r="AX17" s="224"/>
      <c r="AY17" s="224"/>
      <c r="AZ17" s="224"/>
      <c r="BA17" s="224"/>
      <c r="BB17" s="224"/>
      <c r="BC17" s="224"/>
      <c r="BD17" s="224"/>
      <c r="BE17" s="224"/>
      <c r="BF17" s="224"/>
      <c r="BG17" s="224"/>
      <c r="BH17" s="224"/>
      <c r="BI17" s="224"/>
      <c r="BJ17" s="224"/>
      <c r="BK17" s="224"/>
      <c r="BL17" s="224"/>
      <c r="BM17" s="224"/>
      <c r="BN17" s="224"/>
      <c r="BO17" s="224"/>
      <c r="BP17" s="224"/>
      <c r="BQ17" s="224"/>
      <c r="BR17" s="224"/>
      <c r="BS17" s="227"/>
      <c r="BT17" s="211"/>
    </row>
    <row customHeight="true" ht="18.51851851851852" r="18">
      <c r="A18" s="211"/>
      <c r="B18" s="211"/>
      <c r="C18" s="211"/>
      <c r="D18" s="212"/>
      <c r="E18" s="213"/>
      <c r="F18" s="215"/>
      <c r="G18" s="226"/>
      <c r="H18" s="215"/>
      <c r="I18" s="215"/>
      <c r="J18" s="215"/>
      <c r="K18" s="226"/>
      <c r="L18" s="217"/>
      <c r="M18" s="218"/>
      <c r="N18" s="215"/>
      <c r="O18" s="219"/>
      <c r="P18" s="217"/>
      <c r="Q18" s="215"/>
      <c r="R18" s="215"/>
      <c r="S18" s="211"/>
      <c r="T18" s="220"/>
      <c r="U18" s="221"/>
      <c r="V18" s="221"/>
      <c r="W18" s="221"/>
      <c r="X18" s="221"/>
      <c r="Y18" s="221"/>
      <c r="Z18" s="219"/>
      <c r="AA18" s="222"/>
      <c r="AB18" s="222"/>
      <c r="AC18" s="222"/>
      <c r="AD18" s="215"/>
      <c r="AE18" s="215"/>
      <c r="AF18" s="223"/>
      <c r="AG18" s="223"/>
      <c r="AH18" s="221"/>
      <c r="AI18" s="221"/>
      <c r="AJ18" s="223"/>
      <c r="AK18" s="221"/>
      <c r="AL18" s="221"/>
      <c r="AM18" s="221"/>
      <c r="AN18" s="221"/>
      <c r="AO18" s="224"/>
      <c r="AP18" s="224"/>
      <c r="AQ18" s="224"/>
      <c r="AR18" s="224"/>
      <c r="AS18" s="224"/>
      <c r="AT18" s="224"/>
      <c r="AU18" s="224"/>
      <c r="AV18" s="224"/>
      <c r="AW18" s="224"/>
      <c r="AX18" s="224"/>
      <c r="AY18" s="224"/>
      <c r="AZ18" s="224"/>
      <c r="BA18" s="224"/>
      <c r="BB18" s="224"/>
      <c r="BC18" s="224"/>
      <c r="BD18" s="224"/>
      <c r="BE18" s="224"/>
      <c r="BF18" s="224"/>
      <c r="BG18" s="224"/>
      <c r="BH18" s="224"/>
      <c r="BI18" s="224"/>
      <c r="BJ18" s="224"/>
      <c r="BK18" s="224"/>
      <c r="BL18" s="224"/>
      <c r="BM18" s="224"/>
      <c r="BN18" s="224"/>
      <c r="BO18" s="224"/>
      <c r="BP18" s="224"/>
      <c r="BQ18" s="224"/>
      <c r="BR18" s="224"/>
      <c r="BS18" s="227"/>
      <c r="BT18" s="211"/>
    </row>
    <row customHeight="true" ht="18.51851851851852" r="19">
      <c r="A19" s="211"/>
      <c r="B19" s="211"/>
      <c r="C19" s="211"/>
      <c r="D19" s="212"/>
      <c r="E19" s="213"/>
      <c r="F19" s="215"/>
      <c r="G19" s="226"/>
      <c r="H19" s="215"/>
      <c r="I19" s="215"/>
      <c r="J19" s="215"/>
      <c r="K19" s="226"/>
      <c r="L19" s="217"/>
      <c r="M19" s="218"/>
      <c r="N19" s="215"/>
      <c r="O19" s="219"/>
      <c r="P19" s="217"/>
      <c r="Q19" s="215"/>
      <c r="R19" s="215"/>
      <c r="S19" s="211"/>
      <c r="T19" s="220"/>
      <c r="U19" s="221"/>
      <c r="V19" s="221"/>
      <c r="W19" s="221"/>
      <c r="X19" s="221"/>
      <c r="Y19" s="221"/>
      <c r="Z19" s="219"/>
      <c r="AA19" s="222"/>
      <c r="AB19" s="222"/>
      <c r="AC19" s="222"/>
      <c r="AD19" s="215"/>
      <c r="AE19" s="215"/>
      <c r="AF19" s="223"/>
      <c r="AG19" s="223"/>
      <c r="AH19" s="221"/>
      <c r="AI19" s="221"/>
      <c r="AJ19" s="223"/>
      <c r="AK19" s="221"/>
      <c r="AL19" s="221"/>
      <c r="AM19" s="221"/>
      <c r="AN19" s="221"/>
      <c r="AO19" s="224"/>
      <c r="AP19" s="224"/>
      <c r="AQ19" s="224"/>
      <c r="AR19" s="224"/>
      <c r="AS19" s="224"/>
      <c r="AT19" s="224"/>
      <c r="AU19" s="224"/>
      <c r="AV19" s="224"/>
      <c r="AW19" s="224"/>
      <c r="AX19" s="224"/>
      <c r="AY19" s="224"/>
      <c r="AZ19" s="224"/>
      <c r="BA19" s="224"/>
      <c r="BB19" s="224"/>
      <c r="BC19" s="224"/>
      <c r="BD19" s="224"/>
      <c r="BE19" s="224"/>
      <c r="BF19" s="224"/>
      <c r="BG19" s="224"/>
      <c r="BH19" s="224"/>
      <c r="BI19" s="224"/>
      <c r="BJ19" s="224"/>
      <c r="BK19" s="224"/>
      <c r="BL19" s="224"/>
      <c r="BM19" s="224"/>
      <c r="BN19" s="224"/>
      <c r="BO19" s="224"/>
      <c r="BP19" s="224"/>
      <c r="BQ19" s="224"/>
      <c r="BR19" s="224"/>
      <c r="BS19" s="227"/>
      <c r="BT19" s="211"/>
    </row>
    <row customHeight="true" ht="18.51851851851852" r="20">
      <c r="A20" s="211"/>
      <c r="B20" s="211"/>
      <c r="C20" s="211"/>
      <c r="D20" s="212"/>
      <c r="E20" s="213"/>
      <c r="F20" s="215"/>
      <c r="G20" s="226"/>
      <c r="H20" s="215"/>
      <c r="I20" s="215"/>
      <c r="J20" s="215"/>
      <c r="K20" s="226"/>
      <c r="L20" s="217"/>
      <c r="M20" s="218"/>
      <c r="N20" s="215"/>
      <c r="O20" s="219"/>
      <c r="P20" s="217"/>
      <c r="Q20" s="215"/>
      <c r="R20" s="215"/>
      <c r="S20" s="211"/>
      <c r="T20" s="220"/>
      <c r="U20" s="221"/>
      <c r="V20" s="221"/>
      <c r="W20" s="221"/>
      <c r="X20" s="221"/>
      <c r="Y20" s="221"/>
      <c r="Z20" s="219"/>
      <c r="AA20" s="222"/>
      <c r="AB20" s="222"/>
      <c r="AC20" s="222"/>
      <c r="AD20" s="215"/>
      <c r="AE20" s="215"/>
      <c r="AF20" s="223"/>
      <c r="AG20" s="223"/>
      <c r="AH20" s="221"/>
      <c r="AI20" s="221"/>
      <c r="AJ20" s="223"/>
      <c r="AK20" s="221"/>
      <c r="AL20" s="221"/>
      <c r="AM20" s="221"/>
      <c r="AN20" s="221"/>
      <c r="AO20" s="224"/>
      <c r="AP20" s="224"/>
      <c r="AQ20" s="224"/>
      <c r="AR20" s="224"/>
      <c r="AS20" s="224"/>
      <c r="AT20" s="224"/>
      <c r="AU20" s="224"/>
      <c r="AV20" s="224"/>
      <c r="AW20" s="224"/>
      <c r="AX20" s="224"/>
      <c r="AY20" s="224"/>
      <c r="AZ20" s="224"/>
      <c r="BA20" s="224"/>
      <c r="BB20" s="224"/>
      <c r="BC20" s="224"/>
      <c r="BD20" s="224"/>
      <c r="BE20" s="224"/>
      <c r="BF20" s="224"/>
      <c r="BG20" s="224"/>
      <c r="BH20" s="224"/>
      <c r="BI20" s="224"/>
      <c r="BJ20" s="224"/>
      <c r="BK20" s="224"/>
      <c r="BL20" s="224"/>
      <c r="BM20" s="224"/>
      <c r="BN20" s="224"/>
      <c r="BO20" s="224"/>
      <c r="BP20" s="224"/>
      <c r="BQ20" s="224"/>
      <c r="BR20" s="224"/>
      <c r="BS20" s="227"/>
      <c r="BT20" s="211"/>
    </row>
  </sheetData>
  <conditionalFormatting sqref="M7:M20 AA7:AC20">
    <cfRule dxfId="8" operator="lessThanOrEqual" priority="1" stopIfTrue="true" type="cellIs">
      <formula>0</formula>
    </cfRule>
  </conditionalFormatting>
  <conditionalFormatting sqref="M9:M20 AA9:AC20">
    <cfRule dxfId="9" operator="lessThanOrEqual" priority="2" stopIfTrue="true" type="cellIs">
      <formula>0</formula>
    </cfRule>
  </conditionalFormatting>
  <conditionalFormatting sqref="M9:M20">
    <cfRule dxfId="10" operator="lessThanOrEqual" priority="3" stopIfTrue="true" type="cellIs">
      <formula>0</formula>
    </cfRule>
  </conditionalFormatting>
  <conditionalFormatting sqref="M7:M20">
    <cfRule dxfId="11" operator="lessThanOrEqual" priority="4" stopIfTrue="true" type="cellIs">
      <formula>0</formula>
    </cfRule>
  </conditionalFormatting>
  <conditionalFormatting sqref="M2:M2">
    <cfRule dxfId="12" operator="lessThanOrEqual" priority="5" stopIfTrue="true" type="cellIs">
      <formula>0</formula>
    </cfRule>
  </conditionalFormatting>
  <conditionalFormatting sqref="L1:M1 Q1:R1 AA1:AA1">
    <cfRule dxfId="13" operator="lessThanOrEqual" priority="6" stopIfTrue="true" type="cellIs">
      <formula>0</formula>
    </cfRule>
  </conditionalFormatting>
  <conditionalFormatting sqref="L2:L20 M7:M20 AA7:AC20">
    <cfRule dxfId="14" operator="lessThanOrEqual" priority="7" stopIfTrue="true" type="cellIs">
      <formula>0</formula>
    </cfRule>
  </conditionalFormatting>
  <conditionalFormatting sqref="M3:M6 M10:M20 AA3:AC6 AA10:AC20">
    <cfRule dxfId="15" operator="lessThanOrEqual" priority="8" stopIfTrue="true" type="cellIs">
      <formula>0</formula>
    </cfRule>
  </conditionalFormatting>
  <conditionalFormatting sqref="M2:M2 AA2:AC2">
    <cfRule dxfId="16" operator="lessThanOrEqual" priority="9" stopIfTrue="true" type="cellIs">
      <formula>0</formula>
    </cfRule>
  </conditionalFormatting>
</worksheet>
</file>

<file path=xl/worksheets/sheet10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15" min="15" style="0" width="17.4"/>
    <col collapsed="false" customWidth="true" hidden="false" max="31" min="31" style="0" width="17.4"/>
    <col collapsed="false" customWidth="true" hidden="false" max="48" min="48" style="0" width="17.4"/>
    <col collapsed="false" customWidth="true" hidden="false" max="64" min="64" style="0" width="17.4"/>
    <col collapsed="false" customWidth="true" hidden="false" max="2" min="2" style="0" width="17.4"/>
    <col collapsed="false" customWidth="true" hidden="false" max="18" min="18" style="0" width="17.4"/>
    <col collapsed="false" customWidth="true" hidden="false" max="47" min="47" style="0" width="17.4"/>
    <col collapsed="false" customWidth="true" hidden="false" max="63" min="63" style="0" width="17.4"/>
    <col collapsed="false" customWidth="true" hidden="false" max="1" min="1" style="0" width="17.4"/>
    <col collapsed="false" customWidth="true" hidden="false" max="17" min="17" style="0" width="17.4"/>
    <col collapsed="false" customWidth="true" hidden="false" max="34" min="34" style="0" width="17.4"/>
    <col collapsed="false" customWidth="true" hidden="false" max="50" min="50" style="0" width="17.4"/>
    <col collapsed="false" customWidth="true" hidden="false" max="66" min="66" style="0" width="17.4"/>
    <col collapsed="false" customWidth="true" hidden="false" max="4" min="4" style="0" width="17.4"/>
    <col collapsed="false" customWidth="true" hidden="false" max="20" min="20" style="0" width="17.4"/>
    <col collapsed="false" customWidth="true" hidden="false" max="33" min="33" style="0" width="17.4"/>
    <col collapsed="false" customWidth="true" hidden="false" max="49" min="49" style="0" width="17.4"/>
    <col collapsed="false" customWidth="true" hidden="false" max="65" min="65" style="0" width="17.4"/>
    <col collapsed="false" customWidth="true" hidden="false" max="3" min="3" style="0" width="17.4"/>
    <col collapsed="false" customWidth="true" hidden="false" max="19" min="19" style="0" width="17.4"/>
    <col collapsed="false" customWidth="true" hidden="false" max="36" min="36" style="0" width="17.4"/>
    <col collapsed="false" customWidth="true" hidden="false" max="52" min="52" style="0" width="17.4"/>
    <col collapsed="false" customWidth="true" hidden="false" max="68" min="68" style="0" width="17.4"/>
    <col collapsed="false" customWidth="true" hidden="false" max="6" min="6" style="0" width="17.4"/>
    <col collapsed="false" customWidth="true" hidden="false" max="22" min="22" style="0" width="17.4"/>
    <col collapsed="false" customWidth="true" hidden="false" max="35" min="35" style="0" width="17.4"/>
    <col collapsed="false" customWidth="true" hidden="false" max="51" min="51" style="0" width="17.4"/>
    <col collapsed="false" customWidth="true" hidden="false" max="67" min="67" style="0" width="17.4"/>
    <col collapsed="false" customWidth="true" hidden="false" max="5" min="5" style="0" width="17.4"/>
    <col collapsed="false" customWidth="true" hidden="false" max="21" min="21" style="0" width="17.4"/>
    <col collapsed="false" customWidth="true" hidden="false" max="38" min="38" style="0" width="17.4"/>
    <col collapsed="false" customWidth="true" hidden="false" max="54" min="54" style="0" width="17.4"/>
    <col collapsed="false" customWidth="true" hidden="false" max="70" min="70" style="0" width="17.4"/>
    <col collapsed="false" customWidth="true" hidden="false" max="8" min="8" style="0" width="17.4"/>
    <col collapsed="false" customWidth="true" hidden="false" max="24" min="24" style="0" width="17.4"/>
    <col collapsed="false" customWidth="true" hidden="false" max="37" min="37" style="0" width="17.4"/>
    <col collapsed="false" customWidth="true" hidden="false" max="53" min="53" style="0" width="17.4"/>
    <col collapsed="false" customWidth="true" hidden="false" max="69" min="69" style="0" width="17.4"/>
    <col collapsed="false" customWidth="true" hidden="false" max="7" min="7" style="0" width="17.4"/>
    <col collapsed="false" customWidth="true" hidden="false" max="23" min="23" style="0" width="17.4"/>
    <col collapsed="false" customWidth="true" hidden="false" max="40" min="40" style="0" width="17.4"/>
    <col collapsed="false" customWidth="true" hidden="false" max="56" min="56" style="0" width="17.4"/>
    <col collapsed="false" customWidth="true" hidden="false" max="72" min="72" style="0" width="17.4"/>
    <col collapsed="false" customWidth="true" hidden="false" max="26" min="26" style="0" width="17.4"/>
    <col collapsed="false" customWidth="true" hidden="false" max="39" min="39" style="0" width="17.4"/>
    <col collapsed="false" customWidth="true" hidden="false" max="55" min="55" style="0" width="17.4"/>
    <col collapsed="false" customWidth="true" hidden="false" max="71" min="71" style="0" width="17.4"/>
    <col collapsed="false" customWidth="true" hidden="false" max="10" min="10" style="0" width="17.4"/>
    <col collapsed="false" customWidth="true" hidden="false" max="25" min="25" style="0" width="17.4"/>
    <col collapsed="false" customWidth="true" hidden="false" max="42" min="42" style="0" width="17.4"/>
    <col collapsed="false" customWidth="true" hidden="false" max="58" min="58" style="0" width="17.4"/>
    <col collapsed="false" customWidth="true" hidden="false" max="9" min="9" style="0" width="17.4"/>
    <col collapsed="false" customWidth="true" hidden="false" max="12" min="12" style="0" width="17.4"/>
    <col collapsed="false" customWidth="true" hidden="false" max="28" min="28" style="0" width="17.4"/>
    <col collapsed="false" customWidth="true" hidden="false" max="41" min="41" style="0" width="17.4"/>
    <col collapsed="false" customWidth="true" hidden="false" max="57" min="57" style="0" width="17.4"/>
    <col collapsed="false" customWidth="true" hidden="false" max="11" min="11" style="0" width="17.4"/>
    <col collapsed="false" customWidth="true" hidden="false" max="27" min="27" style="0" width="17.4"/>
    <col collapsed="false" customWidth="true" hidden="false" max="44" min="44" style="0" width="17.4"/>
    <col collapsed="false" customWidth="true" hidden="false" max="60" min="60" style="0" width="17.4"/>
    <col collapsed="false" customWidth="true" hidden="false" max="14" min="14" style="0" width="17.4"/>
    <col collapsed="false" customWidth="true" hidden="false" max="30" min="30" style="0" width="17.4"/>
    <col collapsed="false" customWidth="true" hidden="false" max="43" min="43" style="0" width="17.4"/>
    <col collapsed="false" customWidth="true" hidden="false" max="59" min="59" style="0" width="17.4"/>
    <col collapsed="false" customWidth="true" hidden="false" max="13" min="13" style="0" width="17.4"/>
    <col collapsed="false" customWidth="true" hidden="false" max="29" min="29" style="0" width="17.4"/>
    <col collapsed="false" customWidth="true" hidden="false" max="46" min="46" style="0" width="17.4"/>
    <col collapsed="false" customWidth="true" hidden="false" max="62" min="62" style="0" width="17.4"/>
    <col collapsed="false" customWidth="true" hidden="false" max="16" min="16" style="0" width="17.4"/>
    <col collapsed="false" customWidth="true" hidden="false" max="32" min="32" style="0" width="17.4"/>
    <col collapsed="false" customWidth="true" hidden="false" max="45" min="45" style="0" width="17.4"/>
    <col collapsed="false" customWidth="true" hidden="false" max="61" min="61" style="0" width="17.4"/>
  </cols>
  <sheetData>
    <row customHeight="true" ht="18.51851851851852" r="1">
      <c r="A1" s="228" t="s">
        <v>514</v>
      </c>
      <c r="B1" s="229" t="s">
        <v>515</v>
      </c>
      <c r="C1" s="229" t="s">
        <v>516</v>
      </c>
      <c r="D1" s="228" t="s">
        <v>517</v>
      </c>
      <c r="E1" s="228" t="s">
        <v>518</v>
      </c>
      <c r="F1" s="230" t="s">
        <v>519</v>
      </c>
      <c r="G1" s="231" t="s">
        <v>520</v>
      </c>
      <c r="H1" s="232" t="s">
        <v>521</v>
      </c>
      <c r="I1" s="232" t="s">
        <v>522</v>
      </c>
      <c r="J1" s="233" t="s">
        <v>523</v>
      </c>
      <c r="K1" s="234" t="s">
        <v>524</v>
      </c>
      <c r="L1" s="235" t="s">
        <v>525</v>
      </c>
      <c r="M1" s="236" t="s">
        <v>526</v>
      </c>
      <c r="N1" s="237" t="s">
        <v>527</v>
      </c>
      <c r="O1" s="238" t="s">
        <v>528</v>
      </c>
      <c r="P1" s="239" t="s">
        <v>529</v>
      </c>
      <c r="Q1" s="240" t="s">
        <v>530</v>
      </c>
      <c r="R1" s="235" t="s">
        <v>531</v>
      </c>
      <c r="S1" s="241" t="s">
        <v>532</v>
      </c>
      <c r="T1" s="228" t="s">
        <v>533</v>
      </c>
      <c r="U1" s="242" t="s">
        <v>534</v>
      </c>
      <c r="V1" s="242" t="s">
        <v>535</v>
      </c>
      <c r="W1" s="242" t="s">
        <v>536</v>
      </c>
      <c r="X1" s="243" t="s">
        <v>537</v>
      </c>
      <c r="Y1" s="243" t="s">
        <v>538</v>
      </c>
      <c r="Z1" s="242" t="s">
        <v>539</v>
      </c>
      <c r="AA1" s="244" t="s">
        <v>540</v>
      </c>
      <c r="AB1" s="244" t="s">
        <v>541</v>
      </c>
      <c r="AC1" s="244" t="s">
        <v>542</v>
      </c>
      <c r="AD1" s="244" t="s">
        <v>543</v>
      </c>
      <c r="AE1" s="245" t="s">
        <v>544</v>
      </c>
      <c r="AF1" s="246" t="s">
        <v>545</v>
      </c>
      <c r="AG1" s="245" t="s">
        <v>546</v>
      </c>
      <c r="AH1" s="247" t="s">
        <v>547</v>
      </c>
      <c r="AI1" s="247" t="s">
        <v>548</v>
      </c>
      <c r="AJ1" s="248" t="s">
        <v>549</v>
      </c>
      <c r="AK1" s="249" t="s">
        <v>550</v>
      </c>
      <c r="AL1" s="249" t="s">
        <v>551</v>
      </c>
      <c r="AM1" s="249" t="s">
        <v>552</v>
      </c>
      <c r="AN1" s="249" t="s">
        <v>553</v>
      </c>
      <c r="AO1" s="249" t="s">
        <v>554</v>
      </c>
      <c r="AP1" s="249" t="s">
        <v>555</v>
      </c>
      <c r="AQ1" s="249" t="s">
        <v>556</v>
      </c>
      <c r="AR1" s="249" t="s">
        <v>557</v>
      </c>
      <c r="AS1" s="249" t="s">
        <v>558</v>
      </c>
      <c r="AT1" s="249" t="s">
        <v>559</v>
      </c>
      <c r="AU1" s="250" t="s">
        <v>560</v>
      </c>
      <c r="AV1" s="250" t="s">
        <v>561</v>
      </c>
      <c r="AW1" s="250" t="s">
        <v>562</v>
      </c>
      <c r="AX1" s="250" t="s">
        <v>551</v>
      </c>
      <c r="AY1" s="250" t="s">
        <v>552</v>
      </c>
      <c r="AZ1" s="250" t="s">
        <v>553</v>
      </c>
      <c r="BA1" s="251" t="s">
        <v>554</v>
      </c>
      <c r="BB1" s="251" t="s">
        <v>555</v>
      </c>
      <c r="BC1" s="251" t="s">
        <v>556</v>
      </c>
      <c r="BD1" s="251" t="s">
        <v>557</v>
      </c>
      <c r="BE1" s="251" t="s">
        <v>558</v>
      </c>
      <c r="BF1" s="251" t="s">
        <v>559</v>
      </c>
      <c r="BG1" s="252" t="s">
        <v>563</v>
      </c>
      <c r="BH1" s="252" t="s">
        <v>561</v>
      </c>
      <c r="BI1" s="252" t="s">
        <v>562</v>
      </c>
      <c r="BJ1" s="252" t="s">
        <v>551</v>
      </c>
      <c r="BK1" s="252" t="s">
        <v>552</v>
      </c>
      <c r="BL1" s="252" t="s">
        <v>553</v>
      </c>
      <c r="BM1" s="247" t="s">
        <v>554</v>
      </c>
      <c r="BN1" s="247" t="s">
        <v>555</v>
      </c>
      <c r="BO1" s="247" t="s">
        <v>556</v>
      </c>
      <c r="BP1" s="247" t="s">
        <v>557</v>
      </c>
      <c r="BQ1" s="247" t="s">
        <v>558</v>
      </c>
      <c r="BR1" s="247" t="s">
        <v>559</v>
      </c>
      <c r="BS1" s="253" t="s">
        <v>564</v>
      </c>
      <c r="BT1" s="254" t="s">
        <v>565</v>
      </c>
    </row>
    <row customHeight="true" ht="18.51851851851852" r="2">
      <c r="A2" s="254" t="s">
        <v>566</v>
      </c>
      <c r="B2" s="254" t="s">
        <v>567</v>
      </c>
      <c r="C2" s="254" t="s">
        <v>568</v>
      </c>
      <c r="D2" s="255" t="s">
        <v>569</v>
      </c>
      <c r="E2" s="256" t="s">
        <v>570</v>
      </c>
      <c r="F2" s="257">
        <f t="shared" ref="F2:F10" si="15">G2*0.7</f>
      </c>
      <c r="G2" s="258">
        <v>32.989</v>
      </c>
      <c r="H2" s="257">
        <f t="shared" ref="H2:H10" si="0">INDEX(#NULL!,MATCH(1,(#NULL!=A2)*(#NULL!=C2),0))</f>
      </c>
      <c r="I2" s="257">
        <f t="shared" ref="I2:I10" si="5">H2=J2</f>
      </c>
      <c r="J2" s="257">
        <v>23.09</v>
      </c>
      <c r="K2" s="258">
        <v>32.989</v>
      </c>
      <c r="L2" s="259">
        <f t="shared" ref="L2:L10" si="10">J2-Q2/T2-AD2-AA2-R2-AB2-AC2</f>
      </c>
      <c r="M2" s="260">
        <f t="shared" ref="M2:M10" si="16">L2/J2</f>
      </c>
      <c r="N2" s="257">
        <f t="shared" ref="N2:N10" si="1">K2/1.2</f>
      </c>
      <c r="O2" s="261">
        <f t="shared" ref="O2:O10" si="6">(N2-J2)/N2</f>
      </c>
      <c r="P2" s="259">
        <f t="shared" ref="P2:P10" si="11">K2/1.2-J2</f>
      </c>
      <c r="Q2" s="257">
        <f t="shared" ref="Q2:Q10" si="17">AF2+AG2</f>
      </c>
      <c r="R2" s="257">
        <f t="shared" ref="R2:R10" si="2">IFERROR(IF(A2="UK",8.95/S2,IF(A2="DE",11.43/S2,IF(A2="FR",15.27/S2,IF(A2="IT",16.34/S2,IF(A2="ES",20.62/S2,IF(A2="NL",12/S2,IF(A2="PL",15.06/S2,IF(A2="SE",18.5/S2,IF(A2="BE",15.27/S2))))))))),0)</f>
      </c>
      <c r="S2" s="254">
        <v>16</v>
      </c>
      <c r="T2" s="262">
        <v>7.4</v>
      </c>
      <c r="U2" s="263">
        <v>0.06</v>
      </c>
      <c r="V2" s="263">
        <v>0.1</v>
      </c>
      <c r="W2" s="263">
        <v>0.01</v>
      </c>
      <c r="X2" s="263">
        <f t="shared" ref="X2:X10" si="7">Q2/(J2*T2)</f>
      </c>
      <c r="Y2" s="263">
        <f t="shared" ref="Y2:Y10" si="12">R2/J2</f>
      </c>
      <c r="Z2" s="261">
        <v>0.158</v>
      </c>
      <c r="AA2" s="264">
        <f t="shared" ref="AA2:AA10" si="18">J2*U2</f>
      </c>
      <c r="AB2" s="264">
        <f t="shared" ref="AB2:AB10" si="3">J2*V2</f>
      </c>
      <c r="AC2" s="264">
        <f t="shared" ref="AC2:AC10" si="8">J2*W2</f>
      </c>
      <c r="AD2" s="257">
        <f t="shared" ref="AD2:AD10" si="13">J2*Z2</f>
      </c>
      <c r="AE2" s="257">
        <v>61</v>
      </c>
      <c r="AF2" s="265">
        <f t="shared" ref="AF2:AF10" si="19">AE2/1.13</f>
      </c>
      <c r="AG2" s="265">
        <v>8.8</v>
      </c>
      <c r="AH2" s="263">
        <f t="shared" ref="AH2:AH10" si="4">AF2/(J2*T2)</f>
      </c>
      <c r="AI2" s="263">
        <f t="shared" ref="AI2:AI10" si="9">AG2/T2/J2</f>
      </c>
      <c r="AJ2" s="265">
        <v>8.8</v>
      </c>
      <c r="AK2" s="263"/>
      <c r="AL2" s="263"/>
      <c r="AM2" s="263"/>
      <c r="AN2" s="263"/>
      <c r="AO2" s="266"/>
      <c r="AP2" s="266"/>
      <c r="AQ2" s="266"/>
      <c r="AR2" s="266"/>
      <c r="AS2" s="266"/>
      <c r="AT2" s="266"/>
      <c r="AU2" s="266" t="s">
        <v>571</v>
      </c>
      <c r="AV2" s="266" t="s">
        <v>571</v>
      </c>
      <c r="AW2" s="266" t="s">
        <v>571</v>
      </c>
      <c r="AX2" s="266" t="s">
        <v>571</v>
      </c>
      <c r="AY2" s="266" t="s">
        <v>571</v>
      </c>
      <c r="AZ2" s="266" t="s">
        <v>571</v>
      </c>
      <c r="BA2" s="266" t="s">
        <v>571</v>
      </c>
      <c r="BB2" s="266" t="s">
        <v>571</v>
      </c>
      <c r="BC2" s="266" t="s">
        <v>571</v>
      </c>
      <c r="BD2" s="266" t="s">
        <v>571</v>
      </c>
      <c r="BE2" s="266" t="s">
        <v>571</v>
      </c>
      <c r="BF2" s="266" t="s">
        <v>571</v>
      </c>
      <c r="BG2" s="266" t="s">
        <v>571</v>
      </c>
      <c r="BH2" s="266" t="s">
        <v>571</v>
      </c>
      <c r="BI2" s="266" t="s">
        <v>571</v>
      </c>
      <c r="BJ2" s="266" t="s">
        <v>571</v>
      </c>
      <c r="BK2" s="266" t="s">
        <v>571</v>
      </c>
      <c r="BL2" s="266" t="s">
        <v>571</v>
      </c>
      <c r="BM2" s="266" t="s">
        <v>571</v>
      </c>
      <c r="BN2" s="266" t="s">
        <v>571</v>
      </c>
      <c r="BO2" s="266" t="s">
        <v>571</v>
      </c>
      <c r="BP2" s="266" t="s">
        <v>571</v>
      </c>
      <c r="BQ2" s="266" t="s">
        <v>571</v>
      </c>
      <c r="BR2" s="266" t="s">
        <v>571</v>
      </c>
      <c r="BS2" s="267">
        <f t="shared" ref="BS2:BS10" si="14">IF(H2&lt;J2,1,0)</f>
      </c>
      <c r="BT2" s="254" t="str">
        <v>#VALUE!</v>
      </c>
    </row>
    <row customHeight="true" ht="18.51851851851852" r="3">
      <c r="A3" s="254" t="s">
        <v>572</v>
      </c>
      <c r="B3" s="254" t="s">
        <v>573</v>
      </c>
      <c r="C3" s="254" t="s">
        <v>574</v>
      </c>
      <c r="D3" s="255" t="s">
        <v>575</v>
      </c>
      <c r="E3" s="256" t="s">
        <v>570</v>
      </c>
      <c r="F3" s="257">
        <f t="shared" si="15"/>
      </c>
      <c r="G3" s="258">
        <v>32.989</v>
      </c>
      <c r="H3" s="257">
        <f t="shared" si="0"/>
      </c>
      <c r="I3" s="257">
        <f t="shared" si="5"/>
      </c>
      <c r="J3" s="257">
        <v>23.09</v>
      </c>
      <c r="K3" s="258">
        <v>32.989</v>
      </c>
      <c r="L3" s="259">
        <f t="shared" si="10"/>
      </c>
      <c r="M3" s="260">
        <f t="shared" si="16"/>
      </c>
      <c r="N3" s="257">
        <f t="shared" si="1"/>
      </c>
      <c r="O3" s="261">
        <f t="shared" si="6"/>
      </c>
      <c r="P3" s="259">
        <f t="shared" si="11"/>
      </c>
      <c r="Q3" s="257">
        <f t="shared" si="17"/>
      </c>
      <c r="R3" s="257">
        <f t="shared" si="2"/>
      </c>
      <c r="S3" s="254">
        <v>16</v>
      </c>
      <c r="T3" s="262">
        <v>7.4</v>
      </c>
      <c r="U3" s="263">
        <v>0.06</v>
      </c>
      <c r="V3" s="263">
        <v>0.1</v>
      </c>
      <c r="W3" s="263">
        <v>0.01</v>
      </c>
      <c r="X3" s="263">
        <f t="shared" si="7"/>
      </c>
      <c r="Y3" s="263">
        <f t="shared" si="12"/>
      </c>
      <c r="Z3" s="261">
        <v>0.158</v>
      </c>
      <c r="AA3" s="264">
        <f t="shared" si="18"/>
      </c>
      <c r="AB3" s="264">
        <f t="shared" si="3"/>
      </c>
      <c r="AC3" s="264">
        <f t="shared" si="8"/>
      </c>
      <c r="AD3" s="257">
        <f t="shared" si="13"/>
      </c>
      <c r="AE3" s="257">
        <v>61</v>
      </c>
      <c r="AF3" s="265">
        <f t="shared" si="19"/>
      </c>
      <c r="AG3" s="265">
        <v>8.8</v>
      </c>
      <c r="AH3" s="263">
        <f t="shared" si="4"/>
      </c>
      <c r="AI3" s="263">
        <f t="shared" si="9"/>
      </c>
      <c r="AJ3" s="265">
        <v>8.8</v>
      </c>
      <c r="AK3" s="263"/>
      <c r="AL3" s="263"/>
      <c r="AM3" s="263"/>
      <c r="AN3" s="263"/>
      <c r="AO3" s="266"/>
      <c r="AP3" s="266"/>
      <c r="AQ3" s="266"/>
      <c r="AR3" s="266"/>
      <c r="AS3" s="266"/>
      <c r="AT3" s="266"/>
      <c r="AU3" s="266" t="s">
        <v>571</v>
      </c>
      <c r="AV3" s="266" t="s">
        <v>571</v>
      </c>
      <c r="AW3" s="266" t="s">
        <v>571</v>
      </c>
      <c r="AX3" s="266" t="s">
        <v>571</v>
      </c>
      <c r="AY3" s="266" t="s">
        <v>571</v>
      </c>
      <c r="AZ3" s="266" t="s">
        <v>571</v>
      </c>
      <c r="BA3" s="266" t="s">
        <v>571</v>
      </c>
      <c r="BB3" s="266" t="s">
        <v>571</v>
      </c>
      <c r="BC3" s="266" t="s">
        <v>571</v>
      </c>
      <c r="BD3" s="266" t="s">
        <v>571</v>
      </c>
      <c r="BE3" s="266" t="s">
        <v>571</v>
      </c>
      <c r="BF3" s="266" t="s">
        <v>571</v>
      </c>
      <c r="BG3" s="266" t="s">
        <v>571</v>
      </c>
      <c r="BH3" s="266" t="s">
        <v>571</v>
      </c>
      <c r="BI3" s="266" t="s">
        <v>571</v>
      </c>
      <c r="BJ3" s="266" t="s">
        <v>571</v>
      </c>
      <c r="BK3" s="266" t="s">
        <v>571</v>
      </c>
      <c r="BL3" s="266" t="s">
        <v>571</v>
      </c>
      <c r="BM3" s="266" t="s">
        <v>571</v>
      </c>
      <c r="BN3" s="266" t="s">
        <v>571</v>
      </c>
      <c r="BO3" s="266" t="s">
        <v>571</v>
      </c>
      <c r="BP3" s="266" t="s">
        <v>571</v>
      </c>
      <c r="BQ3" s="266" t="s">
        <v>571</v>
      </c>
      <c r="BR3" s="266" t="s">
        <v>571</v>
      </c>
      <c r="BS3" s="267">
        <f t="shared" si="14"/>
      </c>
      <c r="BT3" s="254" t="str">
        <v>#VALUE!</v>
      </c>
    </row>
    <row customHeight="true" ht="18.51851851851852" r="4">
      <c r="A4" s="254" t="s">
        <v>576</v>
      </c>
      <c r="B4" s="254" t="s">
        <v>573</v>
      </c>
      <c r="C4" s="254" t="s">
        <v>574</v>
      </c>
      <c r="D4" s="255" t="s">
        <v>577</v>
      </c>
      <c r="E4" s="256" t="s">
        <v>570</v>
      </c>
      <c r="F4" s="257">
        <f t="shared" si="15"/>
      </c>
      <c r="G4" s="258">
        <v>32.989</v>
      </c>
      <c r="H4" s="257">
        <f t="shared" si="0"/>
      </c>
      <c r="I4" s="257">
        <f t="shared" si="5"/>
      </c>
      <c r="J4" s="257">
        <v>23.09</v>
      </c>
      <c r="K4" s="258">
        <v>32.989</v>
      </c>
      <c r="L4" s="259">
        <f t="shared" si="10"/>
      </c>
      <c r="M4" s="260">
        <f t="shared" si="16"/>
      </c>
      <c r="N4" s="257">
        <f t="shared" si="1"/>
      </c>
      <c r="O4" s="261">
        <f t="shared" si="6"/>
      </c>
      <c r="P4" s="259">
        <f t="shared" si="11"/>
      </c>
      <c r="Q4" s="257">
        <f t="shared" si="17"/>
      </c>
      <c r="R4" s="257">
        <f t="shared" si="2"/>
      </c>
      <c r="S4" s="254">
        <v>16</v>
      </c>
      <c r="T4" s="262">
        <v>7.4</v>
      </c>
      <c r="U4" s="263">
        <v>0.06</v>
      </c>
      <c r="V4" s="263">
        <v>0.1</v>
      </c>
      <c r="W4" s="263">
        <v>0.01</v>
      </c>
      <c r="X4" s="263">
        <f t="shared" si="7"/>
      </c>
      <c r="Y4" s="263">
        <f t="shared" si="12"/>
      </c>
      <c r="Z4" s="261">
        <v>0.158</v>
      </c>
      <c r="AA4" s="264">
        <f t="shared" si="18"/>
      </c>
      <c r="AB4" s="264">
        <f t="shared" si="3"/>
      </c>
      <c r="AC4" s="264">
        <f t="shared" si="8"/>
      </c>
      <c r="AD4" s="257">
        <f t="shared" si="13"/>
      </c>
      <c r="AE4" s="257">
        <v>61</v>
      </c>
      <c r="AF4" s="265">
        <f t="shared" si="19"/>
      </c>
      <c r="AG4" s="265">
        <v>8.8</v>
      </c>
      <c r="AH4" s="263">
        <f t="shared" si="4"/>
      </c>
      <c r="AI4" s="263">
        <f t="shared" si="9"/>
      </c>
      <c r="AJ4" s="265">
        <v>8.8</v>
      </c>
      <c r="AK4" s="263"/>
      <c r="AL4" s="263"/>
      <c r="AM4" s="263"/>
      <c r="AN4" s="263"/>
      <c r="AO4" s="266"/>
      <c r="AP4" s="266"/>
      <c r="AQ4" s="266"/>
      <c r="AR4" s="266"/>
      <c r="AS4" s="266"/>
      <c r="AT4" s="266"/>
      <c r="AU4" s="266" t="s">
        <v>571</v>
      </c>
      <c r="AV4" s="266" t="s">
        <v>571</v>
      </c>
      <c r="AW4" s="266" t="s">
        <v>571</v>
      </c>
      <c r="AX4" s="266" t="s">
        <v>571</v>
      </c>
      <c r="AY4" s="266" t="s">
        <v>571</v>
      </c>
      <c r="AZ4" s="266" t="s">
        <v>571</v>
      </c>
      <c r="BA4" s="266" t="s">
        <v>571</v>
      </c>
      <c r="BB4" s="266" t="s">
        <v>571</v>
      </c>
      <c r="BC4" s="266" t="s">
        <v>571</v>
      </c>
      <c r="BD4" s="266" t="s">
        <v>571</v>
      </c>
      <c r="BE4" s="266" t="s">
        <v>571</v>
      </c>
      <c r="BF4" s="266" t="s">
        <v>571</v>
      </c>
      <c r="BG4" s="266" t="s">
        <v>571</v>
      </c>
      <c r="BH4" s="266" t="s">
        <v>571</v>
      </c>
      <c r="BI4" s="266" t="s">
        <v>571</v>
      </c>
      <c r="BJ4" s="266" t="s">
        <v>571</v>
      </c>
      <c r="BK4" s="266" t="s">
        <v>571</v>
      </c>
      <c r="BL4" s="266" t="s">
        <v>571</v>
      </c>
      <c r="BM4" s="266" t="s">
        <v>571</v>
      </c>
      <c r="BN4" s="266" t="s">
        <v>571</v>
      </c>
      <c r="BO4" s="266" t="s">
        <v>571</v>
      </c>
      <c r="BP4" s="266" t="s">
        <v>571</v>
      </c>
      <c r="BQ4" s="266" t="s">
        <v>571</v>
      </c>
      <c r="BR4" s="266" t="s">
        <v>571</v>
      </c>
      <c r="BS4" s="267">
        <f t="shared" si="14"/>
      </c>
      <c r="BT4" s="254" t="str">
        <v>#VALUE!</v>
      </c>
    </row>
    <row customHeight="true" ht="18.51851851851852" r="5">
      <c r="A5" s="254" t="s">
        <v>578</v>
      </c>
      <c r="B5" s="254" t="s">
        <v>573</v>
      </c>
      <c r="C5" s="254" t="s">
        <v>574</v>
      </c>
      <c r="D5" s="255" t="s">
        <v>579</v>
      </c>
      <c r="E5" s="256" t="s">
        <v>570</v>
      </c>
      <c r="F5" s="257">
        <f t="shared" si="15"/>
      </c>
      <c r="G5" s="258">
        <v>32.989</v>
      </c>
      <c r="H5" s="257">
        <f t="shared" si="0"/>
      </c>
      <c r="I5" s="257">
        <f t="shared" si="5"/>
      </c>
      <c r="J5" s="257">
        <v>23.09</v>
      </c>
      <c r="K5" s="258">
        <v>32.989</v>
      </c>
      <c r="L5" s="259">
        <f t="shared" si="10"/>
      </c>
      <c r="M5" s="260">
        <f t="shared" si="16"/>
      </c>
      <c r="N5" s="257">
        <f t="shared" si="1"/>
      </c>
      <c r="O5" s="261">
        <f t="shared" si="6"/>
      </c>
      <c r="P5" s="259">
        <f t="shared" si="11"/>
      </c>
      <c r="Q5" s="257">
        <f t="shared" si="17"/>
      </c>
      <c r="R5" s="257">
        <f t="shared" si="2"/>
      </c>
      <c r="S5" s="254">
        <v>16</v>
      </c>
      <c r="T5" s="262">
        <v>7.4</v>
      </c>
      <c r="U5" s="263">
        <v>0.06</v>
      </c>
      <c r="V5" s="263">
        <v>0.1</v>
      </c>
      <c r="W5" s="263">
        <v>0.01</v>
      </c>
      <c r="X5" s="263">
        <f t="shared" si="7"/>
      </c>
      <c r="Y5" s="263">
        <f t="shared" si="12"/>
      </c>
      <c r="Z5" s="261">
        <v>0.158</v>
      </c>
      <c r="AA5" s="264">
        <f t="shared" si="18"/>
      </c>
      <c r="AB5" s="264">
        <f t="shared" si="3"/>
      </c>
      <c r="AC5" s="264">
        <f t="shared" si="8"/>
      </c>
      <c r="AD5" s="257">
        <f t="shared" si="13"/>
      </c>
      <c r="AE5" s="257">
        <v>61</v>
      </c>
      <c r="AF5" s="265">
        <f t="shared" si="19"/>
      </c>
      <c r="AG5" s="265">
        <v>8.8</v>
      </c>
      <c r="AH5" s="263">
        <f t="shared" si="4"/>
      </c>
      <c r="AI5" s="263">
        <f t="shared" si="9"/>
      </c>
      <c r="AJ5" s="265">
        <v>8.8</v>
      </c>
      <c r="AK5" s="263"/>
      <c r="AL5" s="263"/>
      <c r="AM5" s="263"/>
      <c r="AN5" s="263"/>
      <c r="AO5" s="266"/>
      <c r="AP5" s="266"/>
      <c r="AQ5" s="266"/>
      <c r="AR5" s="266"/>
      <c r="AS5" s="266"/>
      <c r="AT5" s="266"/>
      <c r="AU5" s="266" t="s">
        <v>571</v>
      </c>
      <c r="AV5" s="266" t="s">
        <v>571</v>
      </c>
      <c r="AW5" s="266" t="s">
        <v>571</v>
      </c>
      <c r="AX5" s="266" t="s">
        <v>571</v>
      </c>
      <c r="AY5" s="266" t="s">
        <v>571</v>
      </c>
      <c r="AZ5" s="266" t="s">
        <v>571</v>
      </c>
      <c r="BA5" s="266" t="s">
        <v>571</v>
      </c>
      <c r="BB5" s="266" t="s">
        <v>571</v>
      </c>
      <c r="BC5" s="266" t="s">
        <v>571</v>
      </c>
      <c r="BD5" s="266" t="s">
        <v>571</v>
      </c>
      <c r="BE5" s="266" t="s">
        <v>571</v>
      </c>
      <c r="BF5" s="266" t="s">
        <v>571</v>
      </c>
      <c r="BG5" s="266" t="s">
        <v>571</v>
      </c>
      <c r="BH5" s="266" t="s">
        <v>571</v>
      </c>
      <c r="BI5" s="266" t="s">
        <v>571</v>
      </c>
      <c r="BJ5" s="266" t="s">
        <v>571</v>
      </c>
      <c r="BK5" s="266" t="s">
        <v>571</v>
      </c>
      <c r="BL5" s="266" t="s">
        <v>571</v>
      </c>
      <c r="BM5" s="266" t="s">
        <v>571</v>
      </c>
      <c r="BN5" s="266" t="s">
        <v>571</v>
      </c>
      <c r="BO5" s="266" t="s">
        <v>571</v>
      </c>
      <c r="BP5" s="266" t="s">
        <v>571</v>
      </c>
      <c r="BQ5" s="266" t="s">
        <v>571</v>
      </c>
      <c r="BR5" s="266" t="s">
        <v>571</v>
      </c>
      <c r="BS5" s="267">
        <f t="shared" si="14"/>
      </c>
      <c r="BT5" s="254" t="str">
        <v>#VALUE!</v>
      </c>
    </row>
    <row customHeight="true" ht="18.51851851851852" r="6">
      <c r="A6" s="254" t="s">
        <v>580</v>
      </c>
      <c r="B6" s="254" t="s">
        <v>573</v>
      </c>
      <c r="C6" s="254" t="s">
        <v>574</v>
      </c>
      <c r="D6" s="255" t="s">
        <v>581</v>
      </c>
      <c r="E6" s="256" t="s">
        <v>570</v>
      </c>
      <c r="F6" s="257">
        <f t="shared" si="15"/>
      </c>
      <c r="G6" s="258">
        <v>32.989</v>
      </c>
      <c r="H6" s="257">
        <f t="shared" si="0"/>
      </c>
      <c r="I6" s="257">
        <f t="shared" si="5"/>
      </c>
      <c r="J6" s="257">
        <v>23.09</v>
      </c>
      <c r="K6" s="258">
        <v>32.989</v>
      </c>
      <c r="L6" s="259">
        <f t="shared" si="10"/>
      </c>
      <c r="M6" s="260">
        <f t="shared" si="16"/>
      </c>
      <c r="N6" s="257">
        <f t="shared" si="1"/>
      </c>
      <c r="O6" s="261">
        <f t="shared" si="6"/>
      </c>
      <c r="P6" s="259">
        <f t="shared" si="11"/>
      </c>
      <c r="Q6" s="257">
        <f t="shared" si="17"/>
      </c>
      <c r="R6" s="257">
        <f t="shared" si="2"/>
      </c>
      <c r="S6" s="254">
        <v>16</v>
      </c>
      <c r="T6" s="262">
        <v>7.4</v>
      </c>
      <c r="U6" s="263">
        <v>0.06</v>
      </c>
      <c r="V6" s="263">
        <v>0.1</v>
      </c>
      <c r="W6" s="263">
        <v>0.01</v>
      </c>
      <c r="X6" s="263">
        <f t="shared" si="7"/>
      </c>
      <c r="Y6" s="263">
        <f t="shared" si="12"/>
      </c>
      <c r="Z6" s="261">
        <v>0.158</v>
      </c>
      <c r="AA6" s="264">
        <f t="shared" si="18"/>
      </c>
      <c r="AB6" s="264">
        <f t="shared" si="3"/>
      </c>
      <c r="AC6" s="264">
        <f t="shared" si="8"/>
      </c>
      <c r="AD6" s="257">
        <f t="shared" si="13"/>
      </c>
      <c r="AE6" s="257">
        <v>61</v>
      </c>
      <c r="AF6" s="265">
        <f t="shared" si="19"/>
      </c>
      <c r="AG6" s="265">
        <v>8.8</v>
      </c>
      <c r="AH6" s="263">
        <f t="shared" si="4"/>
      </c>
      <c r="AI6" s="263">
        <f t="shared" si="9"/>
      </c>
      <c r="AJ6" s="265">
        <v>8.8</v>
      </c>
      <c r="AK6" s="263"/>
      <c r="AL6" s="263"/>
      <c r="AM6" s="263"/>
      <c r="AN6" s="263"/>
      <c r="AO6" s="266"/>
      <c r="AP6" s="266"/>
      <c r="AQ6" s="266"/>
      <c r="AR6" s="266"/>
      <c r="AS6" s="266"/>
      <c r="AT6" s="266"/>
      <c r="AU6" s="266" t="s">
        <v>571</v>
      </c>
      <c r="AV6" s="266" t="s">
        <v>571</v>
      </c>
      <c r="AW6" s="266" t="s">
        <v>571</v>
      </c>
      <c r="AX6" s="266" t="s">
        <v>571</v>
      </c>
      <c r="AY6" s="266" t="s">
        <v>571</v>
      </c>
      <c r="AZ6" s="266" t="s">
        <v>571</v>
      </c>
      <c r="BA6" s="266" t="s">
        <v>571</v>
      </c>
      <c r="BB6" s="266" t="s">
        <v>571</v>
      </c>
      <c r="BC6" s="266" t="s">
        <v>571</v>
      </c>
      <c r="BD6" s="266" t="s">
        <v>571</v>
      </c>
      <c r="BE6" s="266" t="s">
        <v>571</v>
      </c>
      <c r="BF6" s="266" t="s">
        <v>571</v>
      </c>
      <c r="BG6" s="266" t="s">
        <v>571</v>
      </c>
      <c r="BH6" s="266" t="s">
        <v>571</v>
      </c>
      <c r="BI6" s="266" t="s">
        <v>571</v>
      </c>
      <c r="BJ6" s="266" t="s">
        <v>571</v>
      </c>
      <c r="BK6" s="266" t="s">
        <v>571</v>
      </c>
      <c r="BL6" s="266" t="s">
        <v>571</v>
      </c>
      <c r="BM6" s="266" t="s">
        <v>571</v>
      </c>
      <c r="BN6" s="266" t="s">
        <v>571</v>
      </c>
      <c r="BO6" s="266" t="s">
        <v>571</v>
      </c>
      <c r="BP6" s="266" t="s">
        <v>571</v>
      </c>
      <c r="BQ6" s="266" t="s">
        <v>571</v>
      </c>
      <c r="BR6" s="266" t="s">
        <v>571</v>
      </c>
      <c r="BS6" s="267">
        <f t="shared" si="14"/>
      </c>
      <c r="BT6" s="254" t="str">
        <v>#VALUE!</v>
      </c>
    </row>
    <row customHeight="true" ht="18.51851851851852" r="7">
      <c r="A7" s="254" t="s">
        <v>582</v>
      </c>
      <c r="B7" s="254" t="s">
        <v>573</v>
      </c>
      <c r="C7" s="254" t="s">
        <v>574</v>
      </c>
      <c r="D7" s="255" t="s">
        <v>583</v>
      </c>
      <c r="E7" s="256" t="s">
        <v>570</v>
      </c>
      <c r="F7" s="257">
        <f t="shared" si="15"/>
      </c>
      <c r="G7" s="258">
        <v>32.989</v>
      </c>
      <c r="H7" s="257">
        <f t="shared" si="0"/>
      </c>
      <c r="I7" s="257">
        <f t="shared" si="5"/>
      </c>
      <c r="J7" s="257">
        <v>23.09</v>
      </c>
      <c r="K7" s="258">
        <v>32.989</v>
      </c>
      <c r="L7" s="259">
        <f t="shared" si="10"/>
      </c>
      <c r="M7" s="260">
        <f t="shared" si="16"/>
      </c>
      <c r="N7" s="257">
        <f t="shared" si="1"/>
      </c>
      <c r="O7" s="261">
        <f t="shared" si="6"/>
      </c>
      <c r="P7" s="259">
        <f t="shared" si="11"/>
      </c>
      <c r="Q7" s="257">
        <f t="shared" si="17"/>
      </c>
      <c r="R7" s="257">
        <f t="shared" si="2"/>
      </c>
      <c r="S7" s="254">
        <v>16</v>
      </c>
      <c r="T7" s="262">
        <v>7.4</v>
      </c>
      <c r="U7" s="263">
        <v>0.06</v>
      </c>
      <c r="V7" s="263">
        <v>0.1</v>
      </c>
      <c r="W7" s="263">
        <v>0.01</v>
      </c>
      <c r="X7" s="263">
        <f t="shared" si="7"/>
      </c>
      <c r="Y7" s="263">
        <f t="shared" si="12"/>
      </c>
      <c r="Z7" s="261">
        <v>0.158</v>
      </c>
      <c r="AA7" s="264">
        <f t="shared" si="18"/>
      </c>
      <c r="AB7" s="264">
        <f t="shared" si="3"/>
      </c>
      <c r="AC7" s="264">
        <f t="shared" si="8"/>
      </c>
      <c r="AD7" s="257">
        <f t="shared" si="13"/>
      </c>
      <c r="AE7" s="257">
        <v>61</v>
      </c>
      <c r="AF7" s="265">
        <f t="shared" si="19"/>
      </c>
      <c r="AG7" s="265">
        <v>8.8</v>
      </c>
      <c r="AH7" s="263">
        <f t="shared" si="4"/>
      </c>
      <c r="AI7" s="263">
        <f t="shared" si="9"/>
      </c>
      <c r="AJ7" s="265">
        <v>8.8</v>
      </c>
      <c r="AK7" s="263"/>
      <c r="AL7" s="263"/>
      <c r="AM7" s="263"/>
      <c r="AN7" s="263"/>
      <c r="AO7" s="266"/>
      <c r="AP7" s="266"/>
      <c r="AQ7" s="266"/>
      <c r="AR7" s="266"/>
      <c r="AS7" s="266"/>
      <c r="AT7" s="266"/>
      <c r="AU7" s="266" t="s">
        <v>571</v>
      </c>
      <c r="AV7" s="266" t="s">
        <v>571</v>
      </c>
      <c r="AW7" s="266" t="s">
        <v>571</v>
      </c>
      <c r="AX7" s="266" t="s">
        <v>571</v>
      </c>
      <c r="AY7" s="266" t="s">
        <v>571</v>
      </c>
      <c r="AZ7" s="266" t="s">
        <v>571</v>
      </c>
      <c r="BA7" s="266" t="s">
        <v>571</v>
      </c>
      <c r="BB7" s="266" t="s">
        <v>571</v>
      </c>
      <c r="BC7" s="266" t="s">
        <v>571</v>
      </c>
      <c r="BD7" s="266" t="s">
        <v>571</v>
      </c>
      <c r="BE7" s="266" t="s">
        <v>571</v>
      </c>
      <c r="BF7" s="266" t="s">
        <v>571</v>
      </c>
      <c r="BG7" s="266" t="s">
        <v>571</v>
      </c>
      <c r="BH7" s="266" t="s">
        <v>571</v>
      </c>
      <c r="BI7" s="266" t="s">
        <v>571</v>
      </c>
      <c r="BJ7" s="266" t="s">
        <v>571</v>
      </c>
      <c r="BK7" s="266" t="s">
        <v>571</v>
      </c>
      <c r="BL7" s="266" t="s">
        <v>571</v>
      </c>
      <c r="BM7" s="266" t="s">
        <v>571</v>
      </c>
      <c r="BN7" s="266" t="s">
        <v>571</v>
      </c>
      <c r="BO7" s="266" t="s">
        <v>571</v>
      </c>
      <c r="BP7" s="266" t="s">
        <v>571</v>
      </c>
      <c r="BQ7" s="266" t="s">
        <v>571</v>
      </c>
      <c r="BR7" s="266" t="s">
        <v>571</v>
      </c>
      <c r="BS7" s="267">
        <f t="shared" si="14"/>
      </c>
      <c r="BT7" s="254" t="str">
        <v>#VALUE!</v>
      </c>
    </row>
    <row customHeight="true" ht="18.51851851851852" r="8">
      <c r="A8" s="254" t="s">
        <v>584</v>
      </c>
      <c r="B8" s="254" t="s">
        <v>573</v>
      </c>
      <c r="C8" s="254" t="s">
        <v>574</v>
      </c>
      <c r="D8" s="255" t="s">
        <v>585</v>
      </c>
      <c r="E8" s="256" t="s">
        <v>570</v>
      </c>
      <c r="F8" s="257">
        <f t="shared" si="15"/>
      </c>
      <c r="G8" s="258">
        <v>32.989</v>
      </c>
      <c r="H8" s="257">
        <f t="shared" si="0"/>
      </c>
      <c r="I8" s="257">
        <f t="shared" si="5"/>
      </c>
      <c r="J8" s="257">
        <v>23.09</v>
      </c>
      <c r="K8" s="258">
        <v>32.989</v>
      </c>
      <c r="L8" s="259">
        <f t="shared" si="10"/>
      </c>
      <c r="M8" s="260">
        <f t="shared" si="16"/>
      </c>
      <c r="N8" s="257">
        <f t="shared" si="1"/>
      </c>
      <c r="O8" s="261">
        <f t="shared" si="6"/>
      </c>
      <c r="P8" s="259">
        <f t="shared" si="11"/>
      </c>
      <c r="Q8" s="257">
        <f t="shared" si="17"/>
      </c>
      <c r="R8" s="257">
        <f t="shared" si="2"/>
      </c>
      <c r="S8" s="254">
        <v>16</v>
      </c>
      <c r="T8" s="262">
        <v>7.4</v>
      </c>
      <c r="U8" s="263">
        <v>0.06</v>
      </c>
      <c r="V8" s="263">
        <v>0.1</v>
      </c>
      <c r="W8" s="263">
        <v>0.01</v>
      </c>
      <c r="X8" s="263">
        <f t="shared" si="7"/>
      </c>
      <c r="Y8" s="263">
        <f t="shared" si="12"/>
      </c>
      <c r="Z8" s="261">
        <v>0.158</v>
      </c>
      <c r="AA8" s="264">
        <f t="shared" si="18"/>
      </c>
      <c r="AB8" s="264">
        <f t="shared" si="3"/>
      </c>
      <c r="AC8" s="264">
        <f t="shared" si="8"/>
      </c>
      <c r="AD8" s="257">
        <f t="shared" si="13"/>
      </c>
      <c r="AE8" s="257">
        <v>61</v>
      </c>
      <c r="AF8" s="265">
        <f t="shared" si="19"/>
      </c>
      <c r="AG8" s="265">
        <v>8.8</v>
      </c>
      <c r="AH8" s="263">
        <f t="shared" si="4"/>
      </c>
      <c r="AI8" s="263">
        <f t="shared" si="9"/>
      </c>
      <c r="AJ8" s="265">
        <v>8.8</v>
      </c>
      <c r="AK8" s="263"/>
      <c r="AL8" s="263"/>
      <c r="AM8" s="263"/>
      <c r="AN8" s="263"/>
      <c r="AO8" s="266"/>
      <c r="AP8" s="266"/>
      <c r="AQ8" s="266"/>
      <c r="AR8" s="266"/>
      <c r="AS8" s="266"/>
      <c r="AT8" s="266"/>
      <c r="AU8" s="266" t="s">
        <v>571</v>
      </c>
      <c r="AV8" s="266" t="s">
        <v>571</v>
      </c>
      <c r="AW8" s="266" t="s">
        <v>571</v>
      </c>
      <c r="AX8" s="266" t="s">
        <v>571</v>
      </c>
      <c r="AY8" s="266" t="s">
        <v>571</v>
      </c>
      <c r="AZ8" s="266" t="s">
        <v>571</v>
      </c>
      <c r="BA8" s="266" t="s">
        <v>571</v>
      </c>
      <c r="BB8" s="266" t="s">
        <v>571</v>
      </c>
      <c r="BC8" s="266" t="s">
        <v>571</v>
      </c>
      <c r="BD8" s="266" t="s">
        <v>571</v>
      </c>
      <c r="BE8" s="266" t="s">
        <v>571</v>
      </c>
      <c r="BF8" s="266" t="s">
        <v>571</v>
      </c>
      <c r="BG8" s="266" t="s">
        <v>571</v>
      </c>
      <c r="BH8" s="266" t="s">
        <v>571</v>
      </c>
      <c r="BI8" s="266" t="s">
        <v>571</v>
      </c>
      <c r="BJ8" s="266" t="s">
        <v>571</v>
      </c>
      <c r="BK8" s="266" t="s">
        <v>571</v>
      </c>
      <c r="BL8" s="266" t="s">
        <v>571</v>
      </c>
      <c r="BM8" s="266" t="s">
        <v>571</v>
      </c>
      <c r="BN8" s="266" t="s">
        <v>571</v>
      </c>
      <c r="BO8" s="266" t="s">
        <v>571</v>
      </c>
      <c r="BP8" s="266" t="s">
        <v>571</v>
      </c>
      <c r="BQ8" s="266" t="s">
        <v>571</v>
      </c>
      <c r="BR8" s="266" t="s">
        <v>571</v>
      </c>
      <c r="BS8" s="267">
        <f t="shared" si="14"/>
      </c>
      <c r="BT8" s="254" t="str">
        <v>#VALUE!</v>
      </c>
    </row>
    <row customHeight="true" ht="18.51851851851852" r="9">
      <c r="A9" s="254" t="s">
        <v>586</v>
      </c>
      <c r="B9" s="254" t="s">
        <v>573</v>
      </c>
      <c r="C9" s="254" t="s">
        <v>574</v>
      </c>
      <c r="D9" s="255" t="s">
        <v>587</v>
      </c>
      <c r="E9" s="256" t="s">
        <v>570</v>
      </c>
      <c r="F9" s="257">
        <f t="shared" si="15"/>
      </c>
      <c r="G9" s="258">
        <v>32.989</v>
      </c>
      <c r="H9" s="257">
        <f t="shared" si="0"/>
      </c>
      <c r="I9" s="257">
        <f t="shared" si="5"/>
      </c>
      <c r="J9" s="257">
        <v>23.09</v>
      </c>
      <c r="K9" s="258">
        <v>32.989</v>
      </c>
      <c r="L9" s="259">
        <f t="shared" si="10"/>
      </c>
      <c r="M9" s="260">
        <f t="shared" si="16"/>
      </c>
      <c r="N9" s="257">
        <f t="shared" si="1"/>
      </c>
      <c r="O9" s="261">
        <f t="shared" si="6"/>
      </c>
      <c r="P9" s="259">
        <f t="shared" si="11"/>
      </c>
      <c r="Q9" s="257">
        <f t="shared" si="17"/>
      </c>
      <c r="R9" s="257">
        <f t="shared" si="2"/>
      </c>
      <c r="S9" s="254">
        <v>16</v>
      </c>
      <c r="T9" s="262">
        <v>7.4</v>
      </c>
      <c r="U9" s="263">
        <v>0.06</v>
      </c>
      <c r="V9" s="263">
        <v>0.1</v>
      </c>
      <c r="W9" s="263">
        <v>0.01</v>
      </c>
      <c r="X9" s="263">
        <f t="shared" si="7"/>
      </c>
      <c r="Y9" s="263">
        <f t="shared" si="12"/>
      </c>
      <c r="Z9" s="261">
        <v>0.158</v>
      </c>
      <c r="AA9" s="264">
        <f t="shared" si="18"/>
      </c>
      <c r="AB9" s="264">
        <f t="shared" si="3"/>
      </c>
      <c r="AC9" s="264">
        <f t="shared" si="8"/>
      </c>
      <c r="AD9" s="257">
        <f t="shared" si="13"/>
      </c>
      <c r="AE9" s="257">
        <v>61</v>
      </c>
      <c r="AF9" s="265">
        <f t="shared" si="19"/>
      </c>
      <c r="AG9" s="265">
        <v>8.8</v>
      </c>
      <c r="AH9" s="263">
        <f t="shared" si="4"/>
      </c>
      <c r="AI9" s="263">
        <f t="shared" si="9"/>
      </c>
      <c r="AJ9" s="265">
        <v>8.8</v>
      </c>
      <c r="AK9" s="263"/>
      <c r="AL9" s="263"/>
      <c r="AM9" s="263"/>
      <c r="AN9" s="263"/>
      <c r="AO9" s="266"/>
      <c r="AP9" s="266"/>
      <c r="AQ9" s="266"/>
      <c r="AR9" s="266"/>
      <c r="AS9" s="266"/>
      <c r="AT9" s="266"/>
      <c r="AU9" s="266" t="s">
        <v>571</v>
      </c>
      <c r="AV9" s="266" t="s">
        <v>571</v>
      </c>
      <c r="AW9" s="266" t="s">
        <v>571</v>
      </c>
      <c r="AX9" s="266" t="s">
        <v>571</v>
      </c>
      <c r="AY9" s="266" t="s">
        <v>571</v>
      </c>
      <c r="AZ9" s="266" t="s">
        <v>571</v>
      </c>
      <c r="BA9" s="266" t="s">
        <v>571</v>
      </c>
      <c r="BB9" s="266" t="s">
        <v>571</v>
      </c>
      <c r="BC9" s="266" t="s">
        <v>571</v>
      </c>
      <c r="BD9" s="266" t="s">
        <v>571</v>
      </c>
      <c r="BE9" s="266" t="s">
        <v>571</v>
      </c>
      <c r="BF9" s="266" t="s">
        <v>571</v>
      </c>
      <c r="BG9" s="266" t="s">
        <v>571</v>
      </c>
      <c r="BH9" s="266" t="s">
        <v>571</v>
      </c>
      <c r="BI9" s="266" t="s">
        <v>571</v>
      </c>
      <c r="BJ9" s="266" t="s">
        <v>571</v>
      </c>
      <c r="BK9" s="266" t="s">
        <v>571</v>
      </c>
      <c r="BL9" s="266" t="s">
        <v>571</v>
      </c>
      <c r="BM9" s="266" t="s">
        <v>571</v>
      </c>
      <c r="BN9" s="266" t="s">
        <v>571</v>
      </c>
      <c r="BO9" s="266" t="s">
        <v>571</v>
      </c>
      <c r="BP9" s="266" t="s">
        <v>571</v>
      </c>
      <c r="BQ9" s="266" t="s">
        <v>571</v>
      </c>
      <c r="BR9" s="266" t="s">
        <v>571</v>
      </c>
      <c r="BS9" s="267">
        <f t="shared" si="14"/>
      </c>
      <c r="BT9" s="254" t="str">
        <v>#VALUE!</v>
      </c>
    </row>
    <row customHeight="true" ht="18.51851851851852" r="10">
      <c r="A10" s="254" t="s">
        <v>588</v>
      </c>
      <c r="B10" s="254" t="s">
        <v>573</v>
      </c>
      <c r="C10" s="254" t="s">
        <v>574</v>
      </c>
      <c r="D10" s="255" t="s">
        <v>589</v>
      </c>
      <c r="E10" s="256" t="s">
        <v>570</v>
      </c>
      <c r="F10" s="257">
        <f t="shared" si="15"/>
      </c>
      <c r="G10" s="258">
        <v>32.989</v>
      </c>
      <c r="H10" s="257">
        <f t="shared" si="0"/>
      </c>
      <c r="I10" s="257">
        <f t="shared" si="5"/>
      </c>
      <c r="J10" s="257">
        <v>23.09</v>
      </c>
      <c r="K10" s="258">
        <v>32.989</v>
      </c>
      <c r="L10" s="259">
        <f t="shared" si="10"/>
      </c>
      <c r="M10" s="260">
        <f t="shared" si="16"/>
      </c>
      <c r="N10" s="257">
        <f t="shared" si="1"/>
      </c>
      <c r="O10" s="261">
        <f t="shared" si="6"/>
      </c>
      <c r="P10" s="259">
        <f t="shared" si="11"/>
      </c>
      <c r="Q10" s="257">
        <f t="shared" si="17"/>
      </c>
      <c r="R10" s="257">
        <f t="shared" si="2"/>
      </c>
      <c r="S10" s="254">
        <v>16</v>
      </c>
      <c r="T10" s="262">
        <v>7.4</v>
      </c>
      <c r="U10" s="263">
        <v>0.06</v>
      </c>
      <c r="V10" s="263">
        <v>0.1</v>
      </c>
      <c r="W10" s="263">
        <v>0.01</v>
      </c>
      <c r="X10" s="263">
        <f t="shared" si="7"/>
      </c>
      <c r="Y10" s="263">
        <f t="shared" si="12"/>
      </c>
      <c r="Z10" s="261">
        <v>0.158</v>
      </c>
      <c r="AA10" s="264">
        <f t="shared" si="18"/>
      </c>
      <c r="AB10" s="264">
        <f t="shared" si="3"/>
      </c>
      <c r="AC10" s="264">
        <f t="shared" si="8"/>
      </c>
      <c r="AD10" s="257">
        <f t="shared" si="13"/>
      </c>
      <c r="AE10" s="257">
        <v>61</v>
      </c>
      <c r="AF10" s="265">
        <f t="shared" si="19"/>
      </c>
      <c r="AG10" s="265">
        <v>8.8</v>
      </c>
      <c r="AH10" s="263">
        <f t="shared" si="4"/>
      </c>
      <c r="AI10" s="263">
        <f t="shared" si="9"/>
      </c>
      <c r="AJ10" s="265">
        <v>8.8</v>
      </c>
      <c r="AK10" s="263"/>
      <c r="AL10" s="263"/>
      <c r="AM10" s="263"/>
      <c r="AN10" s="263"/>
      <c r="AO10" s="266"/>
      <c r="AP10" s="266"/>
      <c r="AQ10" s="266"/>
      <c r="AR10" s="266"/>
      <c r="AS10" s="266"/>
      <c r="AT10" s="266"/>
      <c r="AU10" s="266" t="s">
        <v>571</v>
      </c>
      <c r="AV10" s="266" t="s">
        <v>571</v>
      </c>
      <c r="AW10" s="266" t="s">
        <v>571</v>
      </c>
      <c r="AX10" s="266" t="s">
        <v>571</v>
      </c>
      <c r="AY10" s="266" t="s">
        <v>571</v>
      </c>
      <c r="AZ10" s="266" t="s">
        <v>571</v>
      </c>
      <c r="BA10" s="266" t="s">
        <v>571</v>
      </c>
      <c r="BB10" s="266" t="s">
        <v>571</v>
      </c>
      <c r="BC10" s="266" t="s">
        <v>571</v>
      </c>
      <c r="BD10" s="266" t="s">
        <v>571</v>
      </c>
      <c r="BE10" s="266" t="s">
        <v>571</v>
      </c>
      <c r="BF10" s="266" t="s">
        <v>571</v>
      </c>
      <c r="BG10" s="266" t="s">
        <v>571</v>
      </c>
      <c r="BH10" s="266" t="s">
        <v>571</v>
      </c>
      <c r="BI10" s="266" t="s">
        <v>571</v>
      </c>
      <c r="BJ10" s="266" t="s">
        <v>571</v>
      </c>
      <c r="BK10" s="266" t="s">
        <v>571</v>
      </c>
      <c r="BL10" s="266" t="s">
        <v>571</v>
      </c>
      <c r="BM10" s="266" t="s">
        <v>571</v>
      </c>
      <c r="BN10" s="266" t="s">
        <v>571</v>
      </c>
      <c r="BO10" s="266" t="s">
        <v>571</v>
      </c>
      <c r="BP10" s="266" t="s">
        <v>571</v>
      </c>
      <c r="BQ10" s="266" t="s">
        <v>571</v>
      </c>
      <c r="BR10" s="266" t="s">
        <v>571</v>
      </c>
      <c r="BS10" s="267">
        <f t="shared" si="14"/>
      </c>
      <c r="BT10" s="254" t="str">
        <v>#VALUE!</v>
      </c>
    </row>
    <row customHeight="true" ht="18.51851851851852" r="11"/>
    <row customHeight="true" ht="18.51851851851852" r="12"/>
    <row customHeight="true" ht="18.51851851851852" r="13"/>
    <row customHeight="true" ht="18.51851851851852" r="14"/>
    <row customHeight="true" ht="18.51851851851852" r="15"/>
    <row customHeight="true" ht="18.51851851851852" r="16"/>
    <row customHeight="true" ht="18.51851851851852" r="17"/>
    <row customHeight="true" ht="18.51851851851852" r="18"/>
    <row customHeight="true" ht="18.51851851851852" r="19"/>
    <row customHeight="true" ht="18.51851851851852" r="20"/>
  </sheetData>
  <conditionalFormatting sqref="M2:M10 AA2:AC10">
    <cfRule dxfId="17" operator="lessThanOrEqual" priority="1" stopIfTrue="true" type="cellIs">
      <formula>0</formula>
    </cfRule>
  </conditionalFormatting>
  <conditionalFormatting sqref="M2:M10">
    <cfRule dxfId="18" operator="lessThanOrEqual" priority="2" stopIfTrue="true" type="cellIs">
      <formula>0</formula>
    </cfRule>
  </conditionalFormatting>
  <conditionalFormatting sqref="L1:M1 Q1:R1 AA1:AA1">
    <cfRule dxfId="19" operator="lessThanOrEqual" priority="3" stopIfTrue="true" type="cellIs">
      <formula>0</formula>
    </cfRule>
  </conditionalFormatting>
  <conditionalFormatting sqref="L2:M10 AA2:AC10">
    <cfRule dxfId="20" operator="lessThanOrEqual" priority="4" stopIfTrue="true" type="cellIs">
      <formula>0</formula>
    </cfRule>
  </conditionalFormatting>
</worksheet>
</file>

<file path=xl/worksheets/sheet1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E1" xSplit="4"/>
    </sheetView>
  </sheetViews>
  <sheetFormatPr defaultRowHeight="16"/>
  <cols>
    <col collapsed="false" customWidth="true" hidden="false" max="15" min="15" style="0" width="17.4"/>
    <col collapsed="false" customWidth="true" hidden="false" max="31" min="31" style="0" width="17.4"/>
    <col collapsed="false" customWidth="true" hidden="false" max="34" min="34" style="0" width="17.4"/>
    <col collapsed="false" customWidth="true" hidden="false" max="50" min="50" style="0" width="17.4"/>
    <col collapsed="false" customWidth="true" hidden="false" max="16" min="16" style="0" width="21.133333333333333"/>
    <col collapsed="false" customWidth="true" hidden="false" max="32" min="32" style="0" width="17.4"/>
    <col collapsed="false" customWidth="true" hidden="false" max="47" min="47" style="0" width="17.4"/>
    <col collapsed="false" customWidth="true" hidden="false" max="63" min="63" style="0" width="17.4"/>
    <col collapsed="false" customWidth="true" hidden="false" max="77" min="77" style="0" width="17.4"/>
    <col collapsed="false" customWidth="true" hidden="false" max="13" min="13" style="0" width="17.4"/>
    <col collapsed="false" customWidth="true" hidden="false" max="29" min="29" style="0" width="17.4"/>
    <col collapsed="false" customWidth="true" hidden="false" max="48" min="48" style="0" width="17.4"/>
    <col collapsed="false" customWidth="true" hidden="false" max="64" min="64" style="0" width="17.4"/>
    <col collapsed="false" customWidth="true" hidden="false" max="14" min="14" style="0" width="17.4"/>
    <col collapsed="false" customWidth="true" hidden="false" max="30" min="30" style="0" width="17.4"/>
    <col collapsed="false" customWidth="true" hidden="false" max="45" min="45" style="0" width="17.4"/>
    <col collapsed="false" customWidth="true" hidden="false" max="61" min="61" style="0" width="17.4"/>
    <col collapsed="false" customWidth="true" hidden="false" max="75" min="75" style="0" width="21.666666666666668"/>
    <col collapsed="false" customWidth="true" hidden="false" max="11" min="11" style="0" width="10.066666666666666"/>
    <col collapsed="false" customWidth="true" hidden="false" max="27" min="27" style="0" width="12.2"/>
    <col collapsed="false" customWidth="true" hidden="false" max="43" min="43" style="0" width="17.4"/>
    <col collapsed="false" customWidth="true" hidden="false" max="46" min="46" style="0" width="17.4"/>
    <col collapsed="false" customWidth="true" hidden="false" max="62" min="62" style="0" width="17.4"/>
    <col collapsed="false" customWidth="true" hidden="false" max="76" min="76" style="0" width="17.4"/>
    <col collapsed="false" customWidth="true" hidden="false" max="12" min="12" style="0" width="17.4"/>
    <col collapsed="false" customWidth="true" hidden="false" max="28" min="28" style="0" width="17.4"/>
    <col collapsed="false" customWidth="true" hidden="false" max="44" min="44" style="0" width="17.4"/>
    <col collapsed="false" customWidth="true" hidden="false" max="59" min="59" style="0" width="17.4"/>
    <col collapsed="false" customWidth="true" hidden="false" max="73" min="73" style="0" width="27.933333333333334"/>
    <col collapsed="false" customWidth="true" hidden="false" max="9" min="9" style="0" width="10.466666666666667"/>
    <col collapsed="false" customWidth="true" hidden="false" max="25" min="25" style="0" width="13.666666666666666"/>
    <col collapsed="false" customWidth="true" hidden="false" max="41" min="41" style="0" width="17.4"/>
    <col collapsed="false" customWidth="true" hidden="false" max="60" min="60" style="0" width="17.4"/>
    <col collapsed="false" customWidth="true" hidden="false" max="74" min="74" style="0" width="22.066666666666666"/>
    <col collapsed="false" customWidth="true" hidden="false" max="10" min="10" style="0" width="13.266666666666667"/>
    <col collapsed="false" customWidth="true" hidden="false" max="26" min="26" style="0" width="12.2"/>
    <col collapsed="false" customWidth="true" hidden="false" max="42" min="42" style="0" width="17.4"/>
    <col collapsed="false" customWidth="true" hidden="false" max="57" min="57" style="0" width="17.4"/>
    <col collapsed="false" customWidth="true" hidden="false" max="71" min="71" style="0" width="17.4"/>
    <col collapsed="false" customWidth="true" hidden="false" max="7" min="7" style="0" width="17.4"/>
    <col collapsed="false" customWidth="true" hidden="false" max="23" min="23" style="0" width="37.53333333333333"/>
    <col collapsed="false" customWidth="true" hidden="false" max="58" min="58" style="0" width="17.4"/>
    <col collapsed="false" customWidth="true" hidden="false" max="72" min="72" style="0" width="17.4"/>
    <col collapsed="false" customWidth="true" hidden="false" max="8" min="8" style="0" width="7"/>
    <col collapsed="false" customWidth="true" hidden="false" max="24" min="24" style="0" width="17.4"/>
    <col collapsed="false" customWidth="true" hidden="false" max="39" min="39" style="0" width="17.4"/>
    <col collapsed="false" customWidth="true" hidden="false" max="55" min="55" style="0" width="17.4"/>
    <col collapsed="false" customWidth="true" hidden="false" max="69" min="69" style="0" width="17.4"/>
    <col collapsed="false" customWidth="true" hidden="false" max="5" min="5" style="0" width="11.266666666666667"/>
    <col collapsed="false" customWidth="true" hidden="false" max="21" min="21" style="0" width="20.733333333333334"/>
    <col collapsed="false" customWidth="true" hidden="false" max="40" min="40" style="0" width="17.4"/>
    <col collapsed="false" customWidth="true" hidden="false" max="56" min="56" style="0" width="17.4"/>
    <col collapsed="false" customWidth="true" hidden="false" max="70" min="70" style="0" width="17.4"/>
    <col collapsed="false" customWidth="true" hidden="false" max="6" min="6" style="0" width="12.733333333333333"/>
    <col collapsed="false" customWidth="true" hidden="false" max="22" min="22" style="0" width="37.53333333333333"/>
    <col collapsed="false" customWidth="true" hidden="false" max="37" min="37" style="0" width="17.4"/>
    <col collapsed="false" customWidth="true" hidden="false" max="53" min="53" style="0" width="17.4"/>
    <col collapsed="false" customWidth="true" hidden="false" max="67" min="67" style="0" width="17.4"/>
    <col collapsed="false" customWidth="true" hidden="false" max="3" min="3" style="0" width="22.733333333333334"/>
    <col collapsed="false" customWidth="true" hidden="false" max="19" min="19" style="0" width="17.4"/>
    <col collapsed="false" customWidth="true" hidden="false" max="38" min="38" style="0" width="17.4"/>
    <col collapsed="false" customWidth="true" hidden="false" max="54" min="54" style="0" width="17.4"/>
    <col collapsed="false" customWidth="true" hidden="false" max="68" min="68" style="0" width="17.4"/>
    <col collapsed="false" customWidth="true" hidden="false" max="4" min="4" style="0" width="15.666666666666666"/>
    <col collapsed="false" customWidth="true" hidden="false" max="20" min="20" style="0" width="17.4"/>
    <col collapsed="false" customWidth="true" hidden="false" max="35" min="35" style="0" width="17.4"/>
    <col collapsed="false" customWidth="true" hidden="false" max="51" min="51" style="0" width="17.4"/>
    <col collapsed="false" customWidth="true" hidden="false" max="65" min="65" style="0" width="17.4"/>
    <col collapsed="false" customWidth="true" hidden="false" max="1" min="1" style="0" width="13.933333333333334"/>
    <col collapsed="false" customWidth="true" hidden="false" max="17" min="17" style="0" width="41.4"/>
    <col collapsed="false" customWidth="true" hidden="false" max="36" min="36" style="0" width="17.4"/>
    <col collapsed="false" customWidth="true" hidden="false" max="52" min="52" style="0" width="17.4"/>
    <col collapsed="false" customWidth="true" hidden="false" max="66" min="66" style="0" width="17.4"/>
    <col collapsed="false" customWidth="true" hidden="false" max="2" min="2" style="0" width="15.933333333333334"/>
    <col collapsed="false" customWidth="true" hidden="false" max="18" min="18" style="0" width="17.4"/>
    <col collapsed="false" customWidth="true" hidden="false" max="33" min="33" style="0" width="17.4"/>
    <col collapsed="false" customWidth="true" hidden="false" max="49" min="49" style="0" width="17.4"/>
  </cols>
  <sheetData>
    <row customHeight="true" ht="18.51851851851852" r="1">
      <c r="A1" s="268" t="s">
        <v>590</v>
      </c>
      <c r="B1" s="268" t="s">
        <v>591</v>
      </c>
      <c r="C1" s="268" t="s">
        <v>592</v>
      </c>
      <c r="D1" s="268" t="s">
        <v>593</v>
      </c>
      <c r="E1" s="268" t="s">
        <v>594</v>
      </c>
      <c r="F1" s="268" t="s">
        <v>595</v>
      </c>
      <c r="G1" s="268" t="s">
        <v>596</v>
      </c>
      <c r="H1" s="268" t="s">
        <v>597</v>
      </c>
      <c r="I1" s="268" t="s">
        <v>598</v>
      </c>
      <c r="J1" s="268" t="s">
        <v>599</v>
      </c>
      <c r="K1" s="268" t="s">
        <v>600</v>
      </c>
      <c r="L1" s="268" t="s">
        <v>601</v>
      </c>
      <c r="M1" s="268" t="s">
        <v>602</v>
      </c>
      <c r="N1" s="268" t="s">
        <v>603</v>
      </c>
      <c r="O1" s="269" t="s">
        <v>604</v>
      </c>
      <c r="P1" s="268" t="s">
        <v>605</v>
      </c>
      <c r="Q1" s="269" t="s">
        <v>606</v>
      </c>
      <c r="R1" s="268" t="s">
        <v>607</v>
      </c>
      <c r="S1" s="269" t="s">
        <v>608</v>
      </c>
      <c r="T1" s="268" t="s">
        <v>609</v>
      </c>
      <c r="U1" s="268" t="s">
        <v>610</v>
      </c>
      <c r="V1" s="268" t="s">
        <v>611</v>
      </c>
      <c r="W1" s="268" t="s">
        <v>612</v>
      </c>
      <c r="X1" s="268" t="s">
        <v>613</v>
      </c>
      <c r="Y1" s="268" t="s">
        <v>614</v>
      </c>
      <c r="Z1" s="268" t="s">
        <v>615</v>
      </c>
      <c r="AA1" s="268" t="s">
        <v>616</v>
      </c>
      <c r="AB1" s="268" t="s">
        <v>617</v>
      </c>
      <c r="AC1" s="268" t="s">
        <v>618</v>
      </c>
      <c r="AD1" s="268" t="s">
        <v>619</v>
      </c>
      <c r="AE1" s="268" t="s">
        <v>620</v>
      </c>
      <c r="AF1" s="268" t="s">
        <v>621</v>
      </c>
      <c r="AG1" s="268" t="s">
        <v>622</v>
      </c>
      <c r="AH1" s="268" t="s">
        <v>623</v>
      </c>
      <c r="AI1" s="268" t="s">
        <v>624</v>
      </c>
      <c r="AJ1" s="268" t="s">
        <v>625</v>
      </c>
      <c r="AK1" s="268" t="s">
        <v>626</v>
      </c>
      <c r="AL1" s="268" t="s">
        <v>627</v>
      </c>
      <c r="AM1" s="268" t="s">
        <v>628</v>
      </c>
      <c r="AN1" s="268" t="s">
        <v>629</v>
      </c>
      <c r="AO1" s="268" t="s">
        <v>630</v>
      </c>
      <c r="AP1" s="268" t="s">
        <v>623</v>
      </c>
      <c r="AQ1" s="268" t="s">
        <v>631</v>
      </c>
      <c r="AR1" s="268" t="s">
        <v>632</v>
      </c>
      <c r="AS1" s="268" t="s">
        <v>633</v>
      </c>
      <c r="AT1" s="268" t="s">
        <v>634</v>
      </c>
      <c r="AU1" s="268" t="s">
        <v>635</v>
      </c>
      <c r="AV1" s="268" t="s">
        <v>636</v>
      </c>
      <c r="AW1" s="268" t="s">
        <v>637</v>
      </c>
      <c r="AX1" s="268" t="s">
        <v>638</v>
      </c>
      <c r="AY1" s="268" t="s">
        <v>639</v>
      </c>
      <c r="AZ1" s="268" t="s">
        <v>640</v>
      </c>
      <c r="BA1" s="268" t="s">
        <v>641</v>
      </c>
      <c r="BB1" s="268" t="s">
        <v>642</v>
      </c>
      <c r="BC1" s="268" t="s">
        <v>643</v>
      </c>
      <c r="BD1" s="268" t="s">
        <v>644</v>
      </c>
      <c r="BE1" s="268" t="s">
        <v>645</v>
      </c>
      <c r="BF1" s="268" t="s">
        <v>646</v>
      </c>
      <c r="BG1" s="268" t="s">
        <v>647</v>
      </c>
      <c r="BH1" s="268" t="s">
        <v>648</v>
      </c>
      <c r="BI1" s="268" t="s">
        <v>649</v>
      </c>
      <c r="BJ1" s="268" t="s">
        <v>650</v>
      </c>
      <c r="BK1" s="268" t="s">
        <v>651</v>
      </c>
      <c r="BL1" s="268" t="s">
        <v>652</v>
      </c>
      <c r="BM1" s="268" t="s">
        <v>653</v>
      </c>
      <c r="BN1" s="268" t="s">
        <v>654</v>
      </c>
      <c r="BO1" s="268" t="s">
        <v>655</v>
      </c>
      <c r="BP1" s="268" t="s">
        <v>656</v>
      </c>
      <c r="BQ1" s="268" t="s">
        <v>657</v>
      </c>
      <c r="BR1" s="268" t="s">
        <v>658</v>
      </c>
      <c r="BS1" s="268" t="s">
        <v>659</v>
      </c>
      <c r="BT1" s="268" t="s">
        <v>660</v>
      </c>
      <c r="BU1" s="270" t="s">
        <v>661</v>
      </c>
      <c r="BV1" s="271" t="s">
        <v>662</v>
      </c>
      <c r="BW1" s="271" t="s">
        <v>663</v>
      </c>
      <c r="BX1" s="268" t="s">
        <v>664</v>
      </c>
      <c r="BY1" s="268" t="s">
        <v>665</v>
      </c>
    </row>
    <row customHeight="true" ht="18.51851851851852" r="2">
      <c r="A2" s="272" t="s">
        <v>666</v>
      </c>
      <c r="B2" s="272" t="s">
        <v>667</v>
      </c>
      <c r="C2" s="272" t="s">
        <v>668</v>
      </c>
      <c r="D2" s="273">
        <v>45734</v>
      </c>
      <c r="E2" s="272" t="s">
        <v>669</v>
      </c>
      <c r="F2" s="272" t="s">
        <v>670</v>
      </c>
      <c r="G2" s="272" t="s">
        <v>671</v>
      </c>
      <c r="H2" s="272" t="s">
        <v>672</v>
      </c>
      <c r="I2" s="272" t="s">
        <v>673</v>
      </c>
      <c r="J2" s="272" t="s">
        <v>674</v>
      </c>
      <c r="K2" s="272" t="s">
        <v>675</v>
      </c>
      <c r="L2" s="274" t="s">
        <v>676</v>
      </c>
      <c r="M2" s="272" t="s">
        <v>677</v>
      </c>
      <c r="N2" s="272" t="s">
        <v>678</v>
      </c>
      <c r="O2" s="275" t="s">
        <v>679</v>
      </c>
      <c r="P2" s="272" t="s">
        <v>680</v>
      </c>
      <c r="Q2" s="275" t="s">
        <v>681</v>
      </c>
      <c r="R2" s="276" t="s">
        <v>682</v>
      </c>
      <c r="S2" s="275" t="s">
        <v>683</v>
      </c>
      <c r="T2" s="272" t="s">
        <v>677</v>
      </c>
      <c r="U2" s="272"/>
      <c r="V2" s="275" t="s">
        <v>684</v>
      </c>
      <c r="W2" s="272" t="s">
        <v>685</v>
      </c>
      <c r="X2" s="272" t="s">
        <v>667</v>
      </c>
      <c r="Y2" s="277">
        <v>432</v>
      </c>
      <c r="Z2" s="273">
        <v>45767</v>
      </c>
      <c r="AA2" s="273">
        <v>45777</v>
      </c>
      <c r="AB2" s="273">
        <v>45784</v>
      </c>
      <c r="AC2" s="272" t="s">
        <v>675</v>
      </c>
      <c r="AD2" s="272" t="s">
        <v>675</v>
      </c>
      <c r="AE2" s="272" t="s">
        <v>675</v>
      </c>
      <c r="AF2" s="272" t="s">
        <v>675</v>
      </c>
      <c r="AG2" s="273">
        <v>45754</v>
      </c>
      <c r="AH2" s="273"/>
      <c r="AI2" s="278" t="s">
        <v>686</v>
      </c>
      <c r="AJ2" s="273">
        <v>45776</v>
      </c>
      <c r="AK2" s="278"/>
      <c r="AL2" s="272" t="s">
        <v>687</v>
      </c>
      <c r="AM2" s="272"/>
      <c r="AN2" s="272"/>
      <c r="AO2" s="272">
        <v>5</v>
      </c>
      <c r="AP2" s="273">
        <v>45776</v>
      </c>
      <c r="AQ2" s="272"/>
      <c r="AR2" s="272">
        <v>5</v>
      </c>
      <c r="AS2" s="272"/>
      <c r="AT2" s="272"/>
      <c r="AU2" s="272" t="s">
        <v>675</v>
      </c>
      <c r="AV2" s="272" t="s">
        <v>675</v>
      </c>
      <c r="AW2" s="273">
        <v>45777</v>
      </c>
      <c r="AX2" s="272" t="s">
        <v>675</v>
      </c>
      <c r="AY2" s="273">
        <v>45748</v>
      </c>
      <c r="AZ2" s="273">
        <v>45765</v>
      </c>
      <c r="BA2" s="272" t="s">
        <v>675</v>
      </c>
      <c r="BB2" s="272" t="s">
        <v>675</v>
      </c>
      <c r="BC2" s="272" t="s">
        <v>680</v>
      </c>
      <c r="BD2" s="272" t="s">
        <v>680</v>
      </c>
      <c r="BE2" s="272" t="s">
        <v>675</v>
      </c>
      <c r="BF2" s="272" t="s">
        <v>675</v>
      </c>
      <c r="BG2" s="272" t="s">
        <v>675</v>
      </c>
      <c r="BH2" s="272" t="s">
        <v>680</v>
      </c>
      <c r="BI2" s="272" t="s">
        <v>675</v>
      </c>
      <c r="BJ2" s="272" t="s">
        <v>680</v>
      </c>
      <c r="BK2" s="272" t="s">
        <v>675</v>
      </c>
      <c r="BL2" s="272" t="s">
        <v>675</v>
      </c>
      <c r="BM2" s="279">
        <v>1</v>
      </c>
      <c r="BN2" s="272" t="s">
        <v>680</v>
      </c>
      <c r="BO2" s="272" t="s">
        <v>680</v>
      </c>
      <c r="BP2" s="272" t="s">
        <v>675</v>
      </c>
      <c r="BQ2" s="272" t="s">
        <v>675</v>
      </c>
      <c r="BR2" s="272" t="s">
        <v>675</v>
      </c>
      <c r="BS2" s="272" t="s">
        <v>675</v>
      </c>
      <c r="BT2" s="272" t="s">
        <v>675</v>
      </c>
      <c r="BU2" s="280" t="s">
        <v>688</v>
      </c>
      <c r="BV2" s="272" t="s">
        <v>689</v>
      </c>
      <c r="BW2" s="272" t="s">
        <v>663</v>
      </c>
      <c r="BX2" s="276" t="s">
        <v>690</v>
      </c>
      <c r="BY2" s="276" t="s">
        <v>691</v>
      </c>
    </row>
    <row customHeight="true" ht="18.51851851851852" r="3">
      <c r="A3" s="272" t="s">
        <v>692</v>
      </c>
      <c r="B3" s="272" t="s">
        <v>693</v>
      </c>
      <c r="C3" s="272" t="s">
        <v>694</v>
      </c>
      <c r="D3" s="273">
        <v>45734</v>
      </c>
      <c r="E3" s="272" t="s">
        <v>669</v>
      </c>
      <c r="F3" s="272" t="s">
        <v>670</v>
      </c>
      <c r="G3" s="272" t="s">
        <v>671</v>
      </c>
      <c r="H3" s="272" t="s">
        <v>695</v>
      </c>
      <c r="I3" s="272" t="s">
        <v>673</v>
      </c>
      <c r="J3" s="272" t="s">
        <v>674</v>
      </c>
      <c r="K3" s="272" t="s">
        <v>675</v>
      </c>
      <c r="L3" s="274" t="s">
        <v>676</v>
      </c>
      <c r="M3" s="272" t="s">
        <v>677</v>
      </c>
      <c r="N3" s="272" t="s">
        <v>678</v>
      </c>
      <c r="O3" s="275" t="s">
        <v>696</v>
      </c>
      <c r="P3" s="272" t="s">
        <v>680</v>
      </c>
      <c r="Q3" s="275" t="s">
        <v>697</v>
      </c>
      <c r="R3" s="272" t="s">
        <v>677</v>
      </c>
      <c r="S3" s="281"/>
      <c r="T3" s="272" t="s">
        <v>677</v>
      </c>
      <c r="U3" s="272"/>
      <c r="V3" s="275" t="s">
        <v>684</v>
      </c>
      <c r="W3" s="272" t="s">
        <v>698</v>
      </c>
      <c r="X3" s="272" t="s">
        <v>693</v>
      </c>
      <c r="Y3" s="277">
        <v>270</v>
      </c>
      <c r="Z3" s="273">
        <v>45767</v>
      </c>
      <c r="AA3" s="273">
        <v>45777</v>
      </c>
      <c r="AB3" s="273">
        <v>45784</v>
      </c>
      <c r="AC3" s="272" t="s">
        <v>675</v>
      </c>
      <c r="AD3" s="272" t="s">
        <v>675</v>
      </c>
      <c r="AE3" s="272" t="s">
        <v>675</v>
      </c>
      <c r="AF3" s="272" t="s">
        <v>675</v>
      </c>
      <c r="AG3" s="273">
        <v>45754</v>
      </c>
      <c r="AH3" s="273"/>
      <c r="AI3" s="278" t="s">
        <v>686</v>
      </c>
      <c r="AJ3" s="273">
        <v>45776</v>
      </c>
      <c r="AK3" s="278"/>
      <c r="AL3" s="274" t="s">
        <v>687</v>
      </c>
      <c r="AM3" s="274"/>
      <c r="AN3" s="274"/>
      <c r="AO3" s="272">
        <v>5</v>
      </c>
      <c r="AP3" s="273">
        <v>45776</v>
      </c>
      <c r="AQ3" s="272"/>
      <c r="AR3" s="272">
        <v>5</v>
      </c>
      <c r="AS3" s="272"/>
      <c r="AT3" s="272"/>
      <c r="AU3" s="272" t="s">
        <v>675</v>
      </c>
      <c r="AV3" s="272" t="s">
        <v>675</v>
      </c>
      <c r="AW3" s="273">
        <v>45777</v>
      </c>
      <c r="AX3" s="272" t="s">
        <v>675</v>
      </c>
      <c r="AY3" s="273">
        <v>45748</v>
      </c>
      <c r="AZ3" s="273">
        <v>45765</v>
      </c>
      <c r="BA3" s="272" t="s">
        <v>675</v>
      </c>
      <c r="BB3" s="272" t="s">
        <v>675</v>
      </c>
      <c r="BC3" s="272" t="s">
        <v>680</v>
      </c>
      <c r="BD3" s="272" t="s">
        <v>680</v>
      </c>
      <c r="BE3" s="272" t="s">
        <v>675</v>
      </c>
      <c r="BF3" s="272" t="s">
        <v>675</v>
      </c>
      <c r="BG3" s="272" t="s">
        <v>675</v>
      </c>
      <c r="BH3" s="272" t="s">
        <v>680</v>
      </c>
      <c r="BI3" s="272" t="s">
        <v>675</v>
      </c>
      <c r="BJ3" s="272" t="s">
        <v>680</v>
      </c>
      <c r="BK3" s="272" t="s">
        <v>675</v>
      </c>
      <c r="BL3" s="272" t="s">
        <v>675</v>
      </c>
      <c r="BM3" s="279">
        <v>1</v>
      </c>
      <c r="BN3" s="272" t="s">
        <v>680</v>
      </c>
      <c r="BO3" s="272" t="s">
        <v>680</v>
      </c>
      <c r="BP3" s="272" t="s">
        <v>675</v>
      </c>
      <c r="BQ3" s="272" t="s">
        <v>675</v>
      </c>
      <c r="BR3" s="272" t="s">
        <v>675</v>
      </c>
      <c r="BS3" s="272" t="s">
        <v>675</v>
      </c>
      <c r="BT3" s="272" t="s">
        <v>675</v>
      </c>
      <c r="BU3" s="280" t="s">
        <v>688</v>
      </c>
      <c r="BV3" s="272" t="s">
        <v>689</v>
      </c>
      <c r="BW3" s="280" t="s">
        <v>699</v>
      </c>
      <c r="BX3" s="272"/>
      <c r="BY3" s="272"/>
    </row>
    <row customHeight="true" ht="18.51851851851852" r="4">
      <c r="A4" s="272"/>
      <c r="B4" s="272"/>
      <c r="C4" s="272"/>
      <c r="D4" s="273"/>
      <c r="E4" s="272"/>
      <c r="F4" s="272"/>
      <c r="G4" s="272"/>
      <c r="H4" s="272"/>
      <c r="I4" s="272"/>
      <c r="J4" s="272"/>
      <c r="K4" s="272"/>
      <c r="L4" s="272"/>
      <c r="M4" s="272"/>
      <c r="N4" s="272"/>
      <c r="O4" s="281"/>
      <c r="P4" s="272"/>
      <c r="Q4" s="281"/>
      <c r="R4" s="272" t="s">
        <v>677</v>
      </c>
      <c r="S4" s="281"/>
      <c r="T4" s="272"/>
      <c r="U4" s="272"/>
      <c r="V4" s="275" t="s">
        <v>684</v>
      </c>
      <c r="W4" s="272"/>
      <c r="X4" s="272"/>
      <c r="Y4" s="272"/>
      <c r="Z4" s="273"/>
      <c r="AA4" s="273"/>
      <c r="AB4" s="273"/>
      <c r="AC4" s="272"/>
      <c r="AD4" s="272"/>
      <c r="AE4" s="272"/>
      <c r="AF4" s="272"/>
      <c r="AG4" s="273"/>
      <c r="AH4" s="273"/>
      <c r="AI4" s="278"/>
      <c r="AJ4" s="273"/>
      <c r="AK4" s="278"/>
      <c r="AL4" s="272"/>
      <c r="AM4" s="272"/>
      <c r="AN4" s="272"/>
      <c r="AO4" s="272"/>
      <c r="AP4" s="272"/>
      <c r="AQ4" s="272"/>
      <c r="AR4" s="272"/>
      <c r="AS4" s="272"/>
      <c r="AT4" s="272"/>
      <c r="AU4" s="272"/>
      <c r="AV4" s="272"/>
      <c r="AW4" s="273"/>
      <c r="AX4" s="272"/>
      <c r="AY4" s="273"/>
      <c r="AZ4" s="273"/>
      <c r="BA4" s="272"/>
      <c r="BB4" s="272"/>
      <c r="BC4" s="272"/>
      <c r="BD4" s="272"/>
      <c r="BE4" s="272"/>
      <c r="BF4" s="272"/>
      <c r="BG4" s="272"/>
      <c r="BH4" s="272"/>
      <c r="BI4" s="272"/>
      <c r="BJ4" s="272"/>
      <c r="BK4" s="272"/>
      <c r="BL4" s="272"/>
      <c r="BM4" s="279"/>
      <c r="BN4" s="272"/>
      <c r="BO4" s="272"/>
      <c r="BP4" s="272"/>
      <c r="BQ4" s="272"/>
      <c r="BR4" s="272"/>
      <c r="BS4" s="272"/>
      <c r="BT4" s="272"/>
      <c r="BU4" s="272"/>
      <c r="BV4" s="272"/>
      <c r="BW4" s="272"/>
      <c r="BX4" s="272"/>
      <c r="BY4" s="272"/>
    </row>
    <row customHeight="true" ht="18.51851851851852" r="5">
      <c r="A5" s="272" t="s">
        <v>700</v>
      </c>
      <c r="B5" s="272" t="s">
        <v>701</v>
      </c>
      <c r="C5" s="272" t="s">
        <v>702</v>
      </c>
      <c r="D5" s="273">
        <v>45734</v>
      </c>
      <c r="E5" s="272" t="s">
        <v>669</v>
      </c>
      <c r="F5" s="272" t="s">
        <v>670</v>
      </c>
      <c r="G5" s="272" t="s">
        <v>671</v>
      </c>
      <c r="H5" s="272" t="s">
        <v>672</v>
      </c>
      <c r="I5" s="272" t="s">
        <v>673</v>
      </c>
      <c r="J5" s="272" t="s">
        <v>674</v>
      </c>
      <c r="K5" s="272" t="s">
        <v>675</v>
      </c>
      <c r="L5" s="274" t="s">
        <v>676</v>
      </c>
      <c r="M5" s="272" t="s">
        <v>677</v>
      </c>
      <c r="N5" s="272" t="s">
        <v>678</v>
      </c>
      <c r="O5" s="275" t="s">
        <v>679</v>
      </c>
      <c r="P5" s="272" t="s">
        <v>680</v>
      </c>
      <c r="Q5" s="275" t="s">
        <v>681</v>
      </c>
      <c r="R5" s="276" t="s">
        <v>682</v>
      </c>
      <c r="S5" s="275" t="s">
        <v>683</v>
      </c>
      <c r="T5" s="272" t="s">
        <v>677</v>
      </c>
      <c r="U5" s="272"/>
      <c r="V5" s="275" t="s">
        <v>684</v>
      </c>
      <c r="W5" s="272" t="s">
        <v>703</v>
      </c>
      <c r="X5" s="272" t="s">
        <v>701</v>
      </c>
      <c r="Y5" s="277">
        <v>432</v>
      </c>
      <c r="Z5" s="273">
        <v>45767</v>
      </c>
      <c r="AA5" s="273">
        <v>45777</v>
      </c>
      <c r="AB5" s="273">
        <v>45784</v>
      </c>
      <c r="AC5" s="272" t="s">
        <v>675</v>
      </c>
      <c r="AD5" s="272" t="s">
        <v>675</v>
      </c>
      <c r="AE5" s="272" t="s">
        <v>675</v>
      </c>
      <c r="AF5" s="272" t="s">
        <v>675</v>
      </c>
      <c r="AG5" s="273">
        <v>45754</v>
      </c>
      <c r="AH5" s="273"/>
      <c r="AI5" s="278" t="s">
        <v>686</v>
      </c>
      <c r="AJ5" s="273">
        <v>45776</v>
      </c>
      <c r="AK5" s="278"/>
      <c r="AL5" s="274" t="s">
        <v>687</v>
      </c>
      <c r="AM5" s="274"/>
      <c r="AN5" s="274"/>
      <c r="AO5" s="272">
        <v>5</v>
      </c>
      <c r="AP5" s="273">
        <v>45769</v>
      </c>
      <c r="AQ5" s="272"/>
      <c r="AR5" s="272">
        <v>5</v>
      </c>
      <c r="AS5" s="272"/>
      <c r="AT5" s="272"/>
      <c r="AU5" s="272" t="s">
        <v>675</v>
      </c>
      <c r="AV5" s="272" t="s">
        <v>675</v>
      </c>
      <c r="AW5" s="273">
        <v>45777</v>
      </c>
      <c r="AX5" s="272" t="s">
        <v>675</v>
      </c>
      <c r="AY5" s="273">
        <v>45748</v>
      </c>
      <c r="AZ5" s="273">
        <v>45765</v>
      </c>
      <c r="BA5" s="272" t="s">
        <v>675</v>
      </c>
      <c r="BB5" s="272" t="s">
        <v>675</v>
      </c>
      <c r="BC5" s="272" t="s">
        <v>680</v>
      </c>
      <c r="BD5" s="272" t="s">
        <v>680</v>
      </c>
      <c r="BE5" s="272" t="s">
        <v>675</v>
      </c>
      <c r="BF5" s="272" t="s">
        <v>675</v>
      </c>
      <c r="BG5" s="272" t="s">
        <v>675</v>
      </c>
      <c r="BH5" s="272" t="s">
        <v>680</v>
      </c>
      <c r="BI5" s="272" t="s">
        <v>675</v>
      </c>
      <c r="BJ5" s="272" t="s">
        <v>680</v>
      </c>
      <c r="BK5" s="272" t="s">
        <v>675</v>
      </c>
      <c r="BL5" s="272" t="s">
        <v>675</v>
      </c>
      <c r="BM5" s="279">
        <v>1</v>
      </c>
      <c r="BN5" s="272" t="s">
        <v>680</v>
      </c>
      <c r="BO5" s="272" t="s">
        <v>680</v>
      </c>
      <c r="BP5" s="272" t="s">
        <v>675</v>
      </c>
      <c r="BQ5" s="272" t="s">
        <v>675</v>
      </c>
      <c r="BR5" s="272" t="s">
        <v>675</v>
      </c>
      <c r="BS5" s="272" t="s">
        <v>675</v>
      </c>
      <c r="BT5" s="272" t="s">
        <v>675</v>
      </c>
      <c r="BU5" s="272"/>
      <c r="BV5" s="272" t="s">
        <v>689</v>
      </c>
      <c r="BW5" s="272"/>
      <c r="BX5" s="272"/>
      <c r="BY5" s="272"/>
    </row>
    <row customHeight="true" ht="18.51851851851852" r="6">
      <c r="A6" s="272" t="s">
        <v>704</v>
      </c>
      <c r="B6" s="272" t="s">
        <v>705</v>
      </c>
      <c r="C6" s="272" t="s">
        <v>706</v>
      </c>
      <c r="D6" s="273">
        <v>45734</v>
      </c>
      <c r="E6" s="272" t="s">
        <v>669</v>
      </c>
      <c r="F6" s="272" t="s">
        <v>670</v>
      </c>
      <c r="G6" s="272" t="s">
        <v>671</v>
      </c>
      <c r="H6" s="272" t="s">
        <v>695</v>
      </c>
      <c r="I6" s="272" t="s">
        <v>673</v>
      </c>
      <c r="J6" s="272" t="s">
        <v>674</v>
      </c>
      <c r="K6" s="272" t="s">
        <v>675</v>
      </c>
      <c r="L6" s="274" t="s">
        <v>676</v>
      </c>
      <c r="M6" s="272" t="s">
        <v>677</v>
      </c>
      <c r="N6" s="272" t="s">
        <v>678</v>
      </c>
      <c r="O6" s="275" t="s">
        <v>696</v>
      </c>
      <c r="P6" s="272" t="s">
        <v>680</v>
      </c>
      <c r="Q6" s="275" t="s">
        <v>697</v>
      </c>
      <c r="R6" s="272" t="s">
        <v>677</v>
      </c>
      <c r="S6" s="281"/>
      <c r="T6" s="272" t="s">
        <v>677</v>
      </c>
      <c r="U6" s="272"/>
      <c r="V6" s="275" t="s">
        <v>684</v>
      </c>
      <c r="W6" s="272" t="s">
        <v>707</v>
      </c>
      <c r="X6" s="272" t="s">
        <v>705</v>
      </c>
      <c r="Y6" s="277">
        <v>270</v>
      </c>
      <c r="Z6" s="273">
        <v>45767</v>
      </c>
      <c r="AA6" s="273">
        <v>45777</v>
      </c>
      <c r="AB6" s="273">
        <v>45784</v>
      </c>
      <c r="AC6" s="272" t="s">
        <v>675</v>
      </c>
      <c r="AD6" s="272" t="s">
        <v>675</v>
      </c>
      <c r="AE6" s="272" t="s">
        <v>675</v>
      </c>
      <c r="AF6" s="272" t="s">
        <v>675</v>
      </c>
      <c r="AG6" s="273">
        <v>45754</v>
      </c>
      <c r="AH6" s="273"/>
      <c r="AI6" s="278" t="s">
        <v>686</v>
      </c>
      <c r="AJ6" s="273">
        <v>45776</v>
      </c>
      <c r="AK6" s="278"/>
      <c r="AL6" s="274" t="s">
        <v>687</v>
      </c>
      <c r="AM6" s="274"/>
      <c r="AN6" s="274"/>
      <c r="AO6" s="272">
        <v>5</v>
      </c>
      <c r="AP6" s="273">
        <v>45769</v>
      </c>
      <c r="AQ6" s="272"/>
      <c r="AR6" s="272">
        <v>5</v>
      </c>
      <c r="AS6" s="272"/>
      <c r="AT6" s="272"/>
      <c r="AU6" s="272" t="s">
        <v>675</v>
      </c>
      <c r="AV6" s="272" t="s">
        <v>675</v>
      </c>
      <c r="AW6" s="273">
        <v>45777</v>
      </c>
      <c r="AX6" s="272" t="s">
        <v>675</v>
      </c>
      <c r="AY6" s="273">
        <v>45748</v>
      </c>
      <c r="AZ6" s="273">
        <v>45765</v>
      </c>
      <c r="BA6" s="272" t="s">
        <v>675</v>
      </c>
      <c r="BB6" s="272" t="s">
        <v>675</v>
      </c>
      <c r="BC6" s="272" t="s">
        <v>680</v>
      </c>
      <c r="BD6" s="272" t="s">
        <v>680</v>
      </c>
      <c r="BE6" s="272" t="s">
        <v>675</v>
      </c>
      <c r="BF6" s="272" t="s">
        <v>675</v>
      </c>
      <c r="BG6" s="272" t="s">
        <v>675</v>
      </c>
      <c r="BH6" s="272" t="s">
        <v>680</v>
      </c>
      <c r="BI6" s="272" t="s">
        <v>675</v>
      </c>
      <c r="BJ6" s="272" t="s">
        <v>680</v>
      </c>
      <c r="BK6" s="272" t="s">
        <v>675</v>
      </c>
      <c r="BL6" s="272" t="s">
        <v>675</v>
      </c>
      <c r="BM6" s="279">
        <v>1</v>
      </c>
      <c r="BN6" s="272" t="s">
        <v>680</v>
      </c>
      <c r="BO6" s="272" t="s">
        <v>680</v>
      </c>
      <c r="BP6" s="272" t="s">
        <v>675</v>
      </c>
      <c r="BQ6" s="272" t="s">
        <v>675</v>
      </c>
      <c r="BR6" s="272" t="s">
        <v>675</v>
      </c>
      <c r="BS6" s="272" t="s">
        <v>675</v>
      </c>
      <c r="BT6" s="272" t="s">
        <v>675</v>
      </c>
      <c r="BU6" s="272"/>
      <c r="BV6" s="272" t="s">
        <v>689</v>
      </c>
      <c r="BW6" s="272"/>
      <c r="BX6" s="272"/>
      <c r="BY6" s="272"/>
    </row>
    <row customHeight="true" ht="18.51851851851852" r="7">
      <c r="A7" s="272"/>
      <c r="B7" s="272" t="s">
        <v>708</v>
      </c>
      <c r="C7" s="272"/>
      <c r="D7" s="273"/>
      <c r="E7" s="272"/>
      <c r="F7" s="272"/>
      <c r="G7" s="272"/>
      <c r="H7" s="272"/>
      <c r="I7" s="272"/>
      <c r="J7" s="272"/>
      <c r="K7" s="272"/>
      <c r="L7" s="272"/>
      <c r="M7" s="272"/>
      <c r="N7" s="272"/>
      <c r="O7" s="281"/>
      <c r="P7" s="272"/>
      <c r="Q7" s="281"/>
      <c r="R7" s="272" t="s">
        <v>677</v>
      </c>
      <c r="S7" s="281"/>
      <c r="T7" s="272"/>
      <c r="U7" s="272"/>
      <c r="V7" s="281"/>
      <c r="W7" s="272"/>
      <c r="X7" s="272"/>
      <c r="Y7" s="272"/>
      <c r="Z7" s="273"/>
      <c r="AA7" s="273"/>
      <c r="AB7" s="273"/>
      <c r="AC7" s="272"/>
      <c r="AD7" s="272"/>
      <c r="AE7" s="272"/>
      <c r="AF7" s="272"/>
      <c r="AG7" s="273"/>
      <c r="AH7" s="273"/>
      <c r="AI7" s="272"/>
      <c r="AJ7" s="272"/>
      <c r="AK7" s="272"/>
      <c r="AL7" s="272"/>
      <c r="AM7" s="272"/>
      <c r="AN7" s="272"/>
      <c r="AO7" s="272"/>
      <c r="AP7" s="273"/>
      <c r="AQ7" s="272"/>
      <c r="AR7" s="272"/>
      <c r="AS7" s="272"/>
      <c r="AT7" s="272"/>
      <c r="AU7" s="272"/>
      <c r="AV7" s="272"/>
      <c r="AW7" s="272"/>
      <c r="AX7" s="272"/>
      <c r="AY7" s="273">
        <v>45748</v>
      </c>
      <c r="AZ7" s="273">
        <v>45765</v>
      </c>
      <c r="BA7" s="272"/>
      <c r="BB7" s="272"/>
      <c r="BC7" s="272"/>
      <c r="BD7" s="272"/>
      <c r="BE7" s="272"/>
      <c r="BF7" s="272"/>
      <c r="BG7" s="272"/>
      <c r="BH7" s="272"/>
      <c r="BI7" s="272"/>
      <c r="BJ7" s="272"/>
      <c r="BK7" s="272"/>
      <c r="BL7" s="272"/>
      <c r="BM7" s="279"/>
      <c r="BN7" s="272"/>
      <c r="BO7" s="272"/>
      <c r="BP7" s="272"/>
      <c r="BQ7" s="272"/>
      <c r="BR7" s="272"/>
      <c r="BS7" s="272"/>
      <c r="BT7" s="272"/>
      <c r="BU7" s="272"/>
      <c r="BV7" s="272"/>
      <c r="BW7" s="272"/>
      <c r="BX7" s="272"/>
      <c r="BY7" s="272"/>
    </row>
    <row customHeight="true" ht="18.51851851851852" r="8">
      <c r="A8" s="272" t="s">
        <v>709</v>
      </c>
      <c r="B8" s="282" t="s">
        <v>710</v>
      </c>
      <c r="C8" s="272" t="s">
        <v>711</v>
      </c>
      <c r="D8" s="273">
        <v>45734</v>
      </c>
      <c r="E8" s="272" t="s">
        <v>669</v>
      </c>
      <c r="F8" s="272" t="s">
        <v>670</v>
      </c>
      <c r="G8" s="272" t="s">
        <v>671</v>
      </c>
      <c r="H8" s="272" t="s">
        <v>672</v>
      </c>
      <c r="I8" s="272" t="s">
        <v>712</v>
      </c>
      <c r="J8" s="272" t="s">
        <v>674</v>
      </c>
      <c r="K8" s="272" t="s">
        <v>675</v>
      </c>
      <c r="L8" s="274" t="s">
        <v>676</v>
      </c>
      <c r="M8" s="276" t="s">
        <v>713</v>
      </c>
      <c r="N8" s="272" t="s">
        <v>678</v>
      </c>
      <c r="O8" s="275" t="s">
        <v>714</v>
      </c>
      <c r="P8" s="272" t="s">
        <v>680</v>
      </c>
      <c r="Q8" s="275" t="s">
        <v>715</v>
      </c>
      <c r="R8" s="276" t="s">
        <v>716</v>
      </c>
      <c r="S8" s="275" t="s">
        <v>717</v>
      </c>
      <c r="T8" s="272" t="s">
        <v>677</v>
      </c>
      <c r="U8" s="276" t="s">
        <v>718</v>
      </c>
      <c r="V8" s="275" t="s">
        <v>719</v>
      </c>
      <c r="W8" s="272" t="s">
        <v>720</v>
      </c>
      <c r="X8" s="272" t="s">
        <v>708</v>
      </c>
      <c r="Y8" s="283">
        <v>360</v>
      </c>
      <c r="Z8" s="273">
        <v>45761</v>
      </c>
      <c r="AA8" s="273">
        <v>45794</v>
      </c>
      <c r="AB8" s="273">
        <v>45802</v>
      </c>
      <c r="AC8" s="272" t="s">
        <v>675</v>
      </c>
      <c r="AD8" s="272" t="s">
        <v>675</v>
      </c>
      <c r="AE8" s="272" t="s">
        <v>675</v>
      </c>
      <c r="AF8" s="272" t="s">
        <v>675</v>
      </c>
      <c r="AG8" s="273">
        <v>45761</v>
      </c>
      <c r="AH8" s="273">
        <v>45769</v>
      </c>
      <c r="AI8" s="272" t="s">
        <v>721</v>
      </c>
      <c r="AJ8" s="273">
        <v>45776</v>
      </c>
      <c r="AK8" s="272"/>
      <c r="AL8" s="274" t="s">
        <v>687</v>
      </c>
      <c r="AM8" s="274"/>
      <c r="AN8" s="274"/>
      <c r="AO8" s="272">
        <v>5</v>
      </c>
      <c r="AP8" s="273">
        <v>45769</v>
      </c>
      <c r="AQ8" s="272"/>
      <c r="AR8" s="272">
        <v>5</v>
      </c>
      <c r="AS8" s="272"/>
      <c r="AT8" s="272"/>
      <c r="AU8" s="272" t="s">
        <v>675</v>
      </c>
      <c r="AV8" s="272" t="s">
        <v>675</v>
      </c>
      <c r="AW8" s="272" t="s">
        <v>675</v>
      </c>
      <c r="AX8" s="272" t="s">
        <v>675</v>
      </c>
      <c r="AY8" s="273">
        <v>45748</v>
      </c>
      <c r="AZ8" s="273">
        <v>45765</v>
      </c>
      <c r="BA8" s="272" t="s">
        <v>675</v>
      </c>
      <c r="BB8" s="272" t="s">
        <v>675</v>
      </c>
      <c r="BC8" s="272" t="s">
        <v>680</v>
      </c>
      <c r="BD8" s="272" t="s">
        <v>680</v>
      </c>
      <c r="BE8" s="272" t="s">
        <v>675</v>
      </c>
      <c r="BF8" s="272" t="s">
        <v>675</v>
      </c>
      <c r="BG8" s="272" t="s">
        <v>675</v>
      </c>
      <c r="BH8" s="272" t="s">
        <v>680</v>
      </c>
      <c r="BI8" s="272" t="s">
        <v>675</v>
      </c>
      <c r="BJ8" s="272" t="s">
        <v>680</v>
      </c>
      <c r="BK8" s="272" t="s">
        <v>675</v>
      </c>
      <c r="BL8" s="272" t="s">
        <v>675</v>
      </c>
      <c r="BM8" s="279">
        <v>1</v>
      </c>
      <c r="BN8" s="272" t="s">
        <v>680</v>
      </c>
      <c r="BO8" s="272" t="s">
        <v>680</v>
      </c>
      <c r="BP8" s="272" t="s">
        <v>675</v>
      </c>
      <c r="BQ8" s="272" t="s">
        <v>675</v>
      </c>
      <c r="BR8" s="272" t="s">
        <v>675</v>
      </c>
      <c r="BS8" s="272" t="s">
        <v>675</v>
      </c>
      <c r="BT8" s="272" t="s">
        <v>675</v>
      </c>
      <c r="BU8" s="272"/>
      <c r="BV8" s="272" t="s">
        <v>689</v>
      </c>
      <c r="BW8" s="272"/>
      <c r="BX8" s="272"/>
      <c r="BY8" s="272"/>
    </row>
    <row customHeight="true" ht="18.51851851851852" r="9">
      <c r="A9" s="272" t="s">
        <v>722</v>
      </c>
      <c r="B9" s="272" t="s">
        <v>723</v>
      </c>
      <c r="C9" s="272" t="s">
        <v>724</v>
      </c>
      <c r="D9" s="273">
        <v>45734</v>
      </c>
      <c r="E9" s="272" t="s">
        <v>669</v>
      </c>
      <c r="F9" s="272" t="s">
        <v>670</v>
      </c>
      <c r="G9" s="272" t="s">
        <v>671</v>
      </c>
      <c r="H9" s="272" t="s">
        <v>695</v>
      </c>
      <c r="I9" s="272" t="s">
        <v>712</v>
      </c>
      <c r="J9" s="272" t="s">
        <v>674</v>
      </c>
      <c r="K9" s="272" t="s">
        <v>675</v>
      </c>
      <c r="L9" s="274" t="s">
        <v>676</v>
      </c>
      <c r="M9" s="276" t="s">
        <v>713</v>
      </c>
      <c r="N9" s="272" t="s">
        <v>678</v>
      </c>
      <c r="O9" s="275" t="s">
        <v>725</v>
      </c>
      <c r="P9" s="272" t="s">
        <v>680</v>
      </c>
      <c r="Q9" s="275" t="s">
        <v>726</v>
      </c>
      <c r="R9" s="276" t="s">
        <v>727</v>
      </c>
      <c r="S9" s="281"/>
      <c r="T9" s="272" t="s">
        <v>677</v>
      </c>
      <c r="U9" s="276" t="s">
        <v>718</v>
      </c>
      <c r="V9" s="275" t="s">
        <v>728</v>
      </c>
      <c r="W9" s="272" t="s">
        <v>729</v>
      </c>
      <c r="X9" s="272" t="s">
        <v>723</v>
      </c>
      <c r="Y9" s="283">
        <v>160</v>
      </c>
      <c r="Z9" s="273">
        <v>45761</v>
      </c>
      <c r="AA9" s="273">
        <v>45794</v>
      </c>
      <c r="AB9" s="273">
        <v>45802</v>
      </c>
      <c r="AC9" s="272" t="s">
        <v>675</v>
      </c>
      <c r="AD9" s="272" t="s">
        <v>675</v>
      </c>
      <c r="AE9" s="272" t="s">
        <v>675</v>
      </c>
      <c r="AF9" s="272" t="s">
        <v>675</v>
      </c>
      <c r="AG9" s="273">
        <v>45761</v>
      </c>
      <c r="AH9" s="273">
        <v>45769</v>
      </c>
      <c r="AI9" s="272" t="s">
        <v>721</v>
      </c>
      <c r="AJ9" s="273">
        <v>45776</v>
      </c>
      <c r="AK9" s="272"/>
      <c r="AL9" s="274" t="s">
        <v>687</v>
      </c>
      <c r="AM9" s="274"/>
      <c r="AN9" s="274"/>
      <c r="AO9" s="272">
        <v>5</v>
      </c>
      <c r="AP9" s="273">
        <v>45769</v>
      </c>
      <c r="AQ9" s="272"/>
      <c r="AR9" s="272">
        <v>5</v>
      </c>
      <c r="AS9" s="272"/>
      <c r="AT9" s="272"/>
      <c r="AU9" s="272" t="s">
        <v>675</v>
      </c>
      <c r="AV9" s="272" t="s">
        <v>675</v>
      </c>
      <c r="AW9" s="272" t="s">
        <v>675</v>
      </c>
      <c r="AX9" s="272" t="s">
        <v>675</v>
      </c>
      <c r="AY9" s="273">
        <v>45748</v>
      </c>
      <c r="AZ9" s="273">
        <v>45765</v>
      </c>
      <c r="BA9" s="272" t="s">
        <v>675</v>
      </c>
      <c r="BB9" s="272" t="s">
        <v>675</v>
      </c>
      <c r="BC9" s="272" t="s">
        <v>680</v>
      </c>
      <c r="BD9" s="272" t="s">
        <v>680</v>
      </c>
      <c r="BE9" s="272" t="s">
        <v>675</v>
      </c>
      <c r="BF9" s="272" t="s">
        <v>675</v>
      </c>
      <c r="BG9" s="272" t="s">
        <v>675</v>
      </c>
      <c r="BH9" s="272" t="s">
        <v>680</v>
      </c>
      <c r="BI9" s="272" t="s">
        <v>675</v>
      </c>
      <c r="BJ9" s="272" t="s">
        <v>680</v>
      </c>
      <c r="BK9" s="272" t="s">
        <v>675</v>
      </c>
      <c r="BL9" s="272" t="s">
        <v>675</v>
      </c>
      <c r="BM9" s="279">
        <v>1</v>
      </c>
      <c r="BN9" s="272" t="s">
        <v>680</v>
      </c>
      <c r="BO9" s="272" t="s">
        <v>680</v>
      </c>
      <c r="BP9" s="272" t="s">
        <v>675</v>
      </c>
      <c r="BQ9" s="272" t="s">
        <v>675</v>
      </c>
      <c r="BR9" s="272" t="s">
        <v>675</v>
      </c>
      <c r="BS9" s="272" t="s">
        <v>675</v>
      </c>
      <c r="BT9" s="272" t="s">
        <v>675</v>
      </c>
      <c r="BU9" s="272"/>
      <c r="BV9" s="272" t="s">
        <v>689</v>
      </c>
      <c r="BW9" s="272"/>
      <c r="BX9" s="272"/>
      <c r="BY9" s="272"/>
    </row>
    <row customHeight="true" ht="18.51851851851852" r="10">
      <c r="A10" s="272"/>
      <c r="B10" s="272"/>
      <c r="C10" s="272"/>
      <c r="D10" s="272"/>
      <c r="E10" s="272"/>
      <c r="F10" s="272"/>
      <c r="G10" s="272"/>
      <c r="H10" s="272"/>
      <c r="I10" s="272"/>
      <c r="J10" s="272"/>
      <c r="K10" s="272"/>
      <c r="L10" s="272"/>
      <c r="M10" s="272"/>
      <c r="N10" s="272"/>
      <c r="O10" s="281"/>
      <c r="P10" s="272"/>
      <c r="Q10" s="281"/>
      <c r="R10" s="272" t="s">
        <v>677</v>
      </c>
      <c r="S10" s="281"/>
      <c r="T10" s="272"/>
      <c r="U10" s="272"/>
      <c r="V10" s="281"/>
      <c r="W10" s="272"/>
      <c r="X10" s="272"/>
      <c r="Y10" s="272"/>
      <c r="Z10" s="273"/>
      <c r="AA10" s="272"/>
      <c r="AB10" s="272"/>
      <c r="AC10" s="272"/>
      <c r="AD10" s="272"/>
      <c r="AE10" s="272"/>
      <c r="AF10" s="272"/>
      <c r="AG10" s="273"/>
      <c r="AH10" s="273"/>
      <c r="AI10" s="272"/>
      <c r="AJ10" s="272"/>
      <c r="AK10" s="272"/>
      <c r="AL10" s="272"/>
      <c r="AM10" s="272"/>
      <c r="AN10" s="272"/>
      <c r="AO10" s="272"/>
      <c r="AP10" s="272"/>
      <c r="AQ10" s="272"/>
      <c r="AR10" s="272"/>
      <c r="AS10" s="272"/>
      <c r="AT10" s="272"/>
      <c r="AU10" s="272"/>
      <c r="AV10" s="272"/>
      <c r="AW10" s="272"/>
      <c r="AX10" s="272"/>
      <c r="AY10" s="273">
        <v>45748</v>
      </c>
      <c r="AZ10" s="273">
        <v>45765</v>
      </c>
      <c r="BA10" s="272"/>
      <c r="BB10" s="272"/>
      <c r="BC10" s="272"/>
      <c r="BD10" s="272"/>
      <c r="BE10" s="272"/>
      <c r="BF10" s="272"/>
      <c r="BG10" s="272"/>
      <c r="BH10" s="272"/>
      <c r="BI10" s="272"/>
      <c r="BJ10" s="272"/>
      <c r="BK10" s="272"/>
      <c r="BL10" s="272"/>
      <c r="BM10" s="279"/>
      <c r="BN10" s="272"/>
      <c r="BO10" s="272"/>
      <c r="BP10" s="272"/>
      <c r="BQ10" s="272"/>
      <c r="BR10" s="272"/>
      <c r="BS10" s="272"/>
      <c r="BT10" s="272"/>
      <c r="BU10" s="272"/>
      <c r="BV10" s="272"/>
      <c r="BW10" s="272"/>
      <c r="BX10" s="272"/>
      <c r="BY10" s="272"/>
    </row>
    <row customHeight="true" ht="18.51851851851852" r="11">
      <c r="A11" s="272" t="s">
        <v>666</v>
      </c>
      <c r="B11" s="272" t="s">
        <v>667</v>
      </c>
      <c r="C11" s="272" t="s">
        <v>730</v>
      </c>
      <c r="D11" s="273">
        <v>45734</v>
      </c>
      <c r="E11" s="272" t="s">
        <v>669</v>
      </c>
      <c r="F11" s="272" t="s">
        <v>670</v>
      </c>
      <c r="G11" s="272" t="s">
        <v>731</v>
      </c>
      <c r="H11" s="272" t="s">
        <v>672</v>
      </c>
      <c r="I11" s="272" t="s">
        <v>673</v>
      </c>
      <c r="J11" s="272" t="s">
        <v>674</v>
      </c>
      <c r="K11" s="272" t="s">
        <v>675</v>
      </c>
      <c r="L11" s="272" t="s">
        <v>676</v>
      </c>
      <c r="M11" s="272" t="s">
        <v>677</v>
      </c>
      <c r="N11" s="272" t="s">
        <v>680</v>
      </c>
      <c r="O11" s="281" t="s">
        <v>732</v>
      </c>
      <c r="P11" s="272" t="s">
        <v>680</v>
      </c>
      <c r="Q11" s="281" t="s">
        <v>733</v>
      </c>
      <c r="R11" s="272" t="s">
        <v>677</v>
      </c>
      <c r="S11" s="281"/>
      <c r="T11" s="272" t="s">
        <v>677</v>
      </c>
      <c r="U11" s="272"/>
      <c r="V11" s="275" t="s">
        <v>684</v>
      </c>
      <c r="W11" s="272" t="s">
        <v>734</v>
      </c>
      <c r="X11" s="272" t="s">
        <v>667</v>
      </c>
      <c r="Y11" s="277">
        <v>1080</v>
      </c>
      <c r="Z11" s="273">
        <v>45754</v>
      </c>
      <c r="AA11" s="273">
        <v>45784</v>
      </c>
      <c r="AB11" s="273">
        <v>45784</v>
      </c>
      <c r="AC11" s="272" t="s">
        <v>675</v>
      </c>
      <c r="AD11" s="272" t="s">
        <v>675</v>
      </c>
      <c r="AE11" s="272" t="s">
        <v>675</v>
      </c>
      <c r="AF11" s="272" t="s">
        <v>675</v>
      </c>
      <c r="AG11" s="273">
        <v>45742</v>
      </c>
      <c r="AH11" s="273">
        <v>45769</v>
      </c>
      <c r="AI11" s="272" t="s">
        <v>677</v>
      </c>
      <c r="AJ11" s="273">
        <v>45776</v>
      </c>
      <c r="AK11" s="272"/>
      <c r="AL11" s="272" t="s">
        <v>677</v>
      </c>
      <c r="AM11" s="272"/>
      <c r="AN11" s="272"/>
      <c r="AO11" s="272"/>
      <c r="AP11" s="272"/>
      <c r="AQ11" s="272"/>
      <c r="AR11" s="272"/>
      <c r="AS11" s="272"/>
      <c r="AT11" s="272"/>
      <c r="AU11" s="272" t="s">
        <v>675</v>
      </c>
      <c r="AV11" s="272" t="s">
        <v>675</v>
      </c>
      <c r="AW11" s="272" t="s">
        <v>675</v>
      </c>
      <c r="AX11" s="272" t="s">
        <v>675</v>
      </c>
      <c r="AY11" s="273">
        <v>45748</v>
      </c>
      <c r="AZ11" s="273">
        <v>45765</v>
      </c>
      <c r="BA11" s="272" t="s">
        <v>675</v>
      </c>
      <c r="BB11" s="272" t="s">
        <v>675</v>
      </c>
      <c r="BC11" s="272" t="s">
        <v>680</v>
      </c>
      <c r="BD11" s="272" t="s">
        <v>680</v>
      </c>
      <c r="BE11" s="272" t="s">
        <v>675</v>
      </c>
      <c r="BF11" s="272" t="s">
        <v>675</v>
      </c>
      <c r="BG11" s="272" t="s">
        <v>675</v>
      </c>
      <c r="BH11" s="272" t="s">
        <v>680</v>
      </c>
      <c r="BI11" s="272" t="s">
        <v>675</v>
      </c>
      <c r="BJ11" s="272" t="s">
        <v>680</v>
      </c>
      <c r="BK11" s="272" t="s">
        <v>675</v>
      </c>
      <c r="BL11" s="272" t="s">
        <v>675</v>
      </c>
      <c r="BM11" s="279">
        <v>1</v>
      </c>
      <c r="BN11" s="272" t="s">
        <v>680</v>
      </c>
      <c r="BO11" s="272" t="s">
        <v>680</v>
      </c>
      <c r="BP11" s="272" t="s">
        <v>675</v>
      </c>
      <c r="BQ11" s="272" t="s">
        <v>675</v>
      </c>
      <c r="BR11" s="272" t="s">
        <v>675</v>
      </c>
      <c r="BS11" s="272" t="s">
        <v>675</v>
      </c>
      <c r="BT11" s="272" t="s">
        <v>675</v>
      </c>
      <c r="BU11" s="272"/>
      <c r="BV11" s="272" t="s">
        <v>689</v>
      </c>
      <c r="BW11" s="272"/>
      <c r="BX11" s="272"/>
      <c r="BY11" s="272"/>
    </row>
    <row customHeight="true" ht="18.51851851851852" r="12">
      <c r="A12" s="272" t="s">
        <v>666</v>
      </c>
      <c r="B12" s="272" t="s">
        <v>667</v>
      </c>
      <c r="C12" s="272" t="s">
        <v>730</v>
      </c>
      <c r="D12" s="273">
        <v>45734</v>
      </c>
      <c r="E12" s="272" t="s">
        <v>669</v>
      </c>
      <c r="F12" s="272" t="s">
        <v>670</v>
      </c>
      <c r="G12" s="272" t="s">
        <v>731</v>
      </c>
      <c r="H12" s="272" t="s">
        <v>672</v>
      </c>
      <c r="I12" s="272"/>
      <c r="J12" s="272"/>
      <c r="K12" s="272"/>
      <c r="L12" s="272"/>
      <c r="M12" s="272" t="s">
        <v>677</v>
      </c>
      <c r="N12" s="272"/>
      <c r="O12" s="281"/>
      <c r="P12" s="272"/>
      <c r="Q12" s="281" t="s">
        <v>733</v>
      </c>
      <c r="R12" s="272" t="s">
        <v>677</v>
      </c>
      <c r="S12" s="281"/>
      <c r="T12" s="272"/>
      <c r="U12" s="272"/>
      <c r="V12" s="275" t="s">
        <v>684</v>
      </c>
      <c r="W12" s="272" t="s">
        <v>735</v>
      </c>
      <c r="X12" s="272" t="s">
        <v>667</v>
      </c>
      <c r="Y12" s="272">
        <v>0</v>
      </c>
      <c r="Z12" s="273"/>
      <c r="AA12" s="273"/>
      <c r="AB12" s="273"/>
      <c r="AC12" s="272"/>
      <c r="AD12" s="272"/>
      <c r="AE12" s="272"/>
      <c r="AF12" s="272"/>
      <c r="AG12" s="273"/>
      <c r="AH12" s="273">
        <v>45769</v>
      </c>
      <c r="AI12" s="272" t="s">
        <v>677</v>
      </c>
      <c r="AJ12" s="273">
        <v>45776</v>
      </c>
      <c r="AK12" s="272"/>
      <c r="AL12" s="272" t="s">
        <v>677</v>
      </c>
      <c r="AM12" s="272"/>
      <c r="AN12" s="272"/>
      <c r="AO12" s="272"/>
      <c r="AP12" s="272"/>
      <c r="AQ12" s="272"/>
      <c r="AR12" s="272"/>
      <c r="AS12" s="272"/>
      <c r="AT12" s="272"/>
      <c r="AU12" s="272"/>
      <c r="AV12" s="272"/>
      <c r="AW12" s="272"/>
      <c r="AX12" s="272"/>
      <c r="AY12" s="273"/>
      <c r="AZ12" s="273"/>
      <c r="BA12" s="272"/>
      <c r="BB12" s="272"/>
      <c r="BC12" s="272"/>
      <c r="BD12" s="272"/>
      <c r="BE12" s="272"/>
      <c r="BF12" s="272"/>
      <c r="BG12" s="272"/>
      <c r="BH12" s="272"/>
      <c r="BI12" s="272"/>
      <c r="BJ12" s="272"/>
      <c r="BK12" s="272"/>
      <c r="BL12" s="272"/>
      <c r="BM12" s="279"/>
      <c r="BN12" s="272"/>
      <c r="BO12" s="272"/>
      <c r="BP12" s="272"/>
      <c r="BQ12" s="272"/>
      <c r="BR12" s="272"/>
      <c r="BS12" s="272"/>
      <c r="BT12" s="272"/>
      <c r="BU12" s="272"/>
      <c r="BV12" s="272" t="s">
        <v>689</v>
      </c>
      <c r="BW12" s="272"/>
      <c r="BX12" s="272"/>
      <c r="BY12" s="272"/>
    </row>
    <row customHeight="true" ht="18.51851851851852" r="13">
      <c r="A13" s="272" t="s">
        <v>692</v>
      </c>
      <c r="B13" s="272" t="s">
        <v>693</v>
      </c>
      <c r="C13" s="272" t="s">
        <v>736</v>
      </c>
      <c r="D13" s="273">
        <v>45734</v>
      </c>
      <c r="E13" s="272" t="s">
        <v>669</v>
      </c>
      <c r="F13" s="272" t="s">
        <v>670</v>
      </c>
      <c r="G13" s="272" t="s">
        <v>731</v>
      </c>
      <c r="H13" s="272" t="s">
        <v>695</v>
      </c>
      <c r="I13" s="272" t="s">
        <v>673</v>
      </c>
      <c r="J13" s="272" t="s">
        <v>674</v>
      </c>
      <c r="K13" s="272" t="s">
        <v>675</v>
      </c>
      <c r="L13" s="272" t="s">
        <v>676</v>
      </c>
      <c r="M13" s="272" t="s">
        <v>677</v>
      </c>
      <c r="N13" s="272" t="s">
        <v>680</v>
      </c>
      <c r="O13" s="281" t="s">
        <v>732</v>
      </c>
      <c r="P13" s="272" t="s">
        <v>680</v>
      </c>
      <c r="Q13" s="281" t="s">
        <v>733</v>
      </c>
      <c r="R13" s="272" t="s">
        <v>677</v>
      </c>
      <c r="S13" s="281"/>
      <c r="T13" s="272" t="s">
        <v>677</v>
      </c>
      <c r="U13" s="272"/>
      <c r="V13" s="275" t="s">
        <v>684</v>
      </c>
      <c r="W13" s="272" t="s">
        <v>737</v>
      </c>
      <c r="X13" s="272" t="s">
        <v>693</v>
      </c>
      <c r="Y13" s="277">
        <v>540</v>
      </c>
      <c r="Z13" s="273">
        <v>45754</v>
      </c>
      <c r="AA13" s="273">
        <v>45794</v>
      </c>
      <c r="AB13" s="273">
        <v>45794</v>
      </c>
      <c r="AC13" s="272" t="s">
        <v>675</v>
      </c>
      <c r="AD13" s="272" t="s">
        <v>675</v>
      </c>
      <c r="AE13" s="272" t="s">
        <v>675</v>
      </c>
      <c r="AF13" s="272" t="s">
        <v>675</v>
      </c>
      <c r="AG13" s="273">
        <v>45742</v>
      </c>
      <c r="AH13" s="273">
        <v>45769</v>
      </c>
      <c r="AI13" s="272" t="s">
        <v>677</v>
      </c>
      <c r="AJ13" s="273">
        <v>45776</v>
      </c>
      <c r="AK13" s="272"/>
      <c r="AL13" s="272" t="s">
        <v>677</v>
      </c>
      <c r="AM13" s="272"/>
      <c r="AN13" s="272"/>
      <c r="AO13" s="272"/>
      <c r="AP13" s="272"/>
      <c r="AQ13" s="272"/>
      <c r="AR13" s="272"/>
      <c r="AS13" s="272"/>
      <c r="AT13" s="272"/>
      <c r="AU13" s="272" t="s">
        <v>675</v>
      </c>
      <c r="AV13" s="272" t="s">
        <v>675</v>
      </c>
      <c r="AW13" s="272" t="s">
        <v>675</v>
      </c>
      <c r="AX13" s="272" t="s">
        <v>675</v>
      </c>
      <c r="AY13" s="273">
        <v>45748</v>
      </c>
      <c r="AZ13" s="273">
        <v>45765</v>
      </c>
      <c r="BA13" s="272" t="s">
        <v>675</v>
      </c>
      <c r="BB13" s="272" t="s">
        <v>675</v>
      </c>
      <c r="BC13" s="272" t="s">
        <v>680</v>
      </c>
      <c r="BD13" s="272" t="s">
        <v>680</v>
      </c>
      <c r="BE13" s="272" t="s">
        <v>675</v>
      </c>
      <c r="BF13" s="272" t="s">
        <v>675</v>
      </c>
      <c r="BG13" s="272" t="s">
        <v>675</v>
      </c>
      <c r="BH13" s="272" t="s">
        <v>680</v>
      </c>
      <c r="BI13" s="272" t="s">
        <v>675</v>
      </c>
      <c r="BJ13" s="272" t="s">
        <v>680</v>
      </c>
      <c r="BK13" s="272" t="s">
        <v>675</v>
      </c>
      <c r="BL13" s="272" t="s">
        <v>675</v>
      </c>
      <c r="BM13" s="279">
        <v>1</v>
      </c>
      <c r="BN13" s="272" t="s">
        <v>680</v>
      </c>
      <c r="BO13" s="272" t="s">
        <v>680</v>
      </c>
      <c r="BP13" s="272" t="s">
        <v>675</v>
      </c>
      <c r="BQ13" s="272" t="s">
        <v>675</v>
      </c>
      <c r="BR13" s="272" t="s">
        <v>675</v>
      </c>
      <c r="BS13" s="272" t="s">
        <v>675</v>
      </c>
      <c r="BT13" s="272" t="s">
        <v>675</v>
      </c>
      <c r="BU13" s="272"/>
      <c r="BV13" s="272" t="s">
        <v>689</v>
      </c>
      <c r="BW13" s="272"/>
      <c r="BX13" s="272"/>
      <c r="BY13" s="272"/>
    </row>
    <row customHeight="true" ht="18.51851851851852" r="14">
      <c r="A14" s="272" t="s">
        <v>700</v>
      </c>
      <c r="B14" s="272" t="s">
        <v>701</v>
      </c>
      <c r="C14" s="272" t="s">
        <v>738</v>
      </c>
      <c r="D14" s="273">
        <v>45734</v>
      </c>
      <c r="E14" s="272" t="s">
        <v>669</v>
      </c>
      <c r="F14" s="272" t="s">
        <v>670</v>
      </c>
      <c r="G14" s="272" t="s">
        <v>731</v>
      </c>
      <c r="H14" s="272" t="s">
        <v>672</v>
      </c>
      <c r="I14" s="272" t="s">
        <v>673</v>
      </c>
      <c r="J14" s="272" t="s">
        <v>674</v>
      </c>
      <c r="K14" s="272" t="s">
        <v>675</v>
      </c>
      <c r="L14" s="272" t="s">
        <v>676</v>
      </c>
      <c r="M14" s="272" t="s">
        <v>677</v>
      </c>
      <c r="N14" s="272" t="s">
        <v>680</v>
      </c>
      <c r="O14" s="281" t="s">
        <v>732</v>
      </c>
      <c r="P14" s="272" t="s">
        <v>680</v>
      </c>
      <c r="Q14" s="281" t="s">
        <v>733</v>
      </c>
      <c r="R14" s="272" t="s">
        <v>677</v>
      </c>
      <c r="S14" s="281"/>
      <c r="T14" s="272" t="s">
        <v>677</v>
      </c>
      <c r="U14" s="272"/>
      <c r="V14" s="275" t="s">
        <v>684</v>
      </c>
      <c r="W14" s="272" t="s">
        <v>739</v>
      </c>
      <c r="X14" s="272" t="s">
        <v>701</v>
      </c>
      <c r="Y14" s="277">
        <v>1080</v>
      </c>
      <c r="Z14" s="273">
        <v>45754</v>
      </c>
      <c r="AA14" s="273">
        <v>45784</v>
      </c>
      <c r="AB14" s="273">
        <v>45784</v>
      </c>
      <c r="AC14" s="272" t="s">
        <v>675</v>
      </c>
      <c r="AD14" s="272" t="s">
        <v>675</v>
      </c>
      <c r="AE14" s="272" t="s">
        <v>675</v>
      </c>
      <c r="AF14" s="272" t="s">
        <v>675</v>
      </c>
      <c r="AG14" s="273">
        <v>45742</v>
      </c>
      <c r="AH14" s="273">
        <v>45769</v>
      </c>
      <c r="AI14" s="272" t="s">
        <v>677</v>
      </c>
      <c r="AJ14" s="273">
        <v>45776</v>
      </c>
      <c r="AK14" s="272"/>
      <c r="AL14" s="272" t="s">
        <v>677</v>
      </c>
      <c r="AM14" s="272"/>
      <c r="AN14" s="272"/>
      <c r="AO14" s="272"/>
      <c r="AP14" s="272"/>
      <c r="AQ14" s="272"/>
      <c r="AR14" s="272"/>
      <c r="AS14" s="272"/>
      <c r="AT14" s="272"/>
      <c r="AU14" s="272" t="s">
        <v>675</v>
      </c>
      <c r="AV14" s="272" t="s">
        <v>675</v>
      </c>
      <c r="AW14" s="272" t="s">
        <v>675</v>
      </c>
      <c r="AX14" s="272" t="s">
        <v>675</v>
      </c>
      <c r="AY14" s="273">
        <v>45748</v>
      </c>
      <c r="AZ14" s="273">
        <v>45765</v>
      </c>
      <c r="BA14" s="272" t="s">
        <v>675</v>
      </c>
      <c r="BB14" s="272" t="s">
        <v>675</v>
      </c>
      <c r="BC14" s="272" t="s">
        <v>680</v>
      </c>
      <c r="BD14" s="272" t="s">
        <v>680</v>
      </c>
      <c r="BE14" s="272" t="s">
        <v>675</v>
      </c>
      <c r="BF14" s="272" t="s">
        <v>675</v>
      </c>
      <c r="BG14" s="272" t="s">
        <v>675</v>
      </c>
      <c r="BH14" s="272" t="s">
        <v>680</v>
      </c>
      <c r="BI14" s="272" t="s">
        <v>675</v>
      </c>
      <c r="BJ14" s="272" t="s">
        <v>680</v>
      </c>
      <c r="BK14" s="272" t="s">
        <v>675</v>
      </c>
      <c r="BL14" s="272" t="s">
        <v>675</v>
      </c>
      <c r="BM14" s="279">
        <v>1</v>
      </c>
      <c r="BN14" s="272" t="s">
        <v>680</v>
      </c>
      <c r="BO14" s="272" t="s">
        <v>680</v>
      </c>
      <c r="BP14" s="272" t="s">
        <v>675</v>
      </c>
      <c r="BQ14" s="272" t="s">
        <v>675</v>
      </c>
      <c r="BR14" s="272" t="s">
        <v>675</v>
      </c>
      <c r="BS14" s="272" t="s">
        <v>675</v>
      </c>
      <c r="BT14" s="272" t="s">
        <v>675</v>
      </c>
      <c r="BU14" s="272"/>
      <c r="BV14" s="272" t="s">
        <v>689</v>
      </c>
      <c r="BW14" s="272"/>
      <c r="BX14" s="272"/>
      <c r="BY14" s="272"/>
    </row>
    <row customHeight="true" ht="18.51851851851852" r="15">
      <c r="A15" s="272" t="s">
        <v>700</v>
      </c>
      <c r="B15" s="272" t="s">
        <v>701</v>
      </c>
      <c r="C15" s="272" t="s">
        <v>738</v>
      </c>
      <c r="D15" s="273">
        <v>45734</v>
      </c>
      <c r="E15" s="272" t="s">
        <v>669</v>
      </c>
      <c r="F15" s="272" t="s">
        <v>670</v>
      </c>
      <c r="G15" s="272" t="s">
        <v>731</v>
      </c>
      <c r="H15" s="272" t="s">
        <v>672</v>
      </c>
      <c r="I15" s="272"/>
      <c r="J15" s="272"/>
      <c r="K15" s="272"/>
      <c r="L15" s="272"/>
      <c r="M15" s="272"/>
      <c r="N15" s="272"/>
      <c r="O15" s="281"/>
      <c r="P15" s="272"/>
      <c r="Q15" s="281" t="s">
        <v>733</v>
      </c>
      <c r="R15" s="272" t="s">
        <v>677</v>
      </c>
      <c r="S15" s="281"/>
      <c r="T15" s="272"/>
      <c r="U15" s="272"/>
      <c r="V15" s="275" t="s">
        <v>684</v>
      </c>
      <c r="W15" s="272" t="s">
        <v>740</v>
      </c>
      <c r="X15" s="272" t="s">
        <v>701</v>
      </c>
      <c r="Y15" s="272">
        <v>0</v>
      </c>
      <c r="Z15" s="273"/>
      <c r="AA15" s="273"/>
      <c r="AB15" s="273"/>
      <c r="AC15" s="272"/>
      <c r="AD15" s="272"/>
      <c r="AE15" s="272"/>
      <c r="AF15" s="272"/>
      <c r="AG15" s="273"/>
      <c r="AH15" s="273"/>
      <c r="AI15" s="272" t="s">
        <v>677</v>
      </c>
      <c r="AJ15" s="272"/>
      <c r="AK15" s="272"/>
      <c r="AL15" s="272" t="s">
        <v>677</v>
      </c>
      <c r="AM15" s="272"/>
      <c r="AN15" s="272"/>
      <c r="AO15" s="272"/>
      <c r="AP15" s="272"/>
      <c r="AQ15" s="272"/>
      <c r="AR15" s="272"/>
      <c r="AS15" s="272"/>
      <c r="AT15" s="272"/>
      <c r="AU15" s="272"/>
      <c r="AV15" s="272"/>
      <c r="AW15" s="272"/>
      <c r="AX15" s="272"/>
      <c r="AY15" s="273"/>
      <c r="AZ15" s="273"/>
      <c r="BA15" s="272"/>
      <c r="BB15" s="272"/>
      <c r="BC15" s="272"/>
      <c r="BD15" s="272"/>
      <c r="BE15" s="272"/>
      <c r="BF15" s="272"/>
      <c r="BG15" s="272"/>
      <c r="BH15" s="272"/>
      <c r="BI15" s="272"/>
      <c r="BJ15" s="272"/>
      <c r="BK15" s="272"/>
      <c r="BL15" s="272"/>
      <c r="BM15" s="279"/>
      <c r="BN15" s="272"/>
      <c r="BO15" s="272"/>
      <c r="BP15" s="272"/>
      <c r="BQ15" s="272"/>
      <c r="BR15" s="272"/>
      <c r="BS15" s="272"/>
      <c r="BT15" s="272"/>
      <c r="BU15" s="272"/>
      <c r="BV15" s="272" t="s">
        <v>689</v>
      </c>
      <c r="BW15" s="272"/>
      <c r="BX15" s="272"/>
      <c r="BY15" s="272"/>
    </row>
    <row customHeight="true" ht="18.51851851851852" r="16">
      <c r="A16" s="272" t="s">
        <v>704</v>
      </c>
      <c r="B16" s="272" t="s">
        <v>705</v>
      </c>
      <c r="C16" s="272" t="s">
        <v>741</v>
      </c>
      <c r="D16" s="273">
        <v>45734</v>
      </c>
      <c r="E16" s="272" t="s">
        <v>669</v>
      </c>
      <c r="F16" s="272" t="s">
        <v>670</v>
      </c>
      <c r="G16" s="272" t="s">
        <v>731</v>
      </c>
      <c r="H16" s="272" t="s">
        <v>695</v>
      </c>
      <c r="I16" s="272" t="s">
        <v>673</v>
      </c>
      <c r="J16" s="272" t="s">
        <v>674</v>
      </c>
      <c r="K16" s="272" t="s">
        <v>675</v>
      </c>
      <c r="L16" s="272" t="s">
        <v>676</v>
      </c>
      <c r="M16" s="272" t="s">
        <v>677</v>
      </c>
      <c r="N16" s="272" t="s">
        <v>680</v>
      </c>
      <c r="O16" s="281" t="s">
        <v>732</v>
      </c>
      <c r="P16" s="272" t="s">
        <v>680</v>
      </c>
      <c r="Q16" s="281" t="s">
        <v>733</v>
      </c>
      <c r="R16" s="272" t="s">
        <v>677</v>
      </c>
      <c r="S16" s="281"/>
      <c r="T16" s="272" t="s">
        <v>677</v>
      </c>
      <c r="U16" s="272"/>
      <c r="V16" s="275" t="s">
        <v>684</v>
      </c>
      <c r="W16" s="272" t="s">
        <v>742</v>
      </c>
      <c r="X16" s="272" t="s">
        <v>705</v>
      </c>
      <c r="Y16" s="277">
        <v>540</v>
      </c>
      <c r="Z16" s="273">
        <v>45754</v>
      </c>
      <c r="AA16" s="273">
        <v>45784</v>
      </c>
      <c r="AB16" s="273">
        <v>45784</v>
      </c>
      <c r="AC16" s="272" t="s">
        <v>675</v>
      </c>
      <c r="AD16" s="272" t="s">
        <v>675</v>
      </c>
      <c r="AE16" s="272" t="s">
        <v>675</v>
      </c>
      <c r="AF16" s="272" t="s">
        <v>675</v>
      </c>
      <c r="AG16" s="273">
        <v>45742</v>
      </c>
      <c r="AH16" s="273">
        <v>45769</v>
      </c>
      <c r="AI16" s="272" t="s">
        <v>677</v>
      </c>
      <c r="AJ16" s="273">
        <v>45776</v>
      </c>
      <c r="AK16" s="272"/>
      <c r="AL16" s="272" t="s">
        <v>677</v>
      </c>
      <c r="AM16" s="272"/>
      <c r="AN16" s="272"/>
      <c r="AO16" s="272"/>
      <c r="AP16" s="272"/>
      <c r="AQ16" s="272"/>
      <c r="AR16" s="272"/>
      <c r="AS16" s="272"/>
      <c r="AT16" s="272"/>
      <c r="AU16" s="272" t="s">
        <v>675</v>
      </c>
      <c r="AV16" s="272" t="s">
        <v>675</v>
      </c>
      <c r="AW16" s="272" t="s">
        <v>675</v>
      </c>
      <c r="AX16" s="272" t="s">
        <v>675</v>
      </c>
      <c r="AY16" s="273">
        <v>45748</v>
      </c>
      <c r="AZ16" s="273">
        <v>45765</v>
      </c>
      <c r="BA16" s="272" t="s">
        <v>675</v>
      </c>
      <c r="BB16" s="272" t="s">
        <v>675</v>
      </c>
      <c r="BC16" s="272" t="s">
        <v>680</v>
      </c>
      <c r="BD16" s="272" t="s">
        <v>680</v>
      </c>
      <c r="BE16" s="272" t="s">
        <v>675</v>
      </c>
      <c r="BF16" s="272" t="s">
        <v>675</v>
      </c>
      <c r="BG16" s="272" t="s">
        <v>675</v>
      </c>
      <c r="BH16" s="272" t="s">
        <v>680</v>
      </c>
      <c r="BI16" s="272" t="s">
        <v>675</v>
      </c>
      <c r="BJ16" s="272" t="s">
        <v>680</v>
      </c>
      <c r="BK16" s="272" t="s">
        <v>675</v>
      </c>
      <c r="BL16" s="272" t="s">
        <v>675</v>
      </c>
      <c r="BM16" s="279">
        <v>1</v>
      </c>
      <c r="BN16" s="272" t="s">
        <v>680</v>
      </c>
      <c r="BO16" s="272" t="s">
        <v>680</v>
      </c>
      <c r="BP16" s="272" t="s">
        <v>675</v>
      </c>
      <c r="BQ16" s="272" t="s">
        <v>675</v>
      </c>
      <c r="BR16" s="272" t="s">
        <v>675</v>
      </c>
      <c r="BS16" s="272" t="s">
        <v>675</v>
      </c>
      <c r="BT16" s="272" t="s">
        <v>675</v>
      </c>
      <c r="BU16" s="272"/>
      <c r="BV16" s="272" t="s">
        <v>689</v>
      </c>
      <c r="BW16" s="272"/>
      <c r="BX16" s="272"/>
      <c r="BY16" s="272"/>
    </row>
    <row customHeight="true" ht="18.51851851851852" r="17">
      <c r="A17" s="272" t="s">
        <v>709</v>
      </c>
      <c r="B17" s="272" t="s">
        <v>708</v>
      </c>
      <c r="C17" s="272" t="s">
        <v>743</v>
      </c>
      <c r="D17" s="273">
        <v>45734</v>
      </c>
      <c r="E17" s="272" t="s">
        <v>669</v>
      </c>
      <c r="F17" s="272" t="s">
        <v>670</v>
      </c>
      <c r="G17" s="272" t="s">
        <v>731</v>
      </c>
      <c r="H17" s="272" t="s">
        <v>672</v>
      </c>
      <c r="I17" s="272" t="s">
        <v>712</v>
      </c>
      <c r="J17" s="272" t="s">
        <v>674</v>
      </c>
      <c r="K17" s="272" t="s">
        <v>675</v>
      </c>
      <c r="L17" s="272" t="s">
        <v>676</v>
      </c>
      <c r="M17" s="276" t="s">
        <v>713</v>
      </c>
      <c r="N17" s="272" t="s">
        <v>680</v>
      </c>
      <c r="O17" s="281" t="s">
        <v>732</v>
      </c>
      <c r="P17" s="272" t="s">
        <v>680</v>
      </c>
      <c r="Q17" s="281" t="s">
        <v>733</v>
      </c>
      <c r="R17" s="272" t="s">
        <v>677</v>
      </c>
      <c r="S17" s="281"/>
      <c r="T17" s="272" t="s">
        <v>677</v>
      </c>
      <c r="U17" s="272"/>
      <c r="V17" s="275" t="s">
        <v>719</v>
      </c>
      <c r="W17" s="272" t="s">
        <v>744</v>
      </c>
      <c r="X17" s="272" t="s">
        <v>708</v>
      </c>
      <c r="Y17" s="272">
        <v>0</v>
      </c>
      <c r="Z17" s="273"/>
      <c r="AA17" s="273"/>
      <c r="AB17" s="273"/>
      <c r="AC17" s="272" t="s">
        <v>675</v>
      </c>
      <c r="AD17" s="272" t="s">
        <v>675</v>
      </c>
      <c r="AE17" s="272" t="s">
        <v>675</v>
      </c>
      <c r="AF17" s="272" t="s">
        <v>675</v>
      </c>
      <c r="AG17" s="273">
        <v>45761</v>
      </c>
      <c r="AH17" s="273">
        <v>45769</v>
      </c>
      <c r="AI17" s="272" t="s">
        <v>677</v>
      </c>
      <c r="AJ17" s="273">
        <v>45776</v>
      </c>
      <c r="AK17" s="272"/>
      <c r="AL17" s="272" t="s">
        <v>677</v>
      </c>
      <c r="AM17" s="272"/>
      <c r="AN17" s="272"/>
      <c r="AO17" s="272"/>
      <c r="AP17" s="272"/>
      <c r="AQ17" s="272"/>
      <c r="AR17" s="272"/>
      <c r="AS17" s="272"/>
      <c r="AT17" s="272"/>
      <c r="AU17" s="272" t="s">
        <v>675</v>
      </c>
      <c r="AV17" s="272" t="s">
        <v>675</v>
      </c>
      <c r="AW17" s="272" t="s">
        <v>675</v>
      </c>
      <c r="AX17" s="272" t="s">
        <v>675</v>
      </c>
      <c r="AY17" s="273">
        <v>45748</v>
      </c>
      <c r="AZ17" s="273">
        <v>45765</v>
      </c>
      <c r="BA17" s="272" t="s">
        <v>675</v>
      </c>
      <c r="BB17" s="272" t="s">
        <v>675</v>
      </c>
      <c r="BC17" s="272" t="s">
        <v>680</v>
      </c>
      <c r="BD17" s="272" t="s">
        <v>680</v>
      </c>
      <c r="BE17" s="272" t="s">
        <v>675</v>
      </c>
      <c r="BF17" s="272" t="s">
        <v>675</v>
      </c>
      <c r="BG17" s="272" t="s">
        <v>675</v>
      </c>
      <c r="BH17" s="272" t="s">
        <v>680</v>
      </c>
      <c r="BI17" s="272" t="s">
        <v>675</v>
      </c>
      <c r="BJ17" s="272" t="s">
        <v>680</v>
      </c>
      <c r="BK17" s="272" t="s">
        <v>675</v>
      </c>
      <c r="BL17" s="272" t="s">
        <v>675</v>
      </c>
      <c r="BM17" s="279">
        <v>1</v>
      </c>
      <c r="BN17" s="272" t="s">
        <v>680</v>
      </c>
      <c r="BO17" s="272" t="s">
        <v>680</v>
      </c>
      <c r="BP17" s="272" t="s">
        <v>675</v>
      </c>
      <c r="BQ17" s="272" t="s">
        <v>675</v>
      </c>
      <c r="BR17" s="272" t="s">
        <v>675</v>
      </c>
      <c r="BS17" s="272" t="s">
        <v>675</v>
      </c>
      <c r="BT17" s="272" t="s">
        <v>675</v>
      </c>
      <c r="BU17" s="272"/>
      <c r="BV17" s="272" t="s">
        <v>689</v>
      </c>
      <c r="BW17" s="272"/>
      <c r="BX17" s="272"/>
      <c r="BY17" s="272"/>
    </row>
    <row customHeight="true" ht="18.51851851851852" r="18">
      <c r="A18" s="272" t="s">
        <v>709</v>
      </c>
      <c r="B18" s="272" t="s">
        <v>708</v>
      </c>
      <c r="C18" s="272" t="s">
        <v>743</v>
      </c>
      <c r="D18" s="273">
        <v>45734</v>
      </c>
      <c r="E18" s="272" t="s">
        <v>669</v>
      </c>
      <c r="F18" s="272" t="s">
        <v>670</v>
      </c>
      <c r="G18" s="272" t="s">
        <v>731</v>
      </c>
      <c r="H18" s="272" t="s">
        <v>672</v>
      </c>
      <c r="I18" s="272"/>
      <c r="J18" s="272"/>
      <c r="K18" s="272"/>
      <c r="L18" s="272"/>
      <c r="M18" s="276"/>
      <c r="N18" s="272"/>
      <c r="O18" s="281"/>
      <c r="P18" s="272"/>
      <c r="Q18" s="281" t="s">
        <v>733</v>
      </c>
      <c r="R18" s="272" t="s">
        <v>677</v>
      </c>
      <c r="S18" s="281"/>
      <c r="T18" s="272"/>
      <c r="U18" s="272"/>
      <c r="V18" s="275" t="s">
        <v>719</v>
      </c>
      <c r="W18" s="272" t="s">
        <v>745</v>
      </c>
      <c r="X18" s="272" t="s">
        <v>708</v>
      </c>
      <c r="Y18" s="283">
        <v>1140</v>
      </c>
      <c r="Z18" s="273">
        <v>45761</v>
      </c>
      <c r="AA18" s="273">
        <v>45808</v>
      </c>
      <c r="AB18" s="273">
        <v>45808</v>
      </c>
      <c r="AC18" s="272"/>
      <c r="AD18" s="272"/>
      <c r="AE18" s="272"/>
      <c r="AF18" s="272" t="s">
        <v>675</v>
      </c>
      <c r="AG18" s="273">
        <v>45761</v>
      </c>
      <c r="AH18" s="273">
        <v>45769</v>
      </c>
      <c r="AI18" s="272" t="s">
        <v>677</v>
      </c>
      <c r="AJ18" s="273">
        <v>45776</v>
      </c>
      <c r="AK18" s="272"/>
      <c r="AL18" s="272" t="s">
        <v>677</v>
      </c>
      <c r="AM18" s="272"/>
      <c r="AN18" s="272"/>
      <c r="AO18" s="272"/>
      <c r="AP18" s="272"/>
      <c r="AQ18" s="272"/>
      <c r="AR18" s="272"/>
      <c r="AS18" s="272"/>
      <c r="AT18" s="272"/>
      <c r="AU18" s="272"/>
      <c r="AV18" s="272"/>
      <c r="AW18" s="272"/>
      <c r="AX18" s="272"/>
      <c r="AY18" s="273"/>
      <c r="AZ18" s="273"/>
      <c r="BA18" s="272"/>
      <c r="BB18" s="272"/>
      <c r="BC18" s="272"/>
      <c r="BD18" s="272"/>
      <c r="BE18" s="272"/>
      <c r="BF18" s="272"/>
      <c r="BG18" s="272"/>
      <c r="BH18" s="272"/>
      <c r="BI18" s="272"/>
      <c r="BJ18" s="272"/>
      <c r="BK18" s="272"/>
      <c r="BL18" s="272"/>
      <c r="BM18" s="279"/>
      <c r="BN18" s="272"/>
      <c r="BO18" s="272"/>
      <c r="BP18" s="272"/>
      <c r="BQ18" s="272"/>
      <c r="BR18" s="272"/>
      <c r="BS18" s="272"/>
      <c r="BT18" s="272"/>
      <c r="BU18" s="272"/>
      <c r="BV18" s="272" t="s">
        <v>689</v>
      </c>
      <c r="BW18" s="272"/>
      <c r="BX18" s="272"/>
      <c r="BY18" s="272"/>
    </row>
    <row customHeight="true" ht="18.51851851851852" r="19">
      <c r="A19" s="272" t="s">
        <v>722</v>
      </c>
      <c r="B19" s="272" t="s">
        <v>723</v>
      </c>
      <c r="C19" s="272" t="s">
        <v>746</v>
      </c>
      <c r="D19" s="273">
        <v>45734</v>
      </c>
      <c r="E19" s="272" t="s">
        <v>669</v>
      </c>
      <c r="F19" s="272" t="s">
        <v>670</v>
      </c>
      <c r="G19" s="272" t="s">
        <v>731</v>
      </c>
      <c r="H19" s="272" t="s">
        <v>695</v>
      </c>
      <c r="I19" s="272" t="s">
        <v>712</v>
      </c>
      <c r="J19" s="272" t="s">
        <v>674</v>
      </c>
      <c r="K19" s="272" t="s">
        <v>675</v>
      </c>
      <c r="L19" s="272" t="s">
        <v>676</v>
      </c>
      <c r="M19" s="276" t="s">
        <v>713</v>
      </c>
      <c r="N19" s="272" t="s">
        <v>680</v>
      </c>
      <c r="O19" s="281" t="s">
        <v>732</v>
      </c>
      <c r="P19" s="272"/>
      <c r="Q19" s="281" t="s">
        <v>733</v>
      </c>
      <c r="R19" s="272" t="s">
        <v>677</v>
      </c>
      <c r="S19" s="281"/>
      <c r="T19" s="272" t="s">
        <v>677</v>
      </c>
      <c r="U19" s="272"/>
      <c r="V19" s="275" t="s">
        <v>719</v>
      </c>
      <c r="W19" s="272" t="s">
        <v>747</v>
      </c>
      <c r="X19" s="272" t="s">
        <v>723</v>
      </c>
      <c r="Y19" s="283">
        <v>340</v>
      </c>
      <c r="Z19" s="273">
        <v>45761</v>
      </c>
      <c r="AA19" s="273">
        <v>45808</v>
      </c>
      <c r="AB19" s="273">
        <v>45808</v>
      </c>
      <c r="AC19" s="272" t="s">
        <v>675</v>
      </c>
      <c r="AD19" s="272" t="s">
        <v>675</v>
      </c>
      <c r="AE19" s="272" t="s">
        <v>675</v>
      </c>
      <c r="AF19" s="272" t="s">
        <v>675</v>
      </c>
      <c r="AG19" s="273">
        <v>45761</v>
      </c>
      <c r="AH19" s="273">
        <v>45769</v>
      </c>
      <c r="AI19" s="272" t="s">
        <v>677</v>
      </c>
      <c r="AJ19" s="273">
        <v>45776</v>
      </c>
      <c r="AK19" s="272"/>
      <c r="AL19" s="272" t="s">
        <v>677</v>
      </c>
      <c r="AM19" s="272"/>
      <c r="AN19" s="272"/>
      <c r="AO19" s="272"/>
      <c r="AP19" s="272"/>
      <c r="AQ19" s="272"/>
      <c r="AR19" s="272"/>
      <c r="AS19" s="272"/>
      <c r="AT19" s="272"/>
      <c r="AU19" s="272" t="s">
        <v>675</v>
      </c>
      <c r="AV19" s="272" t="s">
        <v>675</v>
      </c>
      <c r="AW19" s="272" t="s">
        <v>675</v>
      </c>
      <c r="AX19" s="272" t="s">
        <v>675</v>
      </c>
      <c r="AY19" s="273">
        <v>45748</v>
      </c>
      <c r="AZ19" s="273">
        <v>45765</v>
      </c>
      <c r="BA19" s="272" t="s">
        <v>675</v>
      </c>
      <c r="BB19" s="272" t="s">
        <v>675</v>
      </c>
      <c r="BC19" s="272" t="s">
        <v>680</v>
      </c>
      <c r="BD19" s="272" t="s">
        <v>680</v>
      </c>
      <c r="BE19" s="272" t="s">
        <v>675</v>
      </c>
      <c r="BF19" s="272" t="s">
        <v>675</v>
      </c>
      <c r="BG19" s="272" t="s">
        <v>675</v>
      </c>
      <c r="BH19" s="272" t="s">
        <v>680</v>
      </c>
      <c r="BI19" s="272" t="s">
        <v>675</v>
      </c>
      <c r="BJ19" s="272" t="s">
        <v>680</v>
      </c>
      <c r="BK19" s="272" t="s">
        <v>675</v>
      </c>
      <c r="BL19" s="272" t="s">
        <v>675</v>
      </c>
      <c r="BM19" s="279">
        <v>1</v>
      </c>
      <c r="BN19" s="272" t="s">
        <v>680</v>
      </c>
      <c r="BO19" s="272" t="s">
        <v>680</v>
      </c>
      <c r="BP19" s="272" t="s">
        <v>675</v>
      </c>
      <c r="BQ19" s="272" t="s">
        <v>675</v>
      </c>
      <c r="BR19" s="272" t="s">
        <v>675</v>
      </c>
      <c r="BS19" s="272" t="s">
        <v>675</v>
      </c>
      <c r="BT19" s="272" t="s">
        <v>675</v>
      </c>
      <c r="BU19" s="272"/>
      <c r="BV19" s="272" t="s">
        <v>689</v>
      </c>
      <c r="BW19" s="272"/>
      <c r="BX19" s="272"/>
      <c r="BY19" s="272"/>
    </row>
    <row customHeight="true" ht="18.51851851851852" r="20">
      <c r="A20" s="272"/>
      <c r="B20" s="272"/>
      <c r="C20" s="272"/>
      <c r="D20" s="272"/>
      <c r="E20" s="272"/>
      <c r="F20" s="272"/>
      <c r="G20" s="272"/>
      <c r="H20" s="272"/>
      <c r="I20" s="272"/>
      <c r="J20" s="272"/>
      <c r="K20" s="272"/>
      <c r="L20" s="272"/>
      <c r="M20" s="272"/>
      <c r="N20" s="272"/>
      <c r="O20" s="281"/>
      <c r="P20" s="272"/>
      <c r="Q20" s="281"/>
      <c r="R20" s="281"/>
      <c r="S20" s="281"/>
      <c r="T20" s="272"/>
      <c r="U20" s="272"/>
      <c r="V20" s="281"/>
      <c r="W20" s="272"/>
      <c r="X20" s="272"/>
      <c r="Y20" s="272"/>
      <c r="Z20" s="272"/>
      <c r="AA20" s="272"/>
      <c r="AB20" s="272"/>
      <c r="AC20" s="272"/>
      <c r="AD20" s="272"/>
      <c r="AE20" s="272"/>
      <c r="AF20" s="272"/>
      <c r="AG20" s="272"/>
      <c r="AH20" s="272"/>
      <c r="AI20" s="272"/>
      <c r="AJ20" s="272"/>
      <c r="AK20" s="272"/>
      <c r="AL20" s="272"/>
      <c r="AM20" s="272"/>
      <c r="AN20" s="272"/>
      <c r="AO20" s="272"/>
      <c r="AP20" s="272"/>
      <c r="AQ20" s="272"/>
      <c r="AR20" s="272"/>
      <c r="AS20" s="272"/>
      <c r="AT20" s="272"/>
      <c r="AU20" s="272"/>
      <c r="AV20" s="272"/>
      <c r="AW20" s="272"/>
      <c r="AX20" s="272"/>
      <c r="AY20" s="273"/>
      <c r="AZ20" s="273"/>
      <c r="BA20" s="272"/>
      <c r="BB20" s="272"/>
      <c r="BC20" s="272"/>
      <c r="BD20" s="272"/>
      <c r="BE20" s="272"/>
      <c r="BF20" s="272"/>
      <c r="BG20" s="272"/>
      <c r="BH20" s="272"/>
      <c r="BI20" s="272"/>
      <c r="BJ20" s="272"/>
      <c r="BK20" s="272"/>
      <c r="BL20" s="272"/>
      <c r="BM20" s="279"/>
      <c r="BN20" s="272"/>
      <c r="BO20" s="272"/>
      <c r="BP20" s="272"/>
      <c r="BQ20" s="272"/>
      <c r="BR20" s="272"/>
      <c r="BS20" s="272"/>
      <c r="BT20" s="272"/>
      <c r="BU20" s="272"/>
      <c r="BV20" s="272"/>
      <c r="BW20" s="272"/>
      <c r="BX20" s="272"/>
      <c r="BY20" s="272"/>
    </row>
    <row customHeight="true" ht="18.51851851851852" r="21">
      <c r="A21" s="281" t="s">
        <v>748</v>
      </c>
      <c r="B21" s="272" t="s">
        <v>749</v>
      </c>
      <c r="C21" s="281" t="s">
        <v>750</v>
      </c>
      <c r="D21" s="273">
        <v>45743</v>
      </c>
      <c r="E21" s="272" t="s">
        <v>669</v>
      </c>
      <c r="F21" s="272" t="s">
        <v>670</v>
      </c>
      <c r="G21" s="272" t="s">
        <v>671</v>
      </c>
      <c r="H21" s="272" t="s">
        <v>672</v>
      </c>
      <c r="I21" s="272" t="s">
        <v>673</v>
      </c>
      <c r="J21" s="272" t="s">
        <v>674</v>
      </c>
      <c r="K21" s="272" t="s">
        <v>675</v>
      </c>
      <c r="L21" s="272" t="s">
        <v>676</v>
      </c>
      <c r="M21" s="276" t="s">
        <v>751</v>
      </c>
      <c r="N21" s="272" t="s">
        <v>676</v>
      </c>
      <c r="O21" s="275" t="s">
        <v>752</v>
      </c>
      <c r="P21" s="272"/>
      <c r="Q21" s="281" t="s">
        <v>733</v>
      </c>
      <c r="R21" s="276" t="s">
        <v>753</v>
      </c>
      <c r="S21" s="281"/>
      <c r="T21" s="272" t="s">
        <v>677</v>
      </c>
      <c r="U21" s="272"/>
      <c r="V21" s="281"/>
      <c r="W21" s="272" t="s">
        <v>750</v>
      </c>
      <c r="X21" s="272"/>
      <c r="Y21" s="272"/>
      <c r="Z21" s="272"/>
      <c r="AA21" s="272"/>
      <c r="AB21" s="272"/>
      <c r="AC21" s="272" t="s">
        <v>675</v>
      </c>
      <c r="AD21" s="272" t="s">
        <v>675</v>
      </c>
      <c r="AE21" s="272" t="s">
        <v>675</v>
      </c>
      <c r="AF21" s="272" t="s">
        <v>675</v>
      </c>
      <c r="AG21" s="272"/>
      <c r="AH21" s="272"/>
      <c r="AI21" s="272" t="s">
        <v>677</v>
      </c>
      <c r="AJ21" s="272"/>
      <c r="AK21" s="272"/>
      <c r="AL21" s="272" t="s">
        <v>677</v>
      </c>
      <c r="AM21" s="272"/>
      <c r="AN21" s="272"/>
      <c r="AO21" s="272"/>
      <c r="AP21" s="272"/>
      <c r="AQ21" s="272"/>
      <c r="AR21" s="272"/>
      <c r="AS21" s="272"/>
      <c r="AT21" s="272"/>
      <c r="AU21" s="272"/>
      <c r="AV21" s="272"/>
      <c r="AW21" s="272"/>
      <c r="AX21" s="272"/>
      <c r="AY21" s="273">
        <v>45748</v>
      </c>
      <c r="AZ21" s="273">
        <v>45765</v>
      </c>
      <c r="BA21" s="272" t="s">
        <v>675</v>
      </c>
      <c r="BB21" s="272" t="s">
        <v>675</v>
      </c>
      <c r="BC21" s="272" t="s">
        <v>680</v>
      </c>
      <c r="BD21" s="272" t="s">
        <v>680</v>
      </c>
      <c r="BE21" s="272" t="s">
        <v>675</v>
      </c>
      <c r="BF21" s="272" t="s">
        <v>675</v>
      </c>
      <c r="BG21" s="272" t="s">
        <v>675</v>
      </c>
      <c r="BH21" s="272" t="s">
        <v>680</v>
      </c>
      <c r="BI21" s="272" t="s">
        <v>675</v>
      </c>
      <c r="BJ21" s="272" t="s">
        <v>680</v>
      </c>
      <c r="BK21" s="272" t="s">
        <v>675</v>
      </c>
      <c r="BL21" s="272" t="s">
        <v>675</v>
      </c>
      <c r="BM21" s="279">
        <v>1</v>
      </c>
      <c r="BN21" s="272" t="s">
        <v>680</v>
      </c>
      <c r="BO21" s="272" t="s">
        <v>680</v>
      </c>
      <c r="BP21" s="272" t="s">
        <v>675</v>
      </c>
      <c r="BQ21" s="272" t="s">
        <v>675</v>
      </c>
      <c r="BR21" s="272" t="s">
        <v>675</v>
      </c>
      <c r="BS21" s="272" t="s">
        <v>675</v>
      </c>
      <c r="BT21" s="272" t="s">
        <v>675</v>
      </c>
      <c r="BU21" s="272"/>
      <c r="BV21" s="272"/>
      <c r="BW21" s="272"/>
      <c r="BX21" s="272"/>
      <c r="BY21" s="272"/>
    </row>
    <row customHeight="true" ht="18.51851851851852" r="22">
      <c r="A22" s="281" t="s">
        <v>754</v>
      </c>
      <c r="B22" s="272" t="s">
        <v>755</v>
      </c>
      <c r="C22" s="281" t="s">
        <v>756</v>
      </c>
      <c r="D22" s="273">
        <v>45743</v>
      </c>
      <c r="E22" s="272" t="s">
        <v>669</v>
      </c>
      <c r="F22" s="272" t="s">
        <v>670</v>
      </c>
      <c r="G22" s="272" t="s">
        <v>671</v>
      </c>
      <c r="H22" s="272" t="s">
        <v>695</v>
      </c>
      <c r="I22" s="272" t="s">
        <v>673</v>
      </c>
      <c r="J22" s="272" t="s">
        <v>674</v>
      </c>
      <c r="K22" s="272" t="s">
        <v>675</v>
      </c>
      <c r="L22" s="272" t="s">
        <v>676</v>
      </c>
      <c r="M22" s="276" t="s">
        <v>751</v>
      </c>
      <c r="N22" s="272" t="s">
        <v>676</v>
      </c>
      <c r="O22" s="275" t="s">
        <v>752</v>
      </c>
      <c r="P22" s="272"/>
      <c r="Q22" s="281" t="s">
        <v>733</v>
      </c>
      <c r="R22" s="281"/>
      <c r="S22" s="281"/>
      <c r="T22" s="272" t="s">
        <v>677</v>
      </c>
      <c r="U22" s="272"/>
      <c r="V22" s="281"/>
      <c r="W22" s="272" t="s">
        <v>756</v>
      </c>
      <c r="X22" s="272"/>
      <c r="Y22" s="272"/>
      <c r="Z22" s="272"/>
      <c r="AA22" s="272"/>
      <c r="AB22" s="272"/>
      <c r="AC22" s="272" t="s">
        <v>675</v>
      </c>
      <c r="AD22" s="272" t="s">
        <v>675</v>
      </c>
      <c r="AE22" s="272" t="s">
        <v>675</v>
      </c>
      <c r="AF22" s="272" t="s">
        <v>675</v>
      </c>
      <c r="AG22" s="272"/>
      <c r="AH22" s="272"/>
      <c r="AI22" s="272" t="s">
        <v>677</v>
      </c>
      <c r="AJ22" s="272"/>
      <c r="AK22" s="272"/>
      <c r="AL22" s="272" t="s">
        <v>677</v>
      </c>
      <c r="AM22" s="272"/>
      <c r="AN22" s="272"/>
      <c r="AO22" s="272"/>
      <c r="AP22" s="272"/>
      <c r="AQ22" s="272"/>
      <c r="AR22" s="272"/>
      <c r="AS22" s="272"/>
      <c r="AT22" s="272"/>
      <c r="AU22" s="272"/>
      <c r="AV22" s="272"/>
      <c r="AW22" s="272"/>
      <c r="AX22" s="272"/>
      <c r="AY22" s="273">
        <v>45748</v>
      </c>
      <c r="AZ22" s="273">
        <v>45765</v>
      </c>
      <c r="BA22" s="272" t="s">
        <v>675</v>
      </c>
      <c r="BB22" s="272" t="s">
        <v>675</v>
      </c>
      <c r="BC22" s="272" t="s">
        <v>680</v>
      </c>
      <c r="BD22" s="272" t="s">
        <v>680</v>
      </c>
      <c r="BE22" s="272" t="s">
        <v>675</v>
      </c>
      <c r="BF22" s="272" t="s">
        <v>675</v>
      </c>
      <c r="BG22" s="272" t="s">
        <v>675</v>
      </c>
      <c r="BH22" s="272" t="s">
        <v>680</v>
      </c>
      <c r="BI22" s="272" t="s">
        <v>675</v>
      </c>
      <c r="BJ22" s="272" t="s">
        <v>680</v>
      </c>
      <c r="BK22" s="272" t="s">
        <v>675</v>
      </c>
      <c r="BL22" s="272" t="s">
        <v>675</v>
      </c>
      <c r="BM22" s="279">
        <v>1</v>
      </c>
      <c r="BN22" s="272" t="s">
        <v>680</v>
      </c>
      <c r="BO22" s="272" t="s">
        <v>680</v>
      </c>
      <c r="BP22" s="272" t="s">
        <v>675</v>
      </c>
      <c r="BQ22" s="272" t="s">
        <v>675</v>
      </c>
      <c r="BR22" s="272" t="s">
        <v>675</v>
      </c>
      <c r="BS22" s="272" t="s">
        <v>675</v>
      </c>
      <c r="BT22" s="272" t="s">
        <v>675</v>
      </c>
      <c r="BU22" s="272"/>
      <c r="BV22" s="272"/>
      <c r="BW22" s="272"/>
      <c r="BX22" s="272"/>
      <c r="BY22" s="272"/>
    </row>
    <row customHeight="true" ht="18.51851851851852" r="23">
      <c r="A23" s="281" t="s">
        <v>757</v>
      </c>
      <c r="B23" s="272"/>
      <c r="C23" s="281" t="s">
        <v>758</v>
      </c>
      <c r="D23" s="273">
        <v>45743</v>
      </c>
      <c r="E23" s="272"/>
      <c r="F23" s="272"/>
      <c r="G23" s="272"/>
      <c r="H23" s="272"/>
      <c r="I23" s="272"/>
      <c r="J23" s="272"/>
      <c r="K23" s="272" t="s">
        <v>675</v>
      </c>
      <c r="L23" s="272" t="s">
        <v>676</v>
      </c>
      <c r="M23" s="276"/>
      <c r="N23" s="272"/>
      <c r="O23" s="275"/>
      <c r="P23" s="272"/>
      <c r="Q23" s="281"/>
      <c r="R23" s="281"/>
      <c r="S23" s="281"/>
      <c r="T23" s="272"/>
      <c r="U23" s="272"/>
      <c r="V23" s="281"/>
      <c r="W23" s="272"/>
      <c r="X23" s="272"/>
      <c r="Y23" s="272"/>
      <c r="Z23" s="272"/>
      <c r="AA23" s="272"/>
      <c r="AB23" s="272"/>
      <c r="AC23" s="272"/>
      <c r="AD23" s="272"/>
      <c r="AE23" s="272"/>
      <c r="AF23" s="272"/>
      <c r="AG23" s="272"/>
      <c r="AH23" s="272"/>
      <c r="AI23" s="272"/>
      <c r="AJ23" s="272"/>
      <c r="AK23" s="272"/>
      <c r="AL23" s="272"/>
      <c r="AM23" s="272"/>
      <c r="AN23" s="272"/>
      <c r="AO23" s="272"/>
      <c r="AP23" s="272"/>
      <c r="AQ23" s="272"/>
      <c r="AR23" s="272"/>
      <c r="AS23" s="272"/>
      <c r="AT23" s="272"/>
      <c r="AU23" s="272"/>
      <c r="AV23" s="272"/>
      <c r="AW23" s="272"/>
      <c r="AX23" s="272"/>
      <c r="AY23" s="273"/>
      <c r="AZ23" s="273"/>
      <c r="BA23" s="272"/>
      <c r="BB23" s="272"/>
      <c r="BC23" s="272"/>
      <c r="BD23" s="272"/>
      <c r="BE23" s="272"/>
      <c r="BF23" s="272"/>
      <c r="BG23" s="272"/>
      <c r="BH23" s="272"/>
      <c r="BI23" s="272"/>
      <c r="BJ23" s="272"/>
      <c r="BK23" s="272"/>
      <c r="BL23" s="272"/>
      <c r="BM23" s="279"/>
      <c r="BN23" s="272"/>
      <c r="BO23" s="272"/>
      <c r="BP23" s="272"/>
      <c r="BQ23" s="272"/>
      <c r="BR23" s="272"/>
      <c r="BS23" s="272"/>
      <c r="BT23" s="272"/>
      <c r="BU23" s="272"/>
      <c r="BV23" s="272"/>
      <c r="BW23" s="272"/>
      <c r="BX23" s="272"/>
      <c r="BY23" s="272"/>
    </row>
    <row customHeight="true" ht="18.51851851851852" r="24">
      <c r="A24" s="281" t="s">
        <v>757</v>
      </c>
      <c r="B24" s="272"/>
      <c r="C24" s="281" t="s">
        <v>759</v>
      </c>
      <c r="D24" s="273">
        <v>45749</v>
      </c>
      <c r="E24" s="272" t="s">
        <v>669</v>
      </c>
      <c r="F24" s="272" t="s">
        <v>670</v>
      </c>
      <c r="G24" s="272" t="s">
        <v>671</v>
      </c>
      <c r="H24" s="272" t="s">
        <v>672</v>
      </c>
      <c r="I24" s="272" t="s">
        <v>712</v>
      </c>
      <c r="J24" s="272" t="s">
        <v>674</v>
      </c>
      <c r="K24" s="272" t="s">
        <v>675</v>
      </c>
      <c r="L24" s="272" t="s">
        <v>676</v>
      </c>
      <c r="M24" s="276" t="s">
        <v>760</v>
      </c>
      <c r="N24" s="272" t="s">
        <v>676</v>
      </c>
      <c r="O24" s="275" t="s">
        <v>752</v>
      </c>
      <c r="P24" s="272"/>
      <c r="Q24" s="281" t="s">
        <v>733</v>
      </c>
      <c r="R24" s="276" t="s">
        <v>761</v>
      </c>
      <c r="S24" s="281"/>
      <c r="T24" s="272" t="s">
        <v>677</v>
      </c>
      <c r="U24" s="272"/>
      <c r="V24" s="281"/>
      <c r="W24" s="272" t="s">
        <v>759</v>
      </c>
      <c r="X24" s="272"/>
      <c r="Y24" s="272"/>
      <c r="Z24" s="272"/>
      <c r="AA24" s="272"/>
      <c r="AB24" s="272"/>
      <c r="AC24" s="272" t="s">
        <v>675</v>
      </c>
      <c r="AD24" s="272" t="s">
        <v>675</v>
      </c>
      <c r="AE24" s="272" t="s">
        <v>675</v>
      </c>
      <c r="AF24" s="272" t="s">
        <v>675</v>
      </c>
      <c r="AG24" s="272"/>
      <c r="AH24" s="272"/>
      <c r="AI24" s="272" t="s">
        <v>677</v>
      </c>
      <c r="AJ24" s="272"/>
      <c r="AK24" s="272"/>
      <c r="AL24" s="272" t="s">
        <v>677</v>
      </c>
      <c r="AM24" s="272"/>
      <c r="AN24" s="272"/>
      <c r="AO24" s="272"/>
      <c r="AP24" s="272"/>
      <c r="AQ24" s="272"/>
      <c r="AR24" s="272"/>
      <c r="AS24" s="272"/>
      <c r="AT24" s="272"/>
      <c r="AU24" s="272"/>
      <c r="AV24" s="272"/>
      <c r="AW24" s="272"/>
      <c r="AX24" s="272"/>
      <c r="AY24" s="273">
        <v>45748</v>
      </c>
      <c r="AZ24" s="273">
        <v>45765</v>
      </c>
      <c r="BA24" s="272" t="s">
        <v>675</v>
      </c>
      <c r="BB24" s="272" t="s">
        <v>675</v>
      </c>
      <c r="BC24" s="272" t="s">
        <v>680</v>
      </c>
      <c r="BD24" s="272" t="s">
        <v>680</v>
      </c>
      <c r="BE24" s="272" t="s">
        <v>675</v>
      </c>
      <c r="BF24" s="272" t="s">
        <v>675</v>
      </c>
      <c r="BG24" s="272" t="s">
        <v>675</v>
      </c>
      <c r="BH24" s="272" t="s">
        <v>680</v>
      </c>
      <c r="BI24" s="272" t="s">
        <v>675</v>
      </c>
      <c r="BJ24" s="272" t="s">
        <v>680</v>
      </c>
      <c r="BK24" s="272" t="s">
        <v>675</v>
      </c>
      <c r="BL24" s="272" t="s">
        <v>675</v>
      </c>
      <c r="BM24" s="279">
        <v>1</v>
      </c>
      <c r="BN24" s="272" t="s">
        <v>680</v>
      </c>
      <c r="BO24" s="272" t="s">
        <v>680</v>
      </c>
      <c r="BP24" s="272" t="s">
        <v>675</v>
      </c>
      <c r="BQ24" s="272" t="s">
        <v>675</v>
      </c>
      <c r="BR24" s="272" t="s">
        <v>675</v>
      </c>
      <c r="BS24" s="272" t="s">
        <v>675</v>
      </c>
      <c r="BT24" s="272" t="s">
        <v>675</v>
      </c>
      <c r="BU24" s="272"/>
      <c r="BV24" s="272"/>
      <c r="BW24" s="272"/>
      <c r="BX24" s="272"/>
      <c r="BY24" s="272"/>
    </row>
    <row customHeight="true" ht="18.51851851851852" r="25">
      <c r="A25" s="281" t="s">
        <v>757</v>
      </c>
      <c r="B25" s="272"/>
      <c r="C25" s="281" t="s">
        <v>762</v>
      </c>
      <c r="D25" s="273">
        <v>45749</v>
      </c>
      <c r="E25" s="272" t="s">
        <v>669</v>
      </c>
      <c r="F25" s="272" t="s">
        <v>670</v>
      </c>
      <c r="G25" s="272" t="s">
        <v>671</v>
      </c>
      <c r="H25" s="272" t="s">
        <v>695</v>
      </c>
      <c r="I25" s="272" t="s">
        <v>712</v>
      </c>
      <c r="J25" s="272" t="s">
        <v>674</v>
      </c>
      <c r="K25" s="272" t="s">
        <v>675</v>
      </c>
      <c r="L25" s="272" t="s">
        <v>676</v>
      </c>
      <c r="M25" s="276" t="s">
        <v>760</v>
      </c>
      <c r="N25" s="272" t="s">
        <v>676</v>
      </c>
      <c r="O25" s="275"/>
      <c r="P25" s="272"/>
      <c r="Q25" s="281" t="s">
        <v>733</v>
      </c>
      <c r="R25" s="281"/>
      <c r="S25" s="281"/>
      <c r="T25" s="272" t="s">
        <v>677</v>
      </c>
      <c r="U25" s="272"/>
      <c r="V25" s="281"/>
      <c r="W25" s="272" t="s">
        <v>762</v>
      </c>
      <c r="X25" s="272"/>
      <c r="Y25" s="272"/>
      <c r="Z25" s="272"/>
      <c r="AA25" s="272"/>
      <c r="AB25" s="272"/>
      <c r="AC25" s="272" t="s">
        <v>675</v>
      </c>
      <c r="AD25" s="272" t="s">
        <v>675</v>
      </c>
      <c r="AE25" s="272" t="s">
        <v>675</v>
      </c>
      <c r="AF25" s="272" t="s">
        <v>675</v>
      </c>
      <c r="AG25" s="272"/>
      <c r="AH25" s="272"/>
      <c r="AI25" s="272" t="s">
        <v>677</v>
      </c>
      <c r="AJ25" s="272"/>
      <c r="AK25" s="272"/>
      <c r="AL25" s="272" t="s">
        <v>677</v>
      </c>
      <c r="AM25" s="272"/>
      <c r="AN25" s="272"/>
      <c r="AO25" s="272"/>
      <c r="AP25" s="272"/>
      <c r="AQ25" s="272"/>
      <c r="AR25" s="272"/>
      <c r="AS25" s="272"/>
      <c r="AT25" s="272"/>
      <c r="AU25" s="272"/>
      <c r="AV25" s="272"/>
      <c r="AW25" s="272"/>
      <c r="AX25" s="272"/>
      <c r="AY25" s="273">
        <v>45748</v>
      </c>
      <c r="AZ25" s="273">
        <v>45765</v>
      </c>
      <c r="BA25" s="272" t="s">
        <v>675</v>
      </c>
      <c r="BB25" s="272" t="s">
        <v>675</v>
      </c>
      <c r="BC25" s="272" t="s">
        <v>680</v>
      </c>
      <c r="BD25" s="272" t="s">
        <v>680</v>
      </c>
      <c r="BE25" s="272" t="s">
        <v>675</v>
      </c>
      <c r="BF25" s="272" t="s">
        <v>675</v>
      </c>
      <c r="BG25" s="272" t="s">
        <v>675</v>
      </c>
      <c r="BH25" s="272" t="s">
        <v>680</v>
      </c>
      <c r="BI25" s="272" t="s">
        <v>675</v>
      </c>
      <c r="BJ25" s="272" t="s">
        <v>680</v>
      </c>
      <c r="BK25" s="272" t="s">
        <v>675</v>
      </c>
      <c r="BL25" s="272" t="s">
        <v>675</v>
      </c>
      <c r="BM25" s="279">
        <v>1</v>
      </c>
      <c r="BN25" s="272" t="s">
        <v>680</v>
      </c>
      <c r="BO25" s="272" t="s">
        <v>680</v>
      </c>
      <c r="BP25" s="272" t="s">
        <v>675</v>
      </c>
      <c r="BQ25" s="272" t="s">
        <v>675</v>
      </c>
      <c r="BR25" s="272" t="s">
        <v>675</v>
      </c>
      <c r="BS25" s="272" t="s">
        <v>675</v>
      </c>
      <c r="BT25" s="272" t="s">
        <v>675</v>
      </c>
      <c r="BU25" s="272"/>
      <c r="BV25" s="272"/>
      <c r="BW25" s="272"/>
      <c r="BX25" s="272"/>
      <c r="BY25" s="272"/>
    </row>
    <row customHeight="true" ht="18.51851851851852" r="26">
      <c r="A26" s="272"/>
      <c r="B26" s="272"/>
      <c r="C26" s="281"/>
      <c r="D26" s="273"/>
      <c r="E26" s="272"/>
      <c r="F26" s="272"/>
      <c r="G26" s="272"/>
      <c r="H26" s="272"/>
      <c r="I26" s="272"/>
      <c r="J26" s="272"/>
      <c r="K26" s="272"/>
      <c r="L26" s="272"/>
      <c r="M26" s="276"/>
      <c r="N26" s="272"/>
      <c r="O26" s="281"/>
      <c r="P26" s="272"/>
      <c r="Q26" s="281"/>
      <c r="R26" s="275"/>
      <c r="S26" s="281"/>
      <c r="T26" s="272" t="s">
        <v>677</v>
      </c>
      <c r="U26" s="272"/>
      <c r="V26" s="281"/>
      <c r="W26" s="272"/>
      <c r="X26" s="272"/>
      <c r="Y26" s="272"/>
      <c r="Z26" s="272"/>
      <c r="AA26" s="272"/>
      <c r="AB26" s="272"/>
      <c r="AC26" s="272"/>
      <c r="AD26" s="272"/>
      <c r="AE26" s="272"/>
      <c r="AF26" s="272"/>
      <c r="AG26" s="272"/>
      <c r="AH26" s="272"/>
      <c r="AI26" s="272" t="s">
        <v>677</v>
      </c>
      <c r="AJ26" s="272"/>
      <c r="AK26" s="272"/>
      <c r="AL26" s="272" t="s">
        <v>677</v>
      </c>
      <c r="AM26" s="272"/>
      <c r="AN26" s="272"/>
      <c r="AO26" s="272"/>
      <c r="AP26" s="272"/>
      <c r="AQ26" s="272"/>
      <c r="AR26" s="272"/>
      <c r="AS26" s="272"/>
      <c r="AT26" s="272"/>
      <c r="AU26" s="272"/>
      <c r="AV26" s="272"/>
      <c r="AW26" s="272"/>
      <c r="AX26" s="272"/>
      <c r="AY26" s="273">
        <v>45748</v>
      </c>
      <c r="AZ26" s="273">
        <v>45765</v>
      </c>
      <c r="BA26" s="272" t="s">
        <v>675</v>
      </c>
      <c r="BB26" s="272" t="s">
        <v>675</v>
      </c>
      <c r="BC26" s="272" t="s">
        <v>680</v>
      </c>
      <c r="BD26" s="272" t="s">
        <v>680</v>
      </c>
      <c r="BE26" s="272" t="s">
        <v>675</v>
      </c>
      <c r="BF26" s="272" t="s">
        <v>675</v>
      </c>
      <c r="BG26" s="272" t="s">
        <v>675</v>
      </c>
      <c r="BH26" s="272" t="s">
        <v>680</v>
      </c>
      <c r="BI26" s="272" t="s">
        <v>675</v>
      </c>
      <c r="BJ26" s="272" t="s">
        <v>680</v>
      </c>
      <c r="BK26" s="272" t="s">
        <v>675</v>
      </c>
      <c r="BL26" s="272" t="s">
        <v>675</v>
      </c>
      <c r="BM26" s="279">
        <v>1</v>
      </c>
      <c r="BN26" s="272" t="s">
        <v>680</v>
      </c>
      <c r="BO26" s="272" t="s">
        <v>680</v>
      </c>
      <c r="BP26" s="272" t="s">
        <v>675</v>
      </c>
      <c r="BQ26" s="272" t="s">
        <v>675</v>
      </c>
      <c r="BR26" s="272" t="s">
        <v>675</v>
      </c>
      <c r="BS26" s="272" t="s">
        <v>675</v>
      </c>
      <c r="BT26" s="272" t="s">
        <v>675</v>
      </c>
      <c r="BU26" s="272"/>
      <c r="BV26" s="272"/>
      <c r="BW26" s="272"/>
      <c r="BX26" s="272"/>
      <c r="BY26" s="272"/>
    </row>
    <row customHeight="true" ht="18.51851851851852" r="27">
      <c r="A27" s="272" t="s">
        <v>763</v>
      </c>
      <c r="B27" s="272"/>
      <c r="C27" s="281" t="s">
        <v>764</v>
      </c>
      <c r="D27" s="273">
        <v>45754</v>
      </c>
      <c r="E27" s="272" t="s">
        <v>669</v>
      </c>
      <c r="F27" s="272" t="s">
        <v>670</v>
      </c>
      <c r="G27" s="272" t="s">
        <v>671</v>
      </c>
      <c r="H27" s="272" t="s">
        <v>672</v>
      </c>
      <c r="I27" s="272" t="s">
        <v>712</v>
      </c>
      <c r="J27" s="272" t="s">
        <v>674</v>
      </c>
      <c r="K27" s="272" t="s">
        <v>675</v>
      </c>
      <c r="L27" s="272" t="s">
        <v>676</v>
      </c>
      <c r="M27" s="276" t="s">
        <v>765</v>
      </c>
      <c r="N27" s="272" t="s">
        <v>676</v>
      </c>
      <c r="O27" s="275" t="s">
        <v>766</v>
      </c>
      <c r="P27" s="272"/>
      <c r="Q27" s="275" t="s">
        <v>767</v>
      </c>
      <c r="R27" s="275" t="s">
        <v>768</v>
      </c>
      <c r="S27" s="281"/>
      <c r="T27" s="272" t="s">
        <v>677</v>
      </c>
      <c r="U27" s="272"/>
      <c r="V27" s="281"/>
      <c r="W27" s="272" t="s">
        <v>764</v>
      </c>
      <c r="X27" s="272"/>
      <c r="Y27" s="272"/>
      <c r="Z27" s="272"/>
      <c r="AA27" s="272"/>
      <c r="AB27" s="272"/>
      <c r="AC27" s="272" t="s">
        <v>675</v>
      </c>
      <c r="AD27" s="272" t="s">
        <v>675</v>
      </c>
      <c r="AE27" s="272" t="s">
        <v>675</v>
      </c>
      <c r="AF27" s="272" t="s">
        <v>675</v>
      </c>
      <c r="AG27" s="272"/>
      <c r="AH27" s="272"/>
      <c r="AI27" s="272" t="s">
        <v>677</v>
      </c>
      <c r="AJ27" s="272"/>
      <c r="AK27" s="272"/>
      <c r="AL27" s="272" t="s">
        <v>677</v>
      </c>
      <c r="AM27" s="272"/>
      <c r="AN27" s="272"/>
      <c r="AO27" s="272"/>
      <c r="AP27" s="272"/>
      <c r="AQ27" s="272"/>
      <c r="AR27" s="272"/>
      <c r="AS27" s="272"/>
      <c r="AT27" s="272"/>
      <c r="AU27" s="272"/>
      <c r="AV27" s="272"/>
      <c r="AW27" s="272"/>
      <c r="AX27" s="272"/>
      <c r="AY27" s="273">
        <v>45748</v>
      </c>
      <c r="AZ27" s="273">
        <v>45765</v>
      </c>
      <c r="BA27" s="272" t="s">
        <v>675</v>
      </c>
      <c r="BB27" s="272" t="s">
        <v>675</v>
      </c>
      <c r="BC27" s="272" t="s">
        <v>680</v>
      </c>
      <c r="BD27" s="272" t="s">
        <v>680</v>
      </c>
      <c r="BE27" s="272" t="s">
        <v>675</v>
      </c>
      <c r="BF27" s="272" t="s">
        <v>675</v>
      </c>
      <c r="BG27" s="272" t="s">
        <v>675</v>
      </c>
      <c r="BH27" s="272" t="s">
        <v>680</v>
      </c>
      <c r="BI27" s="272" t="s">
        <v>675</v>
      </c>
      <c r="BJ27" s="272" t="s">
        <v>680</v>
      </c>
      <c r="BK27" s="272" t="s">
        <v>675</v>
      </c>
      <c r="BL27" s="272" t="s">
        <v>675</v>
      </c>
      <c r="BM27" s="279">
        <v>1</v>
      </c>
      <c r="BN27" s="272" t="s">
        <v>680</v>
      </c>
      <c r="BO27" s="272" t="s">
        <v>680</v>
      </c>
      <c r="BP27" s="272" t="s">
        <v>675</v>
      </c>
      <c r="BQ27" s="272" t="s">
        <v>675</v>
      </c>
      <c r="BR27" s="272" t="s">
        <v>675</v>
      </c>
      <c r="BS27" s="272" t="s">
        <v>675</v>
      </c>
      <c r="BT27" s="272" t="s">
        <v>675</v>
      </c>
      <c r="BU27" s="272"/>
      <c r="BV27" s="272"/>
      <c r="BW27" s="272"/>
      <c r="BX27" s="272"/>
      <c r="BY27" s="272"/>
    </row>
    <row customHeight="true" ht="18.51851851851852" r="28">
      <c r="A28" s="272" t="s">
        <v>763</v>
      </c>
      <c r="B28" s="272"/>
      <c r="C28" s="281" t="s">
        <v>769</v>
      </c>
      <c r="D28" s="273">
        <v>45754</v>
      </c>
      <c r="E28" s="272" t="s">
        <v>669</v>
      </c>
      <c r="F28" s="272" t="s">
        <v>670</v>
      </c>
      <c r="G28" s="272" t="s">
        <v>671</v>
      </c>
      <c r="H28" s="272" t="s">
        <v>695</v>
      </c>
      <c r="I28" s="272" t="s">
        <v>712</v>
      </c>
      <c r="J28" s="272" t="s">
        <v>674</v>
      </c>
      <c r="K28" s="272" t="s">
        <v>675</v>
      </c>
      <c r="L28" s="272"/>
      <c r="M28" s="276" t="s">
        <v>765</v>
      </c>
      <c r="N28" s="272"/>
      <c r="O28" s="275"/>
      <c r="P28" s="272"/>
      <c r="Q28" s="275" t="s">
        <v>770</v>
      </c>
      <c r="R28" s="275" t="s">
        <v>768</v>
      </c>
      <c r="S28" s="281"/>
      <c r="T28" s="272" t="s">
        <v>677</v>
      </c>
      <c r="U28" s="272"/>
      <c r="V28" s="281"/>
      <c r="W28" s="272" t="s">
        <v>769</v>
      </c>
      <c r="X28" s="272"/>
      <c r="Y28" s="272"/>
      <c r="Z28" s="272"/>
      <c r="AA28" s="272"/>
      <c r="AB28" s="272"/>
      <c r="AC28" s="272" t="s">
        <v>675</v>
      </c>
      <c r="AD28" s="272" t="s">
        <v>675</v>
      </c>
      <c r="AE28" s="272" t="s">
        <v>675</v>
      </c>
      <c r="AF28" s="272" t="s">
        <v>675</v>
      </c>
      <c r="AG28" s="272"/>
      <c r="AH28" s="272"/>
      <c r="AI28" s="272" t="s">
        <v>677</v>
      </c>
      <c r="AJ28" s="272"/>
      <c r="AK28" s="272"/>
      <c r="AL28" s="272" t="s">
        <v>677</v>
      </c>
      <c r="AM28" s="272"/>
      <c r="AN28" s="272"/>
      <c r="AO28" s="272"/>
      <c r="AP28" s="272"/>
      <c r="AQ28" s="272"/>
      <c r="AR28" s="272"/>
      <c r="AS28" s="272"/>
      <c r="AT28" s="272"/>
      <c r="AU28" s="272"/>
      <c r="AV28" s="272"/>
      <c r="AW28" s="272"/>
      <c r="AX28" s="272"/>
      <c r="AY28" s="273">
        <v>45748</v>
      </c>
      <c r="AZ28" s="273">
        <v>45765</v>
      </c>
      <c r="BA28" s="272" t="s">
        <v>675</v>
      </c>
      <c r="BB28" s="272" t="s">
        <v>675</v>
      </c>
      <c r="BC28" s="272" t="s">
        <v>680</v>
      </c>
      <c r="BD28" s="272" t="s">
        <v>680</v>
      </c>
      <c r="BE28" s="272" t="s">
        <v>675</v>
      </c>
      <c r="BF28" s="272" t="s">
        <v>675</v>
      </c>
      <c r="BG28" s="272" t="s">
        <v>675</v>
      </c>
      <c r="BH28" s="272" t="s">
        <v>680</v>
      </c>
      <c r="BI28" s="272" t="s">
        <v>675</v>
      </c>
      <c r="BJ28" s="272" t="s">
        <v>680</v>
      </c>
      <c r="BK28" s="272" t="s">
        <v>675</v>
      </c>
      <c r="BL28" s="272" t="s">
        <v>675</v>
      </c>
      <c r="BM28" s="279">
        <v>1</v>
      </c>
      <c r="BN28" s="272" t="s">
        <v>680</v>
      </c>
      <c r="BO28" s="272" t="s">
        <v>680</v>
      </c>
      <c r="BP28" s="272" t="s">
        <v>675</v>
      </c>
      <c r="BQ28" s="272" t="s">
        <v>675</v>
      </c>
      <c r="BR28" s="272" t="s">
        <v>675</v>
      </c>
      <c r="BS28" s="272" t="s">
        <v>675</v>
      </c>
      <c r="BT28" s="272" t="s">
        <v>675</v>
      </c>
      <c r="BU28" s="272"/>
      <c r="BV28" s="272"/>
      <c r="BW28" s="272"/>
      <c r="BX28" s="272"/>
      <c r="BY28" s="272"/>
    </row>
    <row customHeight="true" ht="18.51851851851852" r="29">
      <c r="A29" s="272" t="s">
        <v>763</v>
      </c>
      <c r="B29" s="272"/>
      <c r="C29" s="281" t="s">
        <v>771</v>
      </c>
      <c r="D29" s="273">
        <v>45754</v>
      </c>
      <c r="E29" s="272" t="s">
        <v>669</v>
      </c>
      <c r="F29" s="272" t="s">
        <v>670</v>
      </c>
      <c r="G29" s="272" t="s">
        <v>671</v>
      </c>
      <c r="H29" s="272" t="s">
        <v>672</v>
      </c>
      <c r="I29" s="272" t="s">
        <v>712</v>
      </c>
      <c r="J29" s="272" t="s">
        <v>674</v>
      </c>
      <c r="K29" s="272" t="s">
        <v>675</v>
      </c>
      <c r="L29" s="272" t="s">
        <v>676</v>
      </c>
      <c r="M29" s="276" t="s">
        <v>765</v>
      </c>
      <c r="N29" s="272" t="s">
        <v>676</v>
      </c>
      <c r="O29" s="275" t="s">
        <v>766</v>
      </c>
      <c r="P29" s="272"/>
      <c r="Q29" s="275" t="s">
        <v>767</v>
      </c>
      <c r="R29" s="275" t="s">
        <v>768</v>
      </c>
      <c r="S29" s="281"/>
      <c r="T29" s="272" t="s">
        <v>677</v>
      </c>
      <c r="U29" s="272"/>
      <c r="V29" s="281"/>
      <c r="W29" s="272" t="s">
        <v>771</v>
      </c>
      <c r="X29" s="272"/>
      <c r="Y29" s="272"/>
      <c r="Z29" s="272"/>
      <c r="AA29" s="272"/>
      <c r="AB29" s="272"/>
      <c r="AC29" s="272" t="s">
        <v>675</v>
      </c>
      <c r="AD29" s="272" t="s">
        <v>675</v>
      </c>
      <c r="AE29" s="272" t="s">
        <v>675</v>
      </c>
      <c r="AF29" s="272" t="s">
        <v>675</v>
      </c>
      <c r="AG29" s="272"/>
      <c r="AH29" s="272"/>
      <c r="AI29" s="272" t="s">
        <v>677</v>
      </c>
      <c r="AJ29" s="272"/>
      <c r="AK29" s="272"/>
      <c r="AL29" s="272" t="s">
        <v>677</v>
      </c>
      <c r="AM29" s="272"/>
      <c r="AN29" s="272"/>
      <c r="AO29" s="272"/>
      <c r="AP29" s="272"/>
      <c r="AQ29" s="272"/>
      <c r="AR29" s="272"/>
      <c r="AS29" s="272"/>
      <c r="AT29" s="272"/>
      <c r="AU29" s="272"/>
      <c r="AV29" s="272"/>
      <c r="AW29" s="272"/>
      <c r="AX29" s="272"/>
      <c r="AY29" s="273">
        <v>45748</v>
      </c>
      <c r="AZ29" s="273">
        <v>45765</v>
      </c>
      <c r="BA29" s="272" t="s">
        <v>675</v>
      </c>
      <c r="BB29" s="272" t="s">
        <v>675</v>
      </c>
      <c r="BC29" s="272" t="s">
        <v>680</v>
      </c>
      <c r="BD29" s="272" t="s">
        <v>680</v>
      </c>
      <c r="BE29" s="272" t="s">
        <v>675</v>
      </c>
      <c r="BF29" s="272" t="s">
        <v>675</v>
      </c>
      <c r="BG29" s="272" t="s">
        <v>675</v>
      </c>
      <c r="BH29" s="272" t="s">
        <v>680</v>
      </c>
      <c r="BI29" s="272" t="s">
        <v>675</v>
      </c>
      <c r="BJ29" s="272" t="s">
        <v>680</v>
      </c>
      <c r="BK29" s="272" t="s">
        <v>675</v>
      </c>
      <c r="BL29" s="272" t="s">
        <v>675</v>
      </c>
      <c r="BM29" s="279">
        <v>1</v>
      </c>
      <c r="BN29" s="272" t="s">
        <v>680</v>
      </c>
      <c r="BO29" s="272" t="s">
        <v>680</v>
      </c>
      <c r="BP29" s="272" t="s">
        <v>675</v>
      </c>
      <c r="BQ29" s="272" t="s">
        <v>675</v>
      </c>
      <c r="BR29" s="272" t="s">
        <v>675</v>
      </c>
      <c r="BS29" s="272" t="s">
        <v>675</v>
      </c>
      <c r="BT29" s="272" t="s">
        <v>675</v>
      </c>
      <c r="BU29" s="272"/>
      <c r="BV29" s="272"/>
      <c r="BW29" s="272"/>
      <c r="BX29" s="272"/>
      <c r="BY29" s="272"/>
    </row>
    <row customHeight="true" ht="18.51851851851852" r="30">
      <c r="A30" s="272" t="s">
        <v>763</v>
      </c>
      <c r="B30" s="272"/>
      <c r="C30" s="281" t="s">
        <v>772</v>
      </c>
      <c r="D30" s="273">
        <v>45754</v>
      </c>
      <c r="E30" s="272" t="s">
        <v>669</v>
      </c>
      <c r="F30" s="272" t="s">
        <v>670</v>
      </c>
      <c r="G30" s="272" t="s">
        <v>671</v>
      </c>
      <c r="H30" s="272" t="s">
        <v>695</v>
      </c>
      <c r="I30" s="272" t="s">
        <v>712</v>
      </c>
      <c r="J30" s="272" t="s">
        <v>674</v>
      </c>
      <c r="K30" s="272" t="s">
        <v>675</v>
      </c>
      <c r="L30" s="272"/>
      <c r="M30" s="276" t="s">
        <v>765</v>
      </c>
      <c r="N30" s="272"/>
      <c r="O30" s="275"/>
      <c r="P30" s="272"/>
      <c r="Q30" s="275" t="s">
        <v>770</v>
      </c>
      <c r="R30" s="275" t="s">
        <v>768</v>
      </c>
      <c r="S30" s="281"/>
      <c r="T30" s="272" t="s">
        <v>677</v>
      </c>
      <c r="U30" s="272"/>
      <c r="V30" s="281"/>
      <c r="W30" s="272" t="s">
        <v>772</v>
      </c>
      <c r="X30" s="272"/>
      <c r="Y30" s="272"/>
      <c r="Z30" s="272"/>
      <c r="AA30" s="272"/>
      <c r="AB30" s="272"/>
      <c r="AC30" s="272" t="s">
        <v>675</v>
      </c>
      <c r="AD30" s="272" t="s">
        <v>675</v>
      </c>
      <c r="AE30" s="272" t="s">
        <v>675</v>
      </c>
      <c r="AF30" s="272" t="s">
        <v>675</v>
      </c>
      <c r="AG30" s="272"/>
      <c r="AH30" s="272"/>
      <c r="AI30" s="272" t="s">
        <v>677</v>
      </c>
      <c r="AJ30" s="272"/>
      <c r="AK30" s="272"/>
      <c r="AL30" s="272" t="s">
        <v>677</v>
      </c>
      <c r="AM30" s="272"/>
      <c r="AN30" s="272"/>
      <c r="AO30" s="272"/>
      <c r="AP30" s="272"/>
      <c r="AQ30" s="272"/>
      <c r="AR30" s="272"/>
      <c r="AS30" s="272"/>
      <c r="AT30" s="272"/>
      <c r="AU30" s="272"/>
      <c r="AV30" s="272"/>
      <c r="AW30" s="272"/>
      <c r="AX30" s="272"/>
      <c r="AY30" s="273">
        <v>45748</v>
      </c>
      <c r="AZ30" s="273">
        <v>45765</v>
      </c>
      <c r="BA30" s="272" t="s">
        <v>675</v>
      </c>
      <c r="BB30" s="272" t="s">
        <v>675</v>
      </c>
      <c r="BC30" s="272" t="s">
        <v>680</v>
      </c>
      <c r="BD30" s="272" t="s">
        <v>680</v>
      </c>
      <c r="BE30" s="272" t="s">
        <v>675</v>
      </c>
      <c r="BF30" s="272" t="s">
        <v>675</v>
      </c>
      <c r="BG30" s="272" t="s">
        <v>675</v>
      </c>
      <c r="BH30" s="272" t="s">
        <v>680</v>
      </c>
      <c r="BI30" s="272" t="s">
        <v>675</v>
      </c>
      <c r="BJ30" s="272" t="s">
        <v>680</v>
      </c>
      <c r="BK30" s="272" t="s">
        <v>675</v>
      </c>
      <c r="BL30" s="272" t="s">
        <v>675</v>
      </c>
      <c r="BM30" s="279">
        <v>1</v>
      </c>
      <c r="BN30" s="272" t="s">
        <v>680</v>
      </c>
      <c r="BO30" s="272" t="s">
        <v>680</v>
      </c>
      <c r="BP30" s="272" t="s">
        <v>675</v>
      </c>
      <c r="BQ30" s="272" t="s">
        <v>675</v>
      </c>
      <c r="BR30" s="272" t="s">
        <v>675</v>
      </c>
      <c r="BS30" s="272" t="s">
        <v>675</v>
      </c>
      <c r="BT30" s="272" t="s">
        <v>675</v>
      </c>
      <c r="BU30" s="272"/>
      <c r="BV30" s="272"/>
      <c r="BW30" s="272"/>
      <c r="BX30" s="272"/>
      <c r="BY30" s="272"/>
    </row>
    <row customHeight="true" ht="18.51851851851852" r="31">
      <c r="A31" s="272"/>
      <c r="B31" s="272"/>
      <c r="C31" s="272"/>
      <c r="D31" s="273"/>
      <c r="E31" s="272"/>
      <c r="F31" s="272"/>
      <c r="G31" s="272"/>
      <c r="H31" s="272"/>
      <c r="I31" s="272"/>
      <c r="J31" s="272"/>
      <c r="K31" s="272"/>
      <c r="L31" s="272"/>
      <c r="M31" s="272"/>
      <c r="N31" s="272"/>
      <c r="O31" s="281"/>
      <c r="P31" s="272"/>
      <c r="Q31" s="281"/>
      <c r="R31" s="281"/>
      <c r="S31" s="281"/>
      <c r="T31" s="272" t="s">
        <v>677</v>
      </c>
      <c r="U31" s="272"/>
      <c r="V31" s="281"/>
      <c r="W31" s="272"/>
      <c r="X31" s="272"/>
      <c r="Y31" s="272"/>
      <c r="Z31" s="272"/>
      <c r="AA31" s="272"/>
      <c r="AB31" s="272"/>
      <c r="AC31" s="272"/>
      <c r="AD31" s="272"/>
      <c r="AE31" s="272"/>
      <c r="AF31" s="272"/>
      <c r="AG31" s="272"/>
      <c r="AH31" s="272"/>
      <c r="AI31" s="272"/>
      <c r="AJ31" s="272"/>
      <c r="AK31" s="272"/>
      <c r="AL31" s="272"/>
      <c r="AM31" s="272"/>
      <c r="AN31" s="272"/>
      <c r="AO31" s="272"/>
      <c r="AP31" s="272"/>
      <c r="AQ31" s="272"/>
      <c r="AR31" s="272"/>
      <c r="AS31" s="272"/>
      <c r="AT31" s="272"/>
      <c r="AU31" s="272"/>
      <c r="AV31" s="272"/>
      <c r="AW31" s="272"/>
      <c r="AX31" s="272"/>
      <c r="AY31" s="272"/>
      <c r="AZ31" s="273">
        <v>45765</v>
      </c>
      <c r="BA31" s="272" t="s">
        <v>675</v>
      </c>
      <c r="BB31" s="272" t="s">
        <v>675</v>
      </c>
      <c r="BC31" s="272" t="s">
        <v>680</v>
      </c>
      <c r="BD31" s="272" t="s">
        <v>680</v>
      </c>
      <c r="BE31" s="272" t="s">
        <v>675</v>
      </c>
      <c r="BF31" s="272" t="s">
        <v>675</v>
      </c>
      <c r="BG31" s="272" t="s">
        <v>675</v>
      </c>
      <c r="BH31" s="272" t="s">
        <v>680</v>
      </c>
      <c r="BI31" s="272" t="s">
        <v>675</v>
      </c>
      <c r="BJ31" s="272" t="s">
        <v>680</v>
      </c>
      <c r="BK31" s="272" t="s">
        <v>675</v>
      </c>
      <c r="BL31" s="272" t="s">
        <v>675</v>
      </c>
      <c r="BM31" s="279">
        <v>1</v>
      </c>
      <c r="BN31" s="272" t="s">
        <v>680</v>
      </c>
      <c r="BO31" s="272" t="s">
        <v>680</v>
      </c>
      <c r="BP31" s="272" t="s">
        <v>675</v>
      </c>
      <c r="BQ31" s="272" t="s">
        <v>675</v>
      </c>
      <c r="BR31" s="272" t="s">
        <v>675</v>
      </c>
      <c r="BS31" s="272" t="s">
        <v>675</v>
      </c>
      <c r="BT31" s="272" t="s">
        <v>675</v>
      </c>
      <c r="BU31" s="272"/>
      <c r="BV31" s="272"/>
      <c r="BW31" s="272"/>
      <c r="BX31" s="272"/>
      <c r="BY31" s="272"/>
    </row>
    <row customHeight="true" ht="18.51851851851852" r="32">
      <c r="A32" s="272"/>
      <c r="B32" s="272"/>
      <c r="C32" s="272"/>
      <c r="D32" s="273"/>
      <c r="E32" s="272"/>
      <c r="F32" s="272"/>
      <c r="G32" s="272"/>
      <c r="H32" s="272"/>
      <c r="I32" s="272"/>
      <c r="J32" s="272"/>
      <c r="K32" s="272"/>
      <c r="L32" s="272"/>
      <c r="M32" s="272"/>
      <c r="N32" s="272"/>
      <c r="O32" s="281"/>
      <c r="P32" s="272"/>
      <c r="Q32" s="281"/>
      <c r="R32" s="281"/>
      <c r="S32" s="281"/>
      <c r="T32" s="272" t="s">
        <v>677</v>
      </c>
      <c r="U32" s="272"/>
      <c r="V32" s="281"/>
      <c r="W32" s="272"/>
      <c r="X32" s="272"/>
      <c r="Y32" s="272"/>
      <c r="Z32" s="272"/>
      <c r="AA32" s="272"/>
      <c r="AB32" s="272"/>
      <c r="AC32" s="272"/>
      <c r="AD32" s="272"/>
      <c r="AE32" s="272"/>
      <c r="AF32" s="272"/>
      <c r="AG32" s="272"/>
      <c r="AH32" s="272"/>
      <c r="AI32" s="272"/>
      <c r="AJ32" s="272"/>
      <c r="AK32" s="272"/>
      <c r="AL32" s="272"/>
      <c r="AM32" s="272"/>
      <c r="AN32" s="272"/>
      <c r="AO32" s="272"/>
      <c r="AP32" s="272"/>
      <c r="AQ32" s="272"/>
      <c r="AR32" s="272"/>
      <c r="AS32" s="272"/>
      <c r="AT32" s="272"/>
      <c r="AU32" s="272"/>
      <c r="AV32" s="272"/>
      <c r="AW32" s="272"/>
      <c r="AX32" s="272"/>
      <c r="AY32" s="272"/>
      <c r="AZ32" s="273">
        <v>45765</v>
      </c>
      <c r="BA32" s="272" t="s">
        <v>675</v>
      </c>
      <c r="BB32" s="272" t="s">
        <v>675</v>
      </c>
      <c r="BC32" s="272" t="s">
        <v>680</v>
      </c>
      <c r="BD32" s="272" t="s">
        <v>680</v>
      </c>
      <c r="BE32" s="272" t="s">
        <v>675</v>
      </c>
      <c r="BF32" s="272" t="s">
        <v>675</v>
      </c>
      <c r="BG32" s="272" t="s">
        <v>675</v>
      </c>
      <c r="BH32" s="272" t="s">
        <v>680</v>
      </c>
      <c r="BI32" s="272" t="s">
        <v>675</v>
      </c>
      <c r="BJ32" s="272" t="s">
        <v>680</v>
      </c>
      <c r="BK32" s="272" t="s">
        <v>675</v>
      </c>
      <c r="BL32" s="272" t="s">
        <v>675</v>
      </c>
      <c r="BM32" s="279">
        <v>1</v>
      </c>
      <c r="BN32" s="272" t="s">
        <v>680</v>
      </c>
      <c r="BO32" s="272" t="s">
        <v>680</v>
      </c>
      <c r="BP32" s="272" t="s">
        <v>675</v>
      </c>
      <c r="BQ32" s="272" t="s">
        <v>675</v>
      </c>
      <c r="BR32" s="272" t="s">
        <v>675</v>
      </c>
      <c r="BS32" s="272" t="s">
        <v>675</v>
      </c>
      <c r="BT32" s="272" t="s">
        <v>675</v>
      </c>
      <c r="BU32" s="272"/>
      <c r="BV32" s="272"/>
      <c r="BW32" s="272"/>
      <c r="BX32" s="272"/>
      <c r="BY32" s="272"/>
    </row>
    <row customHeight="true" ht="18.51851851851852" r="33">
      <c r="A33" s="272" t="s">
        <v>773</v>
      </c>
      <c r="B33" s="272"/>
      <c r="C33" s="272" t="s">
        <v>774</v>
      </c>
      <c r="D33" s="273">
        <v>45758</v>
      </c>
      <c r="E33" s="272" t="s">
        <v>669</v>
      </c>
      <c r="F33" s="272" t="s">
        <v>670</v>
      </c>
      <c r="G33" s="272" t="s">
        <v>671</v>
      </c>
      <c r="H33" s="272" t="s">
        <v>672</v>
      </c>
      <c r="I33" s="272" t="s">
        <v>673</v>
      </c>
      <c r="J33" s="272" t="s">
        <v>674</v>
      </c>
      <c r="K33" s="272" t="s">
        <v>675</v>
      </c>
      <c r="L33" s="272" t="s">
        <v>676</v>
      </c>
      <c r="M33" s="272"/>
      <c r="N33" s="272" t="s">
        <v>676</v>
      </c>
      <c r="O33" s="281"/>
      <c r="P33" s="272"/>
      <c r="Q33" s="281"/>
      <c r="R33" s="272"/>
      <c r="S33" s="281"/>
      <c r="T33" s="272" t="s">
        <v>677</v>
      </c>
      <c r="U33" s="272"/>
      <c r="V33" s="281"/>
      <c r="W33" s="272" t="s">
        <v>774</v>
      </c>
      <c r="X33" s="272"/>
      <c r="Y33" s="272"/>
      <c r="Z33" s="272"/>
      <c r="AA33" s="272"/>
      <c r="AB33" s="272"/>
      <c r="AC33" s="272"/>
      <c r="AD33" s="272"/>
      <c r="AE33" s="272"/>
      <c r="AF33" s="272"/>
      <c r="AG33" s="272"/>
      <c r="AH33" s="272"/>
      <c r="AI33" s="272"/>
      <c r="AJ33" s="272"/>
      <c r="AK33" s="272"/>
      <c r="AL33" s="272"/>
      <c r="AM33" s="272"/>
      <c r="AN33" s="272"/>
      <c r="AO33" s="272"/>
      <c r="AP33" s="272"/>
      <c r="AQ33" s="272"/>
      <c r="AR33" s="272"/>
      <c r="AS33" s="272"/>
      <c r="AT33" s="272"/>
      <c r="AU33" s="272"/>
      <c r="AV33" s="272"/>
      <c r="AW33" s="272"/>
      <c r="AX33" s="272"/>
      <c r="AY33" s="272"/>
      <c r="AZ33" s="273">
        <v>45765</v>
      </c>
      <c r="BA33" s="272" t="s">
        <v>675</v>
      </c>
      <c r="BB33" s="272" t="s">
        <v>675</v>
      </c>
      <c r="BC33" s="272" t="s">
        <v>680</v>
      </c>
      <c r="BD33" s="272" t="s">
        <v>680</v>
      </c>
      <c r="BE33" s="272" t="s">
        <v>675</v>
      </c>
      <c r="BF33" s="272" t="s">
        <v>675</v>
      </c>
      <c r="BG33" s="272" t="s">
        <v>675</v>
      </c>
      <c r="BH33" s="272" t="s">
        <v>680</v>
      </c>
      <c r="BI33" s="272" t="s">
        <v>675</v>
      </c>
      <c r="BJ33" s="272" t="s">
        <v>680</v>
      </c>
      <c r="BK33" s="272" t="s">
        <v>675</v>
      </c>
      <c r="BL33" s="272" t="s">
        <v>675</v>
      </c>
      <c r="BM33" s="279">
        <v>1</v>
      </c>
      <c r="BN33" s="272" t="s">
        <v>680</v>
      </c>
      <c r="BO33" s="272" t="s">
        <v>680</v>
      </c>
      <c r="BP33" s="272" t="s">
        <v>675</v>
      </c>
      <c r="BQ33" s="272" t="s">
        <v>675</v>
      </c>
      <c r="BR33" s="272" t="s">
        <v>675</v>
      </c>
      <c r="BS33" s="272" t="s">
        <v>675</v>
      </c>
      <c r="BT33" s="272" t="s">
        <v>675</v>
      </c>
      <c r="BU33" s="272"/>
      <c r="BV33" s="272"/>
      <c r="BW33" s="272"/>
      <c r="BX33" s="272"/>
      <c r="BY33" s="272"/>
    </row>
    <row customHeight="true" ht="18.51851851851852" r="34">
      <c r="A34" s="272" t="s">
        <v>773</v>
      </c>
      <c r="B34" s="272"/>
      <c r="C34" s="272" t="s">
        <v>775</v>
      </c>
      <c r="D34" s="273">
        <v>45758</v>
      </c>
      <c r="E34" s="272" t="s">
        <v>669</v>
      </c>
      <c r="F34" s="272" t="s">
        <v>670</v>
      </c>
      <c r="G34" s="272" t="s">
        <v>671</v>
      </c>
      <c r="H34" s="272" t="s">
        <v>695</v>
      </c>
      <c r="I34" s="272" t="s">
        <v>673</v>
      </c>
      <c r="J34" s="272" t="s">
        <v>674</v>
      </c>
      <c r="K34" s="272" t="s">
        <v>675</v>
      </c>
      <c r="L34" s="272" t="s">
        <v>676</v>
      </c>
      <c r="M34" s="272"/>
      <c r="N34" s="272" t="s">
        <v>676</v>
      </c>
      <c r="O34" s="281" t="s">
        <v>757</v>
      </c>
      <c r="P34" s="272"/>
      <c r="Q34" s="281"/>
      <c r="R34" s="272"/>
      <c r="S34" s="281"/>
      <c r="T34" s="272" t="s">
        <v>677</v>
      </c>
      <c r="U34" s="272"/>
      <c r="V34" s="281"/>
      <c r="W34" s="272" t="s">
        <v>775</v>
      </c>
      <c r="X34" s="272"/>
      <c r="Y34" s="272"/>
      <c r="Z34" s="272"/>
      <c r="AA34" s="272"/>
      <c r="AB34" s="272"/>
      <c r="AC34" s="272"/>
      <c r="AD34" s="272"/>
      <c r="AE34" s="272"/>
      <c r="AF34" s="272"/>
      <c r="AG34" s="272"/>
      <c r="AH34" s="272"/>
      <c r="AI34" s="272"/>
      <c r="AJ34" s="272"/>
      <c r="AK34" s="272"/>
      <c r="AL34" s="272"/>
      <c r="AM34" s="272"/>
      <c r="AN34" s="272"/>
      <c r="AO34" s="272"/>
      <c r="AP34" s="272"/>
      <c r="AQ34" s="272"/>
      <c r="AR34" s="272"/>
      <c r="AS34" s="272"/>
      <c r="AT34" s="272"/>
      <c r="AU34" s="272"/>
      <c r="AV34" s="272"/>
      <c r="AW34" s="272"/>
      <c r="AX34" s="272"/>
      <c r="AY34" s="272"/>
      <c r="AZ34" s="273">
        <v>45765</v>
      </c>
      <c r="BA34" s="272" t="s">
        <v>675</v>
      </c>
      <c r="BB34" s="272" t="s">
        <v>675</v>
      </c>
      <c r="BC34" s="272" t="s">
        <v>680</v>
      </c>
      <c r="BD34" s="272" t="s">
        <v>680</v>
      </c>
      <c r="BE34" s="272" t="s">
        <v>675</v>
      </c>
      <c r="BF34" s="272" t="s">
        <v>675</v>
      </c>
      <c r="BG34" s="272" t="s">
        <v>675</v>
      </c>
      <c r="BH34" s="272" t="s">
        <v>680</v>
      </c>
      <c r="BI34" s="272" t="s">
        <v>675</v>
      </c>
      <c r="BJ34" s="272" t="s">
        <v>680</v>
      </c>
      <c r="BK34" s="272" t="s">
        <v>675</v>
      </c>
      <c r="BL34" s="272" t="s">
        <v>675</v>
      </c>
      <c r="BM34" s="279">
        <v>1</v>
      </c>
      <c r="BN34" s="272" t="s">
        <v>680</v>
      </c>
      <c r="BO34" s="272" t="s">
        <v>680</v>
      </c>
      <c r="BP34" s="272" t="s">
        <v>675</v>
      </c>
      <c r="BQ34" s="272" t="s">
        <v>675</v>
      </c>
      <c r="BR34" s="272" t="s">
        <v>675</v>
      </c>
      <c r="BS34" s="272" t="s">
        <v>675</v>
      </c>
      <c r="BT34" s="272" t="s">
        <v>675</v>
      </c>
      <c r="BU34" s="272"/>
      <c r="BV34" s="272"/>
      <c r="BW34" s="272"/>
      <c r="BX34" s="272"/>
      <c r="BY34" s="272"/>
    </row>
    <row customHeight="true" ht="18.51851851851852" r="35">
      <c r="A35" s="272"/>
      <c r="B35" s="272"/>
      <c r="C35" s="272"/>
      <c r="D35" s="273"/>
      <c r="E35" s="272"/>
      <c r="F35" s="272"/>
      <c r="G35" s="272"/>
      <c r="H35" s="272"/>
      <c r="I35" s="272"/>
      <c r="J35" s="272"/>
      <c r="K35" s="272"/>
      <c r="L35" s="272"/>
      <c r="M35" s="272"/>
      <c r="N35" s="272"/>
      <c r="O35" s="281" t="s">
        <v>748</v>
      </c>
      <c r="P35" s="272" t="s">
        <v>749</v>
      </c>
      <c r="Q35" s="281"/>
      <c r="R35" s="272"/>
      <c r="S35" s="281"/>
      <c r="T35" s="272" t="s">
        <v>677</v>
      </c>
      <c r="U35" s="272"/>
      <c r="V35" s="281"/>
      <c r="W35" s="272"/>
      <c r="X35" s="272"/>
      <c r="Y35" s="272"/>
      <c r="Z35" s="272"/>
      <c r="AA35" s="272"/>
      <c r="AB35" s="272"/>
      <c r="AC35" s="272"/>
      <c r="AD35" s="272"/>
      <c r="AE35" s="272"/>
      <c r="AF35" s="272"/>
      <c r="AG35" s="272"/>
      <c r="AH35" s="272"/>
      <c r="AI35" s="272"/>
      <c r="AJ35" s="272"/>
      <c r="AK35" s="272"/>
      <c r="AL35" s="272"/>
      <c r="AM35" s="272"/>
      <c r="AN35" s="272"/>
      <c r="AO35" s="272"/>
      <c r="AP35" s="272"/>
      <c r="AQ35" s="272"/>
      <c r="AR35" s="272"/>
      <c r="AS35" s="272"/>
      <c r="AT35" s="272"/>
      <c r="AU35" s="272"/>
      <c r="AV35" s="272"/>
      <c r="AW35" s="272"/>
      <c r="AX35" s="272"/>
      <c r="AY35" s="272"/>
      <c r="AZ35" s="273">
        <v>45765</v>
      </c>
      <c r="BA35" s="272" t="s">
        <v>675</v>
      </c>
      <c r="BB35" s="272" t="s">
        <v>675</v>
      </c>
      <c r="BC35" s="272" t="s">
        <v>680</v>
      </c>
      <c r="BD35" s="272" t="s">
        <v>680</v>
      </c>
      <c r="BE35" s="272" t="s">
        <v>675</v>
      </c>
      <c r="BF35" s="272" t="s">
        <v>675</v>
      </c>
      <c r="BG35" s="272" t="s">
        <v>675</v>
      </c>
      <c r="BH35" s="272" t="s">
        <v>680</v>
      </c>
      <c r="BI35" s="272" t="s">
        <v>675</v>
      </c>
      <c r="BJ35" s="272" t="s">
        <v>680</v>
      </c>
      <c r="BK35" s="272" t="s">
        <v>675</v>
      </c>
      <c r="BL35" s="272" t="s">
        <v>675</v>
      </c>
      <c r="BM35" s="279">
        <v>1</v>
      </c>
      <c r="BN35" s="272" t="s">
        <v>680</v>
      </c>
      <c r="BO35" s="272" t="s">
        <v>680</v>
      </c>
      <c r="BP35" s="272" t="s">
        <v>675</v>
      </c>
      <c r="BQ35" s="272" t="s">
        <v>675</v>
      </c>
      <c r="BR35" s="272" t="s">
        <v>675</v>
      </c>
      <c r="BS35" s="272" t="s">
        <v>675</v>
      </c>
      <c r="BT35" s="272" t="s">
        <v>675</v>
      </c>
      <c r="BU35" s="272"/>
      <c r="BV35" s="272"/>
      <c r="BW35" s="272"/>
      <c r="BX35" s="272"/>
      <c r="BY35" s="272"/>
    </row>
    <row customHeight="true" ht="18.51851851851852" r="36">
      <c r="A36" s="272"/>
      <c r="B36" s="272"/>
      <c r="C36" s="272"/>
      <c r="D36" s="273"/>
      <c r="E36" s="272"/>
      <c r="F36" s="272"/>
      <c r="G36" s="272"/>
      <c r="H36" s="272"/>
      <c r="I36" s="272"/>
      <c r="J36" s="272"/>
      <c r="K36" s="272"/>
      <c r="L36" s="272"/>
      <c r="M36" s="272"/>
      <c r="N36" s="272"/>
      <c r="O36" s="281" t="s">
        <v>754</v>
      </c>
      <c r="P36" s="272" t="s">
        <v>755</v>
      </c>
      <c r="Q36" s="281"/>
      <c r="R36" s="272"/>
      <c r="S36" s="281"/>
      <c r="T36" s="272" t="s">
        <v>677</v>
      </c>
      <c r="U36" s="272"/>
      <c r="V36" s="281"/>
      <c r="W36" s="272"/>
      <c r="X36" s="272"/>
      <c r="Y36" s="272"/>
      <c r="Z36" s="272"/>
      <c r="AA36" s="272"/>
      <c r="AB36" s="272"/>
      <c r="AC36" s="272"/>
      <c r="AD36" s="272"/>
      <c r="AE36" s="272"/>
      <c r="AF36" s="272"/>
      <c r="AG36" s="272"/>
      <c r="AH36" s="272"/>
      <c r="AI36" s="272"/>
      <c r="AJ36" s="272"/>
      <c r="AK36" s="272"/>
      <c r="AL36" s="272"/>
      <c r="AM36" s="272"/>
      <c r="AN36" s="272"/>
      <c r="AO36" s="272"/>
      <c r="AP36" s="272"/>
      <c r="AQ36" s="272"/>
      <c r="AR36" s="272"/>
      <c r="AS36" s="272"/>
      <c r="AT36" s="272"/>
      <c r="AU36" s="272"/>
      <c r="AV36" s="272"/>
      <c r="AW36" s="272"/>
      <c r="AX36" s="272"/>
      <c r="AY36" s="272"/>
      <c r="AZ36" s="273">
        <v>45765</v>
      </c>
      <c r="BA36" s="272" t="s">
        <v>675</v>
      </c>
      <c r="BB36" s="272" t="s">
        <v>675</v>
      </c>
      <c r="BC36" s="272" t="s">
        <v>680</v>
      </c>
      <c r="BD36" s="272" t="s">
        <v>680</v>
      </c>
      <c r="BE36" s="272" t="s">
        <v>675</v>
      </c>
      <c r="BF36" s="272" t="s">
        <v>675</v>
      </c>
      <c r="BG36" s="272" t="s">
        <v>675</v>
      </c>
      <c r="BH36" s="272" t="s">
        <v>680</v>
      </c>
      <c r="BI36" s="272" t="s">
        <v>675</v>
      </c>
      <c r="BJ36" s="272" t="s">
        <v>680</v>
      </c>
      <c r="BK36" s="272" t="s">
        <v>675</v>
      </c>
      <c r="BL36" s="272" t="s">
        <v>675</v>
      </c>
      <c r="BM36" s="279">
        <v>1</v>
      </c>
      <c r="BN36" s="272" t="s">
        <v>680</v>
      </c>
      <c r="BO36" s="272" t="s">
        <v>680</v>
      </c>
      <c r="BP36" s="272" t="s">
        <v>675</v>
      </c>
      <c r="BQ36" s="272" t="s">
        <v>675</v>
      </c>
      <c r="BR36" s="272" t="s">
        <v>675</v>
      </c>
      <c r="BS36" s="272" t="s">
        <v>675</v>
      </c>
      <c r="BT36" s="272" t="s">
        <v>675</v>
      </c>
      <c r="BU36" s="272"/>
      <c r="BV36" s="272"/>
      <c r="BW36" s="272"/>
      <c r="BX36" s="272"/>
      <c r="BY36" s="272"/>
    </row>
    <row customHeight="true" ht="18.51851851851852" r="37">
      <c r="A37" s="272" t="s">
        <v>776</v>
      </c>
      <c r="B37" s="272"/>
      <c r="C37" s="272" t="s">
        <v>777</v>
      </c>
      <c r="D37" s="273">
        <v>45758</v>
      </c>
      <c r="E37" s="272" t="s">
        <v>669</v>
      </c>
      <c r="F37" s="272" t="s">
        <v>670</v>
      </c>
      <c r="G37" s="272" t="s">
        <v>671</v>
      </c>
      <c r="H37" s="272" t="s">
        <v>672</v>
      </c>
      <c r="I37" s="272" t="s">
        <v>673</v>
      </c>
      <c r="J37" s="272" t="s">
        <v>674</v>
      </c>
      <c r="K37" s="272" t="s">
        <v>675</v>
      </c>
      <c r="L37" s="272" t="s">
        <v>676</v>
      </c>
      <c r="M37" s="276" t="s">
        <v>778</v>
      </c>
      <c r="N37" s="272" t="s">
        <v>676</v>
      </c>
      <c r="O37" s="281"/>
      <c r="P37" s="272"/>
      <c r="Q37" s="281"/>
      <c r="R37" s="276" t="s">
        <v>778</v>
      </c>
      <c r="S37" s="281"/>
      <c r="T37" s="272" t="s">
        <v>677</v>
      </c>
      <c r="U37" s="272"/>
      <c r="V37" s="281"/>
      <c r="W37" s="272" t="s">
        <v>777</v>
      </c>
      <c r="X37" s="272"/>
      <c r="Y37" s="272"/>
      <c r="Z37" s="272"/>
      <c r="AA37" s="272"/>
      <c r="AB37" s="272"/>
      <c r="AC37" s="272"/>
      <c r="AD37" s="272"/>
      <c r="AE37" s="272"/>
      <c r="AF37" s="272"/>
      <c r="AG37" s="272"/>
      <c r="AH37" s="272"/>
      <c r="AI37" s="272"/>
      <c r="AJ37" s="272"/>
      <c r="AK37" s="272"/>
      <c r="AL37" s="272"/>
      <c r="AM37" s="272"/>
      <c r="AN37" s="272"/>
      <c r="AO37" s="272"/>
      <c r="AP37" s="272"/>
      <c r="AQ37" s="272"/>
      <c r="AR37" s="272"/>
      <c r="AS37" s="272"/>
      <c r="AT37" s="272"/>
      <c r="AU37" s="272"/>
      <c r="AV37" s="272"/>
      <c r="AW37" s="272"/>
      <c r="AX37" s="272"/>
      <c r="AY37" s="272"/>
      <c r="AZ37" s="273">
        <v>45765</v>
      </c>
      <c r="BA37" s="272" t="s">
        <v>675</v>
      </c>
      <c r="BB37" s="272" t="s">
        <v>675</v>
      </c>
      <c r="BC37" s="272" t="s">
        <v>680</v>
      </c>
      <c r="BD37" s="272" t="s">
        <v>680</v>
      </c>
      <c r="BE37" s="272" t="s">
        <v>675</v>
      </c>
      <c r="BF37" s="272" t="s">
        <v>675</v>
      </c>
      <c r="BG37" s="272" t="s">
        <v>675</v>
      </c>
      <c r="BH37" s="272" t="s">
        <v>680</v>
      </c>
      <c r="BI37" s="272" t="s">
        <v>675</v>
      </c>
      <c r="BJ37" s="272" t="s">
        <v>680</v>
      </c>
      <c r="BK37" s="272" t="s">
        <v>675</v>
      </c>
      <c r="BL37" s="272" t="s">
        <v>675</v>
      </c>
      <c r="BM37" s="279">
        <v>1</v>
      </c>
      <c r="BN37" s="272" t="s">
        <v>680</v>
      </c>
      <c r="BO37" s="272" t="s">
        <v>680</v>
      </c>
      <c r="BP37" s="272" t="s">
        <v>675</v>
      </c>
      <c r="BQ37" s="272" t="s">
        <v>675</v>
      </c>
      <c r="BR37" s="272" t="s">
        <v>675</v>
      </c>
      <c r="BS37" s="272" t="s">
        <v>675</v>
      </c>
      <c r="BT37" s="272" t="s">
        <v>675</v>
      </c>
      <c r="BU37" s="272"/>
      <c r="BV37" s="272"/>
      <c r="BW37" s="272"/>
      <c r="BX37" s="272"/>
      <c r="BY37" s="272"/>
    </row>
    <row customHeight="true" ht="18.51851851851852" r="38">
      <c r="A38" s="272" t="s">
        <v>776</v>
      </c>
      <c r="B38" s="272"/>
      <c r="C38" s="272" t="s">
        <v>779</v>
      </c>
      <c r="D38" s="273">
        <v>45758</v>
      </c>
      <c r="E38" s="272" t="s">
        <v>669</v>
      </c>
      <c r="F38" s="272" t="s">
        <v>670</v>
      </c>
      <c r="G38" s="272" t="s">
        <v>671</v>
      </c>
      <c r="H38" s="272" t="s">
        <v>695</v>
      </c>
      <c r="I38" s="272" t="s">
        <v>673</v>
      </c>
      <c r="J38" s="272" t="s">
        <v>674</v>
      </c>
      <c r="K38" s="272" t="s">
        <v>675</v>
      </c>
      <c r="L38" s="272" t="s">
        <v>676</v>
      </c>
      <c r="M38" s="276" t="s">
        <v>778</v>
      </c>
      <c r="N38" s="272" t="s">
        <v>676</v>
      </c>
      <c r="O38" s="281"/>
      <c r="P38" s="272"/>
      <c r="Q38" s="281"/>
      <c r="R38" s="276" t="s">
        <v>778</v>
      </c>
      <c r="S38" s="281"/>
      <c r="T38" s="272" t="s">
        <v>677</v>
      </c>
      <c r="U38" s="272"/>
      <c r="V38" s="281"/>
      <c r="W38" s="272" t="s">
        <v>779</v>
      </c>
      <c r="X38" s="272"/>
      <c r="Y38" s="272"/>
      <c r="Z38" s="272"/>
      <c r="AA38" s="272"/>
      <c r="AB38" s="272"/>
      <c r="AC38" s="272"/>
      <c r="AD38" s="272"/>
      <c r="AE38" s="272"/>
      <c r="AF38" s="272"/>
      <c r="AG38" s="272"/>
      <c r="AH38" s="272"/>
      <c r="AI38" s="272"/>
      <c r="AJ38" s="272"/>
      <c r="AK38" s="272"/>
      <c r="AL38" s="272"/>
      <c r="AM38" s="272"/>
      <c r="AN38" s="272"/>
      <c r="AO38" s="272"/>
      <c r="AP38" s="272"/>
      <c r="AQ38" s="272"/>
      <c r="AR38" s="272"/>
      <c r="AS38" s="272"/>
      <c r="AT38" s="272"/>
      <c r="AU38" s="272"/>
      <c r="AV38" s="272"/>
      <c r="AW38" s="272"/>
      <c r="AX38" s="272"/>
      <c r="AY38" s="272"/>
      <c r="AZ38" s="273">
        <v>45765</v>
      </c>
      <c r="BA38" s="272" t="s">
        <v>675</v>
      </c>
      <c r="BB38" s="272" t="s">
        <v>675</v>
      </c>
      <c r="BC38" s="272" t="s">
        <v>680</v>
      </c>
      <c r="BD38" s="272" t="s">
        <v>680</v>
      </c>
      <c r="BE38" s="272" t="s">
        <v>675</v>
      </c>
      <c r="BF38" s="272" t="s">
        <v>675</v>
      </c>
      <c r="BG38" s="272" t="s">
        <v>675</v>
      </c>
      <c r="BH38" s="272" t="s">
        <v>680</v>
      </c>
      <c r="BI38" s="272" t="s">
        <v>675</v>
      </c>
      <c r="BJ38" s="272" t="s">
        <v>680</v>
      </c>
      <c r="BK38" s="272" t="s">
        <v>675</v>
      </c>
      <c r="BL38" s="272" t="s">
        <v>675</v>
      </c>
      <c r="BM38" s="279">
        <v>1</v>
      </c>
      <c r="BN38" s="272" t="s">
        <v>680</v>
      </c>
      <c r="BO38" s="272" t="s">
        <v>680</v>
      </c>
      <c r="BP38" s="272" t="s">
        <v>675</v>
      </c>
      <c r="BQ38" s="272" t="s">
        <v>675</v>
      </c>
      <c r="BR38" s="272" t="s">
        <v>675</v>
      </c>
      <c r="BS38" s="272" t="s">
        <v>675</v>
      </c>
      <c r="BT38" s="272" t="s">
        <v>675</v>
      </c>
      <c r="BU38" s="272"/>
      <c r="BV38" s="272"/>
      <c r="BW38" s="272"/>
      <c r="BX38" s="272"/>
      <c r="BY38" s="272"/>
    </row>
    <row customHeight="true" ht="18.51851851851852" r="39">
      <c r="A39" s="272"/>
      <c r="B39" s="272"/>
      <c r="C39" s="272"/>
      <c r="D39" s="273"/>
      <c r="E39" s="272"/>
      <c r="F39" s="272"/>
      <c r="G39" s="272"/>
      <c r="H39" s="272"/>
      <c r="I39" s="272"/>
      <c r="J39" s="272"/>
      <c r="K39" s="272"/>
      <c r="L39" s="272"/>
      <c r="M39" s="272"/>
      <c r="N39" s="272"/>
      <c r="O39" s="281"/>
      <c r="P39" s="272"/>
      <c r="Q39" s="281"/>
      <c r="R39" s="272"/>
      <c r="S39" s="281"/>
      <c r="T39" s="272"/>
      <c r="U39" s="272"/>
      <c r="V39" s="281"/>
      <c r="W39" s="272"/>
      <c r="X39" s="272"/>
      <c r="Y39" s="272"/>
      <c r="Z39" s="272"/>
      <c r="AA39" s="272"/>
      <c r="AB39" s="272"/>
      <c r="AC39" s="272"/>
      <c r="AD39" s="272"/>
      <c r="AE39" s="272"/>
      <c r="AF39" s="272"/>
      <c r="AG39" s="272"/>
      <c r="AH39" s="272"/>
      <c r="AI39" s="272"/>
      <c r="AJ39" s="272"/>
      <c r="AK39" s="272"/>
      <c r="AL39" s="272"/>
      <c r="AM39" s="272"/>
      <c r="AN39" s="272"/>
      <c r="AO39" s="272"/>
      <c r="AP39" s="272"/>
      <c r="AQ39" s="272"/>
      <c r="AR39" s="272"/>
      <c r="AS39" s="272"/>
      <c r="AT39" s="272"/>
      <c r="AU39" s="272"/>
      <c r="AV39" s="272"/>
      <c r="AW39" s="272"/>
      <c r="AX39" s="272"/>
      <c r="AY39" s="272"/>
      <c r="AZ39" s="273">
        <v>45765</v>
      </c>
      <c r="BA39" s="272" t="s">
        <v>675</v>
      </c>
      <c r="BB39" s="272" t="s">
        <v>675</v>
      </c>
      <c r="BC39" s="272" t="s">
        <v>680</v>
      </c>
      <c r="BD39" s="272" t="s">
        <v>680</v>
      </c>
      <c r="BE39" s="272" t="s">
        <v>675</v>
      </c>
      <c r="BF39" s="272" t="s">
        <v>675</v>
      </c>
      <c r="BG39" s="272" t="s">
        <v>675</v>
      </c>
      <c r="BH39" s="272" t="s">
        <v>680</v>
      </c>
      <c r="BI39" s="272" t="s">
        <v>675</v>
      </c>
      <c r="BJ39" s="272" t="s">
        <v>680</v>
      </c>
      <c r="BK39" s="272" t="s">
        <v>675</v>
      </c>
      <c r="BL39" s="272" t="s">
        <v>675</v>
      </c>
      <c r="BM39" s="279">
        <v>1</v>
      </c>
      <c r="BN39" s="272" t="s">
        <v>680</v>
      </c>
      <c r="BO39" s="272" t="s">
        <v>680</v>
      </c>
      <c r="BP39" s="272" t="s">
        <v>675</v>
      </c>
      <c r="BQ39" s="272" t="s">
        <v>675</v>
      </c>
      <c r="BR39" s="272" t="s">
        <v>675</v>
      </c>
      <c r="BS39" s="272" t="s">
        <v>675</v>
      </c>
      <c r="BT39" s="272" t="s">
        <v>675</v>
      </c>
      <c r="BU39" s="272"/>
      <c r="BV39" s="272"/>
      <c r="BW39" s="272"/>
      <c r="BX39" s="272"/>
      <c r="BY39" s="272"/>
    </row>
    <row customHeight="true" ht="18.51851851851852" r="40">
      <c r="A40" s="272"/>
      <c r="B40" s="272"/>
      <c r="C40" s="272"/>
      <c r="D40" s="273"/>
      <c r="E40" s="272"/>
      <c r="F40" s="272"/>
      <c r="G40" s="272"/>
      <c r="H40" s="272"/>
      <c r="I40" s="272"/>
      <c r="J40" s="272"/>
      <c r="K40" s="272"/>
      <c r="L40" s="272"/>
      <c r="M40" s="272"/>
      <c r="N40" s="272"/>
      <c r="O40" s="281"/>
      <c r="P40" s="272"/>
      <c r="Q40" s="281"/>
      <c r="R40" s="272"/>
      <c r="S40" s="281"/>
      <c r="T40" s="272" t="s">
        <v>677</v>
      </c>
      <c r="U40" s="272"/>
      <c r="V40" s="281"/>
      <c r="W40" s="272"/>
      <c r="X40" s="272"/>
      <c r="Y40" s="272"/>
      <c r="Z40" s="272"/>
      <c r="AA40" s="272"/>
      <c r="AB40" s="272"/>
      <c r="AC40" s="272"/>
      <c r="AD40" s="272"/>
      <c r="AE40" s="272"/>
      <c r="AF40" s="272"/>
      <c r="AG40" s="272"/>
      <c r="AH40" s="272"/>
      <c r="AI40" s="272"/>
      <c r="AJ40" s="272"/>
      <c r="AK40" s="272"/>
      <c r="AL40" s="272"/>
      <c r="AM40" s="272"/>
      <c r="AN40" s="272"/>
      <c r="AO40" s="272"/>
      <c r="AP40" s="272"/>
      <c r="AQ40" s="272"/>
      <c r="AR40" s="272"/>
      <c r="AS40" s="272"/>
      <c r="AT40" s="272"/>
      <c r="AU40" s="272"/>
      <c r="AV40" s="272"/>
      <c r="AW40" s="272"/>
      <c r="AX40" s="272"/>
      <c r="AY40" s="272"/>
      <c r="AZ40" s="273">
        <v>45765</v>
      </c>
      <c r="BA40" s="272" t="s">
        <v>675</v>
      </c>
      <c r="BB40" s="272" t="s">
        <v>675</v>
      </c>
      <c r="BC40" s="272" t="s">
        <v>680</v>
      </c>
      <c r="BD40" s="272" t="s">
        <v>680</v>
      </c>
      <c r="BE40" s="272" t="s">
        <v>675</v>
      </c>
      <c r="BF40" s="272" t="s">
        <v>675</v>
      </c>
      <c r="BG40" s="272" t="s">
        <v>675</v>
      </c>
      <c r="BH40" s="272" t="s">
        <v>680</v>
      </c>
      <c r="BI40" s="272" t="s">
        <v>675</v>
      </c>
      <c r="BJ40" s="272" t="s">
        <v>680</v>
      </c>
      <c r="BK40" s="272" t="s">
        <v>675</v>
      </c>
      <c r="BL40" s="272" t="s">
        <v>675</v>
      </c>
      <c r="BM40" s="279">
        <v>1</v>
      </c>
      <c r="BN40" s="272" t="s">
        <v>680</v>
      </c>
      <c r="BO40" s="272" t="s">
        <v>680</v>
      </c>
      <c r="BP40" s="272" t="s">
        <v>675</v>
      </c>
      <c r="BQ40" s="272" t="s">
        <v>675</v>
      </c>
      <c r="BR40" s="272" t="s">
        <v>675</v>
      </c>
      <c r="BS40" s="272" t="s">
        <v>675</v>
      </c>
      <c r="BT40" s="272" t="s">
        <v>675</v>
      </c>
      <c r="BU40" s="272"/>
      <c r="BV40" s="272"/>
      <c r="BW40" s="272"/>
      <c r="BX40" s="272"/>
      <c r="BY40" s="272"/>
    </row>
    <row customHeight="true" ht="18.51851851851852" r="41">
      <c r="A41" s="272" t="s">
        <v>780</v>
      </c>
      <c r="B41" s="272"/>
      <c r="C41" s="272" t="s">
        <v>781</v>
      </c>
      <c r="D41" s="273">
        <v>45758</v>
      </c>
      <c r="E41" s="272" t="s">
        <v>669</v>
      </c>
      <c r="F41" s="272" t="s">
        <v>670</v>
      </c>
      <c r="G41" s="272" t="s">
        <v>671</v>
      </c>
      <c r="H41" s="272" t="s">
        <v>672</v>
      </c>
      <c r="I41" s="272" t="s">
        <v>673</v>
      </c>
      <c r="J41" s="272" t="s">
        <v>674</v>
      </c>
      <c r="K41" s="272" t="s">
        <v>675</v>
      </c>
      <c r="L41" s="272" t="s">
        <v>676</v>
      </c>
      <c r="M41" s="284"/>
      <c r="N41" s="272" t="s">
        <v>676</v>
      </c>
      <c r="O41" s="281"/>
      <c r="P41" s="272"/>
      <c r="Q41" s="281"/>
      <c r="R41" s="284"/>
      <c r="S41" s="281"/>
      <c r="T41" s="272" t="s">
        <v>677</v>
      </c>
      <c r="U41" s="272"/>
      <c r="V41" s="281"/>
      <c r="W41" s="272" t="s">
        <v>781</v>
      </c>
      <c r="X41" s="272"/>
      <c r="Y41" s="272"/>
      <c r="Z41" s="272"/>
      <c r="AA41" s="272"/>
      <c r="AB41" s="272"/>
      <c r="AC41" s="272"/>
      <c r="AD41" s="272"/>
      <c r="AE41" s="272"/>
      <c r="AF41" s="272"/>
      <c r="AG41" s="272"/>
      <c r="AH41" s="272"/>
      <c r="AI41" s="272"/>
      <c r="AJ41" s="272"/>
      <c r="AK41" s="272"/>
      <c r="AL41" s="272"/>
      <c r="AM41" s="272"/>
      <c r="AN41" s="272"/>
      <c r="AO41" s="272"/>
      <c r="AP41" s="272"/>
      <c r="AQ41" s="272"/>
      <c r="AR41" s="272"/>
      <c r="AS41" s="272"/>
      <c r="AT41" s="272"/>
      <c r="AU41" s="272"/>
      <c r="AV41" s="272"/>
      <c r="AW41" s="272"/>
      <c r="AX41" s="272"/>
      <c r="AY41" s="272"/>
      <c r="AZ41" s="273">
        <v>45765</v>
      </c>
      <c r="BA41" s="272" t="s">
        <v>675</v>
      </c>
      <c r="BB41" s="272" t="s">
        <v>675</v>
      </c>
      <c r="BC41" s="272" t="s">
        <v>680</v>
      </c>
      <c r="BD41" s="272" t="s">
        <v>680</v>
      </c>
      <c r="BE41" s="272" t="s">
        <v>675</v>
      </c>
      <c r="BF41" s="272" t="s">
        <v>675</v>
      </c>
      <c r="BG41" s="272" t="s">
        <v>675</v>
      </c>
      <c r="BH41" s="272" t="s">
        <v>680</v>
      </c>
      <c r="BI41" s="272" t="s">
        <v>675</v>
      </c>
      <c r="BJ41" s="272" t="s">
        <v>680</v>
      </c>
      <c r="BK41" s="272" t="s">
        <v>675</v>
      </c>
      <c r="BL41" s="272" t="s">
        <v>675</v>
      </c>
      <c r="BM41" s="279">
        <v>1</v>
      </c>
      <c r="BN41" s="272" t="s">
        <v>680</v>
      </c>
      <c r="BO41" s="272" t="s">
        <v>680</v>
      </c>
      <c r="BP41" s="272" t="s">
        <v>675</v>
      </c>
      <c r="BQ41" s="272" t="s">
        <v>675</v>
      </c>
      <c r="BR41" s="272" t="s">
        <v>675</v>
      </c>
      <c r="BS41" s="272" t="s">
        <v>675</v>
      </c>
      <c r="BT41" s="272" t="s">
        <v>675</v>
      </c>
      <c r="BU41" s="272"/>
      <c r="BV41" s="272"/>
      <c r="BW41" s="272"/>
      <c r="BX41" s="272"/>
      <c r="BY41" s="272"/>
    </row>
    <row customHeight="true" ht="18.51851851851852" r="42">
      <c r="A42" s="272" t="s">
        <v>780</v>
      </c>
      <c r="B42" s="272"/>
      <c r="C42" s="272" t="s">
        <v>782</v>
      </c>
      <c r="D42" s="273">
        <v>45758</v>
      </c>
      <c r="E42" s="272" t="s">
        <v>669</v>
      </c>
      <c r="F42" s="272" t="s">
        <v>670</v>
      </c>
      <c r="G42" s="272" t="s">
        <v>671</v>
      </c>
      <c r="H42" s="272" t="s">
        <v>695</v>
      </c>
      <c r="I42" s="272" t="s">
        <v>673</v>
      </c>
      <c r="J42" s="272" t="s">
        <v>674</v>
      </c>
      <c r="K42" s="272" t="s">
        <v>675</v>
      </c>
      <c r="L42" s="272" t="s">
        <v>676</v>
      </c>
      <c r="M42" s="284"/>
      <c r="N42" s="272" t="s">
        <v>676</v>
      </c>
      <c r="O42" s="281"/>
      <c r="P42" s="272"/>
      <c r="Q42" s="281"/>
      <c r="R42" s="284"/>
      <c r="S42" s="281"/>
      <c r="T42" s="272" t="s">
        <v>677</v>
      </c>
      <c r="U42" s="272"/>
      <c r="V42" s="281"/>
      <c r="W42" s="272" t="s">
        <v>782</v>
      </c>
      <c r="X42" s="272"/>
      <c r="Y42" s="272"/>
      <c r="Z42" s="272"/>
      <c r="AA42" s="272"/>
      <c r="AB42" s="272"/>
      <c r="AC42" s="272"/>
      <c r="AD42" s="272"/>
      <c r="AE42" s="272"/>
      <c r="AF42" s="272"/>
      <c r="AG42" s="272"/>
      <c r="AH42" s="272"/>
      <c r="AI42" s="272"/>
      <c r="AJ42" s="272"/>
      <c r="AK42" s="272"/>
      <c r="AL42" s="272"/>
      <c r="AM42" s="272"/>
      <c r="AN42" s="272"/>
      <c r="AO42" s="272"/>
      <c r="AP42" s="272"/>
      <c r="AQ42" s="272"/>
      <c r="AR42" s="272"/>
      <c r="AS42" s="272"/>
      <c r="AT42" s="272"/>
      <c r="AU42" s="272"/>
      <c r="AV42" s="272"/>
      <c r="AW42" s="272"/>
      <c r="AX42" s="272"/>
      <c r="AY42" s="272"/>
      <c r="AZ42" s="273">
        <v>45765</v>
      </c>
      <c r="BA42" s="272" t="s">
        <v>675</v>
      </c>
      <c r="BB42" s="272" t="s">
        <v>675</v>
      </c>
      <c r="BC42" s="272" t="s">
        <v>680</v>
      </c>
      <c r="BD42" s="272" t="s">
        <v>680</v>
      </c>
      <c r="BE42" s="272" t="s">
        <v>675</v>
      </c>
      <c r="BF42" s="272" t="s">
        <v>675</v>
      </c>
      <c r="BG42" s="272" t="s">
        <v>675</v>
      </c>
      <c r="BH42" s="272" t="s">
        <v>680</v>
      </c>
      <c r="BI42" s="272" t="s">
        <v>675</v>
      </c>
      <c r="BJ42" s="272" t="s">
        <v>680</v>
      </c>
      <c r="BK42" s="272" t="s">
        <v>675</v>
      </c>
      <c r="BL42" s="272" t="s">
        <v>675</v>
      </c>
      <c r="BM42" s="279">
        <v>1</v>
      </c>
      <c r="BN42" s="272" t="s">
        <v>680</v>
      </c>
      <c r="BO42" s="272" t="s">
        <v>680</v>
      </c>
      <c r="BP42" s="272" t="s">
        <v>675</v>
      </c>
      <c r="BQ42" s="272" t="s">
        <v>675</v>
      </c>
      <c r="BR42" s="272" t="s">
        <v>675</v>
      </c>
      <c r="BS42" s="272" t="s">
        <v>675</v>
      </c>
      <c r="BT42" s="272" t="s">
        <v>675</v>
      </c>
      <c r="BU42" s="272"/>
      <c r="BV42" s="272"/>
      <c r="BW42" s="272"/>
      <c r="BX42" s="272"/>
      <c r="BY42" s="272"/>
    </row>
    <row customHeight="true" ht="18.51851851851852" r="43">
      <c r="A43" s="272"/>
      <c r="B43" s="272"/>
      <c r="C43" s="272"/>
      <c r="D43" s="273"/>
      <c r="E43" s="272"/>
      <c r="F43" s="272"/>
      <c r="G43" s="272"/>
      <c r="H43" s="272"/>
      <c r="I43" s="272"/>
      <c r="J43" s="272"/>
      <c r="K43" s="272"/>
      <c r="L43" s="272"/>
      <c r="M43" s="284"/>
      <c r="N43" s="272"/>
      <c r="O43" s="281"/>
      <c r="P43" s="272"/>
      <c r="Q43" s="281"/>
      <c r="R43" s="281"/>
      <c r="S43" s="281"/>
      <c r="T43" s="272"/>
      <c r="U43" s="272"/>
      <c r="V43" s="281"/>
      <c r="W43" s="272"/>
      <c r="X43" s="272"/>
      <c r="Y43" s="272"/>
      <c r="Z43" s="272"/>
      <c r="AA43" s="272"/>
      <c r="AB43" s="272"/>
      <c r="AC43" s="272"/>
      <c r="AD43" s="272"/>
      <c r="AE43" s="272"/>
      <c r="AF43" s="272"/>
      <c r="AG43" s="272"/>
      <c r="AH43" s="272"/>
      <c r="AI43" s="272"/>
      <c r="AJ43" s="272"/>
      <c r="AK43" s="272"/>
      <c r="AL43" s="272"/>
      <c r="AM43" s="272"/>
      <c r="AN43" s="272"/>
      <c r="AO43" s="272"/>
      <c r="AP43" s="272"/>
      <c r="AQ43" s="272"/>
      <c r="AR43" s="272"/>
      <c r="AS43" s="272"/>
      <c r="AT43" s="272"/>
      <c r="AU43" s="272"/>
      <c r="AV43" s="272"/>
      <c r="AW43" s="272"/>
      <c r="AX43" s="272"/>
      <c r="AY43" s="272"/>
      <c r="AZ43" s="273">
        <v>45765</v>
      </c>
      <c r="BA43" s="272" t="s">
        <v>675</v>
      </c>
      <c r="BB43" s="272" t="s">
        <v>675</v>
      </c>
      <c r="BC43" s="272" t="s">
        <v>680</v>
      </c>
      <c r="BD43" s="272" t="s">
        <v>680</v>
      </c>
      <c r="BE43" s="272" t="s">
        <v>675</v>
      </c>
      <c r="BF43" s="272" t="s">
        <v>675</v>
      </c>
      <c r="BG43" s="272" t="s">
        <v>675</v>
      </c>
      <c r="BH43" s="272" t="s">
        <v>680</v>
      </c>
      <c r="BI43" s="272" t="s">
        <v>675</v>
      </c>
      <c r="BJ43" s="272" t="s">
        <v>680</v>
      </c>
      <c r="BK43" s="272" t="s">
        <v>675</v>
      </c>
      <c r="BL43" s="272" t="s">
        <v>675</v>
      </c>
      <c r="BM43" s="279">
        <v>1</v>
      </c>
      <c r="BN43" s="272" t="s">
        <v>680</v>
      </c>
      <c r="BO43" s="272" t="s">
        <v>680</v>
      </c>
      <c r="BP43" s="272" t="s">
        <v>675</v>
      </c>
      <c r="BQ43" s="272" t="s">
        <v>675</v>
      </c>
      <c r="BR43" s="272" t="s">
        <v>675</v>
      </c>
      <c r="BS43" s="272" t="s">
        <v>675</v>
      </c>
      <c r="BT43" s="272" t="s">
        <v>675</v>
      </c>
      <c r="BU43" s="272"/>
      <c r="BV43" s="272"/>
      <c r="BW43" s="272"/>
      <c r="BX43" s="272"/>
      <c r="BY43" s="272"/>
    </row>
    <row customHeight="true" ht="18.51851851851852" r="44">
      <c r="A44" s="272" t="s">
        <v>783</v>
      </c>
      <c r="B44" s="272"/>
      <c r="C44" s="272" t="s">
        <v>784</v>
      </c>
      <c r="D44" s="273">
        <v>45770</v>
      </c>
      <c r="E44" s="272"/>
      <c r="F44" s="272"/>
      <c r="G44" s="272"/>
      <c r="H44" s="272"/>
      <c r="I44" s="272"/>
      <c r="J44" s="272"/>
      <c r="K44" s="272"/>
      <c r="L44" s="272" t="s">
        <v>676</v>
      </c>
      <c r="M44" s="285" t="s">
        <v>785</v>
      </c>
      <c r="N44" s="272" t="s">
        <v>676</v>
      </c>
      <c r="O44" s="281"/>
      <c r="P44" s="272"/>
      <c r="Q44" s="275" t="s">
        <v>786</v>
      </c>
      <c r="R44" s="275" t="s">
        <v>787</v>
      </c>
      <c r="S44" s="281"/>
      <c r="T44" s="272"/>
      <c r="U44" s="272"/>
      <c r="V44" s="281"/>
      <c r="W44" s="272"/>
      <c r="X44" s="272"/>
      <c r="Y44" s="272"/>
      <c r="Z44" s="272"/>
      <c r="AA44" s="272"/>
      <c r="AB44" s="272"/>
      <c r="AC44" s="272"/>
      <c r="AD44" s="272"/>
      <c r="AE44" s="272"/>
      <c r="AF44" s="272"/>
      <c r="AG44" s="272"/>
      <c r="AH44" s="272"/>
      <c r="AI44" s="272"/>
      <c r="AJ44" s="272"/>
      <c r="AK44" s="272"/>
      <c r="AL44" s="272"/>
      <c r="AM44" s="272"/>
      <c r="AN44" s="272"/>
      <c r="AO44" s="272"/>
      <c r="AP44" s="272"/>
      <c r="AQ44" s="272"/>
      <c r="AR44" s="272"/>
      <c r="AS44" s="272"/>
      <c r="AT44" s="272"/>
      <c r="AU44" s="272"/>
      <c r="AV44" s="272"/>
      <c r="AW44" s="272"/>
      <c r="AX44" s="272"/>
      <c r="AY44" s="272"/>
      <c r="AZ44" s="273">
        <v>45765</v>
      </c>
      <c r="BA44" s="272" t="s">
        <v>675</v>
      </c>
      <c r="BB44" s="272" t="s">
        <v>675</v>
      </c>
      <c r="BC44" s="272" t="s">
        <v>680</v>
      </c>
      <c r="BD44" s="272" t="s">
        <v>680</v>
      </c>
      <c r="BE44" s="272" t="s">
        <v>675</v>
      </c>
      <c r="BF44" s="272" t="s">
        <v>675</v>
      </c>
      <c r="BG44" s="272" t="s">
        <v>675</v>
      </c>
      <c r="BH44" s="272" t="s">
        <v>680</v>
      </c>
      <c r="BI44" s="272" t="s">
        <v>675</v>
      </c>
      <c r="BJ44" s="272" t="s">
        <v>680</v>
      </c>
      <c r="BK44" s="272" t="s">
        <v>675</v>
      </c>
      <c r="BL44" s="272" t="s">
        <v>675</v>
      </c>
      <c r="BM44" s="279">
        <v>1</v>
      </c>
      <c r="BN44" s="272" t="s">
        <v>680</v>
      </c>
      <c r="BO44" s="272" t="s">
        <v>680</v>
      </c>
      <c r="BP44" s="272" t="s">
        <v>675</v>
      </c>
      <c r="BQ44" s="272" t="s">
        <v>675</v>
      </c>
      <c r="BR44" s="272" t="s">
        <v>675</v>
      </c>
      <c r="BS44" s="272" t="s">
        <v>675</v>
      </c>
      <c r="BT44" s="272" t="s">
        <v>675</v>
      </c>
      <c r="BU44" s="272"/>
      <c r="BV44" s="272"/>
      <c r="BW44" s="272"/>
      <c r="BX44" s="272"/>
      <c r="BY44" s="272"/>
    </row>
    <row customHeight="true" ht="18.51851851851852" r="45">
      <c r="A45" s="272" t="s">
        <v>783</v>
      </c>
      <c r="B45" s="272"/>
      <c r="C45" s="272" t="s">
        <v>788</v>
      </c>
      <c r="D45" s="273">
        <v>45770</v>
      </c>
      <c r="E45" s="272" t="s">
        <v>669</v>
      </c>
      <c r="F45" s="272" t="s">
        <v>670</v>
      </c>
      <c r="G45" s="272" t="s">
        <v>671</v>
      </c>
      <c r="H45" s="272" t="s">
        <v>695</v>
      </c>
      <c r="I45" s="272" t="s">
        <v>673</v>
      </c>
      <c r="J45" s="272" t="s">
        <v>674</v>
      </c>
      <c r="K45" s="272" t="s">
        <v>675</v>
      </c>
      <c r="L45" s="272" t="s">
        <v>676</v>
      </c>
      <c r="M45" s="285" t="s">
        <v>789</v>
      </c>
      <c r="N45" s="272" t="s">
        <v>676</v>
      </c>
      <c r="O45" s="281"/>
      <c r="P45" s="272"/>
      <c r="Q45" s="281"/>
      <c r="R45" s="281"/>
      <c r="S45" s="281"/>
      <c r="T45" s="272"/>
      <c r="U45" s="272"/>
      <c r="V45" s="281"/>
      <c r="W45" s="272" t="s">
        <v>788</v>
      </c>
      <c r="X45" s="272"/>
      <c r="Y45" s="272"/>
      <c r="Z45" s="272"/>
      <c r="AA45" s="272"/>
      <c r="AB45" s="272"/>
      <c r="AC45" s="272"/>
      <c r="AD45" s="272"/>
      <c r="AE45" s="272"/>
      <c r="AF45" s="272"/>
      <c r="AG45" s="272"/>
      <c r="AH45" s="272"/>
      <c r="AI45" s="272"/>
      <c r="AJ45" s="272"/>
      <c r="AK45" s="272"/>
      <c r="AL45" s="272"/>
      <c r="AM45" s="272"/>
      <c r="AN45" s="272"/>
      <c r="AO45" s="272"/>
      <c r="AP45" s="272"/>
      <c r="AQ45" s="272"/>
      <c r="AR45" s="272"/>
      <c r="AS45" s="272"/>
      <c r="AT45" s="272"/>
      <c r="AU45" s="272"/>
      <c r="AV45" s="272"/>
      <c r="AW45" s="272"/>
      <c r="AX45" s="272"/>
      <c r="AY45" s="272"/>
      <c r="AZ45" s="273">
        <v>45765</v>
      </c>
      <c r="BA45" s="272" t="s">
        <v>675</v>
      </c>
      <c r="BB45" s="272" t="s">
        <v>675</v>
      </c>
      <c r="BC45" s="272" t="s">
        <v>680</v>
      </c>
      <c r="BD45" s="272" t="s">
        <v>680</v>
      </c>
      <c r="BE45" s="272" t="s">
        <v>675</v>
      </c>
      <c r="BF45" s="272" t="s">
        <v>675</v>
      </c>
      <c r="BG45" s="272" t="s">
        <v>675</v>
      </c>
      <c r="BH45" s="272" t="s">
        <v>680</v>
      </c>
      <c r="BI45" s="272" t="s">
        <v>675</v>
      </c>
      <c r="BJ45" s="272" t="s">
        <v>680</v>
      </c>
      <c r="BK45" s="272" t="s">
        <v>675</v>
      </c>
      <c r="BL45" s="272" t="s">
        <v>675</v>
      </c>
      <c r="BM45" s="279">
        <v>1</v>
      </c>
      <c r="BN45" s="272" t="s">
        <v>680</v>
      </c>
      <c r="BO45" s="272" t="s">
        <v>680</v>
      </c>
      <c r="BP45" s="272" t="s">
        <v>675</v>
      </c>
      <c r="BQ45" s="272" t="s">
        <v>675</v>
      </c>
      <c r="BR45" s="272" t="s">
        <v>675</v>
      </c>
      <c r="BS45" s="272" t="s">
        <v>675</v>
      </c>
      <c r="BT45" s="272" t="s">
        <v>675</v>
      </c>
      <c r="BU45" s="272"/>
      <c r="BV45" s="272"/>
      <c r="BW45" s="272"/>
      <c r="BX45" s="272"/>
      <c r="BY45" s="272"/>
    </row>
    <row customHeight="true" ht="18.51851851851852" r="46">
      <c r="A46" s="272"/>
      <c r="B46" s="272"/>
      <c r="C46" s="272" t="s">
        <v>790</v>
      </c>
      <c r="D46" s="273">
        <v>45770</v>
      </c>
      <c r="E46" s="272" t="s">
        <v>669</v>
      </c>
      <c r="F46" s="272" t="s">
        <v>670</v>
      </c>
      <c r="G46" s="272" t="s">
        <v>671</v>
      </c>
      <c r="H46" s="272" t="s">
        <v>695</v>
      </c>
      <c r="I46" s="272" t="s">
        <v>673</v>
      </c>
      <c r="J46" s="272" t="s">
        <v>674</v>
      </c>
      <c r="K46" s="272" t="s">
        <v>675</v>
      </c>
      <c r="L46" s="272" t="s">
        <v>676</v>
      </c>
      <c r="M46" s="285" t="s">
        <v>791</v>
      </c>
      <c r="N46" s="272" t="s">
        <v>676</v>
      </c>
      <c r="O46" s="281"/>
      <c r="P46" s="272"/>
      <c r="Q46" s="281"/>
      <c r="R46" s="281"/>
      <c r="S46" s="281"/>
      <c r="T46" s="272"/>
      <c r="U46" s="272"/>
      <c r="V46" s="281"/>
      <c r="W46" s="272" t="s">
        <v>790</v>
      </c>
      <c r="X46" s="272"/>
      <c r="Y46" s="272"/>
      <c r="Z46" s="272"/>
      <c r="AA46" s="272"/>
      <c r="AB46" s="272"/>
      <c r="AC46" s="272"/>
      <c r="AD46" s="272"/>
      <c r="AE46" s="272"/>
      <c r="AF46" s="272"/>
      <c r="AG46" s="272"/>
      <c r="AH46" s="272"/>
      <c r="AI46" s="272"/>
      <c r="AJ46" s="272"/>
      <c r="AK46" s="272"/>
      <c r="AL46" s="272"/>
      <c r="AM46" s="272"/>
      <c r="AN46" s="272"/>
      <c r="AO46" s="272"/>
      <c r="AP46" s="272"/>
      <c r="AQ46" s="272"/>
      <c r="AR46" s="272"/>
      <c r="AS46" s="272"/>
      <c r="AT46" s="272"/>
      <c r="AU46" s="272"/>
      <c r="AV46" s="272"/>
      <c r="AW46" s="272"/>
      <c r="AX46" s="272"/>
      <c r="AY46" s="272"/>
      <c r="AZ46" s="273">
        <v>45765</v>
      </c>
      <c r="BA46" s="272" t="s">
        <v>675</v>
      </c>
      <c r="BB46" s="272" t="s">
        <v>675</v>
      </c>
      <c r="BC46" s="272" t="s">
        <v>680</v>
      </c>
      <c r="BD46" s="272" t="s">
        <v>680</v>
      </c>
      <c r="BE46" s="272" t="s">
        <v>675</v>
      </c>
      <c r="BF46" s="272" t="s">
        <v>675</v>
      </c>
      <c r="BG46" s="272" t="s">
        <v>675</v>
      </c>
      <c r="BH46" s="272" t="s">
        <v>680</v>
      </c>
      <c r="BI46" s="272" t="s">
        <v>675</v>
      </c>
      <c r="BJ46" s="272" t="s">
        <v>680</v>
      </c>
      <c r="BK46" s="272" t="s">
        <v>675</v>
      </c>
      <c r="BL46" s="272" t="s">
        <v>675</v>
      </c>
      <c r="BM46" s="279">
        <v>1</v>
      </c>
      <c r="BN46" s="272" t="s">
        <v>680</v>
      </c>
      <c r="BO46" s="272" t="s">
        <v>680</v>
      </c>
      <c r="BP46" s="272" t="s">
        <v>675</v>
      </c>
      <c r="BQ46" s="272" t="s">
        <v>675</v>
      </c>
      <c r="BR46" s="272" t="s">
        <v>675</v>
      </c>
      <c r="BS46" s="272" t="s">
        <v>675</v>
      </c>
      <c r="BT46" s="272" t="s">
        <v>675</v>
      </c>
      <c r="BU46" s="272"/>
      <c r="BV46" s="272"/>
      <c r="BW46" s="272"/>
      <c r="BX46" s="272"/>
      <c r="BY46" s="272"/>
    </row>
    <row customHeight="true" ht="18.51851851851852" r="47">
      <c r="A47" s="272"/>
      <c r="B47" s="272"/>
      <c r="C47" s="272"/>
      <c r="D47" s="272"/>
      <c r="E47" s="272"/>
      <c r="F47" s="272"/>
      <c r="G47" s="272"/>
      <c r="H47" s="272"/>
      <c r="I47" s="272"/>
      <c r="J47" s="272"/>
      <c r="K47" s="272"/>
      <c r="L47" s="272"/>
      <c r="M47" s="272"/>
      <c r="N47" s="272"/>
      <c r="O47" s="281"/>
      <c r="P47" s="272"/>
      <c r="Q47" s="281"/>
      <c r="R47" s="281"/>
      <c r="S47" s="281"/>
      <c r="T47" s="272"/>
      <c r="U47" s="272"/>
      <c r="V47" s="281"/>
      <c r="W47" s="272"/>
      <c r="X47" s="272"/>
      <c r="Y47" s="272"/>
      <c r="Z47" s="272"/>
      <c r="AA47" s="272"/>
      <c r="AB47" s="272"/>
      <c r="AC47" s="272"/>
      <c r="AD47" s="272"/>
      <c r="AE47" s="272"/>
      <c r="AF47" s="272"/>
      <c r="AG47" s="272"/>
      <c r="AH47" s="272"/>
      <c r="AI47" s="272"/>
      <c r="AJ47" s="272"/>
      <c r="AK47" s="272"/>
      <c r="AL47" s="272"/>
      <c r="AM47" s="272"/>
      <c r="AN47" s="272"/>
      <c r="AO47" s="272"/>
      <c r="AP47" s="272"/>
      <c r="AQ47" s="272"/>
      <c r="AR47" s="272"/>
      <c r="AS47" s="272"/>
      <c r="AT47" s="272"/>
      <c r="AU47" s="272"/>
      <c r="AV47" s="272"/>
      <c r="AW47" s="272"/>
      <c r="AX47" s="272"/>
      <c r="AY47" s="272"/>
      <c r="AZ47" s="273">
        <v>45765</v>
      </c>
      <c r="BA47" s="272" t="s">
        <v>675</v>
      </c>
      <c r="BB47" s="272" t="s">
        <v>675</v>
      </c>
      <c r="BC47" s="272" t="s">
        <v>680</v>
      </c>
      <c r="BD47" s="272" t="s">
        <v>680</v>
      </c>
      <c r="BE47" s="272" t="s">
        <v>675</v>
      </c>
      <c r="BF47" s="272" t="s">
        <v>675</v>
      </c>
      <c r="BG47" s="272" t="s">
        <v>675</v>
      </c>
      <c r="BH47" s="272" t="s">
        <v>680</v>
      </c>
      <c r="BI47" s="272" t="s">
        <v>675</v>
      </c>
      <c r="BJ47" s="272" t="s">
        <v>680</v>
      </c>
      <c r="BK47" s="272" t="s">
        <v>675</v>
      </c>
      <c r="BL47" s="272" t="s">
        <v>675</v>
      </c>
      <c r="BM47" s="279">
        <v>1</v>
      </c>
      <c r="BN47" s="272" t="s">
        <v>680</v>
      </c>
      <c r="BO47" s="272" t="s">
        <v>680</v>
      </c>
      <c r="BP47" s="272" t="s">
        <v>675</v>
      </c>
      <c r="BQ47" s="272" t="s">
        <v>675</v>
      </c>
      <c r="BR47" s="272" t="s">
        <v>675</v>
      </c>
      <c r="BS47" s="272" t="s">
        <v>675</v>
      </c>
      <c r="BT47" s="272" t="s">
        <v>675</v>
      </c>
      <c r="BU47" s="272"/>
      <c r="BV47" s="272"/>
      <c r="BW47" s="272"/>
      <c r="BX47" s="272"/>
      <c r="BY47" s="272"/>
    </row>
    <row customHeight="true" ht="18.51851851851852" r="48">
      <c r="A48" s="272" t="s">
        <v>792</v>
      </c>
      <c r="B48" s="272" t="s">
        <v>793</v>
      </c>
      <c r="C48" s="284" t="s">
        <v>794</v>
      </c>
      <c r="D48" s="273">
        <v>45859</v>
      </c>
      <c r="E48" s="272"/>
      <c r="F48" s="272"/>
      <c r="G48" s="272"/>
      <c r="H48" s="272"/>
      <c r="I48" s="272"/>
      <c r="J48" s="272"/>
      <c r="K48" s="272" t="s">
        <v>675</v>
      </c>
      <c r="L48" s="272" t="s">
        <v>676</v>
      </c>
      <c r="M48" s="272"/>
      <c r="N48" s="272"/>
      <c r="O48" s="281"/>
      <c r="P48" s="272"/>
      <c r="Q48" s="281"/>
      <c r="R48" s="281"/>
      <c r="S48" s="281"/>
      <c r="T48" s="272"/>
      <c r="U48" s="272"/>
      <c r="V48" s="281"/>
      <c r="W48" s="272"/>
      <c r="X48" s="272"/>
      <c r="Y48" s="272"/>
      <c r="Z48" s="272"/>
      <c r="AA48" s="272"/>
      <c r="AB48" s="272"/>
      <c r="AC48" s="272"/>
      <c r="AD48" s="272"/>
      <c r="AE48" s="272"/>
      <c r="AF48" s="272"/>
      <c r="AG48" s="272"/>
      <c r="AH48" s="272"/>
      <c r="AI48" s="272"/>
      <c r="AJ48" s="272"/>
      <c r="AK48" s="272"/>
      <c r="AL48" s="272"/>
      <c r="AM48" s="272"/>
      <c r="AN48" s="272"/>
      <c r="AO48" s="272"/>
      <c r="AP48" s="272"/>
      <c r="AQ48" s="272"/>
      <c r="AR48" s="272"/>
      <c r="AS48" s="272"/>
      <c r="AT48" s="272"/>
      <c r="AU48" s="272"/>
      <c r="AV48" s="272"/>
      <c r="AW48" s="272"/>
      <c r="AX48" s="272"/>
      <c r="AY48" s="272"/>
      <c r="AZ48" s="273">
        <v>45765</v>
      </c>
      <c r="BA48" s="272" t="s">
        <v>675</v>
      </c>
      <c r="BB48" s="272" t="s">
        <v>675</v>
      </c>
      <c r="BC48" s="272" t="s">
        <v>680</v>
      </c>
      <c r="BD48" s="272" t="s">
        <v>680</v>
      </c>
      <c r="BE48" s="272" t="s">
        <v>675</v>
      </c>
      <c r="BF48" s="272" t="s">
        <v>675</v>
      </c>
      <c r="BG48" s="272" t="s">
        <v>675</v>
      </c>
      <c r="BH48" s="272" t="s">
        <v>680</v>
      </c>
      <c r="BI48" s="272" t="s">
        <v>675</v>
      </c>
      <c r="BJ48" s="272" t="s">
        <v>680</v>
      </c>
      <c r="BK48" s="272" t="s">
        <v>675</v>
      </c>
      <c r="BL48" s="272" t="s">
        <v>675</v>
      </c>
      <c r="BM48" s="279">
        <v>1</v>
      </c>
      <c r="BN48" s="272" t="s">
        <v>680</v>
      </c>
      <c r="BO48" s="272" t="s">
        <v>680</v>
      </c>
      <c r="BP48" s="272" t="s">
        <v>675</v>
      </c>
      <c r="BQ48" s="272" t="s">
        <v>675</v>
      </c>
      <c r="BR48" s="272" t="s">
        <v>675</v>
      </c>
      <c r="BS48" s="272" t="s">
        <v>675</v>
      </c>
      <c r="BT48" s="272" t="s">
        <v>675</v>
      </c>
      <c r="BU48" s="272"/>
      <c r="BV48" s="272"/>
      <c r="BW48" s="272"/>
      <c r="BX48" s="272"/>
      <c r="BY48" s="272"/>
    </row>
    <row customHeight="true" ht="18.51851851851852" r="49">
      <c r="A49" s="272" t="s">
        <v>795</v>
      </c>
      <c r="B49" s="272" t="s">
        <v>793</v>
      </c>
      <c r="C49" s="284" t="s">
        <v>796</v>
      </c>
      <c r="D49" s="273">
        <v>45859</v>
      </c>
      <c r="E49" s="272"/>
      <c r="F49" s="272"/>
      <c r="G49" s="272"/>
      <c r="H49" s="272"/>
      <c r="I49" s="272"/>
      <c r="J49" s="272"/>
      <c r="K49" s="272" t="s">
        <v>675</v>
      </c>
      <c r="L49" s="272" t="s">
        <v>676</v>
      </c>
      <c r="M49" s="272"/>
      <c r="N49" s="272"/>
      <c r="O49" s="281"/>
      <c r="P49" s="272"/>
      <c r="Q49" s="281"/>
      <c r="R49" s="281"/>
      <c r="S49" s="281"/>
      <c r="T49" s="272"/>
      <c r="U49" s="272"/>
      <c r="V49" s="281"/>
      <c r="W49" s="272"/>
      <c r="X49" s="272"/>
      <c r="Y49" s="272"/>
      <c r="Z49" s="272"/>
      <c r="AA49" s="272"/>
      <c r="AB49" s="272"/>
      <c r="AC49" s="272"/>
      <c r="AD49" s="272"/>
      <c r="AE49" s="272"/>
      <c r="AF49" s="272"/>
      <c r="AG49" s="272"/>
      <c r="AH49" s="272"/>
      <c r="AI49" s="272"/>
      <c r="AJ49" s="272"/>
      <c r="AK49" s="272"/>
      <c r="AL49" s="272"/>
      <c r="AM49" s="272"/>
      <c r="AN49" s="272"/>
      <c r="AO49" s="272"/>
      <c r="AP49" s="272"/>
      <c r="AQ49" s="272"/>
      <c r="AR49" s="272"/>
      <c r="AS49" s="272"/>
      <c r="AT49" s="272"/>
      <c r="AU49" s="272"/>
      <c r="AV49" s="272"/>
      <c r="AW49" s="272"/>
      <c r="AX49" s="272"/>
      <c r="AY49" s="272"/>
      <c r="AZ49" s="273">
        <v>45765</v>
      </c>
      <c r="BA49" s="272" t="s">
        <v>675</v>
      </c>
      <c r="BB49" s="272" t="s">
        <v>675</v>
      </c>
      <c r="BC49" s="272" t="s">
        <v>680</v>
      </c>
      <c r="BD49" s="272" t="s">
        <v>680</v>
      </c>
      <c r="BE49" s="272" t="s">
        <v>675</v>
      </c>
      <c r="BF49" s="272" t="s">
        <v>675</v>
      </c>
      <c r="BG49" s="272" t="s">
        <v>675</v>
      </c>
      <c r="BH49" s="272" t="s">
        <v>680</v>
      </c>
      <c r="BI49" s="272" t="s">
        <v>675</v>
      </c>
      <c r="BJ49" s="272" t="s">
        <v>680</v>
      </c>
      <c r="BK49" s="272" t="s">
        <v>675</v>
      </c>
      <c r="BL49" s="272" t="s">
        <v>675</v>
      </c>
      <c r="BM49" s="279">
        <v>1</v>
      </c>
      <c r="BN49" s="272" t="s">
        <v>680</v>
      </c>
      <c r="BO49" s="272" t="s">
        <v>680</v>
      </c>
      <c r="BP49" s="272" t="s">
        <v>675</v>
      </c>
      <c r="BQ49" s="272" t="s">
        <v>675</v>
      </c>
      <c r="BR49" s="272" t="s">
        <v>675</v>
      </c>
      <c r="BS49" s="272" t="s">
        <v>675</v>
      </c>
      <c r="BT49" s="272" t="s">
        <v>675</v>
      </c>
      <c r="BU49" s="272"/>
      <c r="BV49" s="272"/>
      <c r="BW49" s="272"/>
      <c r="BX49" s="272"/>
      <c r="BY49" s="272"/>
    </row>
    <row customHeight="true" ht="18.51851851851852" r="50">
      <c r="A50" s="272" t="s">
        <v>797</v>
      </c>
      <c r="B50" s="272" t="s">
        <v>798</v>
      </c>
      <c r="C50" s="284" t="s">
        <v>799</v>
      </c>
      <c r="D50" s="273">
        <v>45859</v>
      </c>
      <c r="E50" s="272"/>
      <c r="F50" s="272"/>
      <c r="G50" s="272"/>
      <c r="H50" s="272"/>
      <c r="I50" s="272"/>
      <c r="J50" s="272"/>
      <c r="K50" s="272" t="s">
        <v>675</v>
      </c>
      <c r="L50" s="272" t="s">
        <v>676</v>
      </c>
      <c r="M50" s="272"/>
      <c r="N50" s="272"/>
      <c r="O50" s="281"/>
      <c r="P50" s="272"/>
      <c r="Q50" s="281"/>
      <c r="R50" s="281"/>
      <c r="S50" s="281"/>
      <c r="T50" s="272"/>
      <c r="U50" s="272"/>
      <c r="V50" s="281"/>
      <c r="W50" s="272"/>
      <c r="X50" s="272"/>
      <c r="Y50" s="272"/>
      <c r="Z50" s="272"/>
      <c r="AA50" s="272"/>
      <c r="AB50" s="272"/>
      <c r="AC50" s="272"/>
      <c r="AD50" s="272"/>
      <c r="AE50" s="272"/>
      <c r="AF50" s="272"/>
      <c r="AG50" s="272"/>
      <c r="AH50" s="272"/>
      <c r="AI50" s="272"/>
      <c r="AJ50" s="272"/>
      <c r="AK50" s="272"/>
      <c r="AL50" s="272"/>
      <c r="AM50" s="272"/>
      <c r="AN50" s="272"/>
      <c r="AO50" s="272"/>
      <c r="AP50" s="272"/>
      <c r="AQ50" s="272"/>
      <c r="AR50" s="272"/>
      <c r="AS50" s="272"/>
      <c r="AT50" s="272"/>
      <c r="AU50" s="272"/>
      <c r="AV50" s="272"/>
      <c r="AW50" s="272"/>
      <c r="AX50" s="272"/>
      <c r="AY50" s="272"/>
      <c r="AZ50" s="273">
        <v>45765</v>
      </c>
      <c r="BA50" s="272" t="s">
        <v>675</v>
      </c>
      <c r="BB50" s="272" t="s">
        <v>675</v>
      </c>
      <c r="BC50" s="272" t="s">
        <v>680</v>
      </c>
      <c r="BD50" s="272" t="s">
        <v>680</v>
      </c>
      <c r="BE50" s="272" t="s">
        <v>675</v>
      </c>
      <c r="BF50" s="272" t="s">
        <v>675</v>
      </c>
      <c r="BG50" s="272" t="s">
        <v>675</v>
      </c>
      <c r="BH50" s="272" t="s">
        <v>680</v>
      </c>
      <c r="BI50" s="272" t="s">
        <v>675</v>
      </c>
      <c r="BJ50" s="272" t="s">
        <v>680</v>
      </c>
      <c r="BK50" s="272" t="s">
        <v>675</v>
      </c>
      <c r="BL50" s="272" t="s">
        <v>675</v>
      </c>
      <c r="BM50" s="279">
        <v>1</v>
      </c>
      <c r="BN50" s="272" t="s">
        <v>680</v>
      </c>
      <c r="BO50" s="272" t="s">
        <v>680</v>
      </c>
      <c r="BP50" s="272" t="s">
        <v>675</v>
      </c>
      <c r="BQ50" s="272" t="s">
        <v>675</v>
      </c>
      <c r="BR50" s="272" t="s">
        <v>675</v>
      </c>
      <c r="BS50" s="272" t="s">
        <v>675</v>
      </c>
      <c r="BT50" s="272" t="s">
        <v>675</v>
      </c>
      <c r="BU50" s="272"/>
      <c r="BV50" s="272"/>
      <c r="BW50" s="272"/>
      <c r="BX50" s="272"/>
      <c r="BY50" s="272"/>
    </row>
    <row customHeight="true" ht="18.51851851851852" r="51">
      <c r="A51" s="272" t="s">
        <v>800</v>
      </c>
      <c r="B51" s="272" t="s">
        <v>801</v>
      </c>
      <c r="C51" s="284" t="s">
        <v>802</v>
      </c>
      <c r="D51" s="273">
        <v>45859</v>
      </c>
      <c r="E51" s="272"/>
      <c r="F51" s="272"/>
      <c r="G51" s="272"/>
      <c r="H51" s="272"/>
      <c r="I51" s="272"/>
      <c r="J51" s="272"/>
      <c r="K51" s="272" t="s">
        <v>675</v>
      </c>
      <c r="L51" s="272" t="s">
        <v>676</v>
      </c>
      <c r="M51" s="272"/>
      <c r="N51" s="272"/>
      <c r="O51" s="281"/>
      <c r="P51" s="272"/>
      <c r="Q51" s="281"/>
      <c r="R51" s="281"/>
      <c r="S51" s="281"/>
      <c r="T51" s="272"/>
      <c r="U51" s="272"/>
      <c r="V51" s="281"/>
      <c r="W51" s="272"/>
      <c r="X51" s="272"/>
      <c r="Y51" s="272"/>
      <c r="Z51" s="272"/>
      <c r="AA51" s="272"/>
      <c r="AB51" s="272"/>
      <c r="AC51" s="272"/>
      <c r="AD51" s="272"/>
      <c r="AE51" s="272"/>
      <c r="AF51" s="272"/>
      <c r="AG51" s="272"/>
      <c r="AH51" s="272"/>
      <c r="AI51" s="272"/>
      <c r="AJ51" s="272"/>
      <c r="AK51" s="272"/>
      <c r="AL51" s="272"/>
      <c r="AM51" s="272"/>
      <c r="AN51" s="272"/>
      <c r="AO51" s="272"/>
      <c r="AP51" s="272"/>
      <c r="AQ51" s="272"/>
      <c r="AR51" s="272"/>
      <c r="AS51" s="272"/>
      <c r="AT51" s="272"/>
      <c r="AU51" s="272"/>
      <c r="AV51" s="272"/>
      <c r="AW51" s="272"/>
      <c r="AX51" s="272"/>
      <c r="AY51" s="272"/>
      <c r="AZ51" s="273">
        <v>45765</v>
      </c>
      <c r="BA51" s="272" t="s">
        <v>675</v>
      </c>
      <c r="BB51" s="272" t="s">
        <v>675</v>
      </c>
      <c r="BC51" s="272" t="s">
        <v>680</v>
      </c>
      <c r="BD51" s="272" t="s">
        <v>680</v>
      </c>
      <c r="BE51" s="272" t="s">
        <v>675</v>
      </c>
      <c r="BF51" s="272" t="s">
        <v>675</v>
      </c>
      <c r="BG51" s="272" t="s">
        <v>675</v>
      </c>
      <c r="BH51" s="272" t="s">
        <v>680</v>
      </c>
      <c r="BI51" s="272" t="s">
        <v>675</v>
      </c>
      <c r="BJ51" s="272" t="s">
        <v>680</v>
      </c>
      <c r="BK51" s="272" t="s">
        <v>675</v>
      </c>
      <c r="BL51" s="272" t="s">
        <v>675</v>
      </c>
      <c r="BM51" s="279">
        <v>1</v>
      </c>
      <c r="BN51" s="272" t="s">
        <v>680</v>
      </c>
      <c r="BO51" s="272" t="s">
        <v>680</v>
      </c>
      <c r="BP51" s="272" t="s">
        <v>675</v>
      </c>
      <c r="BQ51" s="272" t="s">
        <v>675</v>
      </c>
      <c r="BR51" s="272" t="s">
        <v>675</v>
      </c>
      <c r="BS51" s="272" t="s">
        <v>675</v>
      </c>
      <c r="BT51" s="272" t="s">
        <v>675</v>
      </c>
      <c r="BU51" s="272"/>
      <c r="BV51" s="272"/>
      <c r="BW51" s="272"/>
      <c r="BX51" s="272"/>
      <c r="BY51" s="272"/>
    </row>
    <row customHeight="true" ht="18.51851851851852" r="52">
      <c r="A52" s="272" t="s">
        <v>803</v>
      </c>
      <c r="B52" s="272" t="s">
        <v>804</v>
      </c>
      <c r="C52" s="284" t="s">
        <v>805</v>
      </c>
      <c r="D52" s="273">
        <v>45859</v>
      </c>
      <c r="E52" s="272"/>
      <c r="F52" s="272"/>
      <c r="G52" s="272"/>
      <c r="H52" s="272"/>
      <c r="I52" s="272"/>
      <c r="J52" s="272"/>
      <c r="K52" s="272" t="s">
        <v>675</v>
      </c>
      <c r="L52" s="272" t="s">
        <v>676</v>
      </c>
      <c r="M52" s="272"/>
      <c r="N52" s="272"/>
      <c r="O52" s="281"/>
      <c r="P52" s="272"/>
      <c r="Q52" s="281"/>
      <c r="R52" s="281"/>
      <c r="S52" s="281"/>
      <c r="T52" s="272"/>
      <c r="U52" s="272"/>
      <c r="V52" s="281"/>
      <c r="W52" s="272"/>
      <c r="X52" s="272"/>
      <c r="Y52" s="272"/>
      <c r="Z52" s="272"/>
      <c r="AA52" s="272"/>
      <c r="AB52" s="272"/>
      <c r="AC52" s="272"/>
      <c r="AD52" s="272"/>
      <c r="AE52" s="272"/>
      <c r="AF52" s="272"/>
      <c r="AG52" s="272"/>
      <c r="AH52" s="272"/>
      <c r="AI52" s="272"/>
      <c r="AJ52" s="272"/>
      <c r="AK52" s="272"/>
      <c r="AL52" s="272"/>
      <c r="AM52" s="272"/>
      <c r="AN52" s="272"/>
      <c r="AO52" s="272"/>
      <c r="AP52" s="272"/>
      <c r="AQ52" s="272"/>
      <c r="AR52" s="272"/>
      <c r="AS52" s="272"/>
      <c r="AT52" s="272"/>
      <c r="AU52" s="272"/>
      <c r="AV52" s="272"/>
      <c r="AW52" s="272"/>
      <c r="AX52" s="272"/>
      <c r="AY52" s="272"/>
      <c r="AZ52" s="273">
        <v>45765</v>
      </c>
      <c r="BA52" s="272" t="s">
        <v>675</v>
      </c>
      <c r="BB52" s="272" t="s">
        <v>675</v>
      </c>
      <c r="BC52" s="272" t="s">
        <v>680</v>
      </c>
      <c r="BD52" s="272" t="s">
        <v>680</v>
      </c>
      <c r="BE52" s="272" t="s">
        <v>675</v>
      </c>
      <c r="BF52" s="272" t="s">
        <v>675</v>
      </c>
      <c r="BG52" s="272" t="s">
        <v>675</v>
      </c>
      <c r="BH52" s="272" t="s">
        <v>680</v>
      </c>
      <c r="BI52" s="272" t="s">
        <v>675</v>
      </c>
      <c r="BJ52" s="272" t="s">
        <v>680</v>
      </c>
      <c r="BK52" s="272" t="s">
        <v>675</v>
      </c>
      <c r="BL52" s="272" t="s">
        <v>675</v>
      </c>
      <c r="BM52" s="279">
        <v>1</v>
      </c>
      <c r="BN52" s="272" t="s">
        <v>680</v>
      </c>
      <c r="BO52" s="272" t="s">
        <v>680</v>
      </c>
      <c r="BP52" s="272" t="s">
        <v>675</v>
      </c>
      <c r="BQ52" s="272" t="s">
        <v>675</v>
      </c>
      <c r="BR52" s="272" t="s">
        <v>675</v>
      </c>
      <c r="BS52" s="272" t="s">
        <v>675</v>
      </c>
      <c r="BT52" s="272" t="s">
        <v>675</v>
      </c>
      <c r="BU52" s="272"/>
      <c r="BV52" s="272"/>
      <c r="BW52" s="272"/>
      <c r="BX52" s="272"/>
      <c r="BY52" s="272"/>
    </row>
    <row customHeight="true" ht="18.51851851851852" r="53">
      <c r="A53" s="272" t="s">
        <v>806</v>
      </c>
      <c r="B53" s="272" t="s">
        <v>807</v>
      </c>
      <c r="C53" s="284" t="s">
        <v>808</v>
      </c>
      <c r="D53" s="273">
        <v>45859</v>
      </c>
      <c r="E53" s="272"/>
      <c r="F53" s="272"/>
      <c r="G53" s="272"/>
      <c r="H53" s="272"/>
      <c r="I53" s="272"/>
      <c r="J53" s="272"/>
      <c r="K53" s="272" t="s">
        <v>675</v>
      </c>
      <c r="L53" s="272" t="s">
        <v>676</v>
      </c>
      <c r="M53" s="272"/>
      <c r="N53" s="272"/>
      <c r="O53" s="281"/>
      <c r="P53" s="272"/>
      <c r="Q53" s="281"/>
      <c r="R53" s="281"/>
      <c r="S53" s="281"/>
      <c r="T53" s="272"/>
      <c r="U53" s="272"/>
      <c r="V53" s="281"/>
      <c r="W53" s="272"/>
      <c r="X53" s="272"/>
      <c r="Y53" s="272"/>
      <c r="Z53" s="272"/>
      <c r="AA53" s="272"/>
      <c r="AB53" s="272"/>
      <c r="AC53" s="272"/>
      <c r="AD53" s="272"/>
      <c r="AE53" s="272"/>
      <c r="AF53" s="272"/>
      <c r="AG53" s="272"/>
      <c r="AH53" s="272"/>
      <c r="AI53" s="272"/>
      <c r="AJ53" s="272"/>
      <c r="AK53" s="272"/>
      <c r="AL53" s="272"/>
      <c r="AM53" s="272"/>
      <c r="AN53" s="272"/>
      <c r="AO53" s="272"/>
      <c r="AP53" s="272"/>
      <c r="AQ53" s="272"/>
      <c r="AR53" s="272"/>
      <c r="AS53" s="272"/>
      <c r="AT53" s="272"/>
      <c r="AU53" s="272"/>
      <c r="AV53" s="272"/>
      <c r="AW53" s="272"/>
      <c r="AX53" s="272"/>
      <c r="AY53" s="272"/>
      <c r="AZ53" s="273">
        <v>45765</v>
      </c>
      <c r="BA53" s="272" t="s">
        <v>675</v>
      </c>
      <c r="BB53" s="272" t="s">
        <v>675</v>
      </c>
      <c r="BC53" s="272" t="s">
        <v>680</v>
      </c>
      <c r="BD53" s="272" t="s">
        <v>680</v>
      </c>
      <c r="BE53" s="272" t="s">
        <v>675</v>
      </c>
      <c r="BF53" s="272" t="s">
        <v>675</v>
      </c>
      <c r="BG53" s="272" t="s">
        <v>675</v>
      </c>
      <c r="BH53" s="272" t="s">
        <v>680</v>
      </c>
      <c r="BI53" s="272" t="s">
        <v>675</v>
      </c>
      <c r="BJ53" s="272" t="s">
        <v>680</v>
      </c>
      <c r="BK53" s="272" t="s">
        <v>675</v>
      </c>
      <c r="BL53" s="272" t="s">
        <v>675</v>
      </c>
      <c r="BM53" s="279">
        <v>1</v>
      </c>
      <c r="BN53" s="272" t="s">
        <v>680</v>
      </c>
      <c r="BO53" s="272" t="s">
        <v>680</v>
      </c>
      <c r="BP53" s="272" t="s">
        <v>675</v>
      </c>
      <c r="BQ53" s="272" t="s">
        <v>675</v>
      </c>
      <c r="BR53" s="272" t="s">
        <v>675</v>
      </c>
      <c r="BS53" s="272" t="s">
        <v>675</v>
      </c>
      <c r="BT53" s="272" t="s">
        <v>675</v>
      </c>
      <c r="BU53" s="272"/>
      <c r="BV53" s="272"/>
      <c r="BW53" s="272"/>
      <c r="BX53" s="272"/>
      <c r="BY53" s="272"/>
    </row>
    <row customHeight="true" ht="18.51851851851852" r="54">
      <c r="A54" s="272" t="s">
        <v>809</v>
      </c>
      <c r="B54" s="272" t="s">
        <v>810</v>
      </c>
      <c r="C54" s="284" t="s">
        <v>811</v>
      </c>
      <c r="D54" s="273">
        <v>45859</v>
      </c>
      <c r="E54" s="272"/>
      <c r="F54" s="272"/>
      <c r="G54" s="272"/>
      <c r="H54" s="272"/>
      <c r="I54" s="272"/>
      <c r="J54" s="272"/>
      <c r="K54" s="272" t="s">
        <v>675</v>
      </c>
      <c r="L54" s="272" t="s">
        <v>676</v>
      </c>
      <c r="M54" s="272"/>
      <c r="N54" s="272"/>
      <c r="O54" s="281"/>
      <c r="P54" s="272"/>
      <c r="Q54" s="281"/>
      <c r="R54" s="281"/>
      <c r="S54" s="281"/>
      <c r="T54" s="272"/>
      <c r="U54" s="272"/>
      <c r="V54" s="281"/>
      <c r="W54" s="272"/>
      <c r="X54" s="272"/>
      <c r="Y54" s="272"/>
      <c r="Z54" s="272"/>
      <c r="AA54" s="272"/>
      <c r="AB54" s="272"/>
      <c r="AC54" s="272"/>
      <c r="AD54" s="272"/>
      <c r="AE54" s="272"/>
      <c r="AF54" s="272"/>
      <c r="AG54" s="272"/>
      <c r="AH54" s="272"/>
      <c r="AI54" s="272"/>
      <c r="AJ54" s="272"/>
      <c r="AK54" s="272"/>
      <c r="AL54" s="272"/>
      <c r="AM54" s="272"/>
      <c r="AN54" s="272"/>
      <c r="AO54" s="272"/>
      <c r="AP54" s="272"/>
      <c r="AQ54" s="272"/>
      <c r="AR54" s="272"/>
      <c r="AS54" s="272"/>
      <c r="AT54" s="272"/>
      <c r="AU54" s="272"/>
      <c r="AV54" s="272"/>
      <c r="AW54" s="272"/>
      <c r="AX54" s="272"/>
      <c r="AY54" s="272"/>
      <c r="AZ54" s="273">
        <v>45765</v>
      </c>
      <c r="BA54" s="272" t="s">
        <v>675</v>
      </c>
      <c r="BB54" s="272" t="s">
        <v>675</v>
      </c>
      <c r="BC54" s="272" t="s">
        <v>680</v>
      </c>
      <c r="BD54" s="272" t="s">
        <v>680</v>
      </c>
      <c r="BE54" s="272" t="s">
        <v>675</v>
      </c>
      <c r="BF54" s="272" t="s">
        <v>675</v>
      </c>
      <c r="BG54" s="272" t="s">
        <v>675</v>
      </c>
      <c r="BH54" s="272" t="s">
        <v>680</v>
      </c>
      <c r="BI54" s="272" t="s">
        <v>675</v>
      </c>
      <c r="BJ54" s="272" t="s">
        <v>680</v>
      </c>
      <c r="BK54" s="272" t="s">
        <v>675</v>
      </c>
      <c r="BL54" s="272" t="s">
        <v>675</v>
      </c>
      <c r="BM54" s="279">
        <v>1</v>
      </c>
      <c r="BN54" s="272" t="s">
        <v>680</v>
      </c>
      <c r="BO54" s="272" t="s">
        <v>680</v>
      </c>
      <c r="BP54" s="272" t="s">
        <v>675</v>
      </c>
      <c r="BQ54" s="272" t="s">
        <v>675</v>
      </c>
      <c r="BR54" s="272" t="s">
        <v>675</v>
      </c>
      <c r="BS54" s="272" t="s">
        <v>675</v>
      </c>
      <c r="BT54" s="272" t="s">
        <v>675</v>
      </c>
      <c r="BU54" s="272"/>
      <c r="BV54" s="272"/>
      <c r="BW54" s="272"/>
      <c r="BX54" s="272"/>
      <c r="BY54" s="272"/>
    </row>
    <row customHeight="true" ht="18.51851851851852" r="55">
      <c r="A55" s="272" t="s">
        <v>812</v>
      </c>
      <c r="B55" s="272" t="s">
        <v>812</v>
      </c>
      <c r="C55" s="284" t="s">
        <v>813</v>
      </c>
      <c r="D55" s="273">
        <v>45859</v>
      </c>
      <c r="E55" s="272"/>
      <c r="F55" s="272"/>
      <c r="G55" s="272"/>
      <c r="H55" s="272"/>
      <c r="I55" s="272"/>
      <c r="J55" s="272"/>
      <c r="K55" s="272" t="s">
        <v>675</v>
      </c>
      <c r="L55" s="272" t="s">
        <v>676</v>
      </c>
      <c r="M55" s="272"/>
      <c r="N55" s="272"/>
      <c r="O55" s="281"/>
      <c r="P55" s="272"/>
      <c r="Q55" s="281"/>
      <c r="R55" s="281"/>
      <c r="S55" s="281"/>
      <c r="T55" s="272"/>
      <c r="U55" s="272"/>
      <c r="V55" s="281"/>
      <c r="W55" s="272"/>
      <c r="X55" s="272"/>
      <c r="Y55" s="272"/>
      <c r="Z55" s="272"/>
      <c r="AA55" s="272"/>
      <c r="AB55" s="272"/>
      <c r="AC55" s="272"/>
      <c r="AD55" s="272"/>
      <c r="AE55" s="272"/>
      <c r="AF55" s="272"/>
      <c r="AG55" s="272"/>
      <c r="AH55" s="272"/>
      <c r="AI55" s="272"/>
      <c r="AJ55" s="272"/>
      <c r="AK55" s="272"/>
      <c r="AL55" s="272"/>
      <c r="AM55" s="272"/>
      <c r="AN55" s="272"/>
      <c r="AO55" s="272"/>
      <c r="AP55" s="272"/>
      <c r="AQ55" s="272"/>
      <c r="AR55" s="272"/>
      <c r="AS55" s="272"/>
      <c r="AT55" s="272"/>
      <c r="AU55" s="272"/>
      <c r="AV55" s="272"/>
      <c r="AW55" s="272"/>
      <c r="AX55" s="272"/>
      <c r="AY55" s="272"/>
      <c r="AZ55" s="273">
        <v>45765</v>
      </c>
      <c r="BA55" s="272" t="s">
        <v>675</v>
      </c>
      <c r="BB55" s="272" t="s">
        <v>675</v>
      </c>
      <c r="BC55" s="272" t="s">
        <v>680</v>
      </c>
      <c r="BD55" s="272" t="s">
        <v>680</v>
      </c>
      <c r="BE55" s="272" t="s">
        <v>675</v>
      </c>
      <c r="BF55" s="272" t="s">
        <v>675</v>
      </c>
      <c r="BG55" s="272" t="s">
        <v>675</v>
      </c>
      <c r="BH55" s="272" t="s">
        <v>680</v>
      </c>
      <c r="BI55" s="272" t="s">
        <v>675</v>
      </c>
      <c r="BJ55" s="272" t="s">
        <v>680</v>
      </c>
      <c r="BK55" s="272" t="s">
        <v>675</v>
      </c>
      <c r="BL55" s="272" t="s">
        <v>675</v>
      </c>
      <c r="BM55" s="279">
        <v>1</v>
      </c>
      <c r="BN55" s="272" t="s">
        <v>680</v>
      </c>
      <c r="BO55" s="272" t="s">
        <v>680</v>
      </c>
      <c r="BP55" s="272" t="s">
        <v>675</v>
      </c>
      <c r="BQ55" s="272" t="s">
        <v>675</v>
      </c>
      <c r="BR55" s="272" t="s">
        <v>675</v>
      </c>
      <c r="BS55" s="272" t="s">
        <v>675</v>
      </c>
      <c r="BT55" s="272" t="s">
        <v>675</v>
      </c>
      <c r="BU55" s="272"/>
      <c r="BV55" s="272"/>
      <c r="BW55" s="272"/>
      <c r="BX55" s="272"/>
      <c r="BY55" s="272"/>
    </row>
    <row customHeight="true" ht="18.51851851851852" r="56">
      <c r="A56" s="272" t="s">
        <v>812</v>
      </c>
      <c r="B56" s="272" t="s">
        <v>812</v>
      </c>
      <c r="C56" s="284" t="s">
        <v>814</v>
      </c>
      <c r="D56" s="273">
        <v>45859</v>
      </c>
      <c r="E56" s="272"/>
      <c r="F56" s="272"/>
      <c r="G56" s="272"/>
      <c r="H56" s="272"/>
      <c r="I56" s="272"/>
      <c r="J56" s="272"/>
      <c r="K56" s="272" t="s">
        <v>675</v>
      </c>
      <c r="L56" s="272" t="s">
        <v>676</v>
      </c>
      <c r="M56" s="272"/>
      <c r="N56" s="272"/>
      <c r="O56" s="281"/>
      <c r="P56" s="272"/>
      <c r="Q56" s="281"/>
      <c r="R56" s="281"/>
      <c r="S56" s="281"/>
      <c r="T56" s="272"/>
      <c r="U56" s="272"/>
      <c r="V56" s="281"/>
      <c r="W56" s="272"/>
      <c r="X56" s="272"/>
      <c r="Y56" s="272"/>
      <c r="Z56" s="272"/>
      <c r="AA56" s="272"/>
      <c r="AB56" s="272"/>
      <c r="AC56" s="272"/>
      <c r="AD56" s="272"/>
      <c r="AE56" s="272"/>
      <c r="AF56" s="272"/>
      <c r="AG56" s="272"/>
      <c r="AH56" s="272"/>
      <c r="AI56" s="272"/>
      <c r="AJ56" s="272"/>
      <c r="AK56" s="272"/>
      <c r="AL56" s="272"/>
      <c r="AM56" s="272"/>
      <c r="AN56" s="272"/>
      <c r="AO56" s="272"/>
      <c r="AP56" s="272"/>
      <c r="AQ56" s="272"/>
      <c r="AR56" s="272"/>
      <c r="AS56" s="272"/>
      <c r="AT56" s="272"/>
      <c r="AU56" s="272"/>
      <c r="AV56" s="272"/>
      <c r="AW56" s="272"/>
      <c r="AX56" s="272"/>
      <c r="AY56" s="272"/>
      <c r="AZ56" s="273">
        <v>45765</v>
      </c>
      <c r="BA56" s="272" t="s">
        <v>675</v>
      </c>
      <c r="BB56" s="272" t="s">
        <v>675</v>
      </c>
      <c r="BC56" s="272" t="s">
        <v>680</v>
      </c>
      <c r="BD56" s="272" t="s">
        <v>680</v>
      </c>
      <c r="BE56" s="272" t="s">
        <v>675</v>
      </c>
      <c r="BF56" s="272" t="s">
        <v>675</v>
      </c>
      <c r="BG56" s="272" t="s">
        <v>675</v>
      </c>
      <c r="BH56" s="272" t="s">
        <v>680</v>
      </c>
      <c r="BI56" s="272" t="s">
        <v>675</v>
      </c>
      <c r="BJ56" s="272" t="s">
        <v>680</v>
      </c>
      <c r="BK56" s="272" t="s">
        <v>675</v>
      </c>
      <c r="BL56" s="272" t="s">
        <v>675</v>
      </c>
      <c r="BM56" s="279">
        <v>1</v>
      </c>
      <c r="BN56" s="272" t="s">
        <v>680</v>
      </c>
      <c r="BO56" s="272" t="s">
        <v>680</v>
      </c>
      <c r="BP56" s="272" t="s">
        <v>675</v>
      </c>
      <c r="BQ56" s="272" t="s">
        <v>675</v>
      </c>
      <c r="BR56" s="272" t="s">
        <v>675</v>
      </c>
      <c r="BS56" s="272" t="s">
        <v>675</v>
      </c>
      <c r="BT56" s="272" t="s">
        <v>675</v>
      </c>
      <c r="BU56" s="272"/>
      <c r="BV56" s="272"/>
      <c r="BW56" s="272"/>
      <c r="BX56" s="272"/>
      <c r="BY56" s="272"/>
    </row>
    <row customHeight="true" ht="18.51851851851852" r="57">
      <c r="A57" s="272" t="s">
        <v>812</v>
      </c>
      <c r="B57" s="272" t="s">
        <v>812</v>
      </c>
      <c r="C57" s="272" t="s">
        <v>815</v>
      </c>
      <c r="D57" s="273">
        <v>45859</v>
      </c>
      <c r="E57" s="272"/>
      <c r="F57" s="272"/>
      <c r="G57" s="272"/>
      <c r="H57" s="272"/>
      <c r="I57" s="272"/>
      <c r="J57" s="272"/>
      <c r="K57" s="272" t="s">
        <v>675</v>
      </c>
      <c r="L57" s="272" t="s">
        <v>676</v>
      </c>
      <c r="M57" s="272"/>
      <c r="N57" s="272"/>
      <c r="O57" s="281"/>
      <c r="P57" s="272"/>
      <c r="Q57" s="281"/>
      <c r="R57" s="281"/>
      <c r="S57" s="281"/>
      <c r="T57" s="272"/>
      <c r="U57" s="272"/>
      <c r="V57" s="281"/>
      <c r="W57" s="272"/>
      <c r="X57" s="272"/>
      <c r="Y57" s="272"/>
      <c r="Z57" s="272"/>
      <c r="AA57" s="272"/>
      <c r="AB57" s="272"/>
      <c r="AC57" s="272"/>
      <c r="AD57" s="272"/>
      <c r="AE57" s="272"/>
      <c r="AF57" s="272"/>
      <c r="AG57" s="272"/>
      <c r="AH57" s="272"/>
      <c r="AI57" s="272"/>
      <c r="AJ57" s="272"/>
      <c r="AK57" s="272"/>
      <c r="AL57" s="272"/>
      <c r="AM57" s="272"/>
      <c r="AN57" s="272"/>
      <c r="AO57" s="272"/>
      <c r="AP57" s="272"/>
      <c r="AQ57" s="272"/>
      <c r="AR57" s="272"/>
      <c r="AS57" s="272"/>
      <c r="AT57" s="272"/>
      <c r="AU57" s="272"/>
      <c r="AV57" s="272"/>
      <c r="AW57" s="272"/>
      <c r="AX57" s="272"/>
      <c r="AY57" s="272"/>
      <c r="AZ57" s="272"/>
      <c r="BA57" s="272"/>
      <c r="BB57" s="272"/>
      <c r="BC57" s="272"/>
      <c r="BD57" s="272"/>
      <c r="BE57" s="272"/>
      <c r="BF57" s="272"/>
      <c r="BG57" s="272"/>
      <c r="BH57" s="272"/>
      <c r="BI57" s="272"/>
      <c r="BJ57" s="272"/>
      <c r="BK57" s="272"/>
      <c r="BL57" s="272"/>
      <c r="BM57" s="272"/>
      <c r="BN57" s="272"/>
      <c r="BO57" s="272"/>
      <c r="BP57" s="272"/>
      <c r="BQ57" s="272"/>
      <c r="BR57" s="272"/>
      <c r="BS57" s="272"/>
      <c r="BT57" s="272"/>
      <c r="BU57" s="272"/>
      <c r="BV57" s="272"/>
      <c r="BW57" s="272"/>
      <c r="BX57" s="272"/>
      <c r="BY57" s="272"/>
    </row>
    <row customHeight="true" ht="18.51851851851852" r="58">
      <c r="A58" s="272" t="s">
        <v>816</v>
      </c>
      <c r="B58" s="272" t="s">
        <v>817</v>
      </c>
      <c r="C58" s="272" t="s">
        <v>818</v>
      </c>
      <c r="D58" s="273">
        <v>45860</v>
      </c>
      <c r="E58" s="272"/>
      <c r="F58" s="272"/>
      <c r="G58" s="272"/>
      <c r="H58" s="272"/>
      <c r="I58" s="272"/>
      <c r="J58" s="272"/>
      <c r="K58" s="272" t="s">
        <v>675</v>
      </c>
      <c r="L58" s="272" t="s">
        <v>676</v>
      </c>
      <c r="M58" s="272"/>
      <c r="N58" s="272"/>
      <c r="O58" s="281"/>
      <c r="P58" s="272"/>
      <c r="Q58" s="281"/>
      <c r="R58" s="281"/>
      <c r="S58" s="281"/>
      <c r="T58" s="272"/>
      <c r="U58" s="272"/>
      <c r="V58" s="281"/>
      <c r="W58" s="272"/>
      <c r="X58" s="272"/>
      <c r="Y58" s="272"/>
      <c r="Z58" s="272"/>
      <c r="AA58" s="272"/>
      <c r="AB58" s="272"/>
      <c r="AC58" s="272"/>
      <c r="AD58" s="272"/>
      <c r="AE58" s="272"/>
      <c r="AF58" s="272"/>
      <c r="AG58" s="272"/>
      <c r="AH58" s="272"/>
      <c r="AI58" s="272"/>
      <c r="AJ58" s="272"/>
      <c r="AK58" s="272"/>
      <c r="AL58" s="272"/>
      <c r="AM58" s="272"/>
      <c r="AN58" s="272"/>
      <c r="AO58" s="272"/>
      <c r="AP58" s="272"/>
      <c r="AQ58" s="272"/>
      <c r="AR58" s="272"/>
      <c r="AS58" s="272"/>
      <c r="AT58" s="272"/>
      <c r="AU58" s="272"/>
      <c r="AV58" s="272"/>
      <c r="AW58" s="272"/>
      <c r="AX58" s="272"/>
      <c r="AY58" s="272"/>
      <c r="AZ58" s="272"/>
      <c r="BA58" s="272"/>
      <c r="BB58" s="272"/>
      <c r="BC58" s="272"/>
      <c r="BD58" s="272"/>
      <c r="BE58" s="272"/>
      <c r="BF58" s="272"/>
      <c r="BG58" s="272"/>
      <c r="BH58" s="272"/>
      <c r="BI58" s="272"/>
      <c r="BJ58" s="272"/>
      <c r="BK58" s="272"/>
      <c r="BL58" s="272"/>
      <c r="BM58" s="272"/>
      <c r="BN58" s="272"/>
      <c r="BO58" s="272"/>
      <c r="BP58" s="272"/>
      <c r="BQ58" s="272"/>
      <c r="BR58" s="272"/>
      <c r="BS58" s="272"/>
      <c r="BT58" s="272"/>
      <c r="BU58" s="272"/>
      <c r="BV58" s="272"/>
      <c r="BW58" s="272"/>
      <c r="BX58" s="272"/>
      <c r="BY58" s="272"/>
    </row>
    <row customHeight="true" ht="18.51851851851852" r="59">
      <c r="A59" s="272" t="s">
        <v>819</v>
      </c>
      <c r="B59" s="272" t="s">
        <v>817</v>
      </c>
      <c r="C59" s="272" t="s">
        <v>820</v>
      </c>
      <c r="D59" s="273">
        <v>45860</v>
      </c>
      <c r="E59" s="272"/>
      <c r="F59" s="272"/>
      <c r="G59" s="272"/>
      <c r="H59" s="272"/>
      <c r="I59" s="272"/>
      <c r="J59" s="272"/>
      <c r="K59" s="272" t="s">
        <v>675</v>
      </c>
      <c r="L59" s="272" t="s">
        <v>676</v>
      </c>
      <c r="M59" s="272"/>
      <c r="N59" s="272"/>
      <c r="O59" s="281"/>
      <c r="P59" s="272"/>
      <c r="Q59" s="281"/>
      <c r="R59" s="281"/>
      <c r="S59" s="281"/>
      <c r="T59" s="272"/>
      <c r="U59" s="272"/>
      <c r="V59" s="281"/>
      <c r="W59" s="272"/>
      <c r="X59" s="272"/>
      <c r="Y59" s="272"/>
      <c r="Z59" s="272"/>
      <c r="AA59" s="272"/>
      <c r="AB59" s="272"/>
      <c r="AC59" s="272"/>
      <c r="AD59" s="272"/>
      <c r="AE59" s="272"/>
      <c r="AF59" s="272"/>
      <c r="AG59" s="272"/>
      <c r="AH59" s="272"/>
      <c r="AI59" s="272"/>
      <c r="AJ59" s="272"/>
      <c r="AK59" s="272"/>
      <c r="AL59" s="272"/>
      <c r="AM59" s="272"/>
      <c r="AN59" s="272"/>
      <c r="AO59" s="272"/>
      <c r="AP59" s="272"/>
      <c r="AQ59" s="272"/>
      <c r="AR59" s="272"/>
      <c r="AS59" s="272"/>
      <c r="AT59" s="272"/>
      <c r="AU59" s="272"/>
      <c r="AV59" s="272"/>
      <c r="AW59" s="272"/>
      <c r="AX59" s="272"/>
      <c r="AY59" s="272"/>
      <c r="AZ59" s="272"/>
      <c r="BA59" s="272"/>
      <c r="BB59" s="272"/>
      <c r="BC59" s="272"/>
      <c r="BD59" s="272"/>
      <c r="BE59" s="272"/>
      <c r="BF59" s="272"/>
      <c r="BG59" s="272"/>
      <c r="BH59" s="272"/>
      <c r="BI59" s="272"/>
      <c r="BJ59" s="272"/>
      <c r="BK59" s="272"/>
      <c r="BL59" s="272"/>
      <c r="BM59" s="272"/>
      <c r="BN59" s="272"/>
      <c r="BO59" s="272"/>
      <c r="BP59" s="272"/>
      <c r="BQ59" s="272"/>
      <c r="BR59" s="272"/>
      <c r="BS59" s="272"/>
      <c r="BT59" s="272"/>
      <c r="BU59" s="272"/>
      <c r="BV59" s="272"/>
      <c r="BW59" s="272"/>
      <c r="BX59" s="272"/>
      <c r="BY59" s="272"/>
    </row>
  </sheetData>
  <hyperlinks>
    <hyperlink ref="S2" display="电动牙刷德国ASIN 定投广告" r:id="rId3"/>
    <hyperlink ref="S5" display="电动牙刷德国ASIN 定投广告" r:id="rId4"/>
    <hyperlink ref="M8" display="德国除螨仪竞品分析" r:id="rId5"/>
    <hyperlink ref="M9" display="德国除螨仪竞品分析" r:id="rId6"/>
    <hyperlink ref="M17" display="德国除螨仪竞品分析" r:id="rId7"/>
    <hyperlink ref="M19" display="德国除螨仪竞品分析" r:id="rId8"/>
    <hyperlink ref="Q9" display="英国除螨仪 - 项目跟进表-阳亚运-20250325" r:id="rId9"/>
    <hyperlink ref="O27" display="德国空气净化器标题和关键词库搭建" r:id="rId10"/>
    <hyperlink ref="O29" display="德国空气净化器标题和关键词库搭建" r:id="rId11"/>
    <hyperlink ref="M45" display="DE 口腔喷雾剂Mundsprays(卖家精灵)" r:id="rId12"/>
    <hyperlink ref="V3" display="电动牙刷VC 选品利润测算表_EU V1.0欧洲五国" r:id="rId13"/>
    <hyperlink ref="V4" display="电动牙刷VC 选品利润测算表_EU V1.0欧洲五国" r:id="rId14"/>
    <hyperlink ref="V5" display="电动牙刷VC 选品利润测算表_EU V1.0欧洲五国" r:id="rId15"/>
    <hyperlink ref="V6" display="电动牙刷VC 选品利润测算表_EU V1.0欧洲五国" r:id="rId16"/>
    <hyperlink ref="V2" display="电动牙刷VC 选品利润测算表_EU V1.0欧洲五国" r:id="rId17"/>
    <hyperlink ref="V12" display="电动牙刷VC 选品利润测算表_EU V1.0欧洲五国" r:id="rId18"/>
    <hyperlink ref="V13" display="电动牙刷VC 选品利润测算表_EU V1.0欧洲五国" r:id="rId19"/>
    <hyperlink ref="V14" display="电动牙刷VC 选品利润测算表_EU V1.0欧洲五国" r:id="rId20"/>
    <hyperlink ref="V15" display="电动牙刷VC 选品利润测算表_EU V1.0欧洲五国" r:id="rId21"/>
    <hyperlink ref="V16" display="电动牙刷VC 选品利润测算表_EU V1.0欧洲五国" r:id="rId22"/>
    <hyperlink ref="V11" display="电动牙刷VC 选品利润测算表_EU V1.0欧洲五国" r:id="rId23"/>
    <hyperlink ref="O8" display="德国除螨仪标题和关键词库搭建" r:id="rId24"/>
    <hyperlink ref="R9" display="市调" r:id="rId25"/>
    <hyperlink ref="Q27" display="德国空气净化器 - 项目跟进表-阳亚运-20250611" r:id="rId26"/>
    <hyperlink ref="Q29" display="德国空气净化器 - 项目跟进表-阳亚运-20250611" r:id="rId27"/>
    <hyperlink ref="M46" display="UK(口腔喷雾剂)Sprays" r:id="rId28"/>
    <hyperlink ref="BU2" display="3.1关键词库高效搭建策略方法.pdf " r:id="rId29"/>
    <hyperlink ref="BU3" display="3.1关键词库高效搭建策略方法.pdf " r:id="rId30"/>
    <hyperlink ref="Q8" display="德国除螨仪 - 项目跟进表-阳亚运-20250325" r:id="rId31"/>
    <hyperlink ref="M21" display="德国超声波清洗机竞争程度分析" r:id="rId32"/>
    <hyperlink ref="M22" display="德国超声波清洗机竞争程度分析" r:id="rId33"/>
    <hyperlink ref="R29" display="空气净化器市调" r:id="rId34"/>
    <hyperlink ref="R30" display="空气净化器市调" r:id="rId35"/>
    <hyperlink ref="R27" display="空气净化器市调" r:id="rId36"/>
    <hyperlink ref="R28" display="空气净化器市调" r:id="rId37"/>
    <hyperlink ref="BW3" display="项目跟进表--20241016" r:id="rId38"/>
    <hyperlink ref="BX2" display="项目跟进表模板" r:id="rId39"/>
    <hyperlink ref="R8" display="除螨仪市调" r:id="rId40"/>
    <hyperlink ref="O21" display="德国牙套超声波清洗机标题和关键词库搭建" r:id="rId41"/>
    <hyperlink ref="O22" display="德国牙套超声波清洗机标题和关键词库搭建" r:id="rId42"/>
    <hyperlink ref="O24" display="德国牙套超声波清洗机标题和关键词库搭建" r:id="rId43"/>
    <hyperlink ref="Q28" display="英国空气净化器 - 项目跟进表-阳亚运-20250611" r:id="rId44"/>
    <hyperlink ref="Q30" display="英国空气净化器 - 项目跟进表-阳亚运-20250611" r:id="rId45"/>
    <hyperlink ref="BU1" display="关键词库搭建" r:id="rId46"/>
    <hyperlink ref="BY2" display="Listing后台全属性填写标准" r:id="rId47"/>
    <hyperlink ref="S8" display="德国除螨仪的推广计划——德国除螨仪 欧洲" r:id="rId48"/>
    <hyperlink ref="R21" display="超声波清洗机市调" r:id="rId49"/>
    <hyperlink ref="M37" display="市调" r:id="rId50"/>
    <hyperlink ref="M38" display="市调" r:id="rId51"/>
    <hyperlink ref="R37" display="市调" r:id="rId52"/>
    <hyperlink ref="R38" display="市调" r:id="rId53"/>
    <hyperlink ref="O2" display="德国 电动牙刷关键词收集数据-德国标题2关键词库搭建" r:id="rId54"/>
    <hyperlink ref="O5" display="德国 电动牙刷关键词收集数据-德国标题2关键词库搭建" r:id="rId55"/>
    <hyperlink ref="O3" display="英国 电动牙刷关键词收集数据-德国标题2关键词库搭建" r:id="rId56"/>
    <hyperlink ref="O6" display="英国 电动牙刷关键词收集数据-德国标题2关键词库搭建" r:id="rId57"/>
    <hyperlink ref="U8" display="德国除螨仪 -盈利模型分析" r:id="rId58"/>
    <hyperlink ref="U9" display="德国除螨仪 -盈利模型分析" r:id="rId59"/>
    <hyperlink ref="M24" display="杆式吸尘器竞品分析-84ASIN" r:id="rId60"/>
    <hyperlink ref="M25" display="杆式吸尘器竞品分析-84ASIN" r:id="rId61"/>
    <hyperlink ref="M44" display="智能电子口喷美国" r:id="rId62"/>
    <hyperlink ref="Q2" display="德国电动牙刷- 项目跟进表-阳亚运-20250325" r:id="rId63"/>
    <hyperlink ref="Q5" display="德国电动牙刷- 项目跟进表-阳亚运-20250325" r:id="rId64"/>
    <hyperlink ref="Q3" display="英国电动牙刷- 项目跟进表-阳亚运-20250325" r:id="rId65"/>
    <hyperlink ref="Q6" display="英国电动牙刷- 项目跟进表-阳亚运-20250325" r:id="rId66"/>
    <hyperlink ref="V8" display="欧洲除螨仪 VC 选品利润测算表_EU V1.0欧洲五国" r:id="rId67"/>
    <hyperlink ref="V9" display="欧洲五国VC选品利润测算表EU V10" r:id="rId68"/>
    <hyperlink ref="V17" display="欧洲除螨仪 VC 选品利润测算表_EU V1.0欧洲五国" r:id="rId69"/>
    <hyperlink ref="V18" display="欧洲除螨仪 VC 选品利润测算表_EU V1.0欧洲五国" r:id="rId70"/>
    <hyperlink ref="V19" display="欧洲除螨仪 VC 选品利润测算表_EU V1.0欧洲五国" r:id="rId71"/>
    <hyperlink ref="R24" display="杆式吸尘器市调" r:id="rId72"/>
    <hyperlink ref="Q44" display="US 口喷市调 SIF所有数据oral spray" r:id="rId73"/>
    <hyperlink ref="R2" display="市调" r:id="rId74"/>
    <hyperlink ref="R5" display="市调" r:id="rId75"/>
    <hyperlink ref="B8" display="https://shimo.im/sheets/xaLcxBgvfrrvr6At/x4LSY" r:id="rId76"/>
    <hyperlink ref="O9" display="英国除螨仪标题 关键词库搭建" r:id="rId77"/>
    <hyperlink ref="M27" display="空气净化器 竞品分析" r:id="rId78"/>
    <hyperlink ref="M28" display="空气净化器 竞品分析" r:id="rId79"/>
    <hyperlink ref="M29" display="空气净化器 竞品分析" r:id="rId80"/>
    <hyperlink ref="M30" display="空气净化器 竞品分析" r:id="rId81"/>
    <hyperlink ref="R44" display="US口喷市调 Tik Tok所有数据ALL" r:id="rId82"/>
  </hyperlinks>
  <legacyDrawing r:id="rId1"/>
</worksheet>
</file>

<file path=xl/worksheets/sheet1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12" min="12" style="0" width="17.4"/>
    <col collapsed="false" customWidth="true" hidden="false" max="16" min="16" style="0" width="17.4"/>
    <col collapsed="false" customWidth="true" hidden="false" max="19" min="19" style="0" width="17.4"/>
    <col collapsed="false" customWidth="true" hidden="false" max="4" min="4" style="0" width="13.666666666666666"/>
    <col collapsed="false" customWidth="true" hidden="false" max="8" min="8" style="0" width="17.4"/>
    <col collapsed="false" customWidth="true" hidden="false" max="11" min="11" style="0" width="17.4"/>
    <col collapsed="false" customWidth="true" hidden="false" max="15" min="15" style="0" width="17.4"/>
    <col collapsed="false" customWidth="true" hidden="false" max="18" min="18" style="0" width="17.4"/>
    <col collapsed="false" customWidth="true" hidden="false" max="3" min="3" style="0" width="17.4"/>
    <col collapsed="false" customWidth="true" hidden="false" max="7" min="7" style="0" width="17.4"/>
    <col collapsed="false" customWidth="true" hidden="false" max="10" min="10" style="0" width="17.4"/>
    <col collapsed="false" customWidth="true" hidden="false" max="14" min="14" style="0" width="17.4"/>
    <col collapsed="false" customWidth="true" hidden="false" max="17" min="17" style="0" width="17.4"/>
    <col collapsed="false" customWidth="true" hidden="false" max="2" min="2" style="0" width="7.8"/>
    <col collapsed="false" customWidth="true" hidden="false" max="6" min="6" style="0" width="34.6"/>
    <col collapsed="false" customWidth="true" hidden="false" max="9" min="9" style="0" width="17.4"/>
    <col collapsed="false" customWidth="true" hidden="false" max="13" min="13" style="0" width="17.4"/>
    <col collapsed="false" customWidth="true" hidden="false" max="20" min="20" style="0" width="17.933333333333334"/>
    <col collapsed="false" customWidth="true" hidden="false" max="1" min="1" style="0" width="29.4"/>
    <col collapsed="false" customWidth="true" hidden="false" max="5" min="5" style="0" width="17.4"/>
  </cols>
  <sheetData>
    <row customHeight="true" ht="18.51851851851852" r="1">
      <c r="A1" s="286" t="s">
        <v>821</v>
      </c>
      <c r="B1" s="287" t="s">
        <v>822</v>
      </c>
      <c r="C1" s="287" t="s">
        <v>823</v>
      </c>
      <c r="D1" s="287" t="s">
        <v>824</v>
      </c>
      <c r="E1" s="287" t="s">
        <v>825</v>
      </c>
      <c r="F1" s="287" t="s">
        <v>826</v>
      </c>
      <c r="G1" s="287" t="s">
        <v>826</v>
      </c>
      <c r="H1" s="287" t="s">
        <v>827</v>
      </c>
      <c r="I1" s="288" t="s">
        <v>828</v>
      </c>
      <c r="J1" s="289" t="s">
        <v>829</v>
      </c>
      <c r="K1" s="288" t="s">
        <v>826</v>
      </c>
    </row>
    <row customHeight="true" ht="18.51851851851852" r="2">
      <c r="A2" s="287" t="s">
        <v>830</v>
      </c>
      <c r="B2" s="287" t="s">
        <v>831</v>
      </c>
      <c r="C2" s="287" t="s">
        <v>832</v>
      </c>
      <c r="D2" s="290">
        <v>96</v>
      </c>
      <c r="E2" s="287">
        <v>408</v>
      </c>
      <c r="F2" s="287">
        <f>13.8+2.7+2.5</f>
      </c>
      <c r="G2" s="287">
        <v>13.8</v>
      </c>
      <c r="H2" s="287">
        <v>100</v>
      </c>
      <c r="I2" s="288">
        <v>0</v>
      </c>
      <c r="J2" s="289">
        <f t="shared" ref="J2:J5" si="1">F2*E2+H2</f>
      </c>
      <c r="K2" s="288">
        <f t="shared" ref="K2:K9" si="4">J2/D2</f>
      </c>
      <c r="L2" s="289">
        <f>(J2+J3+J4)/400</f>
      </c>
      <c r="N2" s="287"/>
      <c r="O2" s="287"/>
      <c r="P2" s="287"/>
      <c r="Q2" s="287"/>
    </row>
    <row customHeight="true" ht="18.51851851851852" r="3">
      <c r="A3" s="287" t="s">
        <v>830</v>
      </c>
      <c r="B3" s="287" t="s">
        <v>831</v>
      </c>
      <c r="C3" s="287" t="s">
        <v>833</v>
      </c>
      <c r="D3" s="290">
        <v>132</v>
      </c>
      <c r="E3" s="287">
        <v>561</v>
      </c>
      <c r="F3" s="287">
        <f>9.8+2.7+2.5</f>
      </c>
      <c r="G3" s="287">
        <v>9.8</v>
      </c>
      <c r="H3" s="287">
        <v>100</v>
      </c>
      <c r="I3" s="288">
        <v>0</v>
      </c>
      <c r="J3" s="289">
        <f t="shared" si="1"/>
      </c>
      <c r="K3" s="288">
        <f t="shared" si="4"/>
      </c>
      <c r="L3" s="289"/>
      <c r="N3" s="286"/>
      <c r="O3" s="286"/>
      <c r="P3" s="286"/>
      <c r="Q3" s="286"/>
    </row>
    <row customHeight="true" ht="18.51851851851852" r="4">
      <c r="A4" s="287" t="s">
        <v>830</v>
      </c>
      <c r="B4" s="287" t="s">
        <v>831</v>
      </c>
      <c r="C4" s="287" t="s">
        <v>833</v>
      </c>
      <c r="D4" s="290">
        <v>172</v>
      </c>
      <c r="E4" s="287">
        <v>731</v>
      </c>
      <c r="F4" s="287">
        <f>8.9+2.7+2.5-5.7</f>
      </c>
      <c r="G4" s="287">
        <v>8.9</v>
      </c>
      <c r="H4" s="287">
        <v>100</v>
      </c>
      <c r="I4" s="288">
        <v>0</v>
      </c>
      <c r="J4" s="289">
        <f t="shared" si="1"/>
      </c>
      <c r="K4" s="288">
        <f t="shared" si="4"/>
      </c>
      <c r="L4" s="289" t="s">
        <v>834</v>
      </c>
      <c r="N4" s="286"/>
      <c r="O4" s="286"/>
      <c r="P4" s="286"/>
      <c r="Q4" s="286"/>
    </row>
    <row customHeight="true" ht="18.51851851851852" r="5">
      <c r="A5" s="287" t="s">
        <v>830</v>
      </c>
      <c r="B5" s="287" t="s">
        <v>831</v>
      </c>
      <c r="C5" s="287" t="s">
        <v>833</v>
      </c>
      <c r="D5" s="290">
        <v>600</v>
      </c>
      <c r="E5" s="287">
        <v>2550</v>
      </c>
      <c r="F5" s="287">
        <f>7.5+2.7+2.5</f>
      </c>
      <c r="G5" s="287">
        <v>7.5</v>
      </c>
      <c r="H5" s="287">
        <v>100</v>
      </c>
      <c r="I5" s="288">
        <v>0</v>
      </c>
      <c r="J5" s="289">
        <f t="shared" si="1"/>
      </c>
      <c r="K5" s="288">
        <f t="shared" si="4"/>
      </c>
      <c r="L5" s="289">
        <f>J5/D5</f>
      </c>
      <c r="N5" s="286"/>
      <c r="O5" s="286"/>
      <c r="P5" s="286"/>
      <c r="Q5" s="286"/>
    </row>
    <row customHeight="true" ht="18.51851851851852" r="6">
      <c r="A6" s="287" t="s">
        <v>830</v>
      </c>
      <c r="B6" s="287" t="s">
        <v>835</v>
      </c>
      <c r="C6" s="287" t="s">
        <v>836</v>
      </c>
      <c r="D6" s="290">
        <v>360</v>
      </c>
      <c r="E6" s="287">
        <v>1531</v>
      </c>
      <c r="F6" s="287">
        <v>8.5</v>
      </c>
      <c r="G6" s="287">
        <v>8.5</v>
      </c>
      <c r="H6" s="287">
        <f>350+400</f>
      </c>
      <c r="I6" s="288">
        <f t="shared" ref="I6:I7" si="5">79*0.3*0.027*7.8</f>
      </c>
      <c r="J6" s="289">
        <f t="shared" ref="J6:J9" si="0">F6*E6+H6+I6*D6</f>
      </c>
      <c r="K6" s="288">
        <f t="shared" si="4"/>
      </c>
      <c r="L6" s="289">
        <f>(J6+J7)/1500</f>
      </c>
    </row>
    <row customHeight="true" ht="18.51851851851852" r="7">
      <c r="A7" s="287" t="s">
        <v>830</v>
      </c>
      <c r="B7" s="287" t="s">
        <v>835</v>
      </c>
      <c r="C7" s="287" t="s">
        <v>837</v>
      </c>
      <c r="D7" s="290">
        <v>1140</v>
      </c>
      <c r="E7" s="287">
        <v>27.9</v>
      </c>
      <c r="F7" s="291">
        <f>43600/70</f>
      </c>
      <c r="G7" s="287">
        <v>70</v>
      </c>
      <c r="H7" s="287">
        <v>350</v>
      </c>
      <c r="I7" s="288">
        <f t="shared" si="5"/>
      </c>
      <c r="J7" s="289">
        <f t="shared" si="0"/>
      </c>
      <c r="K7" s="288">
        <f t="shared" si="4"/>
      </c>
      <c r="L7" s="289"/>
    </row>
    <row customHeight="true" ht="18.51851851851852" r="8">
      <c r="A8" s="287" t="s">
        <v>830</v>
      </c>
      <c r="B8" s="287" t="s">
        <v>838</v>
      </c>
      <c r="C8" s="287" t="s">
        <v>836</v>
      </c>
      <c r="D8" s="290">
        <v>160</v>
      </c>
      <c r="E8" s="287">
        <v>681</v>
      </c>
      <c r="F8" s="287">
        <v>10.5</v>
      </c>
      <c r="G8" s="287">
        <v>10.5</v>
      </c>
      <c r="H8" s="287">
        <f t="shared" ref="H8:H9" si="2">350+400</f>
      </c>
      <c r="I8" s="288">
        <f t="shared" ref="I8:I9" si="3">79*0.3*0.027*9</f>
      </c>
      <c r="J8" s="289">
        <f t="shared" si="0"/>
      </c>
      <c r="K8" s="288">
        <f t="shared" si="4"/>
      </c>
      <c r="L8" s="289">
        <f>(J8+J9)/500</f>
      </c>
    </row>
    <row customHeight="true" ht="18.51851851851852" r="9">
      <c r="A9" s="287" t="s">
        <v>830</v>
      </c>
      <c r="B9" s="287" t="s">
        <v>838</v>
      </c>
      <c r="C9" s="287" t="s">
        <v>839</v>
      </c>
      <c r="D9" s="290">
        <v>340</v>
      </c>
      <c r="E9" s="287">
        <v>8.672</v>
      </c>
      <c r="F9" s="287">
        <v>570</v>
      </c>
      <c r="G9" s="287">
        <v>570</v>
      </c>
      <c r="H9" s="287">
        <f t="shared" si="2"/>
      </c>
      <c r="I9" s="288">
        <f t="shared" si="3"/>
      </c>
      <c r="J9" s="289">
        <f t="shared" si="0"/>
      </c>
      <c r="K9" s="288">
        <f t="shared" si="4"/>
      </c>
      <c r="L9" s="289"/>
    </row>
    <row customHeight="true" ht="18.51851851851852" r="10">
      <c r="B10" s="287"/>
      <c r="C10" s="287"/>
      <c r="D10" s="287"/>
      <c r="E10" s="287"/>
      <c r="F10" s="287"/>
      <c r="G10" s="286"/>
      <c r="I10" s="292"/>
      <c r="J10" s="293"/>
      <c r="K10" s="288"/>
    </row>
    <row customHeight="true" ht="18.51851851851852" r="11">
      <c r="B11" s="287"/>
      <c r="C11" s="287"/>
      <c r="D11" s="287"/>
      <c r="E11" s="287"/>
      <c r="F11" s="287"/>
      <c r="G11" s="286"/>
      <c r="I11" s="292"/>
      <c r="J11" s="293"/>
      <c r="K11" s="288"/>
    </row>
    <row customHeight="true" ht="18.51851851851852" r="12">
      <c r="B12" s="287"/>
      <c r="C12" s="287"/>
      <c r="D12" s="287"/>
      <c r="E12" s="287"/>
      <c r="F12" s="287"/>
      <c r="G12" s="286"/>
      <c r="I12" s="292"/>
      <c r="J12" s="293"/>
      <c r="K12" s="288"/>
      <c r="N12" s="286"/>
    </row>
    <row customHeight="true" ht="18.51851851851852" r="13">
      <c r="B13" s="287"/>
      <c r="C13" s="287"/>
      <c r="D13" s="287"/>
      <c r="E13" s="287"/>
      <c r="F13" s="287"/>
      <c r="G13" s="286"/>
      <c r="I13" s="292"/>
      <c r="J13" s="293"/>
      <c r="K13" s="288"/>
    </row>
    <row customHeight="true" ht="18.51851851851852" r="14">
      <c r="B14" s="287"/>
      <c r="C14" s="287"/>
      <c r="D14" s="287"/>
      <c r="E14" s="287"/>
      <c r="F14" s="287"/>
      <c r="G14" s="286"/>
      <c r="I14" s="292"/>
      <c r="J14" s="293"/>
      <c r="K14" s="288"/>
    </row>
    <row customHeight="true" ht="18.51851851851852" r="15">
      <c r="B15" s="287"/>
      <c r="C15" s="287"/>
      <c r="D15" s="287"/>
      <c r="E15" s="287"/>
      <c r="F15" s="287"/>
      <c r="G15" s="286"/>
      <c r="I15" s="292"/>
      <c r="J15" s="293"/>
      <c r="K15" s="288"/>
    </row>
    <row customHeight="true" ht="18.51851851851852" r="16">
      <c r="B16" s="287"/>
      <c r="C16" s="287"/>
      <c r="D16" s="287"/>
      <c r="E16" s="287"/>
      <c r="F16" s="287"/>
      <c r="G16" s="286"/>
      <c r="I16" s="292"/>
      <c r="J16" s="293"/>
      <c r="K16" s="288"/>
    </row>
    <row customHeight="true" ht="18.51851851851852" r="17">
      <c r="B17" s="287"/>
      <c r="C17" s="287"/>
      <c r="D17" s="287"/>
      <c r="E17" s="287"/>
      <c r="F17" s="287"/>
      <c r="G17" s="286"/>
      <c r="I17" s="292"/>
      <c r="J17" s="293"/>
      <c r="K17" s="288"/>
    </row>
    <row customHeight="true" ht="18.51851851851852" r="18">
      <c r="B18" s="287"/>
      <c r="C18" s="287"/>
      <c r="D18" s="287"/>
      <c r="E18" s="287"/>
      <c r="F18" s="287"/>
      <c r="G18" s="286"/>
      <c r="I18" s="292"/>
      <c r="J18" s="293"/>
      <c r="K18" s="288"/>
    </row>
    <row customHeight="true" ht="18.51851851851852" r="19">
      <c r="B19" s="287"/>
      <c r="C19" s="287"/>
      <c r="D19" s="287"/>
      <c r="E19" s="287"/>
      <c r="F19" s="287"/>
      <c r="G19" s="286"/>
      <c r="I19" s="292"/>
      <c r="J19" s="293"/>
      <c r="K19" s="288"/>
    </row>
    <row customHeight="true" ht="18.51851851851852" r="20">
      <c r="B20" s="287"/>
      <c r="C20" s="287"/>
      <c r="D20" s="287"/>
      <c r="E20" s="287"/>
      <c r="F20" s="287"/>
      <c r="G20" s="286"/>
      <c r="I20" s="292"/>
      <c r="J20" s="293"/>
      <c r="K20" s="288"/>
    </row>
  </sheetData>
  <legacyDrawing r:id="rId1"/>
</worksheet>
</file>

<file path=xl/worksheets/sheet1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20" min="20" style="0" width="17.933333333333334"/>
    <col collapsed="false" customWidth="true" hidden="false" max="4" min="4" style="0" width="17.4"/>
    <col collapsed="false" customWidth="true" hidden="false" max="8" min="8" style="0" width="17.4"/>
    <col collapsed="false" customWidth="true" hidden="false" max="12" min="12" style="0" width="17.4"/>
    <col collapsed="false" customWidth="true" hidden="false" max="16" min="16" style="0" width="17.4"/>
    <col collapsed="false" customWidth="true" hidden="false" max="19" min="19" style="0" width="17.933333333333334"/>
    <col collapsed="false" customWidth="true" hidden="false" max="3" min="3" style="0" width="17.4"/>
    <col collapsed="false" customWidth="true" hidden="false" max="7" min="7" style="0" width="17.4"/>
    <col collapsed="false" customWidth="true" hidden="false" max="11" min="11" style="0" width="17.4"/>
    <col collapsed="false" customWidth="true" hidden="false" max="15" min="15" style="0" width="17.4"/>
    <col collapsed="false" customWidth="true" hidden="false" max="18" min="18" style="0" width="17.4"/>
    <col collapsed="false" customWidth="true" hidden="false" max="2" min="2" style="0" width="17.4"/>
    <col collapsed="false" customWidth="true" hidden="false" max="6" min="6" style="0" width="17.4"/>
    <col collapsed="false" customWidth="true" hidden="false" max="10" min="10" style="0" width="17.4"/>
    <col collapsed="false" customWidth="true" hidden="false" max="14" min="14" style="0" width="17.4"/>
    <col collapsed="false" customWidth="true" hidden="false" max="17" min="17" style="0" width="17.4"/>
    <col collapsed="false" customWidth="true" hidden="false" max="1" min="1" style="0" width="146.06666666666666"/>
    <col collapsed="false" customWidth="true" hidden="false" max="5" min="5" style="0" width="17.4"/>
    <col collapsed="false" customWidth="true" hidden="false" max="9" min="9" style="0" width="17.4"/>
    <col collapsed="false" customWidth="true" hidden="false" max="13" min="13" style="0" width="17.4"/>
  </cols>
  <sheetData>
    <row customHeight="true" ht="18.51851851851852" r="1">
      <c r="A1" s="294" t="s">
        <v>840</v>
      </c>
    </row>
    <row customHeight="true" ht="18.51851851851852" r="2">
      <c r="A2" s="295" t="s">
        <v>841</v>
      </c>
    </row>
    <row customHeight="true" ht="18.51851851851852" r="3">
      <c r="A3" s="295" t="s">
        <v>842</v>
      </c>
    </row>
    <row customHeight="true" ht="18.51851851851852" r="4">
      <c r="A4" s="295" t="s">
        <v>843</v>
      </c>
    </row>
    <row customHeight="true" ht="18.51851851851852" r="5">
      <c r="A5" s="296"/>
    </row>
    <row customHeight="true" ht="18.51851851851852" r="6">
      <c r="A6" s="296"/>
    </row>
    <row customHeight="true" ht="18.51851851851852" r="7">
      <c r="A7" s="295" t="s">
        <v>844</v>
      </c>
    </row>
    <row customHeight="true" ht="18.51851851851852" r="8">
      <c r="A8" s="295" t="s">
        <v>845</v>
      </c>
    </row>
    <row customHeight="true" ht="18.51851851851852" r="9">
      <c r="A9" s="295" t="s">
        <v>846</v>
      </c>
    </row>
    <row customHeight="true" ht="18.51851851851852" r="10">
      <c r="A10" s="296"/>
    </row>
    <row customHeight="true" ht="18.51851851851852" r="11">
      <c r="A11" s="296"/>
    </row>
    <row customHeight="true" ht="18.51851851851852" r="12">
      <c r="A12" s="296"/>
    </row>
    <row customHeight="true" ht="18.51851851851852" r="13">
      <c r="A13" s="296"/>
    </row>
    <row customHeight="true" ht="18.51851851851852" r="14">
      <c r="A14" s="295" t="s">
        <v>847</v>
      </c>
    </row>
    <row customHeight="true" ht="18.51851851851852" r="15">
      <c r="A15" s="297" t="s">
        <v>848</v>
      </c>
    </row>
    <row customHeight="true" ht="18.51851851851852" r="16">
      <c r="A16" s="295" t="s">
        <v>849</v>
      </c>
    </row>
    <row customHeight="true" ht="18.51851851851852" r="17">
      <c r="A17" s="296"/>
    </row>
    <row customHeight="true" ht="18.51851851851852" r="18">
      <c r="A18" s="296"/>
    </row>
    <row customHeight="true" ht="18.51851851851852" r="19">
      <c r="A19" s="296"/>
    </row>
    <row customHeight="true" ht="18.51851851851852" r="20">
      <c r="A20" s="296"/>
    </row>
    <row customHeight="true" ht="18.51851851851852" r="21">
      <c r="A21" s="295" t="s">
        <v>850</v>
      </c>
    </row>
    <row customHeight="true" ht="18.51851851851852" r="22">
      <c r="A22" s="295" t="s">
        <v>851</v>
      </c>
    </row>
    <row customHeight="true" ht="18.51851851851852" r="23">
      <c r="A23" s="296"/>
    </row>
    <row customHeight="true" ht="18.51851851851852" r="24">
      <c r="A24" s="296"/>
    </row>
    <row customHeight="true" ht="18.51851851851852" r="25">
      <c r="A25" s="295" t="s">
        <v>852</v>
      </c>
    </row>
  </sheetData>
  <hyperlinks>
    <hyperlink ref="A21" display="https://www.tiktok.com/@/video/7512217482250177838?shop_region=US" r:id="rId1"/>
    <hyperlink ref="A25" display="https://www.tiktok.com/@/video/7513258934547860779?shop_region=US" r:id="rId2"/>
    <hyperlink ref="A3" display="https://www.tiktok.com/@/video/7505007970158185771?shop_region=US" r:id="rId3"/>
    <hyperlink ref="A7" display="https://www.tiktok.com/@/video/7509468659413372206?shop_region=US" r:id="rId4"/>
    <hyperlink ref="A9" display="https://www.tiktok.com/@/video/7509602854680710443?shop_region=US" r:id="rId5"/>
    <hyperlink ref="A15" display="https://www.tiktok.com/@/video/7510281518846135582?shop_region=US" r:id="rId6"/>
    <hyperlink ref="A16" display="https://www.tiktok.com/@/video/7512121539337194782?shop_region=US" r:id="rId7"/>
    <hyperlink ref="A22" display="https://www.tiktok.com/@/video/7510822530660289823?shop_region=US" r:id="rId8"/>
    <hyperlink ref="A2" display="https://www.tiktok.com/@/video/7507733538158972191?shop_region=US" r:id="rId9"/>
    <hyperlink ref="A4" display="https://www.tiktok.com/@/video/7510315444860063022?shop_region=US" r:id="rId10"/>
    <hyperlink ref="A8" display="https://www.tiktok.com/@/video/7507463120143600939?shop_region=US" r:id="rId11"/>
    <hyperlink ref="A14" display="https://www.tiktok.com/@/video/7512260049553607966?shop_region=US" r:id="rId12"/>
  </hyperlin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