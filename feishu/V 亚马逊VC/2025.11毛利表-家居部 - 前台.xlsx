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人员维度-绩效版-1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<sst xmlns="http://schemas.openxmlformats.org/spreadsheetml/2006/main" count="80" uniqueCount="80">
  <si>
    <t xml:space="preserve">  </t>
  </si>
  <si>
    <t xml:space="preserve">所属期间：2025年11月01日-2025年11月30日</t>
  </si>
  <si>
    <t xml:space="preserve">平台</t>
  </si>
  <si>
    <t xml:space="preserve">销售团队</t>
  </si>
  <si>
    <t xml:space="preserve">SKU</t>
  </si>
  <si>
    <t xml:space="preserve">产品名称</t>
  </si>
  <si>
    <t xml:space="preserve">国家</t>
  </si>
  <si>
    <t xml:space="preserve">运营</t>
  </si>
  <si>
    <t xml:space="preserve">11月汇率</t>
  </si>
  <si>
    <t xml:space="preserve">数量</t>
  </si>
  <si>
    <t xml:space="preserve">退货数量</t>
  </si>
  <si>
    <t xml:space="preserve">销售额</t>
  </si>
  <si>
    <t xml:space="preserve">退款</t>
  </si>
  <si>
    <t xml:space="preserve">采购成本</t>
  </si>
  <si>
    <t xml:space="preserve">退货冲成本</t>
  </si>
  <si>
    <t xml:space="preserve">其他成本</t>
  </si>
  <si>
    <t xml:space="preserve">头程</t>
  </si>
  <si>
    <t xml:space="preserve">二程</t>
  </si>
  <si>
    <t xml:space="preserve">尾程</t>
  </si>
  <si>
    <t xml:space="preserve">活动</t>
  </si>
  <si>
    <t xml:space="preserve">广告费</t>
  </si>
  <si>
    <t xml:space="preserve">佣金</t>
  </si>
  <si>
    <t xml:space="preserve">仓租</t>
  </si>
  <si>
    <t xml:space="preserve">其他销售费用</t>
  </si>
  <si>
    <t xml:space="preserve">销售费用合计</t>
  </si>
  <si>
    <t xml:space="preserve">分摊转运费</t>
  </si>
  <si>
    <t xml:space="preserve">退回移除费</t>
  </si>
  <si>
    <t xml:space="preserve">管理费用</t>
  </si>
  <si>
    <t xml:space="preserve">财务费用</t>
  </si>
  <si>
    <t xml:space="preserve">营业外支出</t>
  </si>
  <si>
    <t xml:space="preserve">毛利</t>
  </si>
  <si>
    <t xml:space="preserve">税前利润</t>
  </si>
  <si>
    <t xml:space="preserve">利润率</t>
  </si>
  <si>
    <t xml:space="preserve">毛利率</t>
  </si>
  <si>
    <t xml:space="preserve">退款占比</t>
  </si>
  <si>
    <t xml:space="preserve">采购成本占比</t>
  </si>
  <si>
    <t xml:space="preserve">其他成本占比</t>
  </si>
  <si>
    <t xml:space="preserve">头程占比</t>
  </si>
  <si>
    <t xml:space="preserve">二程占比</t>
  </si>
  <si>
    <t xml:space="preserve">尾程占比</t>
  </si>
  <si>
    <t xml:space="preserve">活动占比</t>
  </si>
  <si>
    <t xml:space="preserve">广告占比</t>
  </si>
  <si>
    <t xml:space="preserve">佣金占比</t>
  </si>
  <si>
    <t xml:space="preserve">仓租占比</t>
  </si>
  <si>
    <t xml:space="preserve">其他销售费用占比</t>
  </si>
  <si>
    <t xml:space="preserve">分摊转运费占比</t>
  </si>
  <si>
    <t xml:space="preserve">退回移除费占比</t>
  </si>
  <si>
    <t xml:space="preserve">账号</t>
  </si>
  <si>
    <t xml:space="preserve">采购成本+头程+尾程</t>
  </si>
  <si>
    <t xml:space="preserve">亚马逊</t>
  </si>
  <si>
    <t xml:space="preserve">智能家居事业部-SC账号</t>
  </si>
  <si>
    <t xml:space="preserve">R0001UK</t>
  </si>
  <si>
    <t xml:space="preserve">HYCHIKA-MV2501-除螨仪</t>
  </si>
  <si>
    <t xml:space="preserve">UK</t>
  </si>
  <si>
    <t xml:space="preserve">阳亚运</t>
  </si>
  <si>
    <t xml:space="preserve">SC</t>
  </si>
  <si>
    <t xml:space="preserve">R0001EU</t>
  </si>
  <si>
    <t xml:space="preserve">DE</t>
  </si>
  <si>
    <t xml:space="preserve">ES</t>
  </si>
  <si>
    <t xml:space="preserve">FR</t>
  </si>
  <si>
    <t xml:space="preserve">IT</t>
  </si>
  <si>
    <t xml:space="preserve">NL</t>
  </si>
  <si>
    <t xml:space="preserve">R0004EU</t>
  </si>
  <si>
    <t xml:space="preserve">HYCHIKA-RS1-棘轮螺丝刀套装</t>
  </si>
  <si>
    <t xml:space="preserve">R0004UK</t>
  </si>
  <si>
    <t xml:space="preserve">HM0001EU</t>
  </si>
  <si>
    <t xml:space="preserve">HYCHIKA-VC025-手持吸尘器</t>
  </si>
  <si>
    <t xml:space="preserve">HM0006EU</t>
  </si>
  <si>
    <t xml:space="preserve">HYCHIKA-T2225-启动电源&amp;充气泵</t>
  </si>
  <si>
    <t xml:space="preserve">HM0002EU</t>
  </si>
  <si>
    <t xml:space="preserve">HYCHIKA-HES62-电动精密螺丝刀</t>
  </si>
  <si>
    <t xml:space="preserve">HM0003EU</t>
  </si>
  <si>
    <t xml:space="preserve">HYCHIKA-HPS39-精密螺丝刀套装</t>
  </si>
  <si>
    <t xml:space="preserve">智能家居事业部-VC-PO账号</t>
  </si>
  <si>
    <t xml:space="preserve">SE</t>
  </si>
  <si>
    <t xml:space="preserve">EU</t>
  </si>
  <si>
    <t xml:space="preserve">PL</t>
  </si>
  <si>
    <t xml:space="preserve">索赔成功</t>
  </si>
  <si>
    <t xml:space="preserve">新增索赔</t>
  </si>
  <si>
    <t xml:space="preserve">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</si>
</sst>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_);[Red]\(0.00\)"/>
    <numFmt numFmtId="165" formatCode="_ * #,##0.00_ ;_ * \-#,##0.00_ ;_ * &quot;-&quot;??_ ;_ @_ "/>
    <numFmt numFmtId="166" formatCode="0.00%"/>
    <numFmt numFmtId="167" formatCode="0.00_ "/>
    <numFmt numFmtId="168" formatCode="_ * #,##0_ ;_ * \-#,##0_ ;_ * &quot;-&quot;??_ ;_ @_ "/>
  </numFmts>
  <fonts count="4">
    <font>
      <sz val="12"/>
      <color theme="1"/>
      <name val="Calibri"/>
      <family val="2"/>
      <scheme val="minor"/>
    </font>
    <font>
      <sz val="10"/>
      <color rgb="FF000000"/>
      <name val="LarkHackSafariFont"/>
      <family val="2"/>
    </font>
    <font>
      <sz val="11"/>
      <color rgb="FF000000"/>
      <name val="LarkHackSafariFont"/>
      <family val="2"/>
    </font>
    <font>
      <b val="true"/>
      <sz val="10"/>
      <color rgb="FF000000"/>
      <name val="LarkHackSafariFont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  <fill>
      <patternFill patternType="solid">
        <fgColor rgb="FFF4B7BE"/>
        <bgColor/>
      </patternFill>
    </fill>
    <fill>
      <patternFill patternType="solid">
        <fgColor rgb="FF00B0F0"/>
        <bgColor/>
      </patternFill>
    </fill>
    <fill>
      <patternFill patternType="solid">
        <fgColor rgb="FFFFC000"/>
        <bgColor/>
      </patternFill>
    </fill>
    <fill>
      <patternFill patternType="solid">
        <fgColor rgb="FF00B050"/>
        <bgColor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1" numFmtId="165" xfId="0">
      <alignment vertical="bottom"/>
    </xf>
    <xf applyAlignment="true" applyBorder="false" applyFill="false" applyFont="true" applyNumberFormat="true" applyProtection="false" borderId="0" fillId="0" fontId="1" numFmtId="165" xfId="0">
      <alignment vertical="bottom"/>
    </xf>
    <xf applyAlignment="true" applyBorder="false" applyFill="false" applyFont="true" applyNumberFormat="true" applyProtection="false" borderId="0" fillId="0" fontId="1" numFmtId="166" xfId="0">
      <alignment vertical="bottom"/>
    </xf>
    <xf applyAlignment="true" applyBorder="false" applyFill="false" applyFont="true" applyNumberFormat="true" applyProtection="false" borderId="0" fillId="0" fontId="2" numFmtId="167" xfId="0">
      <alignment vertical="center"/>
    </xf>
    <xf applyAlignment="true" applyBorder="false" applyFill="true" applyFont="true" applyNumberFormat="false" applyProtection="false" borderId="1" fillId="2" fontId="3" numFmtId="0" xfId="0">
      <alignment horizontal="left" vertical="center"/>
    </xf>
    <xf applyAlignment="true" applyBorder="false" applyFill="true" applyFont="true" applyNumberFormat="false" applyProtection="false" borderId="1" fillId="2" fontId="3" numFmtId="0" xfId="0">
      <alignment horizontal="center" vertical="center"/>
    </xf>
    <xf applyAlignment="true" applyBorder="false" applyFill="true" applyFont="true" applyNumberFormat="true" applyProtection="false" borderId="1" fillId="2" fontId="3" numFmtId="168" xfId="0">
      <alignment horizontal="left" vertical="center"/>
    </xf>
    <xf applyAlignment="true" applyBorder="false" applyFill="true" applyFont="true" applyNumberFormat="true" applyProtection="false" borderId="1" fillId="2" fontId="3" numFmtId="168" xfId="0">
      <alignment horizontal="center" vertical="center"/>
    </xf>
    <xf applyAlignment="true" applyBorder="false" applyFill="true" applyFont="true" applyNumberFormat="true" applyProtection="false" borderId="1" fillId="2" fontId="3" numFmtId="164" xfId="0">
      <alignment horizontal="center" vertical="center"/>
    </xf>
    <xf applyAlignment="true" applyBorder="false" applyFill="true" applyFont="true" applyNumberFormat="true" applyProtection="false" borderId="1" fillId="2" fontId="3" numFmtId="165" xfId="0">
      <alignment horizontal="left" vertical="center"/>
    </xf>
    <xf applyAlignment="true" applyBorder="false" applyFill="true" applyFont="true" applyNumberFormat="true" applyProtection="false" borderId="1" fillId="2" fontId="3" numFmtId="166" xfId="0">
      <alignment vertical="bottom"/>
    </xf>
    <xf applyAlignment="true" applyBorder="false" applyFill="true" applyFont="true" applyNumberFormat="true" applyProtection="false" borderId="1" fillId="2" fontId="3" numFmtId="166" xfId="0">
      <alignment vertical="bottom"/>
    </xf>
    <xf applyAlignment="true" applyBorder="false" applyFill="true" applyFont="true" applyNumberFormat="true" applyProtection="false" borderId="0" fillId="2" fontId="3" numFmtId="167" xfId="0">
      <alignment vertical="bottom"/>
    </xf>
    <xf applyAlignment="true" applyBorder="false" applyFill="true" applyFont="true" applyNumberFormat="false" applyProtection="false" borderId="0" fillId="2" fontId="3" numFmtId="0" xfId="0">
      <alignment vertical="bottom"/>
    </xf>
    <xf applyAlignment="true" applyBorder="false" applyFill="true" applyFont="true" applyNumberFormat="false" applyProtection="false" borderId="2" fillId="3" fontId="3" numFmtId="0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true" applyFont="true" applyNumberFormat="false" applyProtection="false" borderId="2" fillId="2" fontId="3" numFmtId="0" xfId="0">
      <alignment horizontal="center" vertical="center"/>
    </xf>
    <xf applyAlignment="true" applyBorder="false" applyFill="true" applyFont="true" applyNumberFormat="false" applyProtection="false" borderId="2" fillId="4" fontId="3" numFmtId="0" xfId="0">
      <alignment horizontal="left"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true" applyFont="true" applyNumberFormat="true" applyProtection="false" borderId="2" fillId="5" fontId="1" numFmtId="164" xfId="0">
      <alignment horizontal="center" vertical="bottom"/>
    </xf>
    <xf applyAlignment="true" applyBorder="false" applyFill="false" applyFont="true" applyNumberFormat="true" applyProtection="false" borderId="2" fillId="0" fontId="1" numFmtId="165" xfId="0">
      <alignment vertical="bottom"/>
    </xf>
    <xf applyAlignment="true" applyBorder="false" applyFill="true" applyFont="true" applyNumberFormat="true" applyProtection="false" borderId="2" fillId="2" fontId="3" numFmtId="165" xfId="0">
      <alignment horizontal="center" vertical="center"/>
    </xf>
    <xf applyAlignment="true" applyBorder="false" applyFill="true" applyFont="true" applyNumberFormat="true" applyProtection="false" borderId="2" fillId="2" fontId="3" numFmtId="165" xfId="0">
      <alignment vertical="center" wrapText="true"/>
    </xf>
    <xf applyAlignment="true" applyBorder="false" applyFill="true" applyFont="true" applyNumberFormat="true" applyProtection="false" borderId="2" fillId="3" fontId="3" numFmtId="165" xfId="0">
      <alignment horizontal="center" vertical="center"/>
    </xf>
    <xf applyAlignment="true" applyBorder="false" applyFill="true" applyFont="true" applyNumberFormat="true" applyProtection="false" borderId="2" fillId="6" fontId="3" numFmtId="165" xfId="0">
      <alignment horizontal="left" vertical="center"/>
    </xf>
    <xf applyAlignment="true" applyBorder="false" applyFill="true" applyFont="true" applyNumberFormat="true" applyProtection="false" borderId="2" fillId="3" fontId="3" numFmtId="165" xfId="0">
      <alignment horizontal="left" vertical="center"/>
    </xf>
    <xf applyAlignment="true" applyBorder="false" applyFill="false" applyFont="true" applyNumberFormat="true" applyProtection="false" borderId="2" fillId="0" fontId="3" numFmtId="166" xfId="0">
      <alignment vertical="bottom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left" vertical="bottom"/>
    </xf>
    <xf applyAlignment="true" applyBorder="false" applyFill="false" applyFont="true" applyNumberFormat="false" applyProtection="false" borderId="2" fillId="0" fontId="1" numFmtId="0" xfId="0">
      <alignment horizontal="left" vertical="bottom"/>
    </xf>
    <xf applyAlignment="true" applyBorder="false" applyFill="false" applyFont="true" applyNumberFormat="false" applyProtection="false" borderId="2" fillId="0" fontId="1" numFmtId="0" xfId="0">
      <alignment horizontal="left" vertical="bottom"/>
    </xf>
    <xf applyAlignment="true" applyBorder="false" applyFill="false" applyFont="true" applyNumberFormat="true" applyProtection="false" borderId="2" fillId="0" fontId="1" numFmtId="164" xfId="0">
      <alignment horizontal="center" vertical="bottom"/>
    </xf>
    <xf applyAlignment="true" applyBorder="false" applyFill="false" applyFont="true" applyNumberFormat="true" applyProtection="false" borderId="2" fillId="0" fontId="1" numFmtId="165" xfId="0">
      <alignment vertical="bottom"/>
    </xf>
    <xf applyAlignment="true" applyBorder="false" applyFill="false" applyFont="true" applyNumberFormat="true" applyProtection="false" borderId="2" fillId="0" fontId="2" numFmtId="165" xfId="0">
      <alignment vertical="center"/>
    </xf>
    <xf applyAlignment="true" applyBorder="false" applyFill="false" applyFont="true" applyNumberFormat="true" applyProtection="false" borderId="2" fillId="0" fontId="1" numFmtId="165" xfId="0">
      <alignment horizontal="right" vertical="bottom"/>
    </xf>
    <xf applyAlignment="true" applyBorder="false" applyFill="false" applyFont="true" applyNumberFormat="true" applyProtection="false" borderId="2" fillId="0" fontId="1" numFmtId="166" xfId="0">
      <alignment vertical="bottom"/>
    </xf>
    <xf applyAlignment="true" applyBorder="false" applyFill="false" applyFont="true" applyNumberFormat="true" applyProtection="false" borderId="2" fillId="0" fontId="1" numFmtId="166" xfId="0">
      <alignment vertical="bottom"/>
    </xf>
    <xf applyAlignment="true" applyBorder="false" applyFill="false" applyFont="true" applyNumberFormat="true" applyProtection="false" borderId="3" fillId="0" fontId="1" numFmtId="165" xfId="0">
      <alignment horizontal="right"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true" applyProtection="false" borderId="2" fillId="0" fontId="1" numFmtId="164" xfId="0">
      <alignment horizontal="center" vertical="bottom"/>
    </xf>
    <xf applyAlignment="true" applyBorder="false" applyFill="false" applyFont="true" applyNumberFormat="true" applyProtection="false" borderId="2" fillId="0" fontId="1" numFmtId="165" xfId="0">
      <alignment horizontal="center" vertical="bottom"/>
    </xf>
  </cellXfs>
  <cellStyles count="1">
    <cellStyle builtinId="0" name="Normal" xfId="0"/>
  </cellStyles>
  <dxfs count="4"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AB3946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AB3946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AB3946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AB394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4" ySplit="3"/>
    </sheetView>
  </sheetViews>
  <sheetFormatPr defaultColWidth="1" defaultRowHeight="11.11111111111111"/>
  <cols>
    <col collapsed="false" customWidth="true" hidden="false" max="9" min="9" style="0" width="13.266666666666667"/>
    <col collapsed="false" customWidth="true" hidden="false" max="17" min="17" style="0" width="13.266666666666667"/>
    <col collapsed="false" customWidth="true" hidden="false" max="25" min="25" style="0" width="10.733333333333333"/>
    <col collapsed="false" customWidth="true" hidden="false" max="33" min="33" style="0" width="9.533333333333333"/>
    <col collapsed="false" customWidth="true" hidden="false" max="41" min="41" style="0" width="9.533333333333333"/>
    <col collapsed="false" customWidth="true" hidden="false" max="49" min="49" style="0" width="14.466666666666667"/>
    <col collapsed="false" customWidth="true" hidden="true" max="49" min="49" style="0" width="14.466666666666667"/>
    <col collapsed="false" customWidth="true" hidden="false" max="1" min="1" style="0" width="14.2"/>
    <col collapsed="false" customWidth="true" hidden="false" max="16" min="16" style="0" width="13.266666666666667"/>
    <col collapsed="false" customWidth="true" hidden="false" max="24" min="24" style="0" width="10.733333333333333"/>
    <col collapsed="false" customWidth="true" hidden="false" max="32" min="32" style="0" width="9.8"/>
    <col collapsed="false" customWidth="true" hidden="false" max="40" min="40" style="0" width="9.533333333333333"/>
    <col collapsed="false" customWidth="true" hidden="false" max="48" min="48" style="0" width="13.266666666666667"/>
    <col collapsed="false" customWidth="true" hidden="true" max="48" min="48" style="0" width="13.266666666666667"/>
    <col collapsed="false" customWidth="true" hidden="false" max="8" min="8" style="0" width="13.4"/>
    <col collapsed="false" customWidth="true" hidden="false" max="15" min="15" style="0" width="13.8"/>
    <col collapsed="false" customWidth="true" hidden="false" max="23" min="23" style="0" width="13.266666666666667"/>
    <col collapsed="false" customWidth="true" hidden="false" max="31" min="31" style="0" width="18.866666666666667"/>
    <col collapsed="false" customWidth="true" hidden="false" max="39" min="39" style="0" width="9.533333333333333"/>
    <col collapsed="false" customWidth="true" hidden="false" max="47" min="47" style="0" width="14.466666666666667"/>
    <col collapsed="false" customWidth="true" hidden="true" max="47" min="47" style="0" width="14.466666666666667"/>
    <col collapsed="false" customWidth="true" hidden="false" max="7" min="7" style="0" width="18.866666666666667"/>
    <col collapsed="false" customWidth="true" hidden="false" max="14" min="14" style="0" width="14.466666666666667"/>
    <col collapsed="false" customWidth="true" hidden="false" max="22" min="22" style="0" width="13.266666666666667"/>
    <col collapsed="false" customWidth="true" hidden="false" max="30" min="30" style="0" width="16.2"/>
    <col collapsed="false" customWidth="true" hidden="false" max="38" min="38" style="0" width="9.533333333333333"/>
    <col collapsed="false" customWidth="true" hidden="false" max="46" min="46" style="0" width="13.266666666666667"/>
    <col collapsed="false" customWidth="true" hidden="true" max="46" min="46" style="0" width="13.266666666666667"/>
    <col collapsed="false" customWidth="true" hidden="false" max="6" min="6" style="0" width="9.533333333333333"/>
    <col collapsed="false" customWidth="true" hidden="false" max="13" min="13" style="0" width="16.466666666666665"/>
    <col collapsed="false" customWidth="true" hidden="false" max="21" min="21" style="0" width="13.266666666666667"/>
    <col collapsed="false" customWidth="true" hidden="false" max="29" min="29" style="0" width="16.2"/>
    <col collapsed="false" customWidth="true" hidden="false" max="37" min="37" style="0" width="9.533333333333333"/>
    <col collapsed="false" customWidth="true" hidden="false" max="45" min="45" style="0" width="9.533333333333333"/>
    <col collapsed="false" customWidth="true" hidden="false" max="53" min="53" style="0" width="14.466666666666667"/>
    <col collapsed="false" customWidth="true" hidden="true" max="53" min="53" style="0" width="14.466666666666667"/>
    <col collapsed="false" customWidth="true" hidden="false" max="5" min="5" style="0" width="9.533333333333333"/>
    <col collapsed="false" customWidth="true" hidden="false" max="12" min="12" style="0" width="13.266666666666667"/>
    <col collapsed="false" customWidth="true" hidden="false" max="20" min="20" style="0" width="13.266666666666667"/>
    <col collapsed="false" customWidth="true" hidden="false" max="28" min="28" style="0" width="14.466666666666667"/>
    <col collapsed="false" customWidth="true" hidden="false" max="36" min="36" style="0" width="9.533333333333333"/>
    <col collapsed="false" customWidth="true" hidden="false" max="44" min="44" style="0" width="9.533333333333333"/>
    <col collapsed="false" customWidth="true" hidden="false" max="52" min="52" style="0" width="14.466666666666667"/>
    <col collapsed="false" customWidth="true" hidden="true" max="52" min="52" style="0" width="14.466666666666667"/>
    <col collapsed="false" customWidth="true" hidden="false" max="4" min="4" style="0" width="47.13333333333333"/>
    <col collapsed="false" customWidth="true" hidden="false" max="11" min="11" style="0" width="16.6"/>
    <col collapsed="false" customWidth="true" hidden="false" max="19" min="19" style="0" width="13.266666666666667"/>
    <col collapsed="false" customWidth="true" hidden="false" max="27" min="27" style="0" width="14.466666666666667"/>
    <col collapsed="false" customWidth="true" hidden="false" max="35" min="35" style="0" width="10.6"/>
    <col collapsed="false" customWidth="true" hidden="false" max="43" min="43" style="0" width="9.533333333333333"/>
    <col collapsed="false" customWidth="true" hidden="false" max="51" min="51" style="0" width="9.533333333333333"/>
    <col collapsed="false" customWidth="true" hidden="true" max="51" min="51" style="0" width="9.533333333333333"/>
    <col collapsed="false" customWidth="true" hidden="false" max="3" min="3" style="0" width="13.8"/>
    <col collapsed="false" customWidth="true" hidden="false" max="10" min="10" style="0" width="16.466666666666665"/>
    <col collapsed="false" customWidth="true" hidden="false" max="18" min="18" style="0" width="13.266666666666667"/>
    <col collapsed="false" customWidth="true" hidden="false" max="26" min="26" style="0" width="14.466666666666667"/>
    <col collapsed="false" customWidth="true" hidden="false" max="34" min="34" style="0" width="9.533333333333333"/>
    <col collapsed="false" customWidth="true" hidden="false" max="42" min="42" style="0" width="9.533333333333333"/>
    <col collapsed="false" customWidth="true" hidden="false" max="50" min="50" style="0" width="14.466666666666667"/>
    <col collapsed="false" customWidth="true" hidden="false" max="2" min="2" style="0" width="24.466666666666665"/>
  </cols>
  <sheetData>
    <row customHeight="true" ht="33.33333333333333" r="1">
      <c r="A1" s="1" t="s">
        <v>1</v>
      </c>
      <c r="B1" s="2"/>
      <c r="C1" s="3"/>
      <c r="D1" s="4"/>
      <c r="E1" s="3"/>
      <c r="F1" s="3"/>
      <c r="G1" s="5"/>
      <c r="H1" s="6"/>
      <c r="I1" s="6"/>
      <c r="J1" s="6"/>
      <c r="K1" s="7"/>
      <c r="L1" s="7"/>
      <c r="M1" s="7"/>
      <c r="N1" s="7"/>
      <c r="O1" s="7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9"/>
      <c r="AU1" s="9"/>
      <c r="AV1" s="33"/>
      <c r="AW1" s="33"/>
      <c r="AX1" s="33"/>
      <c r="AY1" s="33"/>
      <c r="AZ1" s="33"/>
      <c r="BA1" s="33"/>
    </row>
    <row customHeight="true" ht="17.037037037037035" r="2">
      <c r="A2" s="10"/>
      <c r="B2" s="10"/>
      <c r="C2" s="11"/>
      <c r="D2" s="12">
        <v>0</v>
      </c>
      <c r="E2" s="13">
        <v>0</v>
      </c>
      <c r="F2" s="13">
        <v>0</v>
      </c>
      <c r="G2" s="14"/>
      <c r="H2" s="15">
        <f>SUBTOTAL(9,H4:H118)</f>
      </c>
      <c r="I2" s="15">
        <f>SUBTOTAL(9,I4:I118)</f>
      </c>
      <c r="J2" s="15">
        <f>SUBTOTAL(9,J4:J118)</f>
      </c>
      <c r="K2" s="15">
        <f>SUBTOTAL(9,K4:K118)</f>
      </c>
      <c r="L2" s="15">
        <f>SUBTOTAL(9,L4:L118)</f>
      </c>
      <c r="M2" s="15">
        <f>SUBTOTAL(9,M4:M118)</f>
      </c>
      <c r="N2" s="15">
        <f>SUBTOTAL(9,N4:N118)</f>
      </c>
      <c r="O2" s="15">
        <f>SUBTOTAL(9,O4:O118)</f>
      </c>
      <c r="P2" s="15">
        <f>SUBTOTAL(9,P4:P118)</f>
      </c>
      <c r="Q2" s="15">
        <f>SUBTOTAL(9,Q4:Q118)</f>
      </c>
      <c r="R2" s="15">
        <f>SUBTOTAL(9,R4:R118)</f>
      </c>
      <c r="S2" s="15">
        <f>SUBTOTAL(9,S4:S118)</f>
      </c>
      <c r="T2" s="15">
        <f>SUBTOTAL(9,T4:T118)</f>
      </c>
      <c r="U2" s="15">
        <f>SUBTOTAL(9,U4:U118)</f>
      </c>
      <c r="V2" s="15">
        <f>SUBTOTAL(9,V4:V118)</f>
      </c>
      <c r="W2" s="15">
        <f>SUBTOTAL(9,W4:W118)</f>
      </c>
      <c r="X2" s="15">
        <f>SUBTOTAL(9,X4:X118)</f>
      </c>
      <c r="Y2" s="15">
        <f>SUBTOTAL(9,Y4:Y118)</f>
      </c>
      <c r="Z2" s="15">
        <f>SUBTOTAL(9,Z4:Z118)</f>
      </c>
      <c r="AA2" s="15">
        <f>SUBTOTAL(9,AA4:AA118)</f>
      </c>
      <c r="AB2" s="15">
        <f>SUBTOTAL(9,AB4:AB118)</f>
      </c>
      <c r="AC2" s="15">
        <f>SUBTOTAL(9,AC4:AC118)</f>
      </c>
      <c r="AD2" s="15">
        <f>SUBTOTAL(9,AD4:AD118)</f>
      </c>
      <c r="AE2" s="16">
        <f>IFERROR(AD2/$J2,0)</f>
      </c>
      <c r="AF2" s="16">
        <f>IFERROR(AC2/$J2,0)</f>
      </c>
      <c r="AG2" s="16">
        <f>IFERROR(K2/$J2,0)</f>
      </c>
      <c r="AH2" s="17">
        <f>IFERROR(L2/$J2,0)</f>
      </c>
      <c r="AI2" s="17">
        <f>IFERROR(N2/$J2,0)</f>
      </c>
      <c r="AJ2" s="17">
        <f>IFERROR(O2/$J2,0)</f>
      </c>
      <c r="AK2" s="17">
        <f>IFERROR(P2/$J2,0)</f>
      </c>
      <c r="AL2" s="17">
        <f>IFERROR(Q2/$J2,0)</f>
      </c>
      <c r="AM2" s="17">
        <f>IFERROR(R2/$J2,0)</f>
      </c>
      <c r="AN2" s="17">
        <f>IFERROR(S2/$J2,0)</f>
      </c>
      <c r="AO2" s="17">
        <f>IFERROR(T2/$J2,0)</f>
      </c>
      <c r="AP2" s="17">
        <f>IFERROR(U2/$J2,0)</f>
      </c>
      <c r="AQ2" s="17">
        <f>IFERROR(V2/$J2,0)</f>
      </c>
      <c r="AR2" s="16">
        <v>0</v>
      </c>
      <c r="AS2" s="16">
        <f>IFERROR(Y2/J2,0)</f>
      </c>
      <c r="AT2" s="18"/>
      <c r="AU2" s="18"/>
      <c r="AV2" s="19"/>
      <c r="AW2" s="19"/>
      <c r="AX2" s="19">
        <f>IFERROR(412427.88/J2,0)</f>
      </c>
      <c r="AY2" s="19"/>
      <c r="AZ2" s="19"/>
      <c r="BA2" s="19"/>
    </row>
    <row customHeight="true" ht="15.555555555555555" r="3">
      <c r="A3" s="20" t="s">
        <v>2</v>
      </c>
      <c r="B3" s="21" t="s">
        <v>3</v>
      </c>
      <c r="C3" s="22" t="s">
        <v>4</v>
      </c>
      <c r="D3" s="23" t="s">
        <v>5</v>
      </c>
      <c r="E3" s="24" t="s">
        <v>6</v>
      </c>
      <c r="F3" s="24" t="s">
        <v>7</v>
      </c>
      <c r="G3" s="25" t="s">
        <v>8</v>
      </c>
      <c r="H3" s="26" t="s">
        <v>9</v>
      </c>
      <c r="I3" s="27" t="s">
        <v>10</v>
      </c>
      <c r="J3" s="27" t="s">
        <v>11</v>
      </c>
      <c r="K3" s="27" t="s">
        <v>12</v>
      </c>
      <c r="L3" s="27" t="s">
        <v>13</v>
      </c>
      <c r="M3" s="27" t="s">
        <v>14</v>
      </c>
      <c r="N3" s="27" t="s">
        <v>15</v>
      </c>
      <c r="O3" s="27" t="s">
        <v>16</v>
      </c>
      <c r="P3" s="27" t="s">
        <v>17</v>
      </c>
      <c r="Q3" s="27" t="s">
        <v>18</v>
      </c>
      <c r="R3" s="27" t="s">
        <v>19</v>
      </c>
      <c r="S3" s="27" t="s">
        <v>20</v>
      </c>
      <c r="T3" s="27" t="s">
        <v>21</v>
      </c>
      <c r="U3" s="28" t="s">
        <v>22</v>
      </c>
      <c r="V3" s="27" t="s">
        <v>23</v>
      </c>
      <c r="W3" s="29" t="s">
        <v>24</v>
      </c>
      <c r="X3" s="29" t="s">
        <v>25</v>
      </c>
      <c r="Y3" s="27" t="s">
        <v>26</v>
      </c>
      <c r="Z3" s="29" t="s">
        <v>27</v>
      </c>
      <c r="AA3" s="29" t="s">
        <v>28</v>
      </c>
      <c r="AB3" s="29" t="s">
        <v>29</v>
      </c>
      <c r="AC3" s="30" t="s">
        <v>30</v>
      </c>
      <c r="AD3" s="31" t="s">
        <v>31</v>
      </c>
      <c r="AE3" s="32" t="s">
        <v>32</v>
      </c>
      <c r="AF3" s="32" t="s">
        <v>33</v>
      </c>
      <c r="AG3" s="32" t="s">
        <v>34</v>
      </c>
      <c r="AH3" s="32" t="s">
        <v>35</v>
      </c>
      <c r="AI3" s="32" t="s">
        <v>36</v>
      </c>
      <c r="AJ3" s="32" t="s">
        <v>37</v>
      </c>
      <c r="AK3" s="32" t="s">
        <v>38</v>
      </c>
      <c r="AL3" s="32" t="s">
        <v>39</v>
      </c>
      <c r="AM3" s="32" t="s">
        <v>40</v>
      </c>
      <c r="AN3" s="32" t="s">
        <v>41</v>
      </c>
      <c r="AO3" s="32" t="s">
        <v>42</v>
      </c>
      <c r="AP3" s="32" t="s">
        <v>43</v>
      </c>
      <c r="AQ3" s="32" t="s">
        <v>44</v>
      </c>
      <c r="AR3" s="32" t="s">
        <v>45</v>
      </c>
      <c r="AS3" s="32" t="s">
        <v>46</v>
      </c>
      <c r="AT3" s="9" t="s">
        <v>47</v>
      </c>
      <c r="AU3" s="9"/>
      <c r="AV3" s="33"/>
      <c r="AW3" s="33"/>
      <c r="AX3" s="33" t="s">
        <v>48</v>
      </c>
      <c r="AY3" s="33">
        <f>B3&amp;E3&amp;C3</f>
      </c>
      <c r="AZ3" s="33"/>
      <c r="BA3" s="33"/>
    </row>
    <row customHeight="true" ht="19.25925925925926" r="4">
      <c r="A4" s="34" t="s">
        <v>49</v>
      </c>
      <c r="B4" s="35" t="s">
        <v>50</v>
      </c>
      <c r="C4" s="34" t="s">
        <v>51</v>
      </c>
      <c r="D4" s="34" t="s">
        <v>52</v>
      </c>
      <c r="E4" s="34" t="s">
        <v>53</v>
      </c>
      <c r="F4" s="36" t="s">
        <v>54</v>
      </c>
      <c r="G4" s="37">
        <v>9.316305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38">
        <v>0</v>
      </c>
      <c r="S4" s="38">
        <v>1809.45544962701</v>
      </c>
      <c r="T4" s="39">
        <v>0</v>
      </c>
      <c r="U4" s="38">
        <v>109.447886937901</v>
      </c>
      <c r="V4" s="38">
        <v>1416.4510122</v>
      </c>
      <c r="W4" s="38">
        <v>1525.8988991379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40">
        <f t="shared" ref="AC4:AC66" si="10">J4-K4-L4-M4-N4-O4-P4-Q4-R4-S4-T4-U4-V4-Y4</f>
      </c>
      <c r="AD4" s="40">
        <f t="shared" ref="AD4:AD66" si="8">AC4</f>
      </c>
      <c r="AE4" s="41">
        <f t="shared" ref="AE4:AE66" si="3">IFERROR(AD4/$J4,0)</f>
      </c>
      <c r="AF4" s="41">
        <f t="shared" ref="AF4:AF66" si="1">IFERROR(AC4/$J4,0)</f>
      </c>
      <c r="AG4" s="41">
        <f t="shared" ref="AG4:AG66" si="5">IFERROR(K4/$J4,0)</f>
      </c>
      <c r="AH4" s="42">
        <f t="shared" ref="AH4:AH66" si="4">IFERROR(L4/$J4,0)</f>
      </c>
      <c r="AI4" s="42">
        <f>IFERROR(N4/$J4,0)</f>
      </c>
      <c r="AJ4" s="42">
        <f>IFERROR(O4/$J4,0)</f>
      </c>
      <c r="AK4" s="42">
        <f>IFERROR(P4/$J4,0)</f>
      </c>
      <c r="AL4" s="42">
        <f>IFERROR(Q4/$J4,0)</f>
      </c>
      <c r="AM4" s="42">
        <f>IFERROR(R4/$J4,0)</f>
      </c>
      <c r="AN4" s="42">
        <f>IFERROR(S4/$J4,0)</f>
      </c>
      <c r="AO4" s="42">
        <f>IFERROR(T4/$J4,0)</f>
      </c>
      <c r="AP4" s="42">
        <f>IFERROR(U4/$J4,0)</f>
      </c>
      <c r="AQ4" s="42">
        <f>IFERROR(V4/$J4,0)</f>
      </c>
      <c r="AR4" s="41">
        <v>0</v>
      </c>
      <c r="AS4" s="41">
        <f>IFERROR(Y4/J4,0)</f>
      </c>
      <c r="AT4" s="9" t="s">
        <v>55</v>
      </c>
      <c r="AU4" s="33">
        <f>IFERROR(VLOOKUP(AT4,'[1]Sheet2'!$A:$D,4,0),0.963500071692748)</f>
      </c>
      <c r="AV4" s="33"/>
      <c r="AW4" s="33">
        <v>0</v>
      </c>
      <c r="AX4" s="33">
        <f>L4+O4+Q4</f>
      </c>
      <c r="AY4" s="33">
        <f t="shared" ref="AY4:AY63" si="16">B4&amp;E4&amp;C4</f>
      </c>
      <c r="AZ4" s="33">
        <f>IFERROR(SUMIFS('[2]毛利表广告费'!$J:$J,'[2]毛利表广告费'!$K:$K,AY4),#VALUE!)</f>
      </c>
      <c r="BA4" s="33">
        <v>1809.45544962701</v>
      </c>
    </row>
    <row customHeight="true" ht="19.25925925925926" r="5">
      <c r="A5" s="34" t="s">
        <v>49</v>
      </c>
      <c r="B5" s="35" t="s">
        <v>50</v>
      </c>
      <c r="C5" s="34" t="s">
        <v>56</v>
      </c>
      <c r="D5" s="34" t="s">
        <v>52</v>
      </c>
      <c r="E5" s="34" t="s">
        <v>57</v>
      </c>
      <c r="F5" s="36" t="s">
        <v>54</v>
      </c>
      <c r="G5" s="37">
        <v>8.195975</v>
      </c>
      <c r="H5" s="38">
        <v>99</v>
      </c>
      <c r="I5" s="38">
        <v>6</v>
      </c>
      <c r="J5" s="38">
        <v>41063.71982425</v>
      </c>
      <c r="K5" s="38">
        <v>2528.4582875</v>
      </c>
      <c r="L5" s="38">
        <v>12046.458006</v>
      </c>
      <c r="M5" s="38">
        <v>-854.972270554186</v>
      </c>
      <c r="N5" s="38">
        <v>1637.79886188267</v>
      </c>
      <c r="O5" s="38">
        <v>2060.58445814406</v>
      </c>
      <c r="P5" s="38">
        <v>674.587894736842</v>
      </c>
      <c r="Q5" s="38">
        <v>5426.71896700001</v>
      </c>
      <c r="R5" s="38">
        <v>599.04381275</v>
      </c>
      <c r="S5" s="38">
        <v>5666.93641045441</v>
      </c>
      <c r="T5" s="39">
        <v>6900.51919149999</v>
      </c>
      <c r="U5" s="38">
        <v>2843.93751663437</v>
      </c>
      <c r="V5" s="38">
        <v>3041.8418675375</v>
      </c>
      <c r="W5" s="38">
        <v>22193.2288819219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40">
        <f t="shared" si="10"/>
      </c>
      <c r="AD5" s="40">
        <f t="shared" si="8"/>
      </c>
      <c r="AE5" s="41">
        <f t="shared" si="3"/>
      </c>
      <c r="AF5" s="41">
        <f t="shared" si="1"/>
      </c>
      <c r="AG5" s="41">
        <f t="shared" si="5"/>
      </c>
      <c r="AH5" s="42">
        <f t="shared" si="4"/>
      </c>
      <c r="AI5" s="42">
        <f>IFERROR(N5/$J5,0)</f>
      </c>
      <c r="AJ5" s="42">
        <f>IFERROR(O5/$J5,0)</f>
      </c>
      <c r="AK5" s="42">
        <f>IFERROR(P5/$J5,0)</f>
      </c>
      <c r="AL5" s="42">
        <f>IFERROR(Q5/$J5,0)</f>
      </c>
      <c r="AM5" s="42">
        <f>IFERROR(R5/$J5,0)</f>
      </c>
      <c r="AN5" s="42">
        <f>IFERROR(S5/$J5,0)</f>
      </c>
      <c r="AO5" s="42">
        <f>IFERROR(T5/$J5,0)</f>
      </c>
      <c r="AP5" s="42">
        <f>IFERROR(U5/$J5,0)</f>
      </c>
      <c r="AQ5" s="42">
        <f>IFERROR(V5/$J5,0)</f>
      </c>
      <c r="AR5" s="41">
        <v>0</v>
      </c>
      <c r="AS5" s="41">
        <f t="shared" ref="AS5:AS66" si="11">IFERROR(Y5/J5,0)</f>
      </c>
      <c r="AT5" s="9" t="s">
        <v>55</v>
      </c>
      <c r="AU5" s="33">
        <f>IFERROR(VLOOKUP(AT5,'[1]Sheet2'!$A:$D,4,0),0.963500071692748)</f>
      </c>
      <c r="AV5" s="33">
        <v>1699.27260321892</v>
      </c>
      <c r="AW5" s="33">
        <v>0</v>
      </c>
      <c r="AX5" s="33">
        <f t="shared" ref="AX5:AX62" si="13">L5+O5+Q5</f>
      </c>
      <c r="AY5" s="33">
        <f t="shared" si="16"/>
      </c>
      <c r="AZ5" s="33">
        <f>IFERROR(SUMIFS('[2]毛利表广告费'!$J:$J,'[2]毛利表广告费'!$K:$K,AY5),#VALUE!)</f>
      </c>
      <c r="BA5" s="33">
        <v>5666.93641045441</v>
      </c>
    </row>
    <row customHeight="true" ht="19.25925925925926" r="6">
      <c r="A6" s="34" t="s">
        <v>49</v>
      </c>
      <c r="B6" s="35" t="s">
        <v>50</v>
      </c>
      <c r="C6" s="34" t="s">
        <v>56</v>
      </c>
      <c r="D6" s="34" t="s">
        <v>52</v>
      </c>
      <c r="E6" s="34" t="s">
        <v>58</v>
      </c>
      <c r="F6" s="36" t="s">
        <v>54</v>
      </c>
      <c r="G6" s="37">
        <v>8.195975</v>
      </c>
      <c r="H6" s="38">
        <v>50</v>
      </c>
      <c r="I6" s="38">
        <v>2</v>
      </c>
      <c r="J6" s="38">
        <v>23259.6852915</v>
      </c>
      <c r="K6" s="38">
        <v>877.297164</v>
      </c>
      <c r="L6" s="38">
        <v>6084.06970000001</v>
      </c>
      <c r="M6" s="38">
        <v>-284.990756851395</v>
      </c>
      <c r="N6" s="38">
        <v>893.865180907805</v>
      </c>
      <c r="O6" s="38">
        <v>1040.69922128488</v>
      </c>
      <c r="P6" s="38">
        <v>340.700956937799</v>
      </c>
      <c r="Q6" s="38">
        <v>3013.823927</v>
      </c>
      <c r="R6" s="38">
        <v>227.3563465</v>
      </c>
      <c r="S6" s="38">
        <v>4650.87792776101</v>
      </c>
      <c r="T6" s="39">
        <v>4103.7246825</v>
      </c>
      <c r="U6" s="38">
        <v>4.46434310382514</v>
      </c>
      <c r="V6" s="38">
        <v>1550.1867115</v>
      </c>
      <c r="W6" s="38">
        <v>11323.5156168538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40">
        <f t="shared" si="10"/>
      </c>
      <c r="AD6" s="40">
        <f t="shared" si="8"/>
      </c>
      <c r="AE6" s="41">
        <f t="shared" si="3"/>
      </c>
      <c r="AF6" s="41">
        <f t="shared" si="1"/>
      </c>
      <c r="AG6" s="41">
        <f t="shared" si="5"/>
      </c>
      <c r="AH6" s="42">
        <f t="shared" si="4"/>
      </c>
      <c r="AI6" s="42">
        <f>IFERROR(N6/$J6,0)</f>
      </c>
      <c r="AJ6" s="42">
        <f>IFERROR(O6/$J6,0)</f>
      </c>
      <c r="AK6" s="42">
        <f>IFERROR(P6/$J6,0)</f>
      </c>
      <c r="AL6" s="42">
        <f>IFERROR(Q6/$J6,0)</f>
      </c>
      <c r="AM6" s="42">
        <f>IFERROR(R6/$J6,0)</f>
      </c>
      <c r="AN6" s="42">
        <f>IFERROR(S6/$J6,0)</f>
      </c>
      <c r="AO6" s="42">
        <f>IFERROR(T6/$J6,0)</f>
      </c>
      <c r="AP6" s="42">
        <f>IFERROR(U6/$J6,0)</f>
      </c>
      <c r="AQ6" s="42">
        <f>IFERROR(V6/$J6,0)</f>
      </c>
      <c r="AR6" s="41">
        <v>0</v>
      </c>
      <c r="AS6" s="41">
        <f t="shared" si="11"/>
      </c>
      <c r="AT6" s="9" t="s">
        <v>55</v>
      </c>
      <c r="AU6" s="33">
        <f>IFERROR(VLOOKUP(AT6,'[1]Sheet2'!$A:$D,4,0),0.963500071692748)</f>
      </c>
      <c r="AV6" s="33">
        <v>1524.76558901876</v>
      </c>
      <c r="AW6" s="33">
        <v>146.234884156057</v>
      </c>
      <c r="AX6" s="33">
        <f t="shared" si="13"/>
      </c>
      <c r="AY6" s="33">
        <f t="shared" si="16"/>
      </c>
      <c r="AZ6" s="33">
        <f>IFERROR(SUMIFS('[2]毛利表广告费'!$J:$J,'[2]毛利表广告费'!$K:$K,AY6),#VALUE!)</f>
      </c>
      <c r="BA6" s="33">
        <v>4650.87792776101</v>
      </c>
    </row>
    <row customHeight="true" ht="19.25925925925926" r="7">
      <c r="A7" s="34" t="s">
        <v>49</v>
      </c>
      <c r="B7" s="35" t="s">
        <v>50</v>
      </c>
      <c r="C7" s="34" t="s">
        <v>56</v>
      </c>
      <c r="D7" s="34" t="s">
        <v>52</v>
      </c>
      <c r="E7" s="34" t="s">
        <v>59</v>
      </c>
      <c r="F7" s="36" t="s">
        <v>54</v>
      </c>
      <c r="G7" s="37">
        <v>8.195975</v>
      </c>
      <c r="H7" s="38">
        <v>11</v>
      </c>
      <c r="I7" s="38">
        <v>1</v>
      </c>
      <c r="J7" s="38">
        <v>5497.532191</v>
      </c>
      <c r="K7" s="38">
        <v>517.1660225</v>
      </c>
      <c r="L7" s="38">
        <v>1338.495334</v>
      </c>
      <c r="M7" s="38">
        <v>-142.495378425698</v>
      </c>
      <c r="N7" s="38">
        <v>151.663942459031</v>
      </c>
      <c r="O7" s="38">
        <v>228.953828682674</v>
      </c>
      <c r="P7" s="38">
        <v>74.9542105263158</v>
      </c>
      <c r="Q7" s="38">
        <v>895.24634925</v>
      </c>
      <c r="R7" s="38">
        <v>27.12867725</v>
      </c>
      <c r="S7" s="38">
        <v>5115.27456254476</v>
      </c>
      <c r="T7" s="39">
        <v>921.80130825</v>
      </c>
      <c r="U7" s="38">
        <v>4.46434310382514</v>
      </c>
      <c r="V7" s="38">
        <v>0</v>
      </c>
      <c r="W7" s="38">
        <v>2377.52694460383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40">
        <f t="shared" si="10"/>
      </c>
      <c r="AD7" s="40">
        <f t="shared" si="8"/>
      </c>
      <c r="AE7" s="41">
        <f t="shared" si="3"/>
      </c>
      <c r="AF7" s="41">
        <f t="shared" si="1"/>
      </c>
      <c r="AG7" s="41">
        <f t="shared" si="5"/>
      </c>
      <c r="AH7" s="42">
        <f t="shared" si="4"/>
      </c>
      <c r="AI7" s="42">
        <f>IFERROR(N7/$J7,0)</f>
      </c>
      <c r="AJ7" s="42">
        <f>IFERROR(O7/$J7,0)</f>
      </c>
      <c r="AK7" s="42">
        <f>IFERROR(P7/$J7,0)</f>
      </c>
      <c r="AL7" s="42">
        <f>IFERROR(Q7/$J7,0)</f>
      </c>
      <c r="AM7" s="42">
        <f>IFERROR(R7/$J7,0)</f>
      </c>
      <c r="AN7" s="42">
        <f>IFERROR(S7/$J7,0)</f>
      </c>
      <c r="AO7" s="42">
        <f>IFERROR(T7/$J7,0)</f>
      </c>
      <c r="AP7" s="42">
        <f>IFERROR(U7/$J7,0)</f>
      </c>
      <c r="AQ7" s="42">
        <f>IFERROR(V7/$J7,0)</f>
      </c>
      <c r="AR7" s="41">
        <v>0</v>
      </c>
      <c r="AS7" s="41">
        <f t="shared" si="11"/>
      </c>
      <c r="AT7" s="9" t="s">
        <v>55</v>
      </c>
      <c r="AU7" s="33">
        <f>IFERROR(VLOOKUP(AT7,'[1]Sheet2'!$A:$D,4,0),0.963500071692748)</f>
      </c>
      <c r="AV7" s="33">
        <v>746.961248033984</v>
      </c>
      <c r="AW7" s="33">
        <v>0</v>
      </c>
      <c r="AX7" s="33">
        <f t="shared" si="13"/>
      </c>
      <c r="AY7" s="33">
        <f t="shared" si="16"/>
      </c>
      <c r="AZ7" s="33">
        <f>IFERROR(SUMIFS('[2]毛利表广告费'!$J:$J,'[2]毛利表广告费'!$K:$K,AY7),#VALUE!)</f>
      </c>
      <c r="BA7" s="33">
        <v>5115.27456254476</v>
      </c>
    </row>
    <row customHeight="true" ht="19.25925925925926" r="8">
      <c r="A8" s="34" t="s">
        <v>49</v>
      </c>
      <c r="B8" s="35" t="s">
        <v>50</v>
      </c>
      <c r="C8" s="34" t="s">
        <v>56</v>
      </c>
      <c r="D8" s="34" t="s">
        <v>52</v>
      </c>
      <c r="E8" s="34" t="s">
        <v>60</v>
      </c>
      <c r="F8" s="36" t="s">
        <v>54</v>
      </c>
      <c r="G8" s="37">
        <v>8.195975</v>
      </c>
      <c r="H8" s="38">
        <v>49</v>
      </c>
      <c r="I8" s="38">
        <v>0</v>
      </c>
      <c r="J8" s="38">
        <v>21717.61259525</v>
      </c>
      <c r="K8" s="38">
        <v>0</v>
      </c>
      <c r="L8" s="38">
        <v>5962.38830600001</v>
      </c>
      <c r="M8" s="38">
        <v>0</v>
      </c>
      <c r="N8" s="38">
        <v>0</v>
      </c>
      <c r="O8" s="38">
        <v>1019.88523685918</v>
      </c>
      <c r="P8" s="38">
        <v>333.886937799043</v>
      </c>
      <c r="Q8" s="38">
        <v>3074.566428</v>
      </c>
      <c r="R8" s="38">
        <v>229.3233805</v>
      </c>
      <c r="S8" s="38">
        <v>4769.6354317303</v>
      </c>
      <c r="T8" s="39">
        <v>3986.194401</v>
      </c>
      <c r="U8" s="38">
        <v>4.46434310382514</v>
      </c>
      <c r="V8" s="38">
        <v>2170.728566675</v>
      </c>
      <c r="W8" s="38">
        <v>11724.0058695288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40">
        <f t="shared" si="10"/>
      </c>
      <c r="AD8" s="40">
        <f t="shared" si="8"/>
      </c>
      <c r="AE8" s="41">
        <f t="shared" si="3"/>
      </c>
      <c r="AF8" s="41">
        <f t="shared" si="1"/>
      </c>
      <c r="AG8" s="41">
        <f t="shared" si="5"/>
      </c>
      <c r="AH8" s="42">
        <f t="shared" si="4"/>
      </c>
      <c r="AI8" s="42">
        <f>IFERROR(N8/$J8,0)</f>
      </c>
      <c r="AJ8" s="42">
        <f>IFERROR(O8/$J8,0)</f>
      </c>
      <c r="AK8" s="42">
        <f>IFERROR(P8/$J8,0)</f>
      </c>
      <c r="AL8" s="42">
        <f>IFERROR(Q8/$J8,0)</f>
      </c>
      <c r="AM8" s="42">
        <f>IFERROR(R8/$J8,0)</f>
      </c>
      <c r="AN8" s="42">
        <f>IFERROR(S8/$J8,0)</f>
      </c>
      <c r="AO8" s="42">
        <f>IFERROR(T8/$J8,0)</f>
      </c>
      <c r="AP8" s="42">
        <f>IFERROR(U8/$J8,0)</f>
      </c>
      <c r="AQ8" s="42">
        <f>IFERROR(V8/$J8,0)</f>
      </c>
      <c r="AR8" s="41">
        <v>0</v>
      </c>
      <c r="AS8" s="41">
        <f t="shared" si="11"/>
      </c>
      <c r="AT8" s="9" t="s">
        <v>55</v>
      </c>
      <c r="AU8" s="33">
        <f>IFERROR(VLOOKUP(AT8,'[1]Sheet2'!$A:$D,4,0),0.963500071692748)</f>
      </c>
      <c r="AV8" s="33"/>
      <c r="AW8" s="33">
        <v>0</v>
      </c>
      <c r="AX8" s="33">
        <f t="shared" si="13"/>
      </c>
      <c r="AY8" s="33">
        <f t="shared" si="16"/>
      </c>
      <c r="AZ8" s="33">
        <f>IFERROR(SUMIFS('[2]毛利表广告费'!$J:$J,'[2]毛利表广告费'!$K:$K,AY8),#VALUE!)</f>
      </c>
      <c r="BA8" s="33">
        <v>4769.6354317303</v>
      </c>
    </row>
    <row customHeight="true" ht="19.25925925925926" r="9">
      <c r="A9" s="34" t="s">
        <v>49</v>
      </c>
      <c r="B9" s="35" t="s">
        <v>50</v>
      </c>
      <c r="C9" s="34" t="s">
        <v>56</v>
      </c>
      <c r="D9" s="34" t="s">
        <v>52</v>
      </c>
      <c r="E9" s="34" t="s">
        <v>61</v>
      </c>
      <c r="F9" s="36" t="s">
        <v>54</v>
      </c>
      <c r="G9" s="37">
        <v>8.195975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9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40">
        <f t="shared" si="10"/>
      </c>
      <c r="AD9" s="40">
        <f t="shared" si="8"/>
      </c>
      <c r="AE9" s="41">
        <f t="shared" si="3"/>
      </c>
      <c r="AF9" s="41">
        <f t="shared" si="1"/>
      </c>
      <c r="AG9" s="41">
        <f t="shared" si="5"/>
      </c>
      <c r="AH9" s="42">
        <f t="shared" si="4"/>
      </c>
      <c r="AI9" s="42">
        <f>IFERROR(N9/$J9,0)</f>
      </c>
      <c r="AJ9" s="42">
        <f>IFERROR(O9/$J9,0)</f>
      </c>
      <c r="AK9" s="42">
        <f>IFERROR(P9/$J9,0)</f>
      </c>
      <c r="AL9" s="42">
        <f>IFERROR(Q9/$J9,0)</f>
      </c>
      <c r="AM9" s="42">
        <f>IFERROR(R9/$J9,0)</f>
      </c>
      <c r="AN9" s="42">
        <f>IFERROR(S9/$J9,0)</f>
      </c>
      <c r="AO9" s="42">
        <f>IFERROR(T9/$J9,0)</f>
      </c>
      <c r="AP9" s="42">
        <f>IFERROR(U9/$J9,0)</f>
      </c>
      <c r="AQ9" s="42">
        <f>IFERROR(V9/$J9,0)</f>
      </c>
      <c r="AR9" s="41">
        <v>0</v>
      </c>
      <c r="AS9" s="41">
        <f t="shared" si="11"/>
      </c>
      <c r="AT9" s="9" t="s">
        <v>55</v>
      </c>
      <c r="AU9" s="33">
        <f>IFERROR(VLOOKUP(AT9,'[1]Sheet2'!$A:$D,4,0),0.963500071692748)</f>
      </c>
      <c r="AV9" s="33">
        <v>147.839512905415</v>
      </c>
      <c r="AW9" s="33">
        <v>3310.55894205882</v>
      </c>
      <c r="AX9" s="33">
        <f t="shared" si="13"/>
      </c>
      <c r="AY9" s="33">
        <f t="shared" si="16"/>
      </c>
      <c r="AZ9" s="33">
        <f>IFERROR(SUMIFS('[2]毛利表广告费'!$J:$J,'[2]毛利表广告费'!$K:$K,AY9),#VALUE!)</f>
      </c>
      <c r="BA9" s="33">
        <v>0</v>
      </c>
    </row>
    <row customHeight="true" ht="19.25925925925926" r="10">
      <c r="A10" s="34" t="s">
        <v>49</v>
      </c>
      <c r="B10" s="35" t="s">
        <v>50</v>
      </c>
      <c r="C10" s="34" t="s">
        <v>62</v>
      </c>
      <c r="D10" s="34" t="s">
        <v>63</v>
      </c>
      <c r="E10" s="34" t="s">
        <v>57</v>
      </c>
      <c r="F10" s="36" t="s">
        <v>54</v>
      </c>
      <c r="G10" s="37">
        <v>8.195975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248.761864476616</v>
      </c>
      <c r="T10" s="39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40">
        <f t="shared" si="10"/>
      </c>
      <c r="AD10" s="40">
        <f t="shared" si="8"/>
      </c>
      <c r="AE10" s="41">
        <f t="shared" si="3"/>
      </c>
      <c r="AF10" s="41">
        <f t="shared" si="1"/>
      </c>
      <c r="AG10" s="41">
        <f t="shared" si="5"/>
      </c>
      <c r="AH10" s="42">
        <f t="shared" si="4"/>
      </c>
      <c r="AI10" s="42">
        <f>IFERROR(N10/$J10,0)</f>
      </c>
      <c r="AJ10" s="42">
        <f>IFERROR(O10/$J10,0)</f>
      </c>
      <c r="AK10" s="42">
        <f>IFERROR(P10/$J10,0)</f>
      </c>
      <c r="AL10" s="42">
        <f>IFERROR(Q10/$J10,0)</f>
      </c>
      <c r="AM10" s="42">
        <f>IFERROR(R10/$J10,0)</f>
      </c>
      <c r="AN10" s="42">
        <f>IFERROR(S10/$J10,0)</f>
      </c>
      <c r="AO10" s="42">
        <f>IFERROR(T10/$J10,0)</f>
      </c>
      <c r="AP10" s="42">
        <f>IFERROR(U10/$J10,0)</f>
      </c>
      <c r="AQ10" s="42">
        <f>IFERROR(V10/$J10,0)</f>
      </c>
      <c r="AR10" s="41">
        <v>0</v>
      </c>
      <c r="AS10" s="41">
        <f t="shared" si="11"/>
      </c>
      <c r="AT10" s="9" t="s">
        <v>55</v>
      </c>
      <c r="AU10" s="33">
        <f>IFERROR(VLOOKUP(AT10,'[1]Sheet2'!$A:$D,4,0),0.963500071692748)</f>
      </c>
      <c r="AV10" s="33">
        <v>3.98319119388391</v>
      </c>
      <c r="AW10" s="33">
        <v>401.803008757823</v>
      </c>
      <c r="AX10" s="33">
        <f t="shared" si="13"/>
      </c>
      <c r="AY10" s="33">
        <f t="shared" si="16"/>
      </c>
      <c r="AZ10" s="33">
        <f>IFERROR(SUMIFS('[2]毛利表广告费'!$J:$J,'[2]毛利表广告费'!$K:$K,AY10),#VALUE!)</f>
      </c>
      <c r="BA10" s="33">
        <v>248.761864476616</v>
      </c>
    </row>
    <row customHeight="true" ht="19.25925925925926" r="11">
      <c r="A11" s="34" t="s">
        <v>49</v>
      </c>
      <c r="B11" s="35" t="s">
        <v>50</v>
      </c>
      <c r="C11" s="34" t="s">
        <v>64</v>
      </c>
      <c r="D11" s="34" t="s">
        <v>63</v>
      </c>
      <c r="E11" s="34" t="s">
        <v>53</v>
      </c>
      <c r="F11" s="36" t="s">
        <v>54</v>
      </c>
      <c r="G11" s="37">
        <v>9.316305</v>
      </c>
      <c r="H11" s="38">
        <v>52</v>
      </c>
      <c r="I11" s="38">
        <v>1</v>
      </c>
      <c r="J11" s="38">
        <v>6472.87555095</v>
      </c>
      <c r="K11" s="38">
        <v>115.98799725</v>
      </c>
      <c r="L11" s="38">
        <v>2254.866276</v>
      </c>
      <c r="M11" s="38">
        <v>-49.4922866842105</v>
      </c>
      <c r="N11" s="38">
        <v>91.8723744429714</v>
      </c>
      <c r="O11" s="38">
        <v>318.732631578948</v>
      </c>
      <c r="P11" s="38">
        <v>0</v>
      </c>
      <c r="Q11" s="38">
        <v>1000.47799395</v>
      </c>
      <c r="R11" s="38">
        <v>21.6138276</v>
      </c>
      <c r="S11" s="38">
        <v>2258.67603654558</v>
      </c>
      <c r="T11" s="39">
        <v>985.8513951</v>
      </c>
      <c r="U11" s="38">
        <v>15.5740238102093</v>
      </c>
      <c r="V11" s="38">
        <v>0</v>
      </c>
      <c r="W11" s="38">
        <v>3583.90516491021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40">
        <f t="shared" si="10"/>
      </c>
      <c r="AD11" s="40">
        <f t="shared" si="8"/>
      </c>
      <c r="AE11" s="41">
        <f t="shared" si="3"/>
      </c>
      <c r="AF11" s="41">
        <f t="shared" si="1"/>
      </c>
      <c r="AG11" s="41">
        <f t="shared" si="5"/>
      </c>
      <c r="AH11" s="42">
        <f t="shared" si="4"/>
      </c>
      <c r="AI11" s="42">
        <f>IFERROR(N11/$J11,0)</f>
      </c>
      <c r="AJ11" s="42">
        <f>IFERROR(O11/$J11,0)</f>
      </c>
      <c r="AK11" s="42">
        <f>IFERROR(P11/$J11,0)</f>
      </c>
      <c r="AL11" s="42">
        <f>IFERROR(Q11/$J11,0)</f>
      </c>
      <c r="AM11" s="42">
        <f>IFERROR(R11/$J11,0)</f>
      </c>
      <c r="AN11" s="42">
        <f>IFERROR(S11/$J11,0)</f>
      </c>
      <c r="AO11" s="42">
        <f>IFERROR(T11/$J11,0)</f>
      </c>
      <c r="AP11" s="42">
        <f>IFERROR(U11/$J11,0)</f>
      </c>
      <c r="AQ11" s="42">
        <f>IFERROR(V11/$J11,0)</f>
      </c>
      <c r="AR11" s="41">
        <v>0</v>
      </c>
      <c r="AS11" s="41">
        <f t="shared" si="11"/>
      </c>
      <c r="AT11" s="9" t="s">
        <v>55</v>
      </c>
      <c r="AU11" s="33">
        <f>IFERROR(VLOOKUP(AT11,'[1]Sheet2'!$A:$D,4,0),0.963500071692748)</f>
      </c>
      <c r="AV11" s="33">
        <v>93.9236483517826</v>
      </c>
      <c r="AW11" s="33">
        <v>1094.82935146548</v>
      </c>
      <c r="AX11" s="33">
        <f t="shared" si="13"/>
      </c>
      <c r="AY11" s="33">
        <f t="shared" si="16"/>
      </c>
      <c r="AZ11" s="33">
        <f>IFERROR(SUMIFS('[2]毛利表广告费'!$J:$J,'[2]毛利表广告费'!$K:$K,AY11),#VALUE!)</f>
      </c>
      <c r="BA11" s="33">
        <v>2258.67603654558</v>
      </c>
    </row>
    <row customHeight="true" ht="19.25925925925926" r="12">
      <c r="A12" s="34" t="s">
        <v>49</v>
      </c>
      <c r="B12" s="35" t="s">
        <v>50</v>
      </c>
      <c r="C12" s="34" t="s">
        <v>62</v>
      </c>
      <c r="D12" s="34" t="s">
        <v>63</v>
      </c>
      <c r="E12" s="34" t="s">
        <v>58</v>
      </c>
      <c r="F12" s="36" t="s">
        <v>54</v>
      </c>
      <c r="G12" s="37">
        <v>8.195975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18.9163103</v>
      </c>
      <c r="O12" s="38">
        <v>0</v>
      </c>
      <c r="P12" s="38">
        <v>0</v>
      </c>
      <c r="Q12" s="38">
        <v>0</v>
      </c>
      <c r="R12" s="38">
        <v>0</v>
      </c>
      <c r="S12" s="38">
        <v>137.034949342089</v>
      </c>
      <c r="T12" s="39">
        <v>0</v>
      </c>
      <c r="U12" s="38">
        <v>0</v>
      </c>
      <c r="V12" s="38">
        <v>0</v>
      </c>
      <c r="W12" s="38">
        <v>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  <c r="AC12" s="40">
        <f t="shared" si="10"/>
      </c>
      <c r="AD12" s="40">
        <f t="shared" si="8"/>
      </c>
      <c r="AE12" s="41">
        <f t="shared" si="3"/>
      </c>
      <c r="AF12" s="41">
        <f t="shared" si="1"/>
      </c>
      <c r="AG12" s="41">
        <f t="shared" si="5"/>
      </c>
      <c r="AH12" s="42">
        <f t="shared" si="4"/>
      </c>
      <c r="AI12" s="42">
        <f>IFERROR(N12/$J12,0)</f>
      </c>
      <c r="AJ12" s="42">
        <f>IFERROR(O12/$J12,0)</f>
      </c>
      <c r="AK12" s="42">
        <f>IFERROR(P12/$J12,0)</f>
      </c>
      <c r="AL12" s="42">
        <f>IFERROR(Q12/$J12,0)</f>
      </c>
      <c r="AM12" s="42">
        <f>IFERROR(R12/$J12,0)</f>
      </c>
      <c r="AN12" s="42">
        <f>IFERROR(S12/$J12,0)</f>
      </c>
      <c r="AO12" s="42">
        <f>IFERROR(T12/$J12,0)</f>
      </c>
      <c r="AP12" s="42">
        <f>IFERROR(U12/$J12,0)</f>
      </c>
      <c r="AQ12" s="42">
        <f>IFERROR(V12/$J12,0)</f>
      </c>
      <c r="AR12" s="41">
        <v>0</v>
      </c>
      <c r="AS12" s="41">
        <f t="shared" si="11"/>
      </c>
      <c r="AT12" s="9" t="s">
        <v>55</v>
      </c>
      <c r="AU12" s="33">
        <f>IFERROR(VLOOKUP(AT12,'[1]Sheet2'!$A:$D,4,0),0.963500071692748)</f>
      </c>
      <c r="AV12" s="33"/>
      <c r="AW12" s="33">
        <v>323.613799291949</v>
      </c>
      <c r="AX12" s="33">
        <f t="shared" si="13"/>
      </c>
      <c r="AY12" s="33">
        <f t="shared" si="16"/>
      </c>
      <c r="AZ12" s="33">
        <f>IFERROR(SUMIFS('[2]毛利表广告费'!$J:$J,'[2]毛利表广告费'!$K:$K,AY12),#VALUE!)</f>
      </c>
      <c r="BA12" s="33">
        <v>137.034949342089</v>
      </c>
    </row>
    <row customHeight="true" ht="19.25925925925926" r="13">
      <c r="A13" s="34" t="s">
        <v>49</v>
      </c>
      <c r="B13" s="35" t="s">
        <v>50</v>
      </c>
      <c r="C13" s="34" t="s">
        <v>62</v>
      </c>
      <c r="D13" s="34" t="s">
        <v>63</v>
      </c>
      <c r="E13" s="34" t="s">
        <v>59</v>
      </c>
      <c r="F13" s="36" t="s">
        <v>54</v>
      </c>
      <c r="G13" s="37">
        <v>8.195975</v>
      </c>
      <c r="H13" s="38">
        <v>3</v>
      </c>
      <c r="I13" s="38">
        <v>0</v>
      </c>
      <c r="J13" s="38">
        <v>509.461806</v>
      </c>
      <c r="K13" s="38">
        <v>0</v>
      </c>
      <c r="L13" s="38">
        <v>130.088439</v>
      </c>
      <c r="M13" s="38">
        <v>0</v>
      </c>
      <c r="N13" s="38">
        <v>0</v>
      </c>
      <c r="O13" s="38">
        <v>18.3884210526316</v>
      </c>
      <c r="P13" s="38">
        <v>0</v>
      </c>
      <c r="Q13" s="38">
        <v>38.11128375</v>
      </c>
      <c r="R13" s="38">
        <v>0</v>
      </c>
      <c r="S13" s="38">
        <v>236.233544730183</v>
      </c>
      <c r="T13" s="39">
        <v>79.91075625</v>
      </c>
      <c r="U13" s="38">
        <v>4.46434310382514</v>
      </c>
      <c r="V13" s="38">
        <v>0</v>
      </c>
      <c r="W13" s="38">
        <v>122.486383103825</v>
      </c>
      <c r="X13" s="38">
        <v>0</v>
      </c>
      <c r="Y13" s="38">
        <v>0</v>
      </c>
      <c r="Z13" s="38">
        <v>0</v>
      </c>
      <c r="AA13" s="38">
        <v>0</v>
      </c>
      <c r="AB13" s="38">
        <v>0</v>
      </c>
      <c r="AC13" s="40">
        <f t="shared" si="10"/>
      </c>
      <c r="AD13" s="40">
        <f t="shared" si="8"/>
      </c>
      <c r="AE13" s="41">
        <f t="shared" si="3"/>
      </c>
      <c r="AF13" s="41">
        <f t="shared" si="1"/>
      </c>
      <c r="AG13" s="41">
        <f t="shared" si="5"/>
      </c>
      <c r="AH13" s="42">
        <f t="shared" si="4"/>
      </c>
      <c r="AI13" s="42">
        <f>IFERROR(N13/$J13,0)</f>
      </c>
      <c r="AJ13" s="42">
        <f>IFERROR(O13/$J13,0)</f>
      </c>
      <c r="AK13" s="42">
        <f>IFERROR(P13/$J13,0)</f>
      </c>
      <c r="AL13" s="42">
        <f>IFERROR(Q13/$J13,0)</f>
      </c>
      <c r="AM13" s="42">
        <f>IFERROR(R13/$J13,0)</f>
      </c>
      <c r="AN13" s="42">
        <f>IFERROR(S13/$J13,0)</f>
      </c>
      <c r="AO13" s="42">
        <f>IFERROR(T13/$J13,0)</f>
      </c>
      <c r="AP13" s="42">
        <f>IFERROR(U13/$J13,0)</f>
      </c>
      <c r="AQ13" s="42">
        <f>IFERROR(V13/$J13,0)</f>
      </c>
      <c r="AR13" s="41">
        <v>0</v>
      </c>
      <c r="AS13" s="41">
        <f t="shared" si="11"/>
      </c>
      <c r="AT13" s="9" t="s">
        <v>55</v>
      </c>
      <c r="AU13" s="33">
        <f>IFERROR(VLOOKUP(AT13,'[1]Sheet2'!$A:$D,4,0),0.963500071692748)</f>
      </c>
      <c r="AV13" s="33"/>
      <c r="AW13" s="33">
        <v>695.276594230957</v>
      </c>
      <c r="AX13" s="33">
        <f t="shared" si="13"/>
      </c>
      <c r="AY13" s="33">
        <f t="shared" si="16"/>
      </c>
      <c r="AZ13" s="33">
        <f>IFERROR(SUMIFS('[2]毛利表广告费'!$J:$J,'[2]毛利表广告费'!$K:$K,AY13),#VALUE!)</f>
      </c>
      <c r="BA13" s="33">
        <v>236.233544730183</v>
      </c>
    </row>
    <row customHeight="true" ht="19.25925925925926" r="14">
      <c r="A14" s="34" t="s">
        <v>49</v>
      </c>
      <c r="B14" s="35" t="s">
        <v>50</v>
      </c>
      <c r="C14" s="34" t="s">
        <v>62</v>
      </c>
      <c r="D14" s="34" t="s">
        <v>63</v>
      </c>
      <c r="E14" s="34" t="s">
        <v>60</v>
      </c>
      <c r="F14" s="36" t="s">
        <v>54</v>
      </c>
      <c r="G14" s="37">
        <v>8.195975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432.168373238367</v>
      </c>
      <c r="T14" s="39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0">
        <f t="shared" si="10"/>
      </c>
      <c r="AD14" s="40">
        <f t="shared" si="8"/>
      </c>
      <c r="AE14" s="41">
        <f t="shared" si="3"/>
      </c>
      <c r="AF14" s="41">
        <f t="shared" si="1"/>
      </c>
      <c r="AG14" s="41">
        <f t="shared" si="5"/>
      </c>
      <c r="AH14" s="42">
        <f t="shared" si="4"/>
      </c>
      <c r="AI14" s="42">
        <f>IFERROR(N14/$J14,0)</f>
      </c>
      <c r="AJ14" s="42">
        <f>IFERROR(O14/$J14,0)</f>
      </c>
      <c r="AK14" s="42">
        <f>IFERROR(P14/$J14,0)</f>
      </c>
      <c r="AL14" s="42">
        <f>IFERROR(Q14/$J14,0)</f>
      </c>
      <c r="AM14" s="42">
        <f>IFERROR(R14/$J14,0)</f>
      </c>
      <c r="AN14" s="42">
        <f>IFERROR(S14/$J14,0)</f>
      </c>
      <c r="AO14" s="42">
        <f>IFERROR(T14/$J14,0)</f>
      </c>
      <c r="AP14" s="42">
        <f>IFERROR(U14/$J14,0)</f>
      </c>
      <c r="AQ14" s="42">
        <f>IFERROR(V14/$J14,0)</f>
      </c>
      <c r="AR14" s="41">
        <v>0</v>
      </c>
      <c r="AS14" s="41">
        <f t="shared" si="11"/>
      </c>
      <c r="AT14" s="9" t="s">
        <v>55</v>
      </c>
      <c r="AU14" s="33">
        <f>IFERROR(VLOOKUP(AT14,'[1]Sheet2'!$A:$D,4,0),0.963500071692748)</f>
      </c>
      <c r="AV14" s="33">
        <v>171.185019775748</v>
      </c>
      <c r="AW14" s="33">
        <v>379.010493586066</v>
      </c>
      <c r="AX14" s="33">
        <f t="shared" si="13"/>
      </c>
      <c r="AY14" s="33">
        <f t="shared" si="16"/>
      </c>
      <c r="AZ14" s="33">
        <f>IFERROR(SUMIFS('[2]毛利表广告费'!$J:$J,'[2]毛利表广告费'!$K:$K,AY14),#VALUE!)</f>
      </c>
      <c r="BA14" s="33">
        <v>432.168373238367</v>
      </c>
    </row>
    <row customHeight="true" ht="17.037037037037035" r="15">
      <c r="A15" s="34" t="s">
        <v>49</v>
      </c>
      <c r="B15" s="35" t="s">
        <v>50</v>
      </c>
      <c r="C15" s="34" t="s">
        <v>65</v>
      </c>
      <c r="D15" s="34" t="s">
        <v>66</v>
      </c>
      <c r="E15" s="34" t="s">
        <v>57</v>
      </c>
      <c r="F15" s="36" t="s">
        <v>54</v>
      </c>
      <c r="G15" s="37">
        <v>8.195975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144.600175413242</v>
      </c>
      <c r="T15" s="39">
        <v>0</v>
      </c>
      <c r="U15" s="38">
        <v>205.050030814283</v>
      </c>
      <c r="V15" s="38">
        <v>0</v>
      </c>
      <c r="W15" s="38">
        <v>259.799143814283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43">
        <f t="shared" si="10"/>
      </c>
      <c r="AD15" s="40">
        <f t="shared" si="8"/>
      </c>
      <c r="AE15" s="41">
        <f t="shared" si="3"/>
      </c>
      <c r="AF15" s="41">
        <f t="shared" si="1"/>
      </c>
      <c r="AG15" s="41">
        <f t="shared" si="5"/>
      </c>
      <c r="AH15" s="42">
        <f t="shared" si="4"/>
      </c>
      <c r="AI15" s="42">
        <f>IFERROR(N15/$J15,0)</f>
      </c>
      <c r="AJ15" s="42">
        <f>IFERROR(O15/$J15,0)</f>
      </c>
      <c r="AK15" s="42">
        <f>IFERROR(P15/$J15,0)</f>
      </c>
      <c r="AL15" s="42">
        <f>IFERROR(Q15/$J15,0)</f>
      </c>
      <c r="AM15" s="42">
        <f>IFERROR(R15/$J15,0)</f>
      </c>
      <c r="AN15" s="42">
        <f>IFERROR(S15/$J15,0)</f>
      </c>
      <c r="AO15" s="42">
        <f>IFERROR(T15/$J15,0)</f>
      </c>
      <c r="AP15" s="42">
        <f>IFERROR(U15/$J15,0)</f>
      </c>
      <c r="AQ15" s="42">
        <f>IFERROR(V15/$J15,0)</f>
      </c>
      <c r="AR15" s="41">
        <v>0</v>
      </c>
      <c r="AS15" s="41">
        <f t="shared" si="11"/>
      </c>
      <c r="AT15" s="9"/>
      <c r="AU15" s="9"/>
      <c r="AV15" s="33"/>
      <c r="AW15" s="33">
        <v>7227.71615734269</v>
      </c>
      <c r="AX15" s="33">
        <f t="shared" si="13"/>
      </c>
      <c r="AY15" s="33">
        <f t="shared" si="16"/>
      </c>
      <c r="AZ15" s="33">
        <f>IFERROR(SUMIFS('[2]毛利表广告费'!$J:$J,'[2]毛利表广告费'!$K:$K,AY15),#VALUE!)</f>
      </c>
      <c r="BA15" s="33">
        <v>144.600175413242</v>
      </c>
    </row>
    <row customHeight="true" ht="17.037037037037035" r="16">
      <c r="A16" s="34" t="s">
        <v>49</v>
      </c>
      <c r="B16" s="35" t="s">
        <v>50</v>
      </c>
      <c r="C16" s="34" t="s">
        <v>65</v>
      </c>
      <c r="D16" s="34" t="s">
        <v>66</v>
      </c>
      <c r="E16" s="34" t="s">
        <v>60</v>
      </c>
      <c r="F16" s="36" t="s">
        <v>54</v>
      </c>
      <c r="G16" s="37">
        <v>8.195975</v>
      </c>
      <c r="H16" s="38">
        <v>1</v>
      </c>
      <c r="I16" s="38">
        <v>0</v>
      </c>
      <c r="J16" s="38">
        <v>334.64165925</v>
      </c>
      <c r="K16" s="38">
        <v>0</v>
      </c>
      <c r="L16" s="38">
        <v>89.696854</v>
      </c>
      <c r="M16" s="38">
        <v>0</v>
      </c>
      <c r="N16" s="38">
        <v>0</v>
      </c>
      <c r="O16" s="38">
        <v>8.78043539325843</v>
      </c>
      <c r="P16" s="38">
        <v>3.07333333333333</v>
      </c>
      <c r="Q16" s="38">
        <v>41.38967375</v>
      </c>
      <c r="R16" s="38">
        <v>40.979875</v>
      </c>
      <c r="S16" s="38">
        <v>973.066056317086</v>
      </c>
      <c r="T16" s="39">
        <v>61.4698125</v>
      </c>
      <c r="U16" s="38">
        <v>4.46434310382514</v>
      </c>
      <c r="V16" s="38">
        <v>135</v>
      </c>
      <c r="W16" s="38">
        <v>290.188323353825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43">
        <f t="shared" si="10"/>
      </c>
      <c r="AD16" s="40">
        <f t="shared" si="8"/>
      </c>
      <c r="AE16" s="41">
        <f t="shared" si="3"/>
      </c>
      <c r="AF16" s="41">
        <f t="shared" si="1"/>
      </c>
      <c r="AG16" s="41">
        <f t="shared" si="5"/>
      </c>
      <c r="AH16" s="42">
        <f t="shared" si="4"/>
      </c>
      <c r="AI16" s="42">
        <f>IFERROR(N16/$J16,0)</f>
      </c>
      <c r="AJ16" s="42">
        <f>IFERROR(O16/$J16,0)</f>
      </c>
      <c r="AK16" s="42">
        <f>IFERROR(P16/$J16,0)</f>
      </c>
      <c r="AL16" s="42">
        <f>IFERROR(Q16/$J16,0)</f>
      </c>
      <c r="AM16" s="42">
        <f>IFERROR(R16/$J16,0)</f>
      </c>
      <c r="AN16" s="42">
        <f>IFERROR(S16/$J16,0)</f>
      </c>
      <c r="AO16" s="42">
        <f>IFERROR(T16/$J16,0)</f>
      </c>
      <c r="AP16" s="42">
        <f>IFERROR(U16/$J16,0)</f>
      </c>
      <c r="AQ16" s="42">
        <f>IFERROR(V16/$J16,0)</f>
      </c>
      <c r="AR16" s="41">
        <v>0</v>
      </c>
      <c r="AS16" s="41">
        <f t="shared" si="11"/>
      </c>
      <c r="AT16" s="9"/>
      <c r="AU16" s="9"/>
      <c r="AV16" s="33"/>
      <c r="AW16" s="33">
        <v>5064.33638846375</v>
      </c>
      <c r="AX16" s="33">
        <f t="shared" si="13"/>
      </c>
      <c r="AY16" s="33">
        <f t="shared" si="16"/>
      </c>
      <c r="AZ16" s="33">
        <f>IFERROR(SUMIFS('[2]毛利表广告费'!$J:$J,'[2]毛利表广告费'!$K:$K,AY16),#VALUE!)</f>
      </c>
      <c r="BA16" s="33">
        <v>973.066056317086</v>
      </c>
    </row>
    <row customHeight="true" ht="17.037037037037035" r="17">
      <c r="A17" s="34" t="s">
        <v>49</v>
      </c>
      <c r="B17" s="35" t="s">
        <v>50</v>
      </c>
      <c r="C17" s="34" t="s">
        <v>65</v>
      </c>
      <c r="D17" s="34" t="s">
        <v>66</v>
      </c>
      <c r="E17" s="34" t="s">
        <v>58</v>
      </c>
      <c r="F17" s="36" t="s">
        <v>54</v>
      </c>
      <c r="G17" s="37">
        <v>8.195975</v>
      </c>
      <c r="H17" s="38">
        <v>2</v>
      </c>
      <c r="I17" s="38">
        <v>0</v>
      </c>
      <c r="J17" s="38">
        <v>674.692662</v>
      </c>
      <c r="K17" s="38">
        <v>0</v>
      </c>
      <c r="L17" s="38">
        <v>179.393708</v>
      </c>
      <c r="M17" s="38">
        <v>0</v>
      </c>
      <c r="N17" s="38">
        <v>4.68690476138494</v>
      </c>
      <c r="O17" s="38">
        <v>17.5608707865169</v>
      </c>
      <c r="P17" s="38">
        <v>6.14666666666666</v>
      </c>
      <c r="Q17" s="38">
        <v>146.871872</v>
      </c>
      <c r="R17" s="38">
        <v>0</v>
      </c>
      <c r="S17" s="38">
        <v>225.101354474159</v>
      </c>
      <c r="T17" s="39">
        <v>122.939625</v>
      </c>
      <c r="U17" s="38">
        <v>4.46434310382514</v>
      </c>
      <c r="V17" s="38">
        <v>652.2356905</v>
      </c>
      <c r="W17" s="38">
        <v>989.046819853825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43">
        <f t="shared" si="10"/>
      </c>
      <c r="AD17" s="40">
        <f t="shared" si="8"/>
      </c>
      <c r="AE17" s="41">
        <f t="shared" si="3"/>
      </c>
      <c r="AF17" s="41">
        <f t="shared" si="1"/>
      </c>
      <c r="AG17" s="41">
        <f t="shared" si="5"/>
      </c>
      <c r="AH17" s="42">
        <f t="shared" si="4"/>
      </c>
      <c r="AI17" s="42">
        <f>IFERROR(N17/$J17,0)</f>
      </c>
      <c r="AJ17" s="42">
        <f>IFERROR(O17/$J17,0)</f>
      </c>
      <c r="AK17" s="42">
        <f>IFERROR(P17/$J17,0)</f>
      </c>
      <c r="AL17" s="42">
        <f>IFERROR(Q17/$J17,0)</f>
      </c>
      <c r="AM17" s="42">
        <f>IFERROR(R17/$J17,0)</f>
      </c>
      <c r="AN17" s="42">
        <f>IFERROR(S17/$J17,0)</f>
      </c>
      <c r="AO17" s="42">
        <f>IFERROR(T17/$J17,0)</f>
      </c>
      <c r="AP17" s="42">
        <f>IFERROR(U17/$J17,0)</f>
      </c>
      <c r="AQ17" s="42">
        <f>IFERROR(V17/$J17,0)</f>
      </c>
      <c r="AR17" s="41">
        <v>0</v>
      </c>
      <c r="AS17" s="41">
        <f t="shared" si="11"/>
      </c>
      <c r="AT17" s="9"/>
      <c r="AU17" s="9"/>
      <c r="AV17" s="33"/>
      <c r="AW17" s="33">
        <v>1663.70790870588</v>
      </c>
      <c r="AX17" s="33">
        <f t="shared" si="13"/>
      </c>
      <c r="AY17" s="33">
        <f t="shared" si="16"/>
      </c>
      <c r="AZ17" s="33">
        <f>IFERROR(SUMIFS('[2]毛利表广告费'!$J:$J,'[2]毛利表广告费'!$K:$K,AY17),#VALUE!)</f>
      </c>
      <c r="BA17" s="33">
        <v>225.101354474159</v>
      </c>
    </row>
    <row customHeight="true" ht="17.037037037037035" r="18">
      <c r="A18" s="34" t="s">
        <v>49</v>
      </c>
      <c r="B18" s="35" t="s">
        <v>50</v>
      </c>
      <c r="C18" s="34" t="s">
        <v>67</v>
      </c>
      <c r="D18" s="34" t="s">
        <v>68</v>
      </c>
      <c r="E18" s="34" t="s">
        <v>58</v>
      </c>
      <c r="F18" s="36" t="s">
        <v>54</v>
      </c>
      <c r="G18" s="37">
        <v>8.195975</v>
      </c>
      <c r="H18" s="38">
        <v>2</v>
      </c>
      <c r="I18" s="38">
        <v>0</v>
      </c>
      <c r="J18" s="38">
        <v>1287.9155115</v>
      </c>
      <c r="K18" s="38">
        <v>0</v>
      </c>
      <c r="L18" s="38">
        <v>368.141594</v>
      </c>
      <c r="M18" s="38">
        <v>0</v>
      </c>
      <c r="N18" s="38">
        <v>8.94679560500522</v>
      </c>
      <c r="O18" s="38">
        <v>29.4040886699507</v>
      </c>
      <c r="P18" s="38">
        <v>10.2433333333333</v>
      </c>
      <c r="Q18" s="38">
        <v>24.01420675</v>
      </c>
      <c r="R18" s="38">
        <v>23.276569</v>
      </c>
      <c r="S18" s="38">
        <v>188.490642052903</v>
      </c>
      <c r="T18" s="39">
        <v>173.50879075</v>
      </c>
      <c r="U18" s="38">
        <v>4.46434310382514</v>
      </c>
      <c r="V18" s="38">
        <v>0</v>
      </c>
      <c r="W18" s="38">
        <v>225.263909603825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43">
        <f t="shared" si="10"/>
      </c>
      <c r="AD18" s="40">
        <f t="shared" si="8"/>
      </c>
      <c r="AE18" s="41">
        <f t="shared" si="3"/>
      </c>
      <c r="AF18" s="41">
        <f t="shared" si="1"/>
      </c>
      <c r="AG18" s="41">
        <f t="shared" si="5"/>
      </c>
      <c r="AH18" s="42">
        <f t="shared" si="4"/>
      </c>
      <c r="AI18" s="42">
        <f>IFERROR(N18/$J18,0)</f>
      </c>
      <c r="AJ18" s="42">
        <f>IFERROR(O18/$J18,0)</f>
      </c>
      <c r="AK18" s="42">
        <f>IFERROR(P18/$J18,0)</f>
      </c>
      <c r="AL18" s="42">
        <f>IFERROR(Q18/$J18,0)</f>
      </c>
      <c r="AM18" s="42">
        <f>IFERROR(R18/$J18,0)</f>
      </c>
      <c r="AN18" s="42">
        <f>IFERROR(S18/$J18,0)</f>
      </c>
      <c r="AO18" s="42">
        <f>IFERROR(T18/$J18,0)</f>
      </c>
      <c r="AP18" s="42">
        <f>IFERROR(U18/$J18,0)</f>
      </c>
      <c r="AQ18" s="42">
        <f>IFERROR(V18/$J18,0)</f>
      </c>
      <c r="AR18" s="41">
        <v>0</v>
      </c>
      <c r="AS18" s="41">
        <f t="shared" si="11"/>
      </c>
      <c r="AT18" s="9"/>
      <c r="AU18" s="9"/>
      <c r="AV18" s="33"/>
      <c r="AW18" s="33">
        <v>0</v>
      </c>
      <c r="AX18" s="33">
        <f t="shared" si="13"/>
      </c>
      <c r="AY18" s="33">
        <f t="shared" si="16"/>
      </c>
      <c r="AZ18" s="33">
        <f>IFERROR(SUMIFS('[2]毛利表广告费'!$J:$J,'[2]毛利表广告费'!$K:$K,AY18),#VALUE!)</f>
      </c>
      <c r="BA18" s="33">
        <v>188.490642052903</v>
      </c>
    </row>
    <row customHeight="true" ht="17.037037037037035" r="19">
      <c r="A19" s="34" t="s">
        <v>49</v>
      </c>
      <c r="B19" s="35" t="s">
        <v>50</v>
      </c>
      <c r="C19" s="34" t="s">
        <v>65</v>
      </c>
      <c r="D19" s="34" t="s">
        <v>66</v>
      </c>
      <c r="E19" s="34" t="s">
        <v>59</v>
      </c>
      <c r="F19" s="36" t="s">
        <v>54</v>
      </c>
      <c r="G19" s="37">
        <v>8.195975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1141.32714807596</v>
      </c>
      <c r="T19" s="39">
        <v>0</v>
      </c>
      <c r="U19" s="38">
        <v>0</v>
      </c>
      <c r="V19" s="38">
        <v>0</v>
      </c>
      <c r="W19" s="38">
        <v>1077.03307475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43">
        <f t="shared" si="10"/>
      </c>
      <c r="AD19" s="40">
        <f t="shared" si="8"/>
      </c>
      <c r="AE19" s="41">
        <f t="shared" si="3"/>
      </c>
      <c r="AF19" s="41">
        <f t="shared" si="1"/>
      </c>
      <c r="AG19" s="41">
        <f t="shared" si="5"/>
      </c>
      <c r="AH19" s="42">
        <f t="shared" si="4"/>
      </c>
      <c r="AI19" s="42">
        <f>IFERROR(N19/$J19,0)</f>
      </c>
      <c r="AJ19" s="42">
        <f>IFERROR(O19/$J19,0)</f>
      </c>
      <c r="AK19" s="42">
        <f>IFERROR(P19/$J19,0)</f>
      </c>
      <c r="AL19" s="42">
        <f>IFERROR(Q19/$J19,0)</f>
      </c>
      <c r="AM19" s="42">
        <f>IFERROR(R19/$J19,0)</f>
      </c>
      <c r="AN19" s="42">
        <f>IFERROR(S19/$J19,0)</f>
      </c>
      <c r="AO19" s="42">
        <f>IFERROR(T19/$J19,0)</f>
      </c>
      <c r="AP19" s="42">
        <f>IFERROR(U19/$J19,0)</f>
      </c>
      <c r="AQ19" s="42">
        <f>IFERROR(V19/$J19,0)</f>
      </c>
      <c r="AR19" s="41">
        <v>0</v>
      </c>
      <c r="AS19" s="41">
        <f t="shared" si="11"/>
      </c>
      <c r="AT19" s="9"/>
      <c r="AU19" s="9"/>
      <c r="AV19" s="33"/>
      <c r="AW19" s="33">
        <v>102.71729786648</v>
      </c>
      <c r="AX19" s="33">
        <f t="shared" si="13"/>
      </c>
      <c r="AY19" s="33">
        <f t="shared" si="16"/>
      </c>
      <c r="AZ19" s="33">
        <f>IFERROR(SUMIFS('[2]毛利表广告费'!$J:$J,'[2]毛利表广告费'!$K:$K,AY19),#VALUE!)</f>
      </c>
      <c r="BA19" s="33">
        <v>1141.32714807596</v>
      </c>
    </row>
    <row customHeight="true" ht="17.037037037037035" r="20">
      <c r="A20" s="34" t="s">
        <v>49</v>
      </c>
      <c r="B20" s="35" t="s">
        <v>50</v>
      </c>
      <c r="C20" s="34" t="s">
        <v>67</v>
      </c>
      <c r="D20" s="34" t="s">
        <v>68</v>
      </c>
      <c r="E20" s="34" t="s">
        <v>59</v>
      </c>
      <c r="F20" s="36" t="s">
        <v>54</v>
      </c>
      <c r="G20" s="37">
        <v>8.195975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23.276569</v>
      </c>
      <c r="S20" s="38">
        <v>69.9956050887437</v>
      </c>
      <c r="T20" s="39">
        <v>0</v>
      </c>
      <c r="U20" s="38">
        <v>0</v>
      </c>
      <c r="V20" s="38">
        <v>0</v>
      </c>
      <c r="W20" s="38">
        <v>23.276569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  <c r="AC20" s="43">
        <f t="shared" si="10"/>
      </c>
      <c r="AD20" s="40">
        <f t="shared" si="8"/>
      </c>
      <c r="AE20" s="41">
        <f t="shared" si="3"/>
      </c>
      <c r="AF20" s="41">
        <f t="shared" si="1"/>
      </c>
      <c r="AG20" s="41">
        <f t="shared" si="5"/>
      </c>
      <c r="AH20" s="42">
        <f t="shared" si="4"/>
      </c>
      <c r="AI20" s="42">
        <f>IFERROR(N20/$J20,0)</f>
      </c>
      <c r="AJ20" s="42">
        <f>IFERROR(O20/$J20,0)</f>
      </c>
      <c r="AK20" s="42">
        <f>IFERROR(P20/$J20,0)</f>
      </c>
      <c r="AL20" s="42">
        <f>IFERROR(Q20/$J20,0)</f>
      </c>
      <c r="AM20" s="42">
        <f>IFERROR(R20/$J20,0)</f>
      </c>
      <c r="AN20" s="42">
        <f>IFERROR(S20/$J20,0)</f>
      </c>
      <c r="AO20" s="42">
        <f>IFERROR(T20/$J20,0)</f>
      </c>
      <c r="AP20" s="42">
        <f>IFERROR(U20/$J20,0)</f>
      </c>
      <c r="AQ20" s="42">
        <f>IFERROR(V20/$J20,0)</f>
      </c>
      <c r="AR20" s="41">
        <v>0</v>
      </c>
      <c r="AS20" s="41">
        <f t="shared" si="11"/>
      </c>
      <c r="AT20" s="9"/>
      <c r="AU20" s="9"/>
      <c r="AV20" s="33"/>
      <c r="AW20" s="33">
        <v>111.13825586648</v>
      </c>
      <c r="AX20" s="33">
        <f t="shared" si="13"/>
      </c>
      <c r="AY20" s="33">
        <f t="shared" si="16"/>
      </c>
      <c r="AZ20" s="33">
        <f>IFERROR(SUMIFS('[2]毛利表广告费'!$J:$J,'[2]毛利表广告费'!$K:$K,AY20),#VALUE!)</f>
      </c>
      <c r="BA20" s="33">
        <v>69.9956050887437</v>
      </c>
    </row>
    <row customHeight="true" ht="17.037037037037035" r="21">
      <c r="A21" s="34" t="s">
        <v>49</v>
      </c>
      <c r="B21" s="35" t="s">
        <v>50</v>
      </c>
      <c r="C21" s="34" t="s">
        <v>67</v>
      </c>
      <c r="D21" s="34" t="s">
        <v>68</v>
      </c>
      <c r="E21" s="34" t="s">
        <v>60</v>
      </c>
      <c r="F21" s="36" t="s">
        <v>54</v>
      </c>
      <c r="G21" s="37">
        <v>8.195975</v>
      </c>
      <c r="H21" s="38">
        <v>3</v>
      </c>
      <c r="I21" s="38">
        <v>0</v>
      </c>
      <c r="J21" s="38">
        <v>1483.22559575</v>
      </c>
      <c r="K21" s="38">
        <v>0</v>
      </c>
      <c r="L21" s="38">
        <v>552.212391</v>
      </c>
      <c r="M21" s="38">
        <v>0</v>
      </c>
      <c r="N21" s="38">
        <v>0</v>
      </c>
      <c r="O21" s="38">
        <v>44.1061330049261</v>
      </c>
      <c r="P21" s="38">
        <v>15.365</v>
      </c>
      <c r="Q21" s="38">
        <v>96.2207465</v>
      </c>
      <c r="R21" s="38">
        <v>31.9643025</v>
      </c>
      <c r="S21" s="38">
        <v>602.040456415997</v>
      </c>
      <c r="T21" s="39">
        <v>226.94654775</v>
      </c>
      <c r="U21" s="38">
        <v>4.46434310382514</v>
      </c>
      <c r="V21" s="38">
        <v>0</v>
      </c>
      <c r="W21" s="38">
        <v>359.595939853825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43">
        <f t="shared" si="10"/>
      </c>
      <c r="AD21" s="40">
        <f t="shared" si="8"/>
      </c>
      <c r="AE21" s="41">
        <f t="shared" si="3"/>
      </c>
      <c r="AF21" s="41">
        <f t="shared" si="1"/>
      </c>
      <c r="AG21" s="41">
        <f t="shared" si="5"/>
      </c>
      <c r="AH21" s="42">
        <f t="shared" si="4"/>
      </c>
      <c r="AI21" s="42">
        <f>IFERROR(N21/$J21,0)</f>
      </c>
      <c r="AJ21" s="42">
        <f>IFERROR(O21/$J21,0)</f>
      </c>
      <c r="AK21" s="42">
        <f>IFERROR(P21/$J21,0)</f>
      </c>
      <c r="AL21" s="42">
        <f>IFERROR(Q21/$J21,0)</f>
      </c>
      <c r="AM21" s="42">
        <f>IFERROR(R21/$J21,0)</f>
      </c>
      <c r="AN21" s="42">
        <f>IFERROR(S21/$J21,0)</f>
      </c>
      <c r="AO21" s="42">
        <f>IFERROR(T21/$J21,0)</f>
      </c>
      <c r="AP21" s="42">
        <f>IFERROR(U21/$J21,0)</f>
      </c>
      <c r="AQ21" s="42">
        <f>IFERROR(V21/$J21,0)</f>
      </c>
      <c r="AR21" s="41">
        <v>0</v>
      </c>
      <c r="AS21" s="41">
        <f t="shared" si="11"/>
      </c>
      <c r="AT21" s="9"/>
      <c r="AU21" s="9"/>
      <c r="AV21" s="33"/>
      <c r="AW21" s="33">
        <v>114.110358690009</v>
      </c>
      <c r="AX21" s="33">
        <f t="shared" si="13"/>
      </c>
      <c r="AY21" s="33">
        <f t="shared" si="16"/>
      </c>
      <c r="AZ21" s="33">
        <f>IFERROR(SUMIFS('[2]毛利表广告费'!$J:$J,'[2]毛利表广告费'!$K:$K,AY21),#VALUE!)</f>
      </c>
      <c r="BA21" s="33">
        <v>602.040456415997</v>
      </c>
    </row>
    <row customHeight="true" ht="17.037037037037035" r="22">
      <c r="A22" s="34" t="s">
        <v>49</v>
      </c>
      <c r="B22" s="35" t="s">
        <v>50</v>
      </c>
      <c r="C22" s="34" t="s">
        <v>67</v>
      </c>
      <c r="D22" s="34" t="s">
        <v>68</v>
      </c>
      <c r="E22" s="34" t="s">
        <v>57</v>
      </c>
      <c r="F22" s="36" t="s">
        <v>54</v>
      </c>
      <c r="G22" s="37">
        <v>8.195975</v>
      </c>
      <c r="H22" s="38">
        <v>1</v>
      </c>
      <c r="I22" s="38">
        <v>0</v>
      </c>
      <c r="J22" s="38">
        <v>575.685284</v>
      </c>
      <c r="K22" s="38">
        <v>0</v>
      </c>
      <c r="L22" s="38">
        <v>184.070797</v>
      </c>
      <c r="M22" s="38">
        <v>0</v>
      </c>
      <c r="N22" s="38">
        <v>5.90918987915124</v>
      </c>
      <c r="O22" s="38">
        <v>14.7020443349754</v>
      </c>
      <c r="P22" s="38">
        <v>5.12166666666667</v>
      </c>
      <c r="Q22" s="38">
        <v>14.01511725</v>
      </c>
      <c r="R22" s="38">
        <v>129.496405</v>
      </c>
      <c r="S22" s="38">
        <v>471.460679253899</v>
      </c>
      <c r="T22" s="39">
        <v>87.28713375</v>
      </c>
      <c r="U22" s="38">
        <v>13.399524639131</v>
      </c>
      <c r="V22" s="38">
        <v>146.13423425</v>
      </c>
      <c r="W22" s="38">
        <v>677.519378889131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43">
        <f t="shared" si="10"/>
      </c>
      <c r="AD22" s="40">
        <f t="shared" si="8"/>
      </c>
      <c r="AE22" s="41">
        <f t="shared" si="3"/>
      </c>
      <c r="AF22" s="41">
        <f t="shared" si="1"/>
      </c>
      <c r="AG22" s="41">
        <f t="shared" si="5"/>
      </c>
      <c r="AH22" s="42">
        <f t="shared" si="4"/>
      </c>
      <c r="AI22" s="42">
        <f>IFERROR(N22/$J22,0)</f>
      </c>
      <c r="AJ22" s="42">
        <f>IFERROR(O22/$J22,0)</f>
      </c>
      <c r="AK22" s="42">
        <f>IFERROR(P22/$J22,0)</f>
      </c>
      <c r="AL22" s="42">
        <f>IFERROR(Q22/$J22,0)</f>
      </c>
      <c r="AM22" s="42">
        <f>IFERROR(R22/$J22,0)</f>
      </c>
      <c r="AN22" s="42">
        <f>IFERROR(S22/$J22,0)</f>
      </c>
      <c r="AO22" s="42">
        <f>IFERROR(T22/$J22,0)</f>
      </c>
      <c r="AP22" s="42">
        <f>IFERROR(U22/$J22,0)</f>
      </c>
      <c r="AQ22" s="42">
        <f>IFERROR(V22/$J22,0)</f>
      </c>
      <c r="AR22" s="41">
        <v>0</v>
      </c>
      <c r="AS22" s="41">
        <f t="shared" si="11"/>
      </c>
      <c r="AT22" s="9"/>
      <c r="AU22" s="9"/>
      <c r="AV22" s="33"/>
      <c r="AW22" s="33">
        <v>0</v>
      </c>
      <c r="AX22" s="33">
        <f t="shared" si="13"/>
      </c>
      <c r="AY22" s="33">
        <f t="shared" si="16"/>
      </c>
      <c r="AZ22" s="33">
        <f>IFERROR(SUMIFS('[2]毛利表广告费'!$J:$J,'[2]毛利表广告费'!$K:$K,AY22),#VALUE!)</f>
      </c>
      <c r="BA22" s="33">
        <v>471.460679253899</v>
      </c>
    </row>
    <row customHeight="true" ht="17.037037037037035" r="23">
      <c r="A23" s="34" t="s">
        <v>49</v>
      </c>
      <c r="B23" s="35" t="s">
        <v>50</v>
      </c>
      <c r="C23" s="34" t="s">
        <v>69</v>
      </c>
      <c r="D23" s="34" t="s">
        <v>70</v>
      </c>
      <c r="E23" s="34" t="s">
        <v>58</v>
      </c>
      <c r="F23" s="36" t="s">
        <v>54</v>
      </c>
      <c r="G23" s="37">
        <v>8.195975</v>
      </c>
      <c r="H23" s="38">
        <v>2</v>
      </c>
      <c r="I23" s="38">
        <v>1</v>
      </c>
      <c r="J23" s="38">
        <v>496.8400045</v>
      </c>
      <c r="K23" s="38">
        <v>248.42000225</v>
      </c>
      <c r="L23" s="38">
        <v>142.30093</v>
      </c>
      <c r="M23" s="38">
        <v>-76.6048370930232</v>
      </c>
      <c r="N23" s="38">
        <v>1.72570557965959</v>
      </c>
      <c r="O23" s="38">
        <v>10.9087441860465</v>
      </c>
      <c r="P23" s="38">
        <v>1.01333333333333</v>
      </c>
      <c r="Q23" s="38">
        <v>64.912122</v>
      </c>
      <c r="R23" s="38">
        <v>42.53711025</v>
      </c>
      <c r="S23" s="38">
        <v>37.0116558818613</v>
      </c>
      <c r="T23" s="39">
        <v>47.0448965</v>
      </c>
      <c r="U23" s="38">
        <v>4.46434310382514</v>
      </c>
      <c r="V23" s="38">
        <v>0</v>
      </c>
      <c r="W23" s="38">
        <v>192.234130353825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43">
        <f t="shared" si="10"/>
      </c>
      <c r="AD23" s="40">
        <f t="shared" si="8"/>
      </c>
      <c r="AE23" s="41">
        <f t="shared" si="3"/>
      </c>
      <c r="AF23" s="41">
        <f t="shared" si="1"/>
      </c>
      <c r="AG23" s="41">
        <f t="shared" si="5"/>
      </c>
      <c r="AH23" s="42">
        <f t="shared" si="4"/>
      </c>
      <c r="AI23" s="42">
        <f>IFERROR(N23/$J23,0)</f>
      </c>
      <c r="AJ23" s="42">
        <f>IFERROR(O23/$J23,0)</f>
      </c>
      <c r="AK23" s="42">
        <f>IFERROR(P23/$J23,0)</f>
      </c>
      <c r="AL23" s="42">
        <f>IFERROR(Q23/$J23,0)</f>
      </c>
      <c r="AM23" s="42">
        <f>IFERROR(R23/$J23,0)</f>
      </c>
      <c r="AN23" s="42">
        <f>IFERROR(S23/$J23,0)</f>
      </c>
      <c r="AO23" s="42">
        <f>IFERROR(T23/$J23,0)</f>
      </c>
      <c r="AP23" s="42">
        <f>IFERROR(U23/$J23,0)</f>
      </c>
      <c r="AQ23" s="42">
        <f>IFERROR(V23/$J23,0)</f>
      </c>
      <c r="AR23" s="41">
        <v>0</v>
      </c>
      <c r="AS23" s="41">
        <f t="shared" si="11"/>
      </c>
      <c r="AT23" s="9"/>
      <c r="AU23" s="9"/>
      <c r="AV23" s="33"/>
      <c r="AW23" s="33">
        <v>232.624388176471</v>
      </c>
      <c r="AX23" s="33">
        <f t="shared" si="13"/>
      </c>
      <c r="AY23" s="33">
        <f t="shared" si="16"/>
      </c>
      <c r="AZ23" s="33">
        <f>IFERROR(SUMIFS('[2]毛利表广告费'!$J:$J,'[2]毛利表广告费'!$K:$K,AY23),#VALUE!)</f>
      </c>
      <c r="BA23" s="33">
        <v>37.0116558818613</v>
      </c>
    </row>
    <row customHeight="true" ht="17.037037037037035" r="24">
      <c r="A24" s="34" t="s">
        <v>49</v>
      </c>
      <c r="B24" s="35" t="s">
        <v>50</v>
      </c>
      <c r="C24" s="34" t="s">
        <v>71</v>
      </c>
      <c r="D24" s="34" t="s">
        <v>72</v>
      </c>
      <c r="E24" s="34" t="s">
        <v>58</v>
      </c>
      <c r="F24" s="36" t="s">
        <v>54</v>
      </c>
      <c r="G24" s="37">
        <v>8.195975</v>
      </c>
      <c r="H24" s="38">
        <v>3</v>
      </c>
      <c r="I24" s="38">
        <v>0</v>
      </c>
      <c r="J24" s="38">
        <v>404.96312475</v>
      </c>
      <c r="K24" s="38">
        <v>0</v>
      </c>
      <c r="L24" s="38">
        <v>77.468976</v>
      </c>
      <c r="M24" s="38">
        <v>0</v>
      </c>
      <c r="N24" s="38">
        <v>2.8131676902336</v>
      </c>
      <c r="O24" s="38">
        <v>9.49801536491677</v>
      </c>
      <c r="P24" s="38">
        <v>0.288</v>
      </c>
      <c r="Q24" s="38">
        <v>51.3068035</v>
      </c>
      <c r="R24" s="38">
        <v>198.342595</v>
      </c>
      <c r="S24" s="38">
        <v>90.1581990845921</v>
      </c>
      <c r="T24" s="39">
        <v>63.928605</v>
      </c>
      <c r="U24" s="38">
        <v>4.46434310382514</v>
      </c>
      <c r="V24" s="38">
        <v>0</v>
      </c>
      <c r="W24" s="38">
        <v>401.969130603825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43">
        <f t="shared" si="10"/>
      </c>
      <c r="AD24" s="40">
        <f t="shared" si="8"/>
      </c>
      <c r="AE24" s="41">
        <f t="shared" si="3"/>
      </c>
      <c r="AF24" s="41">
        <f t="shared" si="1"/>
      </c>
      <c r="AG24" s="41">
        <f t="shared" si="5"/>
      </c>
      <c r="AH24" s="42">
        <f t="shared" si="4"/>
      </c>
      <c r="AI24" s="42">
        <f>IFERROR(N24/$J24,0)</f>
      </c>
      <c r="AJ24" s="42">
        <f>IFERROR(O24/$J24,0)</f>
      </c>
      <c r="AK24" s="42">
        <f>IFERROR(P24/$J24,0)</f>
      </c>
      <c r="AL24" s="42">
        <f>IFERROR(Q24/$J24,0)</f>
      </c>
      <c r="AM24" s="42">
        <f>IFERROR(R24/$J24,0)</f>
      </c>
      <c r="AN24" s="42">
        <f>IFERROR(S24/$J24,0)</f>
      </c>
      <c r="AO24" s="42">
        <f>IFERROR(T24/$J24,0)</f>
      </c>
      <c r="AP24" s="42">
        <f>IFERROR(U24/$J24,0)</f>
      </c>
      <c r="AQ24" s="42">
        <f>IFERROR(V24/$J24,0)</f>
      </c>
      <c r="AR24" s="41">
        <v>0</v>
      </c>
      <c r="AS24" s="41">
        <f t="shared" si="11"/>
      </c>
      <c r="AT24" s="9"/>
      <c r="AU24" s="9"/>
      <c r="AV24" s="33"/>
      <c r="AW24" s="33">
        <v>843.814984588235</v>
      </c>
      <c r="AX24" s="33">
        <f t="shared" si="13"/>
      </c>
      <c r="AY24" s="33">
        <f t="shared" si="16"/>
      </c>
      <c r="AZ24" s="33">
        <f>IFERROR(SUMIFS('[2]毛利表广告费'!$J:$J,'[2]毛利表广告费'!$K:$K,AY24),#VALUE!)</f>
      </c>
      <c r="BA24" s="33">
        <v>90.1581990845921</v>
      </c>
    </row>
    <row customHeight="true" ht="17.037037037037035" r="25">
      <c r="A25" s="34" t="s">
        <v>49</v>
      </c>
      <c r="B25" s="35" t="s">
        <v>50</v>
      </c>
      <c r="C25" s="34" t="s">
        <v>71</v>
      </c>
      <c r="D25" s="34" t="s">
        <v>72</v>
      </c>
      <c r="E25" s="34" t="s">
        <v>57</v>
      </c>
      <c r="F25" s="36" t="s">
        <v>54</v>
      </c>
      <c r="G25" s="37">
        <v>8.195975</v>
      </c>
      <c r="H25" s="38">
        <v>5</v>
      </c>
      <c r="I25" s="38">
        <v>1</v>
      </c>
      <c r="J25" s="38">
        <v>704.526011</v>
      </c>
      <c r="K25" s="38">
        <v>120.316913</v>
      </c>
      <c r="L25" s="38">
        <v>129.11496</v>
      </c>
      <c r="M25" s="38">
        <v>-28.9889971216389</v>
      </c>
      <c r="N25" s="38">
        <v>34.9856807005954</v>
      </c>
      <c r="O25" s="38">
        <v>15.8300256081946</v>
      </c>
      <c r="P25" s="38">
        <v>0.48</v>
      </c>
      <c r="Q25" s="38">
        <v>56.96202625</v>
      </c>
      <c r="R25" s="38">
        <v>69.9936265</v>
      </c>
      <c r="S25" s="38">
        <v>100.558677966196</v>
      </c>
      <c r="T25" s="39">
        <v>87.12321425</v>
      </c>
      <c r="U25" s="38">
        <v>5.97568109858574</v>
      </c>
      <c r="V25" s="38">
        <v>0</v>
      </c>
      <c r="W25" s="38">
        <v>280.294964348586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43">
        <f t="shared" si="10"/>
      </c>
      <c r="AD25" s="40">
        <f t="shared" si="8"/>
      </c>
      <c r="AE25" s="41">
        <f t="shared" si="3"/>
      </c>
      <c r="AF25" s="41">
        <f t="shared" si="1"/>
      </c>
      <c r="AG25" s="41">
        <f t="shared" si="5"/>
      </c>
      <c r="AH25" s="42">
        <f t="shared" si="4"/>
      </c>
      <c r="AI25" s="42">
        <f>IFERROR(N25/$J25,0)</f>
      </c>
      <c r="AJ25" s="42">
        <f>IFERROR(O25/$J25,0)</f>
      </c>
      <c r="AK25" s="42">
        <f>IFERROR(P25/$J25,0)</f>
      </c>
      <c r="AL25" s="42">
        <f>IFERROR(Q25/$J25,0)</f>
      </c>
      <c r="AM25" s="42">
        <f>IFERROR(R25/$J25,0)</f>
      </c>
      <c r="AN25" s="42">
        <f>IFERROR(S25/$J25,0)</f>
      </c>
      <c r="AO25" s="42">
        <f>IFERROR(T25/$J25,0)</f>
      </c>
      <c r="AP25" s="42">
        <f>IFERROR(U25/$J25,0)</f>
      </c>
      <c r="AQ25" s="42">
        <f>IFERROR(V25/$J25,0)</f>
      </c>
      <c r="AR25" s="41">
        <v>0</v>
      </c>
      <c r="AS25" s="41">
        <f t="shared" si="11"/>
      </c>
      <c r="AT25" s="9"/>
      <c r="AU25" s="9"/>
      <c r="AV25" s="33"/>
      <c r="AW25" s="33">
        <v>0</v>
      </c>
      <c r="AX25" s="33">
        <f t="shared" si="13"/>
      </c>
      <c r="AY25" s="33">
        <f t="shared" si="16"/>
      </c>
      <c r="AZ25" s="33">
        <f>IFERROR(SUMIFS('[2]毛利表广告费'!$J:$J,'[2]毛利表广告费'!$K:$K,AY25),#VALUE!)</f>
      </c>
      <c r="BA25" s="33">
        <v>100.558677966196</v>
      </c>
    </row>
    <row customHeight="true" ht="17.037037037037035" r="26">
      <c r="A26" s="34" t="s">
        <v>49</v>
      </c>
      <c r="B26" s="35" t="s">
        <v>50</v>
      </c>
      <c r="C26" s="34" t="s">
        <v>71</v>
      </c>
      <c r="D26" s="34" t="s">
        <v>72</v>
      </c>
      <c r="E26" s="34" t="s">
        <v>60</v>
      </c>
      <c r="F26" s="36" t="s">
        <v>54</v>
      </c>
      <c r="G26" s="37">
        <v>8.195975</v>
      </c>
      <c r="H26" s="38">
        <v>1</v>
      </c>
      <c r="I26" s="38">
        <v>0</v>
      </c>
      <c r="J26" s="38">
        <v>133.84027175</v>
      </c>
      <c r="K26" s="38">
        <v>0</v>
      </c>
      <c r="L26" s="38">
        <v>25.822992</v>
      </c>
      <c r="M26" s="38">
        <v>0</v>
      </c>
      <c r="N26" s="38">
        <v>0</v>
      </c>
      <c r="O26" s="38">
        <v>3.16600512163892</v>
      </c>
      <c r="P26" s="38">
        <v>0.096</v>
      </c>
      <c r="Q26" s="38">
        <v>29.0137515</v>
      </c>
      <c r="R26" s="38">
        <v>34.423095</v>
      </c>
      <c r="S26" s="38">
        <v>50.8849207718121</v>
      </c>
      <c r="T26" s="39">
        <v>21.309535</v>
      </c>
      <c r="U26" s="38">
        <v>4.46434310382514</v>
      </c>
      <c r="V26" s="38">
        <v>0</v>
      </c>
      <c r="W26" s="38">
        <v>138.796373353825</v>
      </c>
      <c r="X26" s="38">
        <v>0</v>
      </c>
      <c r="Y26" s="38">
        <v>0</v>
      </c>
      <c r="Z26" s="38">
        <v>0</v>
      </c>
      <c r="AA26" s="38">
        <v>0</v>
      </c>
      <c r="AB26" s="38">
        <v>0</v>
      </c>
      <c r="AC26" s="43">
        <f t="shared" si="10"/>
      </c>
      <c r="AD26" s="40">
        <f t="shared" si="8"/>
      </c>
      <c r="AE26" s="41">
        <f t="shared" si="3"/>
      </c>
      <c r="AF26" s="41">
        <f t="shared" si="1"/>
      </c>
      <c r="AG26" s="41">
        <f t="shared" si="5"/>
      </c>
      <c r="AH26" s="42">
        <f t="shared" si="4"/>
      </c>
      <c r="AI26" s="42">
        <f>IFERROR(N26/$J26,0)</f>
      </c>
      <c r="AJ26" s="42">
        <f>IFERROR(O26/$J26,0)</f>
      </c>
      <c r="AK26" s="42">
        <f>IFERROR(P26/$J26,0)</f>
      </c>
      <c r="AL26" s="42">
        <f>IFERROR(Q26/$J26,0)</f>
      </c>
      <c r="AM26" s="42">
        <f>IFERROR(R26/$J26,0)</f>
      </c>
      <c r="AN26" s="42">
        <f>IFERROR(S26/$J26,0)</f>
      </c>
      <c r="AO26" s="42">
        <f>IFERROR(T26/$J26,0)</f>
      </c>
      <c r="AP26" s="42">
        <f>IFERROR(U26/$J26,0)</f>
      </c>
      <c r="AQ26" s="42">
        <f>IFERROR(V26/$J26,0)</f>
      </c>
      <c r="AR26" s="41">
        <v>0</v>
      </c>
      <c r="AS26" s="41">
        <f t="shared" si="11"/>
      </c>
      <c r="AT26" s="9"/>
      <c r="AU26" s="9"/>
      <c r="AV26" s="33"/>
      <c r="AW26" s="33">
        <v>0</v>
      </c>
      <c r="AX26" s="33">
        <f t="shared" si="13"/>
      </c>
      <c r="AY26" s="33">
        <f t="shared" si="16"/>
      </c>
      <c r="AZ26" s="33">
        <f>IFERROR(SUMIFS('[2]毛利表广告费'!$J:$J,'[2]毛利表广告费'!$K:$K,AY26),#VALUE!)</f>
      </c>
      <c r="BA26" s="33">
        <v>50.8849207718121</v>
      </c>
    </row>
    <row customHeight="true" ht="17.037037037037035" r="27">
      <c r="A27" s="34" t="s">
        <v>49</v>
      </c>
      <c r="B27" s="35" t="s">
        <v>50</v>
      </c>
      <c r="C27" s="34" t="s">
        <v>69</v>
      </c>
      <c r="D27" s="34" t="s">
        <v>70</v>
      </c>
      <c r="E27" s="34" t="s">
        <v>60</v>
      </c>
      <c r="F27" s="36" t="s">
        <v>54</v>
      </c>
      <c r="G27" s="37">
        <v>8.195975</v>
      </c>
      <c r="H27" s="38">
        <v>2</v>
      </c>
      <c r="I27" s="38">
        <v>0</v>
      </c>
      <c r="J27" s="38">
        <v>648.05574325</v>
      </c>
      <c r="K27" s="38">
        <v>0</v>
      </c>
      <c r="L27" s="38">
        <v>142.30093</v>
      </c>
      <c r="M27" s="38">
        <v>0</v>
      </c>
      <c r="N27" s="38">
        <v>0</v>
      </c>
      <c r="O27" s="38">
        <v>10.9087441860465</v>
      </c>
      <c r="P27" s="38">
        <v>1.01333333333333</v>
      </c>
      <c r="Q27" s="38">
        <v>35.2426925</v>
      </c>
      <c r="R27" s="38">
        <v>32.7839</v>
      </c>
      <c r="S27" s="38">
        <v>5.7415213739615</v>
      </c>
      <c r="T27" s="39">
        <v>103.1053655</v>
      </c>
      <c r="U27" s="38">
        <v>4.46434310382514</v>
      </c>
      <c r="V27" s="38">
        <v>887.132334</v>
      </c>
      <c r="W27" s="38">
        <v>1062.72863510383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43">
        <f t="shared" si="10"/>
      </c>
      <c r="AD27" s="40">
        <f t="shared" si="8"/>
      </c>
      <c r="AE27" s="41">
        <f t="shared" si="3"/>
      </c>
      <c r="AF27" s="41">
        <f t="shared" si="1"/>
      </c>
      <c r="AG27" s="41">
        <f t="shared" si="5"/>
      </c>
      <c r="AH27" s="42">
        <f t="shared" si="4"/>
      </c>
      <c r="AI27" s="42">
        <f>IFERROR(N27/$J27,0)</f>
      </c>
      <c r="AJ27" s="42">
        <f>IFERROR(O27/$J27,0)</f>
      </c>
      <c r="AK27" s="42">
        <f>IFERROR(P27/$J27,0)</f>
      </c>
      <c r="AL27" s="42">
        <f>IFERROR(Q27/$J27,0)</f>
      </c>
      <c r="AM27" s="42">
        <f>IFERROR(R27/$J27,0)</f>
      </c>
      <c r="AN27" s="42">
        <f>IFERROR(S27/$J27,0)</f>
      </c>
      <c r="AO27" s="42">
        <f>IFERROR(T27/$J27,0)</f>
      </c>
      <c r="AP27" s="42">
        <f>IFERROR(U27/$J27,0)</f>
      </c>
      <c r="AQ27" s="42">
        <f>IFERROR(V27/$J27,0)</f>
      </c>
      <c r="AR27" s="41">
        <v>0</v>
      </c>
      <c r="AS27" s="41">
        <f t="shared" si="11"/>
      </c>
      <c r="AT27" s="9"/>
      <c r="AU27" s="9"/>
      <c r="AV27" s="33"/>
      <c r="AW27" s="33">
        <v>161.605667352941</v>
      </c>
      <c r="AX27" s="33">
        <f t="shared" si="13"/>
      </c>
      <c r="AY27" s="33">
        <f t="shared" si="16"/>
      </c>
      <c r="AZ27" s="33">
        <f>IFERROR(SUMIFS('[2]毛利表广告费'!$J:$J,'[2]毛利表广告费'!$K:$K,AY27),#VALUE!)</f>
      </c>
      <c r="BA27" s="33">
        <v>5.7415213739615</v>
      </c>
    </row>
    <row customHeight="true" ht="17.037037037037035" r="28">
      <c r="A28" s="34" t="s">
        <v>49</v>
      </c>
      <c r="B28" s="35" t="s">
        <v>50</v>
      </c>
      <c r="C28" s="34" t="s">
        <v>69</v>
      </c>
      <c r="D28" s="34" t="s">
        <v>70</v>
      </c>
      <c r="E28" s="34" t="s">
        <v>57</v>
      </c>
      <c r="F28" s="36" t="s">
        <v>54</v>
      </c>
      <c r="G28" s="37">
        <v>8.195975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65.5678</v>
      </c>
      <c r="S28" s="38">
        <v>0</v>
      </c>
      <c r="T28" s="39">
        <v>0</v>
      </c>
      <c r="U28" s="38">
        <v>0</v>
      </c>
      <c r="V28" s="38">
        <v>348.9846155</v>
      </c>
      <c r="W28" s="38">
        <v>414.5524155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43">
        <f t="shared" si="10"/>
      </c>
      <c r="AD28" s="40">
        <f t="shared" si="8"/>
      </c>
      <c r="AE28" s="41">
        <f t="shared" si="3"/>
      </c>
      <c r="AF28" s="41">
        <f t="shared" si="1"/>
      </c>
      <c r="AG28" s="41">
        <f t="shared" si="5"/>
      </c>
      <c r="AH28" s="42">
        <f t="shared" si="4"/>
      </c>
      <c r="AI28" s="42">
        <f>IFERROR(N28/$J28,0)</f>
      </c>
      <c r="AJ28" s="42">
        <f>IFERROR(O28/$J28,0)</f>
      </c>
      <c r="AK28" s="42">
        <f>IFERROR(P28/$J28,0)</f>
      </c>
      <c r="AL28" s="42">
        <f>IFERROR(Q28/$J28,0)</f>
      </c>
      <c r="AM28" s="42">
        <f>IFERROR(R28/$J28,0)</f>
      </c>
      <c r="AN28" s="42">
        <f>IFERROR(S28/$J28,0)</f>
      </c>
      <c r="AO28" s="42">
        <f>IFERROR(T28/$J28,0)</f>
      </c>
      <c r="AP28" s="42">
        <f>IFERROR(U28/$J28,0)</f>
      </c>
      <c r="AQ28" s="42">
        <f>IFERROR(V28/$J28,0)</f>
      </c>
      <c r="AR28" s="41">
        <v>0</v>
      </c>
      <c r="AS28" s="41">
        <f t="shared" si="11"/>
      </c>
      <c r="AT28" s="9"/>
      <c r="AU28" s="9"/>
      <c r="AV28" s="33"/>
      <c r="AW28" s="33">
        <v>76.5162672805249</v>
      </c>
      <c r="AX28" s="33">
        <f t="shared" si="13"/>
      </c>
      <c r="AY28" s="33">
        <f t="shared" si="16"/>
      </c>
      <c r="AZ28" s="33">
        <f>IFERROR(SUMIFS('[2]毛利表广告费'!$J:$J,'[2]毛利表广告费'!$K:$K,AY28),#VALUE!)</f>
      </c>
      <c r="BA28" s="33">
        <v>0</v>
      </c>
    </row>
    <row customHeight="true" ht="17.037037037037035" r="29">
      <c r="A29" s="34" t="s">
        <v>49</v>
      </c>
      <c r="B29" s="35" t="s">
        <v>50</v>
      </c>
      <c r="C29" s="34" t="s">
        <v>69</v>
      </c>
      <c r="D29" s="34" t="s">
        <v>70</v>
      </c>
      <c r="E29" s="34" t="s">
        <v>59</v>
      </c>
      <c r="F29" s="36" t="s">
        <v>54</v>
      </c>
      <c r="G29" s="37">
        <v>8.195975</v>
      </c>
      <c r="H29" s="38">
        <v>2</v>
      </c>
      <c r="I29" s="38">
        <v>0</v>
      </c>
      <c r="J29" s="38">
        <v>544.21274</v>
      </c>
      <c r="K29" s="38">
        <v>0</v>
      </c>
      <c r="L29" s="38">
        <v>142.30093</v>
      </c>
      <c r="M29" s="38">
        <v>0</v>
      </c>
      <c r="N29" s="38">
        <v>0</v>
      </c>
      <c r="O29" s="38">
        <v>10.9087441860465</v>
      </c>
      <c r="P29" s="38">
        <v>1.01333333333333</v>
      </c>
      <c r="Q29" s="38">
        <v>77.8617625</v>
      </c>
      <c r="R29" s="38">
        <v>39.34068</v>
      </c>
      <c r="S29" s="38">
        <v>121.038051321364</v>
      </c>
      <c r="T29" s="39">
        <v>85.4020595</v>
      </c>
      <c r="U29" s="38">
        <v>4.46434310382514</v>
      </c>
      <c r="V29" s="38">
        <v>306.28358575</v>
      </c>
      <c r="W29" s="38">
        <v>631.128591603825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43">
        <f t="shared" si="10"/>
      </c>
      <c r="AD29" s="40">
        <f t="shared" si="8"/>
      </c>
      <c r="AE29" s="41">
        <f t="shared" si="3"/>
      </c>
      <c r="AF29" s="41">
        <f t="shared" si="1"/>
      </c>
      <c r="AG29" s="41">
        <f t="shared" si="5"/>
      </c>
      <c r="AH29" s="42">
        <f t="shared" si="4"/>
      </c>
      <c r="AI29" s="42">
        <f>IFERROR(N29/$J29,0)</f>
      </c>
      <c r="AJ29" s="42">
        <f>IFERROR(O29/$J29,0)</f>
      </c>
      <c r="AK29" s="42">
        <f>IFERROR(P29/$J29,0)</f>
      </c>
      <c r="AL29" s="42">
        <f>IFERROR(Q29/$J29,0)</f>
      </c>
      <c r="AM29" s="42">
        <f>IFERROR(R29/$J29,0)</f>
      </c>
      <c r="AN29" s="42">
        <f>IFERROR(S29/$J29,0)</f>
      </c>
      <c r="AO29" s="42">
        <f>IFERROR(T29/$J29,0)</f>
      </c>
      <c r="AP29" s="42">
        <f>IFERROR(U29/$J29,0)</f>
      </c>
      <c r="AQ29" s="42">
        <f>IFERROR(V29/$J29,0)</f>
      </c>
      <c r="AR29" s="41">
        <v>0</v>
      </c>
      <c r="AS29" s="41">
        <f t="shared" si="11"/>
      </c>
      <c r="AT29" s="9"/>
      <c r="AU29" s="9"/>
      <c r="AV29" s="33"/>
      <c r="AW29" s="33">
        <v>0</v>
      </c>
      <c r="AX29" s="33">
        <f t="shared" si="13"/>
      </c>
      <c r="AY29" s="33">
        <f t="shared" si="16"/>
      </c>
      <c r="AZ29" s="33">
        <f>IFERROR(SUMIFS('[2]毛利表广告费'!$J:$J,'[2]毛利表广告费'!$K:$K,AY29),#VALUE!)</f>
      </c>
      <c r="BA29" s="33">
        <v>121.038051321364</v>
      </c>
    </row>
    <row customHeight="true" ht="17.037037037037035" r="30">
      <c r="A30" s="34" t="s">
        <v>49</v>
      </c>
      <c r="B30" s="35" t="s">
        <v>50</v>
      </c>
      <c r="C30" s="34" t="s">
        <v>71</v>
      </c>
      <c r="D30" s="34" t="s">
        <v>72</v>
      </c>
      <c r="E30" s="34" t="s">
        <v>59</v>
      </c>
      <c r="F30" s="36" t="s">
        <v>54</v>
      </c>
      <c r="G30" s="37">
        <v>8.195975</v>
      </c>
      <c r="H30" s="38">
        <v>1</v>
      </c>
      <c r="I30" s="38">
        <v>1</v>
      </c>
      <c r="J30" s="38">
        <v>136.13514475</v>
      </c>
      <c r="K30" s="38">
        <v>136.13514475</v>
      </c>
      <c r="L30" s="38">
        <v>25.822992</v>
      </c>
      <c r="M30" s="38">
        <v>-28.9889971216389</v>
      </c>
      <c r="N30" s="38">
        <v>28.9889971216389</v>
      </c>
      <c r="O30" s="38">
        <v>3.16600512163892</v>
      </c>
      <c r="P30" s="38">
        <v>0.096</v>
      </c>
      <c r="Q30" s="38">
        <v>0</v>
      </c>
      <c r="R30" s="38">
        <v>32.7839</v>
      </c>
      <c r="S30" s="38">
        <v>18.4174312741834</v>
      </c>
      <c r="T30" s="39">
        <v>4.261907</v>
      </c>
      <c r="U30" s="38">
        <v>4.46434310382514</v>
      </c>
      <c r="V30" s="38">
        <v>0</v>
      </c>
      <c r="W30" s="38">
        <v>59.0495366038251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43">
        <f t="shared" si="10"/>
      </c>
      <c r="AD30" s="40">
        <f t="shared" si="8"/>
      </c>
      <c r="AE30" s="41">
        <f t="shared" si="3"/>
      </c>
      <c r="AF30" s="41">
        <f t="shared" si="1"/>
      </c>
      <c r="AG30" s="41">
        <f t="shared" si="5"/>
      </c>
      <c r="AH30" s="42">
        <f t="shared" si="4"/>
      </c>
      <c r="AI30" s="42">
        <f>IFERROR(N30/$J30,0)</f>
      </c>
      <c r="AJ30" s="42">
        <f>IFERROR(O30/$J30,0)</f>
      </c>
      <c r="AK30" s="42">
        <f>IFERROR(P30/$J30,0)</f>
      </c>
      <c r="AL30" s="42">
        <f>IFERROR(Q30/$J30,0)</f>
      </c>
      <c r="AM30" s="42">
        <f>IFERROR(R30/$J30,0)</f>
      </c>
      <c r="AN30" s="42">
        <f>IFERROR(S30/$J30,0)</f>
      </c>
      <c r="AO30" s="42">
        <f>IFERROR(T30/$J30,0)</f>
      </c>
      <c r="AP30" s="42">
        <f>IFERROR(U30/$J30,0)</f>
      </c>
      <c r="AQ30" s="42">
        <f>IFERROR(V30/$J30,0)</f>
      </c>
      <c r="AR30" s="41">
        <v>0</v>
      </c>
      <c r="AS30" s="41">
        <f t="shared" si="11"/>
      </c>
      <c r="AT30" s="9"/>
      <c r="AU30" s="9"/>
      <c r="AV30" s="33"/>
      <c r="AW30" s="33">
        <v>30.6</v>
      </c>
      <c r="AX30" s="33">
        <f t="shared" si="13"/>
      </c>
      <c r="AY30" s="33">
        <f t="shared" si="16"/>
      </c>
      <c r="AZ30" s="33">
        <f>IFERROR(SUMIFS('[2]毛利表广告费'!$J:$J,'[2]毛利表广告费'!$K:$K,AY30),#VALUE!)</f>
      </c>
      <c r="BA30" s="33">
        <v>18.4174312741834</v>
      </c>
    </row>
    <row customHeight="true" ht="17.037037037037035" r="31">
      <c r="A31" s="44" t="s">
        <v>49</v>
      </c>
      <c r="B31" s="45" t="s">
        <v>73</v>
      </c>
      <c r="C31" s="46" t="s">
        <v>56</v>
      </c>
      <c r="D31" s="47" t="s">
        <v>52</v>
      </c>
      <c r="E31" s="46" t="s">
        <v>57</v>
      </c>
      <c r="F31" s="46" t="s">
        <v>54</v>
      </c>
      <c r="G31" s="48">
        <v>8.195975</v>
      </c>
      <c r="H31" s="38">
        <v>580</v>
      </c>
      <c r="I31" s="39">
        <v>0</v>
      </c>
      <c r="J31" s="39">
        <v>265492.218175</v>
      </c>
      <c r="K31" s="39">
        <v>0</v>
      </c>
      <c r="L31" s="39">
        <v>70575.20852</v>
      </c>
      <c r="M31" s="39">
        <v>0</v>
      </c>
      <c r="N31" s="39">
        <v>0</v>
      </c>
      <c r="O31" s="39">
        <v>12072.1109669046</v>
      </c>
      <c r="P31" s="39">
        <v>0</v>
      </c>
      <c r="Q31" s="39">
        <v>9398.48683182135</v>
      </c>
      <c r="R31" s="39">
        <v>15708.405685</v>
      </c>
      <c r="S31" s="38">
        <v>30623.304665651</v>
      </c>
      <c r="T31" s="39">
        <v>45000.9309806625</v>
      </c>
      <c r="U31" s="39">
        <v>0</v>
      </c>
      <c r="V31" s="39">
        <v>0</v>
      </c>
      <c r="W31" s="39">
        <v>136449.45711286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43">
        <f t="shared" si="10"/>
      </c>
      <c r="AD31" s="40">
        <f t="shared" si="8"/>
      </c>
      <c r="AE31" s="41">
        <f t="shared" si="3"/>
      </c>
      <c r="AF31" s="41">
        <f t="shared" si="1"/>
      </c>
      <c r="AG31" s="41">
        <f t="shared" si="5"/>
      </c>
      <c r="AH31" s="42">
        <f t="shared" si="4"/>
      </c>
      <c r="AI31" s="42">
        <f>IFERROR(N31/$J31,0)</f>
      </c>
      <c r="AJ31" s="42">
        <f>IFERROR(O31/$J31,0)</f>
      </c>
      <c r="AK31" s="42">
        <f>IFERROR(P31/$J31,0)</f>
      </c>
      <c r="AL31" s="42">
        <f>IFERROR(Q31/$J31,0)</f>
      </c>
      <c r="AM31" s="42">
        <f>IFERROR(R31/$J31,0)</f>
      </c>
      <c r="AN31" s="42">
        <f>IFERROR(S31/$J31,0)</f>
      </c>
      <c r="AO31" s="42">
        <f>IFERROR(T31/$J31,0)</f>
      </c>
      <c r="AP31" s="42">
        <f>IFERROR(U31/$J31,0)</f>
      </c>
      <c r="AQ31" s="42">
        <f>IFERROR(V31/$J31,0)</f>
      </c>
      <c r="AR31" s="41">
        <v>0</v>
      </c>
      <c r="AS31" s="41">
        <f t="shared" si="11"/>
      </c>
      <c r="AT31" s="9"/>
      <c r="AU31" s="9"/>
      <c r="AV31" s="33"/>
      <c r="AW31" s="33"/>
      <c r="AX31" s="33">
        <f t="shared" si="13"/>
      </c>
      <c r="AY31" s="33">
        <f t="shared" si="16"/>
      </c>
      <c r="AZ31" s="33">
        <f>IFERROR(SUMIFS('[2]毛利表广告费'!$J:$J,'[2]毛利表广告费'!$K:$K,AY31),#VALUE!)</f>
      </c>
      <c r="BA31" s="33">
        <v>30623.304665651</v>
      </c>
    </row>
    <row customHeight="true" ht="17.037037037037035" r="32">
      <c r="A32" s="44" t="s">
        <v>49</v>
      </c>
      <c r="B32" s="45" t="s">
        <v>73</v>
      </c>
      <c r="C32" s="46" t="s">
        <v>56</v>
      </c>
      <c r="D32" s="47" t="s">
        <v>52</v>
      </c>
      <c r="E32" s="46" t="s">
        <v>60</v>
      </c>
      <c r="F32" s="46" t="s">
        <v>54</v>
      </c>
      <c r="G32" s="48">
        <v>8.195975</v>
      </c>
      <c r="H32" s="38">
        <v>786</v>
      </c>
      <c r="I32" s="39">
        <v>0</v>
      </c>
      <c r="J32" s="39">
        <v>378791.73738</v>
      </c>
      <c r="K32" s="39">
        <v>0</v>
      </c>
      <c r="L32" s="39">
        <v>95641.575684</v>
      </c>
      <c r="M32" s="39">
        <v>0</v>
      </c>
      <c r="N32" s="39">
        <v>0</v>
      </c>
      <c r="O32" s="39">
        <v>16359.7917585983</v>
      </c>
      <c r="P32" s="39">
        <v>0</v>
      </c>
      <c r="Q32" s="39">
        <v>12736.570085882</v>
      </c>
      <c r="R32" s="39">
        <v>27210.637</v>
      </c>
      <c r="S32" s="38">
        <v>21016.0386550231</v>
      </c>
      <c r="T32" s="39">
        <v>69924.954720348</v>
      </c>
      <c r="U32" s="39">
        <v>0</v>
      </c>
      <c r="V32" s="39">
        <v>0</v>
      </c>
      <c r="W32" s="39">
        <v>57141.518758178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43">
        <f t="shared" si="10"/>
      </c>
      <c r="AD32" s="40">
        <f t="shared" si="8"/>
      </c>
      <c r="AE32" s="41">
        <f t="shared" si="3"/>
      </c>
      <c r="AF32" s="41">
        <f t="shared" si="1"/>
      </c>
      <c r="AG32" s="41">
        <f t="shared" si="5"/>
      </c>
      <c r="AH32" s="42">
        <f t="shared" si="4"/>
      </c>
      <c r="AI32" s="42">
        <f>IFERROR(N32/$J32,0)</f>
      </c>
      <c r="AJ32" s="42">
        <f>IFERROR(O32/$J32,0)</f>
      </c>
      <c r="AK32" s="42">
        <f>IFERROR(P32/$J32,0)</f>
      </c>
      <c r="AL32" s="42">
        <f>IFERROR(Q32/$J32,0)</f>
      </c>
      <c r="AM32" s="42">
        <f>IFERROR(R32/$J32,0)</f>
      </c>
      <c r="AN32" s="42">
        <f>IFERROR(S32/$J32,0)</f>
      </c>
      <c r="AO32" s="42">
        <f>IFERROR(T32/$J32,0)</f>
      </c>
      <c r="AP32" s="42">
        <f>IFERROR(U32/$J32,0)</f>
      </c>
      <c r="AQ32" s="42">
        <f>IFERROR(V32/$J32,0)</f>
      </c>
      <c r="AR32" s="41">
        <v>0</v>
      </c>
      <c r="AS32" s="41">
        <f t="shared" si="11"/>
      </c>
      <c r="AT32" s="9"/>
      <c r="AU32" s="9"/>
      <c r="AV32" s="33"/>
      <c r="AW32" s="33"/>
      <c r="AX32" s="33">
        <f t="shared" si="13"/>
      </c>
      <c r="AY32" s="33">
        <f t="shared" si="16"/>
      </c>
      <c r="AZ32" s="33">
        <f>IFERROR(SUMIFS('[2]毛利表广告费'!$J:$J,'[2]毛利表广告费'!$K:$K,AY32),#VALUE!)</f>
      </c>
      <c r="BA32" s="33">
        <v>21016.0386550231</v>
      </c>
    </row>
    <row customHeight="true" ht="17.037037037037035" r="33">
      <c r="A33" s="44" t="s">
        <v>49</v>
      </c>
      <c r="B33" s="45" t="s">
        <v>73</v>
      </c>
      <c r="C33" s="46" t="s">
        <v>56</v>
      </c>
      <c r="D33" s="47" t="s">
        <v>52</v>
      </c>
      <c r="E33" s="46" t="s">
        <v>58</v>
      </c>
      <c r="F33" s="46" t="s">
        <v>54</v>
      </c>
      <c r="G33" s="48">
        <v>8.195975</v>
      </c>
      <c r="H33" s="38">
        <v>370</v>
      </c>
      <c r="I33" s="39">
        <v>0</v>
      </c>
      <c r="J33" s="39">
        <v>179979.5130125</v>
      </c>
      <c r="K33" s="39">
        <v>0</v>
      </c>
      <c r="L33" s="39">
        <v>45022.11578</v>
      </c>
      <c r="M33" s="39">
        <v>0</v>
      </c>
      <c r="N33" s="39">
        <v>0</v>
      </c>
      <c r="O33" s="39">
        <v>7701.17423750811</v>
      </c>
      <c r="P33" s="39">
        <v>0</v>
      </c>
      <c r="Q33" s="39">
        <v>5995.58642719638</v>
      </c>
      <c r="R33" s="39">
        <v>12394.281234</v>
      </c>
      <c r="S33" s="38">
        <v>10368.7033920115</v>
      </c>
      <c r="T33" s="39">
        <v>29624.6278418575</v>
      </c>
      <c r="U33" s="39">
        <v>0</v>
      </c>
      <c r="V33" s="39">
        <v>0</v>
      </c>
      <c r="W33" s="39">
        <v>23804.96350825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43">
        <f t="shared" si="10"/>
      </c>
      <c r="AD33" s="40">
        <f t="shared" si="8"/>
      </c>
      <c r="AE33" s="41">
        <f t="shared" si="3"/>
      </c>
      <c r="AF33" s="41">
        <f t="shared" si="1"/>
      </c>
      <c r="AG33" s="41">
        <f t="shared" si="5"/>
      </c>
      <c r="AH33" s="42">
        <f t="shared" si="4"/>
      </c>
      <c r="AI33" s="42">
        <f>IFERROR(N33/$J33,0)</f>
      </c>
      <c r="AJ33" s="42">
        <f>IFERROR(O33/$J33,0)</f>
      </c>
      <c r="AK33" s="42">
        <f>IFERROR(P33/$J33,0)</f>
      </c>
      <c r="AL33" s="42">
        <f>IFERROR(Q33/$J33,0)</f>
      </c>
      <c r="AM33" s="42">
        <f>IFERROR(R33/$J33,0)</f>
      </c>
      <c r="AN33" s="42">
        <f>IFERROR(S33/$J33,0)</f>
      </c>
      <c r="AO33" s="42">
        <f>IFERROR(T33/$J33,0)</f>
      </c>
      <c r="AP33" s="42">
        <f>IFERROR(U33/$J33,0)</f>
      </c>
      <c r="AQ33" s="42">
        <f>IFERROR(V33/$J33,0)</f>
      </c>
      <c r="AR33" s="41">
        <v>0</v>
      </c>
      <c r="AS33" s="41">
        <f t="shared" si="11"/>
      </c>
      <c r="AT33" s="9"/>
      <c r="AU33" s="9"/>
      <c r="AV33" s="33"/>
      <c r="AW33" s="33"/>
      <c r="AX33" s="33">
        <f t="shared" si="13"/>
      </c>
      <c r="AY33" s="33">
        <f t="shared" si="16"/>
      </c>
      <c r="AZ33" s="33">
        <f>IFERROR(SUMIFS('[2]毛利表广告费'!$J:$J,'[2]毛利表广告费'!$K:$K,AY33),#VALUE!)</f>
      </c>
      <c r="BA33" s="33">
        <v>10368.7033920115</v>
      </c>
    </row>
    <row customHeight="true" ht="17.037037037037035" r="34">
      <c r="A34" s="44" t="s">
        <v>49</v>
      </c>
      <c r="B34" s="45" t="s">
        <v>73</v>
      </c>
      <c r="C34" s="46" t="s">
        <v>51</v>
      </c>
      <c r="D34" s="47" t="s">
        <v>52</v>
      </c>
      <c r="E34" s="46" t="s">
        <v>53</v>
      </c>
      <c r="F34" s="46" t="s">
        <v>54</v>
      </c>
      <c r="G34" s="48">
        <v>9.316305</v>
      </c>
      <c r="H34" s="38">
        <v>181</v>
      </c>
      <c r="I34" s="39">
        <v>0</v>
      </c>
      <c r="J34" s="39">
        <v>93249.6916365</v>
      </c>
      <c r="K34" s="39">
        <v>0</v>
      </c>
      <c r="L34" s="39">
        <v>22024.336658</v>
      </c>
      <c r="M34" s="39">
        <v>0</v>
      </c>
      <c r="N34" s="39">
        <v>0</v>
      </c>
      <c r="O34" s="39">
        <v>4339.49672</v>
      </c>
      <c r="P34" s="39">
        <v>0</v>
      </c>
      <c r="Q34" s="39">
        <v>3115.50962690165</v>
      </c>
      <c r="R34" s="39">
        <v>4068.6167196</v>
      </c>
      <c r="S34" s="38">
        <v>9849.07618251892</v>
      </c>
      <c r="T34" s="39">
        <v>14733.451278567</v>
      </c>
      <c r="U34" s="39">
        <v>222.896323647</v>
      </c>
      <c r="V34" s="39">
        <v>0</v>
      </c>
      <c r="W34" s="39">
        <v>32260.7159743194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43">
        <f t="shared" si="10"/>
      </c>
      <c r="AD34" s="40">
        <f t="shared" si="8"/>
      </c>
      <c r="AE34" s="41">
        <f t="shared" si="3"/>
      </c>
      <c r="AF34" s="41">
        <f t="shared" si="1"/>
      </c>
      <c r="AG34" s="41">
        <f t="shared" si="5"/>
      </c>
      <c r="AH34" s="42">
        <f t="shared" si="4"/>
      </c>
      <c r="AI34" s="42">
        <f>IFERROR(N34/$J34,0)</f>
      </c>
      <c r="AJ34" s="42">
        <f>IFERROR(O34/$J34,0)</f>
      </c>
      <c r="AK34" s="42">
        <f>IFERROR(P34/$J34,0)</f>
      </c>
      <c r="AL34" s="42">
        <f>IFERROR(Q34/$J34,0)</f>
      </c>
      <c r="AM34" s="42">
        <f>IFERROR(R34/$J34,0)</f>
      </c>
      <c r="AN34" s="42">
        <f>IFERROR(S34/$J34,0)</f>
      </c>
      <c r="AO34" s="42">
        <f>IFERROR(T34/$J34,0)</f>
      </c>
      <c r="AP34" s="42">
        <f>IFERROR(U34/$J34,0)</f>
      </c>
      <c r="AQ34" s="42">
        <f>IFERROR(V34/$J34,0)</f>
      </c>
      <c r="AR34" s="41">
        <v>0</v>
      </c>
      <c r="AS34" s="41">
        <f t="shared" si="11"/>
      </c>
      <c r="AT34" s="9"/>
      <c r="AU34" s="9"/>
      <c r="AV34" s="33"/>
      <c r="AW34" s="33"/>
      <c r="AX34" s="33">
        <f t="shared" si="13"/>
      </c>
      <c r="AY34" s="33">
        <f t="shared" si="16"/>
      </c>
      <c r="AZ34" s="33">
        <f>IFERROR(SUMIFS('[2]毛利表广告费'!$J:$J,'[2]毛利表广告费'!$K:$K,AY34),#VALUE!)</f>
      </c>
      <c r="BA34" s="33">
        <v>9849.07618251892</v>
      </c>
    </row>
    <row customHeight="true" ht="17.037037037037035" r="35">
      <c r="A35" s="44" t="s">
        <v>49</v>
      </c>
      <c r="B35" s="45" t="s">
        <v>73</v>
      </c>
      <c r="C35" s="46" t="s">
        <v>56</v>
      </c>
      <c r="D35" s="47" t="s">
        <v>52</v>
      </c>
      <c r="E35" s="46" t="s">
        <v>59</v>
      </c>
      <c r="F35" s="46" t="s">
        <v>54</v>
      </c>
      <c r="G35" s="48">
        <v>8.195975</v>
      </c>
      <c r="H35" s="38">
        <v>89</v>
      </c>
      <c r="I35" s="39">
        <v>0</v>
      </c>
      <c r="J35" s="39">
        <v>42307.62295</v>
      </c>
      <c r="K35" s="39">
        <v>0</v>
      </c>
      <c r="L35" s="39">
        <v>10829.644066</v>
      </c>
      <c r="M35" s="39">
        <v>0</v>
      </c>
      <c r="N35" s="39">
        <v>0</v>
      </c>
      <c r="O35" s="39">
        <v>1852.44461388709</v>
      </c>
      <c r="P35" s="39">
        <v>0</v>
      </c>
      <c r="Q35" s="39">
        <v>1442.18160005535</v>
      </c>
      <c r="R35" s="39">
        <v>4891.60375925</v>
      </c>
      <c r="S35" s="38">
        <v>2327.5985221449</v>
      </c>
      <c r="T35" s="39">
        <v>8376.9093441</v>
      </c>
      <c r="U35" s="39">
        <v>0</v>
      </c>
      <c r="V35" s="39">
        <v>0</v>
      </c>
      <c r="W35" s="39">
        <v>7472.51628675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43">
        <f t="shared" si="10"/>
      </c>
      <c r="AD35" s="40">
        <f t="shared" si="8"/>
      </c>
      <c r="AE35" s="41">
        <f t="shared" si="3"/>
      </c>
      <c r="AF35" s="41">
        <f t="shared" si="1"/>
      </c>
      <c r="AG35" s="41">
        <f t="shared" si="5"/>
      </c>
      <c r="AH35" s="42">
        <f t="shared" si="4"/>
      </c>
      <c r="AI35" s="42">
        <f>IFERROR(N35/$J35,0)</f>
      </c>
      <c r="AJ35" s="42">
        <f>IFERROR(O35/$J35,0)</f>
      </c>
      <c r="AK35" s="42">
        <f>IFERROR(P35/$J35,0)</f>
      </c>
      <c r="AL35" s="42">
        <f>IFERROR(Q35/$J35,0)</f>
      </c>
      <c r="AM35" s="42">
        <f>IFERROR(R35/$J35,0)</f>
      </c>
      <c r="AN35" s="42">
        <f>IFERROR(S35/$J35,0)</f>
      </c>
      <c r="AO35" s="42">
        <f>IFERROR(T35/$J35,0)</f>
      </c>
      <c r="AP35" s="42">
        <f>IFERROR(U35/$J35,0)</f>
      </c>
      <c r="AQ35" s="42">
        <f>IFERROR(V35/$J35,0)</f>
      </c>
      <c r="AR35" s="41">
        <v>0</v>
      </c>
      <c r="AS35" s="41">
        <f t="shared" si="11"/>
      </c>
      <c r="AT35" s="9"/>
      <c r="AU35" s="9"/>
      <c r="AV35" s="33"/>
      <c r="AW35" s="33"/>
      <c r="AX35" s="33">
        <f t="shared" si="13"/>
      </c>
      <c r="AY35" s="33">
        <f t="shared" si="16"/>
      </c>
      <c r="AZ35" s="33">
        <f>IFERROR(SUMIFS('[2]毛利表广告费'!$J:$J,'[2]毛利表广告费'!$K:$K,AY35),#VALUE!)</f>
      </c>
      <c r="BA35" s="33">
        <v>2327.5985221449</v>
      </c>
    </row>
    <row customHeight="true" ht="17.037037037037035" r="36">
      <c r="A36" s="44" t="s">
        <v>49</v>
      </c>
      <c r="B36" s="45" t="s">
        <v>73</v>
      </c>
      <c r="C36" s="46" t="s">
        <v>56</v>
      </c>
      <c r="D36" s="47" t="s">
        <v>52</v>
      </c>
      <c r="E36" s="46" t="s">
        <v>74</v>
      </c>
      <c r="F36" s="46" t="s">
        <v>54</v>
      </c>
      <c r="G36" s="48">
        <v>0.776452334334678</v>
      </c>
      <c r="H36" s="38">
        <v>41</v>
      </c>
      <c r="I36" s="39">
        <v>0</v>
      </c>
      <c r="J36" s="39">
        <v>21328.8272787165</v>
      </c>
      <c r="K36" s="39">
        <v>0</v>
      </c>
      <c r="L36" s="39">
        <v>4988.937154</v>
      </c>
      <c r="M36" s="39">
        <v>0</v>
      </c>
      <c r="N36" s="39">
        <v>0</v>
      </c>
      <c r="O36" s="39">
        <v>853.373361453602</v>
      </c>
      <c r="P36" s="39">
        <v>0</v>
      </c>
      <c r="Q36" s="39">
        <v>664.375793283923</v>
      </c>
      <c r="R36" s="39">
        <v>0</v>
      </c>
      <c r="S36" s="38">
        <v>0</v>
      </c>
      <c r="T36" s="39">
        <v>4756.32848315379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43">
        <f t="shared" si="10"/>
      </c>
      <c r="AD36" s="40">
        <f t="shared" si="8"/>
      </c>
      <c r="AE36" s="41">
        <f t="shared" si="3"/>
      </c>
      <c r="AF36" s="41">
        <f t="shared" si="1"/>
      </c>
      <c r="AG36" s="41">
        <f t="shared" si="5"/>
      </c>
      <c r="AH36" s="42">
        <f t="shared" si="4"/>
      </c>
      <c r="AI36" s="42">
        <f>IFERROR(N36/$J36,0)</f>
      </c>
      <c r="AJ36" s="42">
        <f>IFERROR(O36/$J36,0)</f>
      </c>
      <c r="AK36" s="42">
        <f>IFERROR(P36/$J36,0)</f>
      </c>
      <c r="AL36" s="42">
        <f>IFERROR(Q36/$J36,0)</f>
      </c>
      <c r="AM36" s="42">
        <f>IFERROR(R36/$J36,0)</f>
      </c>
      <c r="AN36" s="42">
        <f>IFERROR(S36/$J36,0)</f>
      </c>
      <c r="AO36" s="42">
        <f>IFERROR(T36/$J36,0)</f>
      </c>
      <c r="AP36" s="42">
        <f>IFERROR(U36/$J36,0)</f>
      </c>
      <c r="AQ36" s="42">
        <f>IFERROR(V36/$J36,0)</f>
      </c>
      <c r="AR36" s="41">
        <v>0</v>
      </c>
      <c r="AS36" s="41">
        <f t="shared" si="11"/>
      </c>
      <c r="AT36" s="9"/>
      <c r="AU36" s="9"/>
      <c r="AV36" s="33"/>
      <c r="AW36" s="33"/>
      <c r="AX36" s="33">
        <f t="shared" si="13"/>
      </c>
      <c r="AY36" s="33">
        <f t="shared" si="16"/>
      </c>
      <c r="AZ36" s="33">
        <f>IFERROR(SUMIFS('[2]毛利表广告费'!$J:$J,'[2]毛利表广告费'!$K:$K,AY36),#VALUE!)</f>
      </c>
      <c r="BA36" s="33">
        <v>0</v>
      </c>
    </row>
    <row customHeight="true" ht="17.037037037037035" r="37">
      <c r="A37" s="44" t="s">
        <v>49</v>
      </c>
      <c r="B37" s="45" t="s">
        <v>73</v>
      </c>
      <c r="C37" s="46" t="s">
        <v>62</v>
      </c>
      <c r="D37" s="47" t="s">
        <v>63</v>
      </c>
      <c r="E37" s="46" t="s">
        <v>58</v>
      </c>
      <c r="F37" s="46" t="s">
        <v>54</v>
      </c>
      <c r="G37" s="48">
        <v>8.195975</v>
      </c>
      <c r="H37" s="38">
        <v>54</v>
      </c>
      <c r="I37" s="39">
        <v>0</v>
      </c>
      <c r="J37" s="39">
        <v>9072.944325</v>
      </c>
      <c r="K37" s="39">
        <v>0</v>
      </c>
      <c r="L37" s="39">
        <v>2341.591902</v>
      </c>
      <c r="M37" s="39">
        <v>0</v>
      </c>
      <c r="N37" s="39">
        <v>0</v>
      </c>
      <c r="O37" s="39">
        <v>330.991578947369</v>
      </c>
      <c r="P37" s="39">
        <v>0</v>
      </c>
      <c r="Q37" s="39">
        <v>147.414939815317</v>
      </c>
      <c r="R37" s="39">
        <v>426.846378</v>
      </c>
      <c r="S37" s="38">
        <v>0</v>
      </c>
      <c r="T37" s="39">
        <v>1493.406635895</v>
      </c>
      <c r="U37" s="39">
        <v>2.59466634983218</v>
      </c>
      <c r="V37" s="39">
        <v>0</v>
      </c>
      <c r="W37" s="39">
        <v>2614.77975605983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43">
        <f t="shared" si="10"/>
      </c>
      <c r="AD37" s="40">
        <f t="shared" si="8"/>
      </c>
      <c r="AE37" s="41">
        <f t="shared" si="3"/>
      </c>
      <c r="AF37" s="41">
        <f t="shared" si="1"/>
      </c>
      <c r="AG37" s="41">
        <f t="shared" si="5"/>
      </c>
      <c r="AH37" s="42">
        <f t="shared" si="4"/>
      </c>
      <c r="AI37" s="42">
        <f>IFERROR(N37/$J37,0)</f>
      </c>
      <c r="AJ37" s="42">
        <f>IFERROR(O37/$J37,0)</f>
      </c>
      <c r="AK37" s="42">
        <f>IFERROR(P37/$J37,0)</f>
      </c>
      <c r="AL37" s="42">
        <f>IFERROR(Q37/$J37,0)</f>
      </c>
      <c r="AM37" s="42">
        <f>IFERROR(R37/$J37,0)</f>
      </c>
      <c r="AN37" s="42">
        <f>IFERROR(S37/$J37,0)</f>
      </c>
      <c r="AO37" s="42">
        <f>IFERROR(T37/$J37,0)</f>
      </c>
      <c r="AP37" s="42">
        <f>IFERROR(U37/$J37,0)</f>
      </c>
      <c r="AQ37" s="42">
        <f>IFERROR(V37/$J37,0)</f>
      </c>
      <c r="AR37" s="41">
        <v>0</v>
      </c>
      <c r="AS37" s="41">
        <f t="shared" si="11"/>
      </c>
      <c r="AT37" s="9"/>
      <c r="AU37" s="9"/>
      <c r="AV37" s="33"/>
      <c r="AW37" s="33"/>
      <c r="AX37" s="33">
        <f t="shared" si="13"/>
      </c>
      <c r="AY37" s="33">
        <f t="shared" si="16"/>
      </c>
      <c r="AZ37" s="33">
        <f>IFERROR(SUMIFS('[2]毛利表广告费'!$J:$J,'[2]毛利表广告费'!$K:$K,AY37),#VALUE!)</f>
      </c>
      <c r="BA37" s="33">
        <v>0</v>
      </c>
    </row>
    <row customHeight="true" ht="17.037037037037035" r="38">
      <c r="A38" s="44" t="s">
        <v>49</v>
      </c>
      <c r="B38" s="45" t="s">
        <v>73</v>
      </c>
      <c r="C38" s="46" t="s">
        <v>62</v>
      </c>
      <c r="D38" s="47" t="s">
        <v>63</v>
      </c>
      <c r="E38" s="46" t="s">
        <v>60</v>
      </c>
      <c r="F38" s="46" t="s">
        <v>54</v>
      </c>
      <c r="G38" s="48">
        <v>8.195975</v>
      </c>
      <c r="H38" s="38">
        <v>29</v>
      </c>
      <c r="I38" s="39">
        <v>0</v>
      </c>
      <c r="J38" s="39">
        <v>4872.5071375</v>
      </c>
      <c r="K38" s="39">
        <v>0</v>
      </c>
      <c r="L38" s="39">
        <v>1257.521577</v>
      </c>
      <c r="M38" s="39">
        <v>0</v>
      </c>
      <c r="N38" s="39">
        <v>0</v>
      </c>
      <c r="O38" s="39">
        <v>177.754736842105</v>
      </c>
      <c r="P38" s="39">
        <v>0</v>
      </c>
      <c r="Q38" s="39">
        <v>79.167282493411</v>
      </c>
      <c r="R38" s="39">
        <v>89.6639665</v>
      </c>
      <c r="S38" s="38">
        <v>0</v>
      </c>
      <c r="T38" s="39">
        <v>899.4648175825</v>
      </c>
      <c r="U38" s="39">
        <v>0</v>
      </c>
      <c r="V38" s="39">
        <v>0</v>
      </c>
      <c r="W38" s="39">
        <v>89.6639665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43">
        <f t="shared" si="10"/>
      </c>
      <c r="AD38" s="40">
        <f t="shared" si="8"/>
      </c>
      <c r="AE38" s="41">
        <f t="shared" si="3"/>
      </c>
      <c r="AF38" s="41">
        <f t="shared" si="1"/>
      </c>
      <c r="AG38" s="41">
        <f t="shared" si="5"/>
      </c>
      <c r="AH38" s="42">
        <f t="shared" si="4"/>
      </c>
      <c r="AI38" s="42">
        <f>IFERROR(N38/$J38,0)</f>
      </c>
      <c r="AJ38" s="42">
        <f>IFERROR(O38/$J38,0)</f>
      </c>
      <c r="AK38" s="42">
        <f>IFERROR(P38/$J38,0)</f>
      </c>
      <c r="AL38" s="42">
        <f>IFERROR(Q38/$J38,0)</f>
      </c>
      <c r="AM38" s="42">
        <f>IFERROR(R38/$J38,0)</f>
      </c>
      <c r="AN38" s="42">
        <f>IFERROR(S38/$J38,0)</f>
      </c>
      <c r="AO38" s="42">
        <f>IFERROR(T38/$J38,0)</f>
      </c>
      <c r="AP38" s="42">
        <f>IFERROR(U38/$J38,0)</f>
      </c>
      <c r="AQ38" s="42">
        <f>IFERROR(V38/$J38,0)</f>
      </c>
      <c r="AR38" s="41">
        <v>0</v>
      </c>
      <c r="AS38" s="41">
        <f t="shared" si="11"/>
      </c>
      <c r="AT38" s="9"/>
      <c r="AU38" s="9"/>
      <c r="AV38" s="33"/>
      <c r="AW38" s="33"/>
      <c r="AX38" s="33">
        <f t="shared" si="13"/>
      </c>
      <c r="AY38" s="33">
        <f t="shared" si="16"/>
      </c>
      <c r="AZ38" s="33">
        <f>IFERROR(SUMIFS('[2]毛利表广告费'!$J:$J,'[2]毛利表广告费'!$K:$K,AY38),#VALUE!)</f>
      </c>
      <c r="BA38" s="33">
        <v>0</v>
      </c>
    </row>
    <row customHeight="true" ht="17.037037037037035" r="39">
      <c r="A39" s="44" t="s">
        <v>49</v>
      </c>
      <c r="B39" s="45" t="s">
        <v>73</v>
      </c>
      <c r="C39" s="46" t="s">
        <v>65</v>
      </c>
      <c r="D39" s="47" t="s">
        <v>66</v>
      </c>
      <c r="E39" s="46" t="s">
        <v>57</v>
      </c>
      <c r="F39" s="46" t="s">
        <v>54</v>
      </c>
      <c r="G39" s="48">
        <v>8.195975</v>
      </c>
      <c r="H39" s="38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8">
        <v>76.5759405866731</v>
      </c>
      <c r="T39" s="39">
        <v>0</v>
      </c>
      <c r="U39" s="39">
        <v>0</v>
      </c>
      <c r="V39" s="39">
        <v>0</v>
      </c>
      <c r="W39" s="39">
        <v>100.89245225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43">
        <f t="shared" si="10"/>
      </c>
      <c r="AD39" s="40">
        <f t="shared" si="8"/>
      </c>
      <c r="AE39" s="41">
        <f t="shared" si="3"/>
      </c>
      <c r="AF39" s="41">
        <f t="shared" si="1"/>
      </c>
      <c r="AG39" s="41">
        <f t="shared" si="5"/>
      </c>
      <c r="AH39" s="42">
        <f t="shared" si="4"/>
      </c>
      <c r="AI39" s="42">
        <f>IFERROR(N39/$J39,0)</f>
      </c>
      <c r="AJ39" s="42">
        <f>IFERROR(O39/$J39,0)</f>
      </c>
      <c r="AK39" s="42">
        <f>IFERROR(P39/$J39,0)</f>
      </c>
      <c r="AL39" s="42">
        <f>IFERROR(Q39/$J39,0)</f>
      </c>
      <c r="AM39" s="42">
        <f>IFERROR(R39/$J39,0)</f>
      </c>
      <c r="AN39" s="42">
        <f>IFERROR(S39/$J39,0)</f>
      </c>
      <c r="AO39" s="42">
        <f>IFERROR(T39/$J39,0)</f>
      </c>
      <c r="AP39" s="42">
        <f>IFERROR(U39/$J39,0)</f>
      </c>
      <c r="AQ39" s="42">
        <f>IFERROR(V39/$J39,0)</f>
      </c>
      <c r="AR39" s="41">
        <v>0</v>
      </c>
      <c r="AS39" s="41">
        <f t="shared" si="11"/>
      </c>
      <c r="AT39" s="9"/>
      <c r="AU39" s="9"/>
      <c r="AV39" s="33"/>
      <c r="AW39" s="33"/>
      <c r="AX39" s="33">
        <f t="shared" si="13"/>
      </c>
      <c r="AY39" s="33">
        <f t="shared" si="16"/>
      </c>
      <c r="AZ39" s="33">
        <f>IFERROR(SUMIFS('[2]毛利表广告费'!$J:$J,'[2]毛利表广告费'!$K:$K,AY39),#VALUE!)</f>
      </c>
      <c r="BA39" s="33">
        <v>76.5759405866731</v>
      </c>
    </row>
    <row customHeight="true" ht="17.037037037037035" r="40">
      <c r="A40" s="44" t="s">
        <v>49</v>
      </c>
      <c r="B40" s="45" t="s">
        <v>73</v>
      </c>
      <c r="C40" s="46" t="s">
        <v>65</v>
      </c>
      <c r="D40" s="47" t="s">
        <v>66</v>
      </c>
      <c r="E40" s="46" t="s">
        <v>58</v>
      </c>
      <c r="F40" s="46" t="s">
        <v>54</v>
      </c>
      <c r="G40" s="48">
        <v>8.195975</v>
      </c>
      <c r="H40" s="38">
        <v>47</v>
      </c>
      <c r="I40" s="39">
        <v>0</v>
      </c>
      <c r="J40" s="39">
        <v>13289.7734625</v>
      </c>
      <c r="K40" s="39">
        <v>0</v>
      </c>
      <c r="L40" s="39">
        <v>4215.752138</v>
      </c>
      <c r="M40" s="39">
        <v>0</v>
      </c>
      <c r="N40" s="39">
        <v>0</v>
      </c>
      <c r="O40" s="39">
        <v>412.680463483146</v>
      </c>
      <c r="P40" s="39">
        <v>0</v>
      </c>
      <c r="Q40" s="39">
        <v>282.934556985296</v>
      </c>
      <c r="R40" s="39">
        <v>108.3507895</v>
      </c>
      <c r="S40" s="38">
        <v>716.097530255745</v>
      </c>
      <c r="T40" s="39">
        <v>2187.4967119275</v>
      </c>
      <c r="U40" s="39">
        <v>0</v>
      </c>
      <c r="V40" s="39">
        <v>0</v>
      </c>
      <c r="W40" s="39">
        <v>895.1643895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43">
        <f t="shared" si="10"/>
      </c>
      <c r="AD40" s="40">
        <f t="shared" si="8"/>
      </c>
      <c r="AE40" s="41">
        <f t="shared" si="3"/>
      </c>
      <c r="AF40" s="41">
        <f t="shared" si="1"/>
      </c>
      <c r="AG40" s="41">
        <f t="shared" si="5"/>
      </c>
      <c r="AH40" s="42">
        <f t="shared" si="4"/>
      </c>
      <c r="AI40" s="42">
        <f>IFERROR(N40/$J40,0)</f>
      </c>
      <c r="AJ40" s="42">
        <f>IFERROR(O40/$J40,0)</f>
      </c>
      <c r="AK40" s="42">
        <f>IFERROR(P40/$J40,0)</f>
      </c>
      <c r="AL40" s="42">
        <f>IFERROR(Q40/$J40,0)</f>
      </c>
      <c r="AM40" s="42">
        <f>IFERROR(R40/$J40,0)</f>
      </c>
      <c r="AN40" s="42">
        <f>IFERROR(S40/$J40,0)</f>
      </c>
      <c r="AO40" s="42">
        <f>IFERROR(T40/$J40,0)</f>
      </c>
      <c r="AP40" s="42">
        <f>IFERROR(U40/$J40,0)</f>
      </c>
      <c r="AQ40" s="42">
        <f>IFERROR(V40/$J40,0)</f>
      </c>
      <c r="AR40" s="41">
        <v>0</v>
      </c>
      <c r="AS40" s="41">
        <f t="shared" si="11"/>
      </c>
      <c r="AT40" s="9"/>
      <c r="AU40" s="9"/>
      <c r="AV40" s="33"/>
      <c r="AW40" s="33"/>
      <c r="AX40" s="33">
        <f t="shared" si="13"/>
      </c>
      <c r="AY40" s="33">
        <f t="shared" si="16"/>
      </c>
      <c r="AZ40" s="33">
        <f>IFERROR(SUMIFS('[2]毛利表广告费'!$J:$J,'[2]毛利表广告费'!$K:$K,AY40),#VALUE!)</f>
      </c>
      <c r="BA40" s="33">
        <v>716.097530255745</v>
      </c>
    </row>
    <row customHeight="true" ht="17.037037037037035" r="41">
      <c r="A41" s="44" t="s">
        <v>49</v>
      </c>
      <c r="B41" s="45" t="s">
        <v>73</v>
      </c>
      <c r="C41" s="46" t="s">
        <v>65</v>
      </c>
      <c r="D41" s="47" t="s">
        <v>66</v>
      </c>
      <c r="E41" s="46" t="s">
        <v>59</v>
      </c>
      <c r="F41" s="46" t="s">
        <v>54</v>
      </c>
      <c r="G41" s="48">
        <v>8.195975</v>
      </c>
      <c r="H41" s="38">
        <v>36</v>
      </c>
      <c r="I41" s="39">
        <v>0</v>
      </c>
      <c r="J41" s="39">
        <v>10179.40095</v>
      </c>
      <c r="K41" s="39">
        <v>0</v>
      </c>
      <c r="L41" s="39">
        <v>3229.086744</v>
      </c>
      <c r="M41" s="39">
        <v>0</v>
      </c>
      <c r="N41" s="39">
        <v>0</v>
      </c>
      <c r="O41" s="39">
        <v>316.095674157303</v>
      </c>
      <c r="P41" s="39">
        <v>0</v>
      </c>
      <c r="Q41" s="39">
        <v>216.715830882354</v>
      </c>
      <c r="R41" s="39">
        <v>306.61142475</v>
      </c>
      <c r="S41" s="38">
        <v>1661.75965948562</v>
      </c>
      <c r="T41" s="39">
        <v>2015.5213881</v>
      </c>
      <c r="U41" s="39">
        <v>0</v>
      </c>
      <c r="V41" s="39">
        <v>0</v>
      </c>
      <c r="W41" s="39">
        <v>2062.35318925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43">
        <f t="shared" si="10"/>
      </c>
      <c r="AD41" s="40">
        <f t="shared" si="8"/>
      </c>
      <c r="AE41" s="41">
        <f t="shared" si="3"/>
      </c>
      <c r="AF41" s="41">
        <f t="shared" si="1"/>
      </c>
      <c r="AG41" s="41">
        <f t="shared" si="5"/>
      </c>
      <c r="AH41" s="42">
        <f t="shared" si="4"/>
      </c>
      <c r="AI41" s="42">
        <f>IFERROR(N41/$J41,0)</f>
      </c>
      <c r="AJ41" s="42">
        <f>IFERROR(O41/$J41,0)</f>
      </c>
      <c r="AK41" s="42">
        <f>IFERROR(P41/$J41,0)</f>
      </c>
      <c r="AL41" s="42">
        <f>IFERROR(Q41/$J41,0)</f>
      </c>
      <c r="AM41" s="42">
        <f>IFERROR(R41/$J41,0)</f>
      </c>
      <c r="AN41" s="42">
        <f>IFERROR(S41/$J41,0)</f>
      </c>
      <c r="AO41" s="42">
        <f>IFERROR(T41/$J41,0)</f>
      </c>
      <c r="AP41" s="42">
        <f>IFERROR(U41/$J41,0)</f>
      </c>
      <c r="AQ41" s="42">
        <f>IFERROR(V41/$J41,0)</f>
      </c>
      <c r="AR41" s="41">
        <v>0</v>
      </c>
      <c r="AS41" s="41">
        <f t="shared" si="11"/>
      </c>
      <c r="AT41" s="9"/>
      <c r="AU41" s="9"/>
      <c r="AV41" s="33"/>
      <c r="AW41" s="33"/>
      <c r="AX41" s="33">
        <f t="shared" si="13"/>
      </c>
      <c r="AY41" s="33">
        <f t="shared" si="16"/>
      </c>
      <c r="AZ41" s="33">
        <f>IFERROR(SUMIFS('[2]毛利表广告费'!$J:$J,'[2]毛利表广告费'!$K:$K,AY41),#VALUE!)</f>
      </c>
      <c r="BA41" s="33">
        <v>1661.75965948562</v>
      </c>
    </row>
    <row customHeight="true" ht="17.037037037037035" r="42">
      <c r="A42" s="44" t="s">
        <v>49</v>
      </c>
      <c r="B42" s="45" t="s">
        <v>73</v>
      </c>
      <c r="C42" s="46" t="s">
        <v>65</v>
      </c>
      <c r="D42" s="47" t="s">
        <v>66</v>
      </c>
      <c r="E42" s="46" t="s">
        <v>60</v>
      </c>
      <c r="F42" s="46" t="s">
        <v>54</v>
      </c>
      <c r="G42" s="48">
        <v>8.195975</v>
      </c>
      <c r="H42" s="38">
        <v>26</v>
      </c>
      <c r="I42" s="39">
        <v>0</v>
      </c>
      <c r="J42" s="39">
        <v>7351.789575</v>
      </c>
      <c r="K42" s="39">
        <v>0</v>
      </c>
      <c r="L42" s="39">
        <v>2332.118204</v>
      </c>
      <c r="M42" s="39">
        <v>0</v>
      </c>
      <c r="N42" s="39">
        <v>0</v>
      </c>
      <c r="O42" s="39">
        <v>228.291320224719</v>
      </c>
      <c r="P42" s="39">
        <v>0</v>
      </c>
      <c r="Q42" s="39">
        <v>156.516988970589</v>
      </c>
      <c r="R42" s="39">
        <v>253.82934575</v>
      </c>
      <c r="S42" s="38">
        <v>1452.22871420887</v>
      </c>
      <c r="T42" s="39">
        <v>1357.140355545</v>
      </c>
      <c r="U42" s="39">
        <v>0</v>
      </c>
      <c r="V42" s="39">
        <v>0</v>
      </c>
      <c r="W42" s="39">
        <v>1912.1209675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43">
        <f t="shared" si="10"/>
      </c>
      <c r="AD42" s="40">
        <f t="shared" si="8"/>
      </c>
      <c r="AE42" s="41">
        <f t="shared" si="3"/>
      </c>
      <c r="AF42" s="41">
        <f t="shared" si="1"/>
      </c>
      <c r="AG42" s="41">
        <f t="shared" si="5"/>
      </c>
      <c r="AH42" s="42">
        <f t="shared" si="4"/>
      </c>
      <c r="AI42" s="42">
        <f>IFERROR(N42/$J42,0)</f>
      </c>
      <c r="AJ42" s="42">
        <f>IFERROR(O42/$J42,0)</f>
      </c>
      <c r="AK42" s="42">
        <f>IFERROR(P42/$J42,0)</f>
      </c>
      <c r="AL42" s="42">
        <f>IFERROR(Q42/$J42,0)</f>
      </c>
      <c r="AM42" s="42">
        <f>IFERROR(R42/$J42,0)</f>
      </c>
      <c r="AN42" s="42">
        <f>IFERROR(S42/$J42,0)</f>
      </c>
      <c r="AO42" s="42">
        <f>IFERROR(T42/$J42,0)</f>
      </c>
      <c r="AP42" s="42">
        <f>IFERROR(U42/$J42,0)</f>
      </c>
      <c r="AQ42" s="42">
        <f>IFERROR(V42/$J42,0)</f>
      </c>
      <c r="AR42" s="41">
        <v>0</v>
      </c>
      <c r="AS42" s="41">
        <f t="shared" si="11"/>
      </c>
      <c r="AT42" s="9"/>
      <c r="AU42" s="9"/>
      <c r="AV42" s="33"/>
      <c r="AW42" s="33"/>
      <c r="AX42" s="33">
        <f t="shared" si="13"/>
      </c>
      <c r="AY42" s="33">
        <f t="shared" si="16"/>
      </c>
      <c r="AZ42" s="33">
        <f>IFERROR(SUMIFS('[2]毛利表广告费'!$J:$J,'[2]毛利表广告费'!$K:$K,AY42),#VALUE!)</f>
      </c>
      <c r="BA42" s="33">
        <v>1452.22871420887</v>
      </c>
    </row>
    <row customHeight="true" ht="17.037037037037035" r="43">
      <c r="A43" s="44" t="s">
        <v>49</v>
      </c>
      <c r="B43" s="45" t="s">
        <v>73</v>
      </c>
      <c r="C43" s="46" t="s">
        <v>62</v>
      </c>
      <c r="D43" s="47" t="s">
        <v>63</v>
      </c>
      <c r="E43" s="46" t="s">
        <v>59</v>
      </c>
      <c r="F43" s="46" t="s">
        <v>54</v>
      </c>
      <c r="G43" s="48">
        <v>8.195975</v>
      </c>
      <c r="H43" s="38">
        <v>10</v>
      </c>
      <c r="I43" s="39">
        <v>0</v>
      </c>
      <c r="J43" s="39">
        <v>1680.174875</v>
      </c>
      <c r="K43" s="39">
        <v>0</v>
      </c>
      <c r="L43" s="39">
        <v>433.62813</v>
      </c>
      <c r="M43" s="39">
        <v>0</v>
      </c>
      <c r="N43" s="39">
        <v>0</v>
      </c>
      <c r="O43" s="39">
        <v>61.2947368421053</v>
      </c>
      <c r="P43" s="39">
        <v>0</v>
      </c>
      <c r="Q43" s="39">
        <v>27.2990629287624</v>
      </c>
      <c r="R43" s="39">
        <v>174.9021065</v>
      </c>
      <c r="S43" s="38">
        <v>0</v>
      </c>
      <c r="T43" s="39">
        <v>332.67462525</v>
      </c>
      <c r="U43" s="39">
        <v>1.29733317491609</v>
      </c>
      <c r="V43" s="39">
        <v>0</v>
      </c>
      <c r="W43" s="39">
        <v>1417.59459707492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43">
        <f t="shared" si="10"/>
      </c>
      <c r="AD43" s="40">
        <f t="shared" si="8"/>
      </c>
      <c r="AE43" s="41">
        <f t="shared" si="3"/>
      </c>
      <c r="AF43" s="41">
        <f t="shared" si="1"/>
      </c>
      <c r="AG43" s="41">
        <f t="shared" si="5"/>
      </c>
      <c r="AH43" s="42">
        <f t="shared" si="4"/>
      </c>
      <c r="AI43" s="42">
        <f>IFERROR(N43/$J43,0)</f>
      </c>
      <c r="AJ43" s="42">
        <f>IFERROR(O43/$J43,0)</f>
      </c>
      <c r="AK43" s="42">
        <f>IFERROR(P43/$J43,0)</f>
      </c>
      <c r="AL43" s="42">
        <f>IFERROR(Q43/$J43,0)</f>
      </c>
      <c r="AM43" s="42">
        <f>IFERROR(R43/$J43,0)</f>
      </c>
      <c r="AN43" s="42">
        <f>IFERROR(S43/$J43,0)</f>
      </c>
      <c r="AO43" s="42">
        <f>IFERROR(T43/$J43,0)</f>
      </c>
      <c r="AP43" s="42">
        <f>IFERROR(U43/$J43,0)</f>
      </c>
      <c r="AQ43" s="42">
        <f>IFERROR(V43/$J43,0)</f>
      </c>
      <c r="AR43" s="41">
        <v>0</v>
      </c>
      <c r="AS43" s="41">
        <f t="shared" si="11"/>
      </c>
      <c r="AT43" s="9"/>
      <c r="AU43" s="9"/>
      <c r="AV43" s="33"/>
      <c r="AW43" s="33"/>
      <c r="AX43" s="33">
        <f t="shared" si="13"/>
      </c>
      <c r="AY43" s="33">
        <f t="shared" si="16"/>
      </c>
      <c r="AZ43" s="33">
        <f>IFERROR(SUMIFS('[2]毛利表广告费'!$J:$J,'[2]毛利表广告费'!$K:$K,AY43),#VALUE!)</f>
      </c>
      <c r="BA43" s="33">
        <v>0</v>
      </c>
    </row>
    <row customHeight="true" ht="17.037037037037035" r="44">
      <c r="A44" s="44" t="s">
        <v>49</v>
      </c>
      <c r="B44" s="45" t="s">
        <v>73</v>
      </c>
      <c r="C44" s="46" t="s">
        <v>67</v>
      </c>
      <c r="D44" s="34" t="s">
        <v>68</v>
      </c>
      <c r="E44" s="46" t="s">
        <v>59</v>
      </c>
      <c r="F44" s="46" t="s">
        <v>54</v>
      </c>
      <c r="G44" s="48">
        <v>8.195975</v>
      </c>
      <c r="H44" s="38">
        <v>4</v>
      </c>
      <c r="I44" s="39">
        <v>0</v>
      </c>
      <c r="J44" s="39">
        <v>2130.9535</v>
      </c>
      <c r="K44" s="39">
        <v>0</v>
      </c>
      <c r="L44" s="39">
        <v>736.283188</v>
      </c>
      <c r="M44" s="39">
        <v>0</v>
      </c>
      <c r="N44" s="39">
        <v>0</v>
      </c>
      <c r="O44" s="39">
        <v>58.8081773399016</v>
      </c>
      <c r="P44" s="39">
        <v>0</v>
      </c>
      <c r="Q44" s="39">
        <v>36.0194361005692</v>
      </c>
      <c r="R44" s="39">
        <v>0</v>
      </c>
      <c r="S44" s="38">
        <v>113.889427426763</v>
      </c>
      <c r="T44" s="39">
        <v>421.928793</v>
      </c>
      <c r="U44" s="39">
        <v>0</v>
      </c>
      <c r="V44" s="39">
        <v>0</v>
      </c>
      <c r="W44" s="39">
        <v>119.989074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43">
        <f t="shared" si="10"/>
      </c>
      <c r="AD44" s="40">
        <f t="shared" si="8"/>
      </c>
      <c r="AE44" s="41">
        <f t="shared" si="3"/>
      </c>
      <c r="AF44" s="41">
        <f t="shared" si="1"/>
      </c>
      <c r="AG44" s="41">
        <f t="shared" si="5"/>
      </c>
      <c r="AH44" s="42">
        <f t="shared" si="4"/>
      </c>
      <c r="AI44" s="42">
        <f>IFERROR(N44/$J44,0)</f>
      </c>
      <c r="AJ44" s="42">
        <f>IFERROR(O44/$J44,0)</f>
      </c>
      <c r="AK44" s="42">
        <f>IFERROR(P44/$J44,0)</f>
      </c>
      <c r="AL44" s="42">
        <f>IFERROR(Q44/$J44,0)</f>
      </c>
      <c r="AM44" s="42">
        <f>IFERROR(R44/$J44,0)</f>
      </c>
      <c r="AN44" s="42">
        <f>IFERROR(S44/$J44,0)</f>
      </c>
      <c r="AO44" s="42">
        <f>IFERROR(T44/$J44,0)</f>
      </c>
      <c r="AP44" s="42">
        <f>IFERROR(U44/$J44,0)</f>
      </c>
      <c r="AQ44" s="42">
        <f>IFERROR(V44/$J44,0)</f>
      </c>
      <c r="AR44" s="41">
        <v>0</v>
      </c>
      <c r="AS44" s="41">
        <f t="shared" si="11"/>
      </c>
      <c r="AT44" s="9"/>
      <c r="AU44" s="9"/>
      <c r="AV44" s="33"/>
      <c r="AW44" s="33"/>
      <c r="AX44" s="33">
        <f t="shared" si="13"/>
      </c>
      <c r="AY44" s="33">
        <f t="shared" si="16"/>
      </c>
      <c r="AZ44" s="33">
        <f>IFERROR(SUMIFS('[2]毛利表广告费'!$J:$J,'[2]毛利表广告费'!$K:$K,AY44),#VALUE!)</f>
      </c>
      <c r="BA44" s="33">
        <v>113.889427426763</v>
      </c>
    </row>
    <row customHeight="true" ht="17.037037037037035" r="45">
      <c r="A45" s="44" t="s">
        <v>49</v>
      </c>
      <c r="B45" s="45" t="s">
        <v>73</v>
      </c>
      <c r="C45" s="46" t="s">
        <v>67</v>
      </c>
      <c r="D45" s="34" t="s">
        <v>68</v>
      </c>
      <c r="E45" s="46" t="s">
        <v>60</v>
      </c>
      <c r="F45" s="46" t="s">
        <v>54</v>
      </c>
      <c r="G45" s="48">
        <v>8.195975</v>
      </c>
      <c r="H45" s="38">
        <v>20</v>
      </c>
      <c r="I45" s="39">
        <v>0</v>
      </c>
      <c r="J45" s="39">
        <v>10654.7675</v>
      </c>
      <c r="K45" s="39">
        <v>0</v>
      </c>
      <c r="L45" s="39">
        <v>3681.41594</v>
      </c>
      <c r="M45" s="39">
        <v>0</v>
      </c>
      <c r="N45" s="39">
        <v>0</v>
      </c>
      <c r="O45" s="39">
        <v>294.040886699508</v>
      </c>
      <c r="P45" s="39">
        <v>0</v>
      </c>
      <c r="Q45" s="39">
        <v>180.097180502846</v>
      </c>
      <c r="R45" s="39">
        <v>783.61716975</v>
      </c>
      <c r="S45" s="38">
        <v>1960.81998871958</v>
      </c>
      <c r="T45" s="39">
        <v>1966.8700805</v>
      </c>
      <c r="U45" s="39">
        <v>0</v>
      </c>
      <c r="V45" s="39">
        <v>0</v>
      </c>
      <c r="W45" s="39">
        <v>2822.69379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43">
        <f t="shared" si="10"/>
      </c>
      <c r="AD45" s="40">
        <f t="shared" si="8"/>
      </c>
      <c r="AE45" s="41">
        <f t="shared" si="3"/>
      </c>
      <c r="AF45" s="41">
        <f t="shared" si="1"/>
      </c>
      <c r="AG45" s="41">
        <f t="shared" si="5"/>
      </c>
      <c r="AH45" s="42">
        <f t="shared" si="4"/>
      </c>
      <c r="AI45" s="42">
        <f>IFERROR(N45/$J45,0)</f>
      </c>
      <c r="AJ45" s="42">
        <f>IFERROR(O45/$J45,0)</f>
      </c>
      <c r="AK45" s="42">
        <f>IFERROR(P45/$J45,0)</f>
      </c>
      <c r="AL45" s="42">
        <f>IFERROR(Q45/$J45,0)</f>
      </c>
      <c r="AM45" s="42">
        <f>IFERROR(R45/$J45,0)</f>
      </c>
      <c r="AN45" s="42">
        <f>IFERROR(S45/$J45,0)</f>
      </c>
      <c r="AO45" s="42">
        <f>IFERROR(T45/$J45,0)</f>
      </c>
      <c r="AP45" s="42">
        <f>IFERROR(U45/$J45,0)</f>
      </c>
      <c r="AQ45" s="42">
        <f>IFERROR(V45/$J45,0)</f>
      </c>
      <c r="AR45" s="41">
        <v>0</v>
      </c>
      <c r="AS45" s="41">
        <f t="shared" si="11"/>
      </c>
      <c r="AT45" s="9"/>
      <c r="AU45" s="9"/>
      <c r="AV45" s="33"/>
      <c r="AW45" s="33"/>
      <c r="AX45" s="33">
        <f t="shared" si="13"/>
      </c>
      <c r="AY45" s="33">
        <f t="shared" si="16"/>
      </c>
      <c r="AZ45" s="33">
        <f>IFERROR(SUMIFS('[2]毛利表广告费'!$J:$J,'[2]毛利表广告费'!$K:$K,AY45),#VALUE!)</f>
      </c>
      <c r="BA45" s="33">
        <v>1960.81998871958</v>
      </c>
    </row>
    <row customHeight="true" ht="17.037037037037035" r="46">
      <c r="A46" s="44" t="s">
        <v>49</v>
      </c>
      <c r="B46" s="45" t="s">
        <v>73</v>
      </c>
      <c r="C46" s="46" t="s">
        <v>67</v>
      </c>
      <c r="D46" s="34" t="s">
        <v>68</v>
      </c>
      <c r="E46" s="46" t="s">
        <v>74</v>
      </c>
      <c r="F46" s="46" t="s">
        <v>54</v>
      </c>
      <c r="G46" s="48">
        <v>0.776452334334678</v>
      </c>
      <c r="H46" s="38">
        <v>2</v>
      </c>
      <c r="I46" s="39">
        <v>0</v>
      </c>
      <c r="J46" s="39">
        <v>106.373969803851</v>
      </c>
      <c r="K46" s="39">
        <v>0</v>
      </c>
      <c r="L46" s="39">
        <v>368.141594</v>
      </c>
      <c r="M46" s="39">
        <v>0</v>
      </c>
      <c r="N46" s="39">
        <v>0</v>
      </c>
      <c r="O46" s="39">
        <v>29.4040886699508</v>
      </c>
      <c r="P46" s="39">
        <v>0</v>
      </c>
      <c r="Q46" s="39">
        <v>18.0097180502846</v>
      </c>
      <c r="R46" s="39">
        <v>0</v>
      </c>
      <c r="S46" s="38">
        <v>0</v>
      </c>
      <c r="T46" s="39">
        <v>23.7213952662587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43">
        <f t="shared" si="10"/>
      </c>
      <c r="AD46" s="40">
        <f t="shared" si="8"/>
      </c>
      <c r="AE46" s="41">
        <f t="shared" si="3"/>
      </c>
      <c r="AF46" s="41">
        <f t="shared" si="1"/>
      </c>
      <c r="AG46" s="41">
        <f t="shared" si="5"/>
      </c>
      <c r="AH46" s="42">
        <f t="shared" si="4"/>
      </c>
      <c r="AI46" s="42">
        <f>IFERROR(N46/$J46,0)</f>
      </c>
      <c r="AJ46" s="42">
        <f>IFERROR(O46/$J46,0)</f>
      </c>
      <c r="AK46" s="42">
        <f>IFERROR(P46/$J46,0)</f>
      </c>
      <c r="AL46" s="42">
        <f>IFERROR(Q46/$J46,0)</f>
      </c>
      <c r="AM46" s="42">
        <f>IFERROR(R46/$J46,0)</f>
      </c>
      <c r="AN46" s="42">
        <f>IFERROR(S46/$J46,0)</f>
      </c>
      <c r="AO46" s="42">
        <f>IFERROR(T46/$J46,0)</f>
      </c>
      <c r="AP46" s="42">
        <f>IFERROR(U46/$J46,0)</f>
      </c>
      <c r="AQ46" s="42">
        <f>IFERROR(V46/$J46,0)</f>
      </c>
      <c r="AR46" s="41">
        <v>0</v>
      </c>
      <c r="AS46" s="41">
        <f t="shared" si="11"/>
      </c>
      <c r="AT46" s="9"/>
      <c r="AU46" s="9"/>
      <c r="AV46" s="33"/>
      <c r="AW46" s="33"/>
      <c r="AX46" s="33">
        <f t="shared" si="13"/>
      </c>
      <c r="AY46" s="33">
        <f t="shared" si="16"/>
      </c>
      <c r="AZ46" s="33">
        <f>IFERROR(SUMIFS('[2]毛利表广告费'!$J:$J,'[2]毛利表广告费'!$K:$K,AY46),#VALUE!)</f>
      </c>
      <c r="BA46" s="33">
        <v>0</v>
      </c>
    </row>
    <row customHeight="true" ht="17.037037037037035" r="47">
      <c r="A47" s="44" t="s">
        <v>49</v>
      </c>
      <c r="B47" s="45" t="s">
        <v>73</v>
      </c>
      <c r="C47" s="46" t="s">
        <v>67</v>
      </c>
      <c r="D47" s="34" t="s">
        <v>68</v>
      </c>
      <c r="E47" s="46" t="s">
        <v>58</v>
      </c>
      <c r="F47" s="46" t="s">
        <v>54</v>
      </c>
      <c r="G47" s="48">
        <v>8.195975</v>
      </c>
      <c r="H47" s="38">
        <v>9</v>
      </c>
      <c r="I47" s="39">
        <v>0</v>
      </c>
      <c r="J47" s="39">
        <v>4794.645375</v>
      </c>
      <c r="K47" s="39">
        <v>0</v>
      </c>
      <c r="L47" s="39">
        <v>1656.637173</v>
      </c>
      <c r="M47" s="39">
        <v>0</v>
      </c>
      <c r="N47" s="39">
        <v>0</v>
      </c>
      <c r="O47" s="39">
        <v>132.318399014779</v>
      </c>
      <c r="P47" s="39">
        <v>0</v>
      </c>
      <c r="Q47" s="39">
        <v>81.0437312262808</v>
      </c>
      <c r="R47" s="39">
        <v>53.35579725</v>
      </c>
      <c r="S47" s="38">
        <v>2640.2108382556</v>
      </c>
      <c r="T47" s="39">
        <v>789.198628725</v>
      </c>
      <c r="U47" s="39">
        <v>0</v>
      </c>
      <c r="V47" s="39">
        <v>0</v>
      </c>
      <c r="W47" s="39">
        <v>2812.94057975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43">
        <f t="shared" si="10"/>
      </c>
      <c r="AD47" s="40">
        <f t="shared" si="8"/>
      </c>
      <c r="AE47" s="41">
        <f t="shared" si="3"/>
      </c>
      <c r="AF47" s="41">
        <f t="shared" si="1"/>
      </c>
      <c r="AG47" s="41">
        <f t="shared" si="5"/>
      </c>
      <c r="AH47" s="42">
        <f t="shared" si="4"/>
      </c>
      <c r="AI47" s="42">
        <f>IFERROR(N47/$J47,0)</f>
      </c>
      <c r="AJ47" s="42">
        <f>IFERROR(O47/$J47,0)</f>
      </c>
      <c r="AK47" s="42">
        <f>IFERROR(P47/$J47,0)</f>
      </c>
      <c r="AL47" s="42">
        <f>IFERROR(Q47/$J47,0)</f>
      </c>
      <c r="AM47" s="42">
        <f>IFERROR(R47/$J47,0)</f>
      </c>
      <c r="AN47" s="42">
        <f>IFERROR(S47/$J47,0)</f>
      </c>
      <c r="AO47" s="42">
        <f>IFERROR(T47/$J47,0)</f>
      </c>
      <c r="AP47" s="42">
        <f>IFERROR(U47/$J47,0)</f>
      </c>
      <c r="AQ47" s="42">
        <f>IFERROR(V47/$J47,0)</f>
      </c>
      <c r="AR47" s="41">
        <v>0</v>
      </c>
      <c r="AS47" s="41">
        <f t="shared" si="11"/>
      </c>
      <c r="AT47" s="9"/>
      <c r="AU47" s="9"/>
      <c r="AV47" s="33"/>
      <c r="AW47" s="33"/>
      <c r="AX47" s="33">
        <f t="shared" si="13"/>
      </c>
      <c r="AY47" s="33">
        <f t="shared" si="16"/>
      </c>
      <c r="AZ47" s="33">
        <f>IFERROR(SUMIFS('[2]毛利表广告费'!$J:$J,'[2]毛利表广告费'!$K:$K,AY47),#VALUE!)</f>
      </c>
      <c r="BA47" s="33">
        <v>2640.2108382556</v>
      </c>
    </row>
    <row customHeight="true" ht="17.037037037037035" r="48">
      <c r="A48" s="44" t="s">
        <v>49</v>
      </c>
      <c r="B48" s="45" t="s">
        <v>73</v>
      </c>
      <c r="C48" s="46" t="s">
        <v>69</v>
      </c>
      <c r="D48" s="47" t="s">
        <v>70</v>
      </c>
      <c r="E48" s="46" t="s">
        <v>60</v>
      </c>
      <c r="F48" s="46" t="s">
        <v>54</v>
      </c>
      <c r="G48" s="48">
        <v>8.195975</v>
      </c>
      <c r="H48" s="38">
        <v>15</v>
      </c>
      <c r="I48" s="39">
        <v>0</v>
      </c>
      <c r="J48" s="39">
        <v>3811.128375</v>
      </c>
      <c r="K48" s="39">
        <v>0</v>
      </c>
      <c r="L48" s="39">
        <v>1067.256975</v>
      </c>
      <c r="M48" s="39">
        <v>0</v>
      </c>
      <c r="N48" s="39">
        <v>0</v>
      </c>
      <c r="O48" s="39">
        <v>81.8155813953489</v>
      </c>
      <c r="P48" s="39">
        <v>4.30600000000001</v>
      </c>
      <c r="Q48" s="39">
        <v>53.6914163909313</v>
      </c>
      <c r="R48" s="39">
        <v>0</v>
      </c>
      <c r="S48" s="38">
        <v>639.91007579994</v>
      </c>
      <c r="T48" s="39">
        <v>703.534298025</v>
      </c>
      <c r="U48" s="39">
        <v>0</v>
      </c>
      <c r="V48" s="39">
        <v>0</v>
      </c>
      <c r="W48" s="39">
        <v>658.628551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43">
        <f t="shared" si="10"/>
      </c>
      <c r="AD48" s="40">
        <f t="shared" si="8"/>
      </c>
      <c r="AE48" s="41">
        <f t="shared" si="3"/>
      </c>
      <c r="AF48" s="41">
        <f t="shared" si="1"/>
      </c>
      <c r="AG48" s="41">
        <f t="shared" si="5"/>
      </c>
      <c r="AH48" s="42">
        <f t="shared" si="4"/>
      </c>
      <c r="AI48" s="42">
        <f>IFERROR(N48/$J48,0)</f>
      </c>
      <c r="AJ48" s="42">
        <f>IFERROR(O48/$J48,0)</f>
      </c>
      <c r="AK48" s="42">
        <f>IFERROR(P48/$J48,0)</f>
      </c>
      <c r="AL48" s="42">
        <f>IFERROR(Q48/$J48,0)</f>
      </c>
      <c r="AM48" s="42">
        <f>IFERROR(R48/$J48,0)</f>
      </c>
      <c r="AN48" s="42">
        <f>IFERROR(S48/$J48,0)</f>
      </c>
      <c r="AO48" s="42">
        <f>IFERROR(T48/$J48,0)</f>
      </c>
      <c r="AP48" s="42">
        <f>IFERROR(U48/$J48,0)</f>
      </c>
      <c r="AQ48" s="42">
        <f>IFERROR(V48/$J48,0)</f>
      </c>
      <c r="AR48" s="41">
        <v>0</v>
      </c>
      <c r="AS48" s="41">
        <f t="shared" si="11"/>
      </c>
      <c r="AT48" s="9"/>
      <c r="AU48" s="9"/>
      <c r="AV48" s="33"/>
      <c r="AW48" s="33"/>
      <c r="AX48" s="33">
        <f t="shared" si="13"/>
      </c>
      <c r="AY48" s="33">
        <f t="shared" si="16"/>
      </c>
      <c r="AZ48" s="33">
        <f>IFERROR(SUMIFS('[2]毛利表广告费'!$J:$J,'[2]毛利表广告费'!$K:$K,AY48),#VALUE!)</f>
      </c>
      <c r="BA48" s="33">
        <v>639.91007579994</v>
      </c>
    </row>
    <row customHeight="true" ht="17.037037037037035" r="49">
      <c r="A49" s="44" t="s">
        <v>49</v>
      </c>
      <c r="B49" s="45" t="s">
        <v>73</v>
      </c>
      <c r="C49" s="46" t="s">
        <v>71</v>
      </c>
      <c r="D49" s="34" t="s">
        <v>72</v>
      </c>
      <c r="E49" s="46" t="s">
        <v>75</v>
      </c>
      <c r="F49" s="46" t="s">
        <v>54</v>
      </c>
      <c r="G49" s="48">
        <v>8.195975</v>
      </c>
      <c r="H49" s="38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8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43">
        <f t="shared" si="10"/>
      </c>
      <c r="AD49" s="40">
        <f t="shared" si="8"/>
      </c>
      <c r="AE49" s="41">
        <f t="shared" si="3"/>
      </c>
      <c r="AF49" s="41">
        <f t="shared" si="1"/>
      </c>
      <c r="AG49" s="41">
        <f t="shared" si="5"/>
      </c>
      <c r="AH49" s="42">
        <f t="shared" si="4"/>
      </c>
      <c r="AI49" s="42">
        <f>IFERROR(N49/$J49,0)</f>
      </c>
      <c r="AJ49" s="42">
        <f>IFERROR(O49/$J49,0)</f>
      </c>
      <c r="AK49" s="42">
        <f>IFERROR(P49/$J49,0)</f>
      </c>
      <c r="AL49" s="42">
        <f>IFERROR(Q49/$J49,0)</f>
      </c>
      <c r="AM49" s="42">
        <f>IFERROR(R49/$J49,0)</f>
      </c>
      <c r="AN49" s="42">
        <f>IFERROR(S49/$J49,0)</f>
      </c>
      <c r="AO49" s="42">
        <f>IFERROR(T49/$J49,0)</f>
      </c>
      <c r="AP49" s="42">
        <f>IFERROR(U49/$J49,0)</f>
      </c>
      <c r="AQ49" s="42">
        <f>IFERROR(V49/$J49,0)</f>
      </c>
      <c r="AR49" s="41">
        <v>0</v>
      </c>
      <c r="AS49" s="41">
        <f t="shared" si="11"/>
      </c>
      <c r="AT49" s="9"/>
      <c r="AU49" s="9"/>
      <c r="AV49" s="33"/>
      <c r="AW49" s="33"/>
      <c r="AX49" s="33">
        <f t="shared" si="13"/>
      </c>
      <c r="AY49" s="33">
        <f t="shared" si="16"/>
      </c>
      <c r="AZ49" s="33">
        <f>IFERROR(SUMIFS('[2]毛利表广告费'!$J:$J,'[2]毛利表广告费'!$K:$K,AY49),#VALUE!)</f>
      </c>
      <c r="BA49" s="33">
        <v>0</v>
      </c>
    </row>
    <row customHeight="true" ht="17.037037037037035" r="50">
      <c r="A50" s="44" t="s">
        <v>49</v>
      </c>
      <c r="B50" s="45" t="s">
        <v>73</v>
      </c>
      <c r="C50" s="46" t="s">
        <v>69</v>
      </c>
      <c r="D50" s="47" t="s">
        <v>70</v>
      </c>
      <c r="E50" s="46" t="s">
        <v>57</v>
      </c>
      <c r="F50" s="46" t="s">
        <v>54</v>
      </c>
      <c r="G50" s="48">
        <v>8.195975</v>
      </c>
      <c r="H50" s="38">
        <v>9</v>
      </c>
      <c r="I50" s="39">
        <v>0</v>
      </c>
      <c r="J50" s="39">
        <v>2286.677025</v>
      </c>
      <c r="K50" s="39">
        <v>0</v>
      </c>
      <c r="L50" s="39">
        <v>640.354185</v>
      </c>
      <c r="M50" s="39">
        <v>0</v>
      </c>
      <c r="N50" s="39">
        <v>0</v>
      </c>
      <c r="O50" s="39">
        <v>49.0893488372093</v>
      </c>
      <c r="P50" s="39">
        <v>2.5836</v>
      </c>
      <c r="Q50" s="39">
        <v>32.2148498345588</v>
      </c>
      <c r="R50" s="39">
        <v>0</v>
      </c>
      <c r="S50" s="38">
        <v>729.016518659588</v>
      </c>
      <c r="T50" s="39">
        <v>387.5917557375</v>
      </c>
      <c r="U50" s="39">
        <v>6.00079192482244</v>
      </c>
      <c r="V50" s="39">
        <v>0</v>
      </c>
      <c r="W50" s="39">
        <v>2767.57596695357</v>
      </c>
      <c r="X50" s="39">
        <v>0</v>
      </c>
      <c r="Y50" s="39">
        <v>0</v>
      </c>
      <c r="Z50" s="39">
        <v>0</v>
      </c>
      <c r="AA50" s="39">
        <v>0</v>
      </c>
      <c r="AB50" s="39">
        <v>0</v>
      </c>
      <c r="AC50" s="43">
        <f t="shared" si="10"/>
      </c>
      <c r="AD50" s="40">
        <f t="shared" si="8"/>
      </c>
      <c r="AE50" s="41">
        <f t="shared" si="3"/>
      </c>
      <c r="AF50" s="41">
        <f t="shared" si="1"/>
      </c>
      <c r="AG50" s="41">
        <f t="shared" si="5"/>
      </c>
      <c r="AH50" s="42">
        <f t="shared" si="4"/>
      </c>
      <c r="AI50" s="42">
        <f>IFERROR(N50/$J50,0)</f>
      </c>
      <c r="AJ50" s="42">
        <f>IFERROR(O50/$J50,0)</f>
      </c>
      <c r="AK50" s="42">
        <f>IFERROR(P50/$J50,0)</f>
      </c>
      <c r="AL50" s="42">
        <f>IFERROR(Q50/$J50,0)</f>
      </c>
      <c r="AM50" s="42">
        <f>IFERROR(R50/$J50,0)</f>
      </c>
      <c r="AN50" s="42">
        <f>IFERROR(S50/$J50,0)</f>
      </c>
      <c r="AO50" s="42">
        <f>IFERROR(T50/$J50,0)</f>
      </c>
      <c r="AP50" s="42">
        <f>IFERROR(U50/$J50,0)</f>
      </c>
      <c r="AQ50" s="42">
        <f>IFERROR(V50/$J50,0)</f>
      </c>
      <c r="AR50" s="41">
        <v>0</v>
      </c>
      <c r="AS50" s="41">
        <f t="shared" si="11"/>
      </c>
      <c r="AT50" s="9"/>
      <c r="AU50" s="9"/>
      <c r="AV50" s="33"/>
      <c r="AW50" s="33"/>
      <c r="AX50" s="33">
        <f t="shared" si="13"/>
      </c>
      <c r="AY50" s="33">
        <f t="shared" si="16"/>
      </c>
      <c r="AZ50" s="33">
        <f>IFERROR(SUMIFS('[2]毛利表广告费'!$J:$J,'[2]毛利表广告费'!$K:$K,AY50),#VALUE!)</f>
      </c>
      <c r="BA50" s="33">
        <v>729.016518659588</v>
      </c>
    </row>
    <row customHeight="true" ht="17.037037037037035" r="51">
      <c r="A51" s="44" t="s">
        <v>49</v>
      </c>
      <c r="B51" s="45" t="s">
        <v>73</v>
      </c>
      <c r="C51" s="46" t="s">
        <v>71</v>
      </c>
      <c r="D51" s="34" t="s">
        <v>72</v>
      </c>
      <c r="E51" s="46" t="s">
        <v>57</v>
      </c>
      <c r="F51" s="46" t="s">
        <v>54</v>
      </c>
      <c r="G51" s="48">
        <v>8.195975</v>
      </c>
      <c r="H51" s="38">
        <v>20</v>
      </c>
      <c r="I51" s="39">
        <v>0</v>
      </c>
      <c r="J51" s="39">
        <v>2262.0891</v>
      </c>
      <c r="K51" s="39">
        <v>0</v>
      </c>
      <c r="L51" s="39">
        <v>516.45984</v>
      </c>
      <c r="M51" s="39">
        <v>0</v>
      </c>
      <c r="N51" s="39">
        <v>0</v>
      </c>
      <c r="O51" s="39">
        <v>63.3201024327784</v>
      </c>
      <c r="P51" s="39">
        <v>1.441</v>
      </c>
      <c r="Q51" s="39">
        <v>46.30725875</v>
      </c>
      <c r="R51" s="39">
        <v>0</v>
      </c>
      <c r="S51" s="38">
        <v>2081.85776775929</v>
      </c>
      <c r="T51" s="39">
        <v>383.42410245</v>
      </c>
      <c r="U51" s="39">
        <v>0.437055419704488</v>
      </c>
      <c r="V51" s="39">
        <v>0</v>
      </c>
      <c r="W51" s="39">
        <v>3022.87700113845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43">
        <f t="shared" si="10"/>
      </c>
      <c r="AD51" s="40">
        <f t="shared" si="8"/>
      </c>
      <c r="AE51" s="41">
        <f t="shared" si="3"/>
      </c>
      <c r="AF51" s="41">
        <f t="shared" si="1"/>
      </c>
      <c r="AG51" s="41">
        <f t="shared" si="5"/>
      </c>
      <c r="AH51" s="42">
        <f t="shared" si="4"/>
      </c>
      <c r="AI51" s="42">
        <f>IFERROR(N51/$J51,0)</f>
      </c>
      <c r="AJ51" s="42">
        <f>IFERROR(O51/$J51,0)</f>
      </c>
      <c r="AK51" s="42">
        <f>IFERROR(P51/$J51,0)</f>
      </c>
      <c r="AL51" s="42">
        <f>IFERROR(Q51/$J51,0)</f>
      </c>
      <c r="AM51" s="42">
        <f>IFERROR(R51/$J51,0)</f>
      </c>
      <c r="AN51" s="42">
        <f>IFERROR(S51/$J51,0)</f>
      </c>
      <c r="AO51" s="42">
        <f>IFERROR(T51/$J51,0)</f>
      </c>
      <c r="AP51" s="42">
        <f>IFERROR(U51/$J51,0)</f>
      </c>
      <c r="AQ51" s="42">
        <f>IFERROR(V51/$J51,0)</f>
      </c>
      <c r="AR51" s="41">
        <v>0</v>
      </c>
      <c r="AS51" s="41">
        <f t="shared" si="11"/>
      </c>
      <c r="AT51" s="9"/>
      <c r="AU51" s="9"/>
      <c r="AV51" s="33"/>
      <c r="AW51" s="33"/>
      <c r="AX51" s="33">
        <f t="shared" si="13"/>
      </c>
      <c r="AY51" s="33">
        <f t="shared" si="16"/>
      </c>
      <c r="AZ51" s="33">
        <f>IFERROR(SUMIFS('[2]毛利表广告费'!$J:$J,'[2]毛利表广告费'!$K:$K,AY51),#VALUE!)</f>
      </c>
      <c r="BA51" s="33">
        <v>2081.85776775929</v>
      </c>
    </row>
    <row customHeight="true" ht="17.037037037037035" r="52">
      <c r="A52" s="44" t="s">
        <v>49</v>
      </c>
      <c r="B52" s="45" t="s">
        <v>73</v>
      </c>
      <c r="C52" s="46" t="s">
        <v>69</v>
      </c>
      <c r="D52" s="47" t="s">
        <v>70</v>
      </c>
      <c r="E52" s="46" t="s">
        <v>58</v>
      </c>
      <c r="F52" s="46" t="s">
        <v>54</v>
      </c>
      <c r="G52" s="48">
        <v>8.195975</v>
      </c>
      <c r="H52" s="38">
        <v>10</v>
      </c>
      <c r="I52" s="39">
        <v>0</v>
      </c>
      <c r="J52" s="39">
        <v>2540.75225</v>
      </c>
      <c r="K52" s="39">
        <v>0</v>
      </c>
      <c r="L52" s="39">
        <v>711.50465</v>
      </c>
      <c r="M52" s="39">
        <v>0</v>
      </c>
      <c r="N52" s="39">
        <v>0</v>
      </c>
      <c r="O52" s="39">
        <v>54.5437209302326</v>
      </c>
      <c r="P52" s="39">
        <v>2.87066666666667</v>
      </c>
      <c r="Q52" s="39">
        <v>35.7942775939542</v>
      </c>
      <c r="R52" s="39">
        <v>0</v>
      </c>
      <c r="S52" s="38">
        <v>1135.05204336142</v>
      </c>
      <c r="T52" s="39">
        <v>418.20782035</v>
      </c>
      <c r="U52" s="39">
        <v>3.00039596241122</v>
      </c>
      <c r="V52" s="39">
        <v>0</v>
      </c>
      <c r="W52" s="39">
        <v>2363.07975346491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43">
        <f t="shared" si="10"/>
      </c>
      <c r="AD52" s="40">
        <f t="shared" si="8"/>
      </c>
      <c r="AE52" s="41">
        <f t="shared" si="3"/>
      </c>
      <c r="AF52" s="41">
        <f t="shared" si="1"/>
      </c>
      <c r="AG52" s="41">
        <f t="shared" si="5"/>
      </c>
      <c r="AH52" s="42">
        <f t="shared" si="4"/>
      </c>
      <c r="AI52" s="42">
        <f>IFERROR(N52/$J52,0)</f>
      </c>
      <c r="AJ52" s="42">
        <f>IFERROR(O52/$J52,0)</f>
      </c>
      <c r="AK52" s="42">
        <f>IFERROR(P52/$J52,0)</f>
      </c>
      <c r="AL52" s="42">
        <f>IFERROR(Q52/$J52,0)</f>
      </c>
      <c r="AM52" s="42">
        <f>IFERROR(R52/$J52,0)</f>
      </c>
      <c r="AN52" s="42">
        <f>IFERROR(S52/$J52,0)</f>
      </c>
      <c r="AO52" s="42">
        <f>IFERROR(T52/$J52,0)</f>
      </c>
      <c r="AP52" s="42">
        <f>IFERROR(U52/$J52,0)</f>
      </c>
      <c r="AQ52" s="42">
        <f>IFERROR(V52/$J52,0)</f>
      </c>
      <c r="AR52" s="41">
        <v>0</v>
      </c>
      <c r="AS52" s="41">
        <f t="shared" si="11"/>
      </c>
      <c r="AT52" s="9"/>
      <c r="AU52" s="9"/>
      <c r="AV52" s="33"/>
      <c r="AW52" s="33"/>
      <c r="AX52" s="33">
        <f t="shared" si="13"/>
      </c>
      <c r="AY52" s="33">
        <f t="shared" si="16"/>
      </c>
      <c r="AZ52" s="33">
        <f>IFERROR(SUMIFS('[2]毛利表广告费'!$J:$J,'[2]毛利表广告费'!$K:$K,AY52),#VALUE!)</f>
      </c>
      <c r="BA52" s="33">
        <v>1135.05204336142</v>
      </c>
    </row>
    <row customHeight="true" ht="17.037037037037035" r="53">
      <c r="A53" s="44" t="s">
        <v>49</v>
      </c>
      <c r="B53" s="45" t="s">
        <v>73</v>
      </c>
      <c r="C53" s="46" t="s">
        <v>71</v>
      </c>
      <c r="D53" s="34" t="s">
        <v>72</v>
      </c>
      <c r="E53" s="46" t="s">
        <v>58</v>
      </c>
      <c r="F53" s="46" t="s">
        <v>54</v>
      </c>
      <c r="G53" s="48">
        <v>8.195975</v>
      </c>
      <c r="H53" s="38">
        <v>20</v>
      </c>
      <c r="I53" s="39">
        <v>0</v>
      </c>
      <c r="J53" s="39">
        <v>2262.0891</v>
      </c>
      <c r="K53" s="39">
        <v>0</v>
      </c>
      <c r="L53" s="39">
        <v>516.45984</v>
      </c>
      <c r="M53" s="39">
        <v>0</v>
      </c>
      <c r="N53" s="39">
        <v>0</v>
      </c>
      <c r="O53" s="39">
        <v>63.3201024327784</v>
      </c>
      <c r="P53" s="39">
        <v>1.441</v>
      </c>
      <c r="Q53" s="39">
        <v>46.30725875</v>
      </c>
      <c r="R53" s="39">
        <v>0</v>
      </c>
      <c r="S53" s="38">
        <v>1044.19373120515</v>
      </c>
      <c r="T53" s="39">
        <v>372.33986586</v>
      </c>
      <c r="U53" s="39">
        <v>0.437055419704488</v>
      </c>
      <c r="V53" s="39">
        <v>0</v>
      </c>
      <c r="W53" s="39">
        <v>2025.5190483572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43">
        <f t="shared" si="10"/>
      </c>
      <c r="AD53" s="40">
        <f t="shared" si="8"/>
      </c>
      <c r="AE53" s="41">
        <f t="shared" si="3"/>
      </c>
      <c r="AF53" s="41">
        <f t="shared" si="1"/>
      </c>
      <c r="AG53" s="41">
        <f t="shared" si="5"/>
      </c>
      <c r="AH53" s="42">
        <f t="shared" si="4"/>
      </c>
      <c r="AI53" s="42">
        <f>IFERROR(N53/$J53,0)</f>
      </c>
      <c r="AJ53" s="42">
        <f>IFERROR(O53/$J53,0)</f>
      </c>
      <c r="AK53" s="42">
        <f>IFERROR(P53/$J53,0)</f>
      </c>
      <c r="AL53" s="42">
        <f>IFERROR(Q53/$J53,0)</f>
      </c>
      <c r="AM53" s="42">
        <f>IFERROR(R53/$J53,0)</f>
      </c>
      <c r="AN53" s="42">
        <f>IFERROR(S53/$J53,0)</f>
      </c>
      <c r="AO53" s="42">
        <f>IFERROR(T53/$J53,0)</f>
      </c>
      <c r="AP53" s="42">
        <f>IFERROR(U53/$J53,0)</f>
      </c>
      <c r="AQ53" s="42">
        <f>IFERROR(V53/$J53,0)</f>
      </c>
      <c r="AR53" s="41">
        <v>0</v>
      </c>
      <c r="AS53" s="41">
        <f t="shared" si="11"/>
      </c>
      <c r="AT53" s="9"/>
      <c r="AU53" s="9"/>
      <c r="AV53" s="33"/>
      <c r="AW53" s="33"/>
      <c r="AX53" s="33">
        <f t="shared" si="13"/>
      </c>
      <c r="AY53" s="33">
        <f t="shared" si="16"/>
      </c>
      <c r="AZ53" s="33">
        <f>IFERROR(SUMIFS('[2]毛利表广告费'!$J:$J,'[2]毛利表广告费'!$K:$K,AY53),#VALUE!)</f>
      </c>
      <c r="BA53" s="33">
        <v>1044.19373120515</v>
      </c>
    </row>
    <row customHeight="true" ht="17.037037037037035" r="54">
      <c r="A54" s="44" t="s">
        <v>49</v>
      </c>
      <c r="B54" s="45" t="s">
        <v>73</v>
      </c>
      <c r="C54" s="46" t="s">
        <v>69</v>
      </c>
      <c r="D54" s="47" t="s">
        <v>70</v>
      </c>
      <c r="E54" s="46" t="s">
        <v>59</v>
      </c>
      <c r="F54" s="46" t="s">
        <v>54</v>
      </c>
      <c r="G54" s="48">
        <v>8.195975</v>
      </c>
      <c r="H54" s="38">
        <v>16</v>
      </c>
      <c r="I54" s="39">
        <v>0</v>
      </c>
      <c r="J54" s="39">
        <v>7473.417844</v>
      </c>
      <c r="K54" s="39">
        <v>0</v>
      </c>
      <c r="L54" s="39">
        <v>1138.40744</v>
      </c>
      <c r="M54" s="39">
        <v>0</v>
      </c>
      <c r="N54" s="39">
        <v>0</v>
      </c>
      <c r="O54" s="39">
        <v>87.2699534883722</v>
      </c>
      <c r="P54" s="39">
        <v>4.59306666666667</v>
      </c>
      <c r="Q54" s="39">
        <v>57.2708441503267</v>
      </c>
      <c r="R54" s="39">
        <v>0</v>
      </c>
      <c r="S54" s="38">
        <v>986.859826952297</v>
      </c>
      <c r="T54" s="39">
        <v>1479.736733112</v>
      </c>
      <c r="U54" s="39">
        <v>6.00079192482244</v>
      </c>
      <c r="V54" s="39">
        <v>0</v>
      </c>
      <c r="W54" s="39">
        <v>3748.91242780482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43">
        <f t="shared" si="10"/>
      </c>
      <c r="AD54" s="40">
        <f t="shared" si="8"/>
      </c>
      <c r="AE54" s="41">
        <f t="shared" si="3"/>
      </c>
      <c r="AF54" s="41">
        <f t="shared" si="1"/>
      </c>
      <c r="AG54" s="41">
        <f t="shared" si="5"/>
      </c>
      <c r="AH54" s="42">
        <f t="shared" si="4"/>
      </c>
      <c r="AI54" s="42">
        <f>IFERROR(N54/$J54,0)</f>
      </c>
      <c r="AJ54" s="42">
        <f>IFERROR(O54/$J54,0)</f>
      </c>
      <c r="AK54" s="42">
        <f>IFERROR(P54/$J54,0)</f>
      </c>
      <c r="AL54" s="42">
        <f>IFERROR(Q54/$J54,0)</f>
      </c>
      <c r="AM54" s="42">
        <f>IFERROR(R54/$J54,0)</f>
      </c>
      <c r="AN54" s="42">
        <f>IFERROR(S54/$J54,0)</f>
      </c>
      <c r="AO54" s="42">
        <f>IFERROR(T54/$J54,0)</f>
      </c>
      <c r="AP54" s="42">
        <f>IFERROR(U54/$J54,0)</f>
      </c>
      <c r="AQ54" s="42">
        <f>IFERROR(V54/$J54,0)</f>
      </c>
      <c r="AR54" s="41">
        <v>0</v>
      </c>
      <c r="AS54" s="41">
        <f t="shared" si="11"/>
      </c>
      <c r="AT54" s="9"/>
      <c r="AU54" s="9"/>
      <c r="AV54" s="33"/>
      <c r="AW54" s="33"/>
      <c r="AX54" s="33">
        <f t="shared" si="13"/>
      </c>
      <c r="AY54" s="33">
        <f t="shared" si="16"/>
      </c>
      <c r="AZ54" s="33">
        <f>IFERROR(SUMIFS('[2]毛利表广告费'!$J:$J,'[2]毛利表广告费'!$K:$K,AY54),#VALUE!)</f>
      </c>
      <c r="BA54" s="33">
        <v>986.859826952297</v>
      </c>
    </row>
    <row customHeight="true" ht="17.037037037037035" r="55">
      <c r="A55" s="44" t="s">
        <v>49</v>
      </c>
      <c r="B55" s="45" t="s">
        <v>73</v>
      </c>
      <c r="C55" s="46" t="s">
        <v>71</v>
      </c>
      <c r="D55" s="34" t="s">
        <v>72</v>
      </c>
      <c r="E55" s="46" t="s">
        <v>59</v>
      </c>
      <c r="F55" s="46" t="s">
        <v>54</v>
      </c>
      <c r="G55" s="48">
        <v>8.195975</v>
      </c>
      <c r="H55" s="38">
        <v>3</v>
      </c>
      <c r="I55" s="39">
        <v>0</v>
      </c>
      <c r="J55" s="39">
        <v>339.313365</v>
      </c>
      <c r="K55" s="39">
        <v>0</v>
      </c>
      <c r="L55" s="39">
        <v>77.468976</v>
      </c>
      <c r="M55" s="39">
        <v>0</v>
      </c>
      <c r="N55" s="39">
        <v>0</v>
      </c>
      <c r="O55" s="39">
        <v>9.49801536491676</v>
      </c>
      <c r="P55" s="39">
        <v>0.21615</v>
      </c>
      <c r="Q55" s="39">
        <v>6.9460888125</v>
      </c>
      <c r="R55" s="39">
        <v>0</v>
      </c>
      <c r="S55" s="38">
        <v>166.188691910711</v>
      </c>
      <c r="T55" s="39">
        <v>67.18404627</v>
      </c>
      <c r="U55" s="39">
        <v>0.437055419704488</v>
      </c>
      <c r="V55" s="39">
        <v>0</v>
      </c>
      <c r="W55" s="39">
        <v>1241.6764892947</v>
      </c>
      <c r="X55" s="39">
        <v>0</v>
      </c>
      <c r="Y55" s="39">
        <v>0</v>
      </c>
      <c r="Z55" s="39">
        <v>0</v>
      </c>
      <c r="AA55" s="39">
        <v>0</v>
      </c>
      <c r="AB55" s="39">
        <v>0</v>
      </c>
      <c r="AC55" s="43">
        <f t="shared" si="10"/>
      </c>
      <c r="AD55" s="40">
        <f t="shared" si="8"/>
      </c>
      <c r="AE55" s="41">
        <f t="shared" si="3"/>
      </c>
      <c r="AF55" s="41">
        <f t="shared" si="1"/>
      </c>
      <c r="AG55" s="41">
        <f t="shared" si="5"/>
      </c>
      <c r="AH55" s="42">
        <f t="shared" si="4"/>
      </c>
      <c r="AI55" s="42">
        <f>IFERROR(N55/$J55,0)</f>
      </c>
      <c r="AJ55" s="42">
        <f>IFERROR(O55/$J55,0)</f>
      </c>
      <c r="AK55" s="42">
        <f>IFERROR(P55/$J55,0)</f>
      </c>
      <c r="AL55" s="42">
        <f>IFERROR(Q55/$J55,0)</f>
      </c>
      <c r="AM55" s="42">
        <f>IFERROR(R55/$J55,0)</f>
      </c>
      <c r="AN55" s="42">
        <f>IFERROR(S55/$J55,0)</f>
      </c>
      <c r="AO55" s="42">
        <f>IFERROR(T55/$J55,0)</f>
      </c>
      <c r="AP55" s="42">
        <f>IFERROR(U55/$J55,0)</f>
      </c>
      <c r="AQ55" s="42">
        <f>IFERROR(V55/$J55,0)</f>
      </c>
      <c r="AR55" s="41">
        <v>0</v>
      </c>
      <c r="AS55" s="41">
        <f t="shared" si="11"/>
      </c>
      <c r="AT55" s="9"/>
      <c r="AU55" s="9"/>
      <c r="AV55" s="33"/>
      <c r="AW55" s="33"/>
      <c r="AX55" s="33">
        <f t="shared" si="13"/>
      </c>
      <c r="AY55" s="33">
        <f t="shared" si="16"/>
      </c>
      <c r="AZ55" s="33">
        <f>IFERROR(SUMIFS('[2]毛利表广告费'!$J:$J,'[2]毛利表广告费'!$K:$K,AY55),#VALUE!)</f>
      </c>
      <c r="BA55" s="33">
        <v>166.188691910711</v>
      </c>
    </row>
    <row customHeight="true" ht="17.037037037037035" r="56">
      <c r="A56" s="44" t="s">
        <v>49</v>
      </c>
      <c r="B56" s="45" t="s">
        <v>73</v>
      </c>
      <c r="C56" s="46" t="s">
        <v>71</v>
      </c>
      <c r="D56" s="34" t="s">
        <v>72</v>
      </c>
      <c r="E56" s="46" t="s">
        <v>60</v>
      </c>
      <c r="F56" s="46" t="s">
        <v>54</v>
      </c>
      <c r="G56" s="48">
        <v>8.195975</v>
      </c>
      <c r="H56" s="38">
        <v>17</v>
      </c>
      <c r="I56" s="39">
        <v>0</v>
      </c>
      <c r="J56" s="39">
        <v>1922.775735</v>
      </c>
      <c r="K56" s="39">
        <v>0</v>
      </c>
      <c r="L56" s="39">
        <v>438.990864</v>
      </c>
      <c r="M56" s="39">
        <v>0</v>
      </c>
      <c r="N56" s="39">
        <v>0</v>
      </c>
      <c r="O56" s="39">
        <v>53.8220870678616</v>
      </c>
      <c r="P56" s="39">
        <v>1.22485</v>
      </c>
      <c r="Q56" s="39">
        <v>39.3611699375</v>
      </c>
      <c r="R56" s="39">
        <v>0</v>
      </c>
      <c r="S56" s="38">
        <v>543.159112373244</v>
      </c>
      <c r="T56" s="39">
        <v>354.944400681</v>
      </c>
      <c r="U56" s="39">
        <v>0.437055419704488</v>
      </c>
      <c r="V56" s="39">
        <v>0</v>
      </c>
      <c r="W56" s="39">
        <v>1573.3471076072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43">
        <f t="shared" si="10"/>
      </c>
      <c r="AD56" s="40">
        <f t="shared" si="8"/>
      </c>
      <c r="AE56" s="41">
        <f t="shared" si="3"/>
      </c>
      <c r="AF56" s="41">
        <f t="shared" si="1"/>
      </c>
      <c r="AG56" s="41">
        <f t="shared" si="5"/>
      </c>
      <c r="AH56" s="42">
        <f t="shared" si="4"/>
      </c>
      <c r="AI56" s="42">
        <f>IFERROR(N56/$J56,0)</f>
      </c>
      <c r="AJ56" s="42">
        <f>IFERROR(O56/$J56,0)</f>
      </c>
      <c r="AK56" s="42">
        <f>IFERROR(P56/$J56,0)</f>
      </c>
      <c r="AL56" s="42">
        <f>IFERROR(Q56/$J56,0)</f>
      </c>
      <c r="AM56" s="42">
        <f>IFERROR(R56/$J56,0)</f>
      </c>
      <c r="AN56" s="42">
        <f>IFERROR(S56/$J56,0)</f>
      </c>
      <c r="AO56" s="42">
        <f>IFERROR(T56/$J56,0)</f>
      </c>
      <c r="AP56" s="42">
        <f>IFERROR(U56/$J56,0)</f>
      </c>
      <c r="AQ56" s="42">
        <f>IFERROR(V56/$J56,0)</f>
      </c>
      <c r="AR56" s="41">
        <v>0</v>
      </c>
      <c r="AS56" s="41">
        <f t="shared" si="11"/>
      </c>
      <c r="AT56" s="9"/>
      <c r="AU56" s="9"/>
      <c r="AV56" s="33"/>
      <c r="AW56" s="33"/>
      <c r="AX56" s="33">
        <f t="shared" si="13"/>
      </c>
      <c r="AY56" s="33">
        <f t="shared" si="16"/>
      </c>
      <c r="AZ56" s="33">
        <f>IFERROR(SUMIFS('[2]毛利表广告费'!$J:$J,'[2]毛利表广告费'!$K:$K,AY56),#VALUE!)</f>
      </c>
      <c r="BA56" s="33">
        <v>543.159112373244</v>
      </c>
    </row>
    <row customHeight="true" ht="17.037037037037035" r="57">
      <c r="A57" s="44" t="s">
        <v>49</v>
      </c>
      <c r="B57" s="45" t="s">
        <v>73</v>
      </c>
      <c r="C57" s="46" t="s">
        <v>64</v>
      </c>
      <c r="D57" s="47" t="s">
        <v>63</v>
      </c>
      <c r="E57" s="46" t="s">
        <v>53</v>
      </c>
      <c r="F57" s="46" t="s">
        <v>54</v>
      </c>
      <c r="G57" s="48">
        <v>9.316305</v>
      </c>
      <c r="H57" s="38">
        <v>70</v>
      </c>
      <c r="I57" s="39">
        <v>0</v>
      </c>
      <c r="J57" s="39">
        <v>13368.897675</v>
      </c>
      <c r="K57" s="39">
        <v>0</v>
      </c>
      <c r="L57" s="39">
        <v>3035.39691</v>
      </c>
      <c r="M57" s="39">
        <v>0</v>
      </c>
      <c r="N57" s="39">
        <v>0</v>
      </c>
      <c r="O57" s="39">
        <v>429.063157894737</v>
      </c>
      <c r="P57" s="39">
        <v>0</v>
      </c>
      <c r="Q57" s="39">
        <v>117.385443</v>
      </c>
      <c r="R57" s="39">
        <v>0</v>
      </c>
      <c r="S57" s="38">
        <v>1322.88140917491</v>
      </c>
      <c r="T57" s="39">
        <v>2112.28583265</v>
      </c>
      <c r="U57" s="39">
        <v>17.959972779</v>
      </c>
      <c r="V57" s="39">
        <v>0</v>
      </c>
      <c r="W57" s="39">
        <v>2427.529097979</v>
      </c>
      <c r="X57" s="39">
        <v>0</v>
      </c>
      <c r="Y57" s="39">
        <v>0</v>
      </c>
      <c r="Z57" s="39">
        <v>0</v>
      </c>
      <c r="AA57" s="39">
        <v>0</v>
      </c>
      <c r="AB57" s="39">
        <v>0</v>
      </c>
      <c r="AC57" s="43">
        <f t="shared" si="10"/>
      </c>
      <c r="AD57" s="40">
        <f t="shared" si="8"/>
      </c>
      <c r="AE57" s="41">
        <f t="shared" si="3"/>
      </c>
      <c r="AF57" s="41">
        <f t="shared" si="1"/>
      </c>
      <c r="AG57" s="41">
        <f t="shared" si="5"/>
      </c>
      <c r="AH57" s="42">
        <f t="shared" si="4"/>
      </c>
      <c r="AI57" s="42">
        <f>IFERROR(N57/$J57,0)</f>
      </c>
      <c r="AJ57" s="42">
        <f>IFERROR(O57/$J57,0)</f>
      </c>
      <c r="AK57" s="42">
        <f>IFERROR(P57/$J57,0)</f>
      </c>
      <c r="AL57" s="42">
        <f>IFERROR(Q57/$J57,0)</f>
      </c>
      <c r="AM57" s="42">
        <f>IFERROR(R57/$J57,0)</f>
      </c>
      <c r="AN57" s="42">
        <f>IFERROR(S57/$J57,0)</f>
      </c>
      <c r="AO57" s="42">
        <f>IFERROR(T57/$J57,0)</f>
      </c>
      <c r="AP57" s="42">
        <f>IFERROR(U57/$J57,0)</f>
      </c>
      <c r="AQ57" s="42">
        <f>IFERROR(V57/$J57,0)</f>
      </c>
      <c r="AR57" s="41">
        <v>0</v>
      </c>
      <c r="AS57" s="41">
        <f t="shared" si="11"/>
      </c>
      <c r="AT57" s="9"/>
      <c r="AU57" s="9"/>
      <c r="AV57" s="33"/>
      <c r="AW57" s="33"/>
      <c r="AX57" s="33">
        <f t="shared" si="13"/>
      </c>
      <c r="AY57" s="33">
        <f t="shared" si="16"/>
      </c>
      <c r="AZ57" s="33">
        <f>IFERROR(SUMIFS('[2]毛利表广告费'!$J:$J,'[2]毛利表广告费'!$K:$K,AY57),#VALUE!)</f>
      </c>
      <c r="BA57" s="33">
        <v>1322.88140917491</v>
      </c>
    </row>
    <row customHeight="true" ht="17.037037037037035" r="58">
      <c r="A58" s="44" t="s">
        <v>49</v>
      </c>
      <c r="B58" s="45" t="s">
        <v>73</v>
      </c>
      <c r="C58" s="46" t="s">
        <v>56</v>
      </c>
      <c r="D58" s="47" t="s">
        <v>52</v>
      </c>
      <c r="E58" s="46" t="s">
        <v>61</v>
      </c>
      <c r="F58" s="46" t="s">
        <v>54</v>
      </c>
      <c r="G58" s="48">
        <f>IFERROR(VLOOKUP(E58,'[3]汇率-11'!A:B,2,0),8.195975)</f>
      </c>
      <c r="H58" s="38">
        <v>24</v>
      </c>
      <c r="I58" s="39">
        <v>0</v>
      </c>
      <c r="J58" s="39">
        <v>11802.204</v>
      </c>
      <c r="K58" s="39">
        <v>0</v>
      </c>
      <c r="L58" s="39">
        <v>2920.353456</v>
      </c>
      <c r="M58" s="39">
        <v>0</v>
      </c>
      <c r="N58" s="39">
        <v>0</v>
      </c>
      <c r="O58" s="39">
        <v>499.535626216742</v>
      </c>
      <c r="P58" s="39">
        <v>0</v>
      </c>
      <c r="Q58" s="39">
        <v>388.902903385711</v>
      </c>
      <c r="R58" s="39">
        <v>0</v>
      </c>
      <c r="S58" s="38">
        <v>0</v>
      </c>
      <c r="T58" s="39">
        <v>1864.748232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43">
        <f t="shared" si="10"/>
      </c>
      <c r="AD58" s="40">
        <f t="shared" si="8"/>
      </c>
      <c r="AE58" s="41">
        <f t="shared" si="3"/>
      </c>
      <c r="AF58" s="41">
        <f t="shared" si="1"/>
      </c>
      <c r="AG58" s="41">
        <f t="shared" si="5"/>
      </c>
      <c r="AH58" s="42">
        <f t="shared" si="4"/>
      </c>
      <c r="AI58" s="42">
        <f>IFERROR(N58/$J58,0)</f>
      </c>
      <c r="AJ58" s="42">
        <f>IFERROR(O58/$J58,0)</f>
      </c>
      <c r="AK58" s="42">
        <f>IFERROR(P58/$J58,0)</f>
      </c>
      <c r="AL58" s="42">
        <f>IFERROR(Q58/$J58,0)</f>
      </c>
      <c r="AM58" s="42">
        <f>IFERROR(R58/$J58,0)</f>
      </c>
      <c r="AN58" s="42">
        <f>IFERROR(S58/$J58,0)</f>
      </c>
      <c r="AO58" s="42">
        <f>IFERROR(T58/$J58,0)</f>
      </c>
      <c r="AP58" s="42">
        <f>IFERROR(U58/$J58,0)</f>
      </c>
      <c r="AQ58" s="42">
        <f>IFERROR(V58/$J58,0)</f>
      </c>
      <c r="AR58" s="41">
        <v>0</v>
      </c>
      <c r="AS58" s="41">
        <f t="shared" si="11"/>
      </c>
      <c r="AT58" s="9"/>
      <c r="AU58" s="9"/>
      <c r="AV58" s="33"/>
      <c r="AW58" s="33"/>
      <c r="AX58" s="33">
        <f t="shared" si="13"/>
      </c>
      <c r="AY58" s="33">
        <f t="shared" si="16"/>
      </c>
      <c r="AZ58" s="33">
        <f>IFERROR(SUMIFS('[2]毛利表广告费'!$J:$J,'[2]毛利表广告费'!$K:$K,AY58),#VALUE!)</f>
      </c>
      <c r="BA58" s="33">
        <v>0</v>
      </c>
    </row>
    <row customHeight="true" ht="17.037037037037035" r="59">
      <c r="A59" s="44" t="s">
        <v>49</v>
      </c>
      <c r="B59" s="45" t="s">
        <v>73</v>
      </c>
      <c r="C59" s="46" t="s">
        <v>62</v>
      </c>
      <c r="D59" s="47" t="s">
        <v>63</v>
      </c>
      <c r="E59" s="46" t="s">
        <v>57</v>
      </c>
      <c r="F59" s="46" t="s">
        <v>54</v>
      </c>
      <c r="G59" s="48">
        <f>IFERROR(VLOOKUP(E59,'[3]汇率-11'!A:B,2,0),8.195975)</f>
      </c>
      <c r="H59" s="38">
        <v>14</v>
      </c>
      <c r="I59" s="39">
        <v>0</v>
      </c>
      <c r="J59" s="39">
        <v>2352.244825</v>
      </c>
      <c r="K59" s="39">
        <v>0</v>
      </c>
      <c r="L59" s="39">
        <v>607.079382</v>
      </c>
      <c r="M59" s="39">
        <v>0</v>
      </c>
      <c r="N59" s="39">
        <v>0</v>
      </c>
      <c r="O59" s="39">
        <v>85.8126315789474</v>
      </c>
      <c r="P59" s="39">
        <v>0</v>
      </c>
      <c r="Q59" s="39">
        <v>38.2186881002674</v>
      </c>
      <c r="R59" s="39">
        <v>0</v>
      </c>
      <c r="S59" s="38">
        <v>0</v>
      </c>
      <c r="T59" s="39">
        <v>398.7054978375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43">
        <f t="shared" si="10"/>
      </c>
      <c r="AD59" s="40">
        <f t="shared" si="8"/>
      </c>
      <c r="AE59" s="41">
        <f t="shared" si="3"/>
      </c>
      <c r="AF59" s="41">
        <f t="shared" si="1"/>
      </c>
      <c r="AG59" s="41">
        <f t="shared" si="5"/>
      </c>
      <c r="AH59" s="42">
        <f t="shared" si="4"/>
      </c>
      <c r="AI59" s="42">
        <f>IFERROR(N59/$J59,0)</f>
      </c>
      <c r="AJ59" s="42">
        <f>IFERROR(O59/$J59,0)</f>
      </c>
      <c r="AK59" s="42">
        <f>IFERROR(P59/$J59,0)</f>
      </c>
      <c r="AL59" s="42">
        <f>IFERROR(Q59/$J59,0)</f>
      </c>
      <c r="AM59" s="42">
        <f>IFERROR(R59/$J59,0)</f>
      </c>
      <c r="AN59" s="42">
        <f>IFERROR(S59/$J59,0)</f>
      </c>
      <c r="AO59" s="42">
        <f>IFERROR(T59/$J59,0)</f>
      </c>
      <c r="AP59" s="42">
        <f>IFERROR(U59/$J59,0)</f>
      </c>
      <c r="AQ59" s="42">
        <f>IFERROR(V59/$J59,0)</f>
      </c>
      <c r="AR59" s="41">
        <v>0</v>
      </c>
      <c r="AS59" s="41">
        <f t="shared" si="11"/>
      </c>
      <c r="AT59" s="9"/>
      <c r="AU59" s="9"/>
      <c r="AV59" s="33"/>
      <c r="AW59" s="33"/>
      <c r="AX59" s="33">
        <f t="shared" si="13"/>
      </c>
      <c r="AY59" s="33">
        <f t="shared" si="16"/>
      </c>
      <c r="AZ59" s="33">
        <f>IFERROR(SUMIFS('[2]毛利表广告费'!$J:$J,'[2]毛利表广告费'!$K:$K,AY59),#VALUE!)</f>
      </c>
      <c r="BA59" s="33">
        <v>0</v>
      </c>
    </row>
    <row customHeight="true" ht="17.037037037037035" r="60">
      <c r="A60" s="44" t="s">
        <v>49</v>
      </c>
      <c r="B60" s="45" t="s">
        <v>73</v>
      </c>
      <c r="C60" s="46" t="s">
        <v>67</v>
      </c>
      <c r="D60" s="34" t="s">
        <v>68</v>
      </c>
      <c r="E60" s="46" t="s">
        <v>61</v>
      </c>
      <c r="F60" s="46" t="s">
        <v>54</v>
      </c>
      <c r="G60" s="48">
        <f>IFERROR(VLOOKUP(E60,'[3]汇率-11'!A:B,2,0),8.195975)</f>
      </c>
      <c r="H60" s="38">
        <v>1</v>
      </c>
      <c r="I60" s="39">
        <v>0</v>
      </c>
      <c r="J60" s="39">
        <v>561.4242875</v>
      </c>
      <c r="K60" s="39">
        <v>0</v>
      </c>
      <c r="L60" s="39">
        <v>184.070797</v>
      </c>
      <c r="M60" s="39">
        <v>0</v>
      </c>
      <c r="N60" s="39">
        <v>0</v>
      </c>
      <c r="O60" s="39">
        <v>14.7020443349754</v>
      </c>
      <c r="P60" s="39">
        <v>0</v>
      </c>
      <c r="Q60" s="39">
        <v>9.00485902514231</v>
      </c>
      <c r="R60" s="39">
        <v>0</v>
      </c>
      <c r="S60" s="38">
        <v>0</v>
      </c>
      <c r="T60" s="39">
        <v>88.705037425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43">
        <f t="shared" si="10"/>
      </c>
      <c r="AD60" s="40">
        <f t="shared" si="8"/>
      </c>
      <c r="AE60" s="41">
        <f t="shared" si="3"/>
      </c>
      <c r="AF60" s="41">
        <f t="shared" si="1"/>
      </c>
      <c r="AG60" s="41">
        <f t="shared" si="5"/>
      </c>
      <c r="AH60" s="42">
        <f t="shared" si="4"/>
      </c>
      <c r="AI60" s="42">
        <f>IFERROR(N60/$J60,0)</f>
      </c>
      <c r="AJ60" s="42">
        <f>IFERROR(O60/$J60,0)</f>
      </c>
      <c r="AK60" s="42">
        <f>IFERROR(P60/$J60,0)</f>
      </c>
      <c r="AL60" s="42">
        <f>IFERROR(Q60/$J60,0)</f>
      </c>
      <c r="AM60" s="42">
        <f>IFERROR(R60/$J60,0)</f>
      </c>
      <c r="AN60" s="42">
        <f>IFERROR(S60/$J60,0)</f>
      </c>
      <c r="AO60" s="42">
        <f>IFERROR(T60/$J60,0)</f>
      </c>
      <c r="AP60" s="42">
        <f>IFERROR(U60/$J60,0)</f>
      </c>
      <c r="AQ60" s="42">
        <f>IFERROR(V60/$J60,0)</f>
      </c>
      <c r="AR60" s="41">
        <v>0</v>
      </c>
      <c r="AS60" s="41">
        <f t="shared" si="11"/>
      </c>
      <c r="AT60" s="9"/>
      <c r="AU60" s="9"/>
      <c r="AV60" s="33"/>
      <c r="AW60" s="33"/>
      <c r="AX60" s="33">
        <f t="shared" si="13"/>
      </c>
      <c r="AY60" s="33">
        <f t="shared" si="16"/>
      </c>
      <c r="AZ60" s="33">
        <f>IFERROR(SUMIFS('[2]毛利表广告费'!$J:$J,'[2]毛利表广告费'!$K:$K,AY60),#VALUE!)</f>
      </c>
      <c r="BA60" s="33">
        <v>0</v>
      </c>
    </row>
    <row customHeight="true" ht="17.037037037037035" r="61">
      <c r="A61" s="44" t="s">
        <v>49</v>
      </c>
      <c r="B61" s="45" t="s">
        <v>73</v>
      </c>
      <c r="C61" s="46" t="s">
        <v>62</v>
      </c>
      <c r="D61" s="47" t="s">
        <v>63</v>
      </c>
      <c r="E61" s="46" t="s">
        <v>74</v>
      </c>
      <c r="F61" s="46" t="s">
        <v>54</v>
      </c>
      <c r="G61" s="48">
        <f>IFERROR(VLOOKUP(E61,'[3]汇率-11'!A:B,2,0),0.776452334334678)</f>
      </c>
      <c r="H61" s="38">
        <v>3</v>
      </c>
      <c r="I61" s="39">
        <v>0</v>
      </c>
      <c r="J61" s="39">
        <v>47.7518185615827</v>
      </c>
      <c r="K61" s="39">
        <v>0</v>
      </c>
      <c r="L61" s="39">
        <v>130.088439</v>
      </c>
      <c r="M61" s="39">
        <v>0</v>
      </c>
      <c r="N61" s="39">
        <v>0</v>
      </c>
      <c r="O61" s="39">
        <v>18.3884210526316</v>
      </c>
      <c r="P61" s="39">
        <v>0</v>
      </c>
      <c r="Q61" s="39">
        <v>8.18971887862872</v>
      </c>
      <c r="R61" s="39">
        <v>0</v>
      </c>
      <c r="S61" s="38">
        <v>0</v>
      </c>
      <c r="T61" s="39">
        <v>10.6486555392329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43">
        <f t="shared" si="10"/>
      </c>
      <c r="AD61" s="40">
        <f t="shared" si="8"/>
      </c>
      <c r="AE61" s="41">
        <f t="shared" si="3"/>
      </c>
      <c r="AF61" s="41">
        <f t="shared" si="1"/>
      </c>
      <c r="AG61" s="41">
        <f t="shared" si="5"/>
      </c>
      <c r="AH61" s="42">
        <f t="shared" si="4"/>
      </c>
      <c r="AI61" s="42">
        <f>IFERROR(N61/$J61,0)</f>
      </c>
      <c r="AJ61" s="42">
        <f>IFERROR(O61/$J61,0)</f>
      </c>
      <c r="AK61" s="42">
        <f>IFERROR(P61/$J61,0)</f>
      </c>
      <c r="AL61" s="42">
        <f>IFERROR(Q61/$J61,0)</f>
      </c>
      <c r="AM61" s="42">
        <f>IFERROR(R61/$J61,0)</f>
      </c>
      <c r="AN61" s="42">
        <f>IFERROR(S61/$J61,0)</f>
      </c>
      <c r="AO61" s="42">
        <f>IFERROR(T61/$J61,0)</f>
      </c>
      <c r="AP61" s="42">
        <f>IFERROR(U61/$J61,0)</f>
      </c>
      <c r="AQ61" s="42">
        <f>IFERROR(V61/$J61,0)</f>
      </c>
      <c r="AR61" s="41">
        <v>0</v>
      </c>
      <c r="AS61" s="41">
        <f t="shared" si="11"/>
      </c>
      <c r="AT61" s="9"/>
      <c r="AU61" s="9"/>
      <c r="AV61" s="33"/>
      <c r="AW61" s="33"/>
      <c r="AX61" s="33">
        <f t="shared" si="13"/>
      </c>
      <c r="AY61" s="33">
        <f t="shared" si="16"/>
      </c>
      <c r="AZ61" s="33">
        <f>IFERROR(SUMIFS('[2]毛利表广告费'!$J:$J,'[2]毛利表广告费'!$K:$K,AY61),#VALUE!)</f>
      </c>
      <c r="BA61" s="33">
        <v>0</v>
      </c>
    </row>
    <row customHeight="true" ht="17.037037037037035" r="62">
      <c r="A62" s="44" t="s">
        <v>49</v>
      </c>
      <c r="B62" s="45" t="s">
        <v>73</v>
      </c>
      <c r="C62" s="46" t="s">
        <v>71</v>
      </c>
      <c r="D62" s="34" t="s">
        <v>72</v>
      </c>
      <c r="E62" s="46" t="s">
        <v>76</v>
      </c>
      <c r="F62" s="46" t="s">
        <v>54</v>
      </c>
      <c r="G62" s="48">
        <f>IFERROR(VLOOKUP(E62,'[3]汇率-11'!A:B,2,0),1.93453619283031)</f>
      </c>
      <c r="H62" s="38">
        <v>2</v>
      </c>
      <c r="I62" s="39">
        <v>0</v>
      </c>
      <c r="J62" s="39">
        <v>246.692055309721</v>
      </c>
      <c r="K62" s="39">
        <v>0</v>
      </c>
      <c r="L62" s="39">
        <v>51.645984</v>
      </c>
      <c r="M62" s="39">
        <v>0</v>
      </c>
      <c r="N62" s="39">
        <v>0</v>
      </c>
      <c r="O62" s="39">
        <v>6.33201024327784</v>
      </c>
      <c r="P62" s="39">
        <v>0.1441</v>
      </c>
      <c r="Q62" s="39">
        <v>4.630725875</v>
      </c>
      <c r="R62" s="39">
        <v>0</v>
      </c>
      <c r="S62" s="38">
        <v>0</v>
      </c>
      <c r="T62" s="39">
        <v>38.9773447389359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43">
        <f t="shared" si="10"/>
      </c>
      <c r="AD62" s="40">
        <f t="shared" si="8"/>
      </c>
      <c r="AE62" s="41">
        <f t="shared" si="3"/>
      </c>
      <c r="AF62" s="41">
        <f t="shared" si="1"/>
      </c>
      <c r="AG62" s="41">
        <f t="shared" si="5"/>
      </c>
      <c r="AH62" s="42">
        <f t="shared" si="4"/>
      </c>
      <c r="AI62" s="42">
        <f>IFERROR(N62/$J62,0)</f>
      </c>
      <c r="AJ62" s="42">
        <f>IFERROR(O62/$J62,0)</f>
      </c>
      <c r="AK62" s="42">
        <f>IFERROR(P62/$J62,0)</f>
      </c>
      <c r="AL62" s="42">
        <f>IFERROR(Q62/$J62,0)</f>
      </c>
      <c r="AM62" s="42">
        <f>IFERROR(R62/$J62,0)</f>
      </c>
      <c r="AN62" s="42">
        <f>IFERROR(S62/$J62,0)</f>
      </c>
      <c r="AO62" s="42">
        <f>IFERROR(T62/$J62,0)</f>
      </c>
      <c r="AP62" s="42">
        <f>IFERROR(U62/$J62,0)</f>
      </c>
      <c r="AQ62" s="42">
        <f>IFERROR(V62/$J62,0)</f>
      </c>
      <c r="AR62" s="41">
        <v>0</v>
      </c>
      <c r="AS62" s="41">
        <f t="shared" si="11"/>
      </c>
      <c r="AT62" s="9"/>
      <c r="AU62" s="9"/>
      <c r="AV62" s="33"/>
      <c r="AW62" s="33"/>
      <c r="AX62" s="33">
        <f t="shared" si="13"/>
      </c>
      <c r="AY62" s="33">
        <f t="shared" si="16"/>
      </c>
      <c r="AZ62" s="33">
        <f>IFERROR(SUMIFS('[2]毛利表广告费'!$J:$J,'[2]毛利表广告费'!$K:$K,AY62),#VALUE!)</f>
      </c>
      <c r="BA62" s="33">
        <v>0</v>
      </c>
    </row>
    <row customHeight="true" ht="17.037037037037035" r="63">
      <c r="A63" s="44" t="s">
        <v>49</v>
      </c>
      <c r="B63" s="45" t="s">
        <v>73</v>
      </c>
      <c r="C63" s="46" t="s">
        <v>71</v>
      </c>
      <c r="D63" s="34" t="s">
        <v>72</v>
      </c>
      <c r="E63" s="46" t="s">
        <v>74</v>
      </c>
      <c r="F63" s="46" t="s">
        <v>54</v>
      </c>
      <c r="G63" s="48">
        <f>IFERROR(VLOOKUP(E63,'[3]汇率-11'!A:B,2,0),0.776452334334678)</f>
      </c>
      <c r="H63" s="38">
        <v>1</v>
      </c>
      <c r="I63" s="39">
        <v>0</v>
      </c>
      <c r="J63" s="39">
        <v>128.409687052269</v>
      </c>
      <c r="K63" s="39">
        <v>0</v>
      </c>
      <c r="L63" s="39">
        <v>25.822992</v>
      </c>
      <c r="M63" s="39">
        <v>0</v>
      </c>
      <c r="N63" s="39">
        <v>0</v>
      </c>
      <c r="O63" s="39">
        <v>3.16600512163892</v>
      </c>
      <c r="P63" s="39">
        <v>0.07205</v>
      </c>
      <c r="Q63" s="39">
        <v>2.3153629375</v>
      </c>
      <c r="R63" s="39">
        <v>0</v>
      </c>
      <c r="S63" s="38">
        <v>0</v>
      </c>
      <c r="T63" s="39">
        <v>28.635360212656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43">
        <f t="shared" si="10"/>
      </c>
      <c r="AD63" s="40">
        <f t="shared" si="8"/>
      </c>
      <c r="AE63" s="41">
        <f t="shared" si="3"/>
      </c>
      <c r="AF63" s="41">
        <f t="shared" si="1"/>
      </c>
      <c r="AG63" s="41">
        <f t="shared" si="5"/>
      </c>
      <c r="AH63" s="42">
        <f t="shared" si="4"/>
      </c>
      <c r="AI63" s="42">
        <f>IFERROR(N63/$J63,0)</f>
      </c>
      <c r="AJ63" s="42">
        <f>IFERROR(O63/$J63,0)</f>
      </c>
      <c r="AK63" s="42">
        <f>IFERROR(P63/$J63,0)</f>
      </c>
      <c r="AL63" s="42">
        <f>IFERROR(Q63/$J63,0)</f>
      </c>
      <c r="AM63" s="42">
        <f>IFERROR(R63/$J63,0)</f>
      </c>
      <c r="AN63" s="42">
        <f>IFERROR(S63/$J63,0)</f>
      </c>
      <c r="AO63" s="42">
        <f>IFERROR(T63/$J63,0)</f>
      </c>
      <c r="AP63" s="42">
        <f>IFERROR(U63/$J63,0)</f>
      </c>
      <c r="AQ63" s="42">
        <f>IFERROR(V63/$J63,0)</f>
      </c>
      <c r="AR63" s="41">
        <v>0</v>
      </c>
      <c r="AS63" s="41">
        <f t="shared" si="11"/>
      </c>
      <c r="AT63" s="9"/>
      <c r="AU63" s="9"/>
      <c r="AV63" s="33"/>
      <c r="AW63" s="33"/>
      <c r="AX63" s="33">
        <f>L63+O63+Q63</f>
      </c>
      <c r="AY63" s="33">
        <f t="shared" si="16"/>
      </c>
      <c r="AZ63" s="33">
        <f>IFERROR(SUMIFS('[2]毛利表广告费'!$J:$J,'[2]毛利表广告费'!$K:$K,AY63),#VALUE!)</f>
      </c>
      <c r="BA63" s="33">
        <v>0</v>
      </c>
    </row>
    <row customHeight="true" ht="17.037037037037035" r="64">
      <c r="A64" s="44" t="s">
        <v>49</v>
      </c>
      <c r="B64" s="45" t="s">
        <v>73</v>
      </c>
      <c r="C64" s="46" t="s">
        <v>56</v>
      </c>
      <c r="D64" s="47" t="s">
        <v>52</v>
      </c>
      <c r="E64" s="46" t="s">
        <v>59</v>
      </c>
      <c r="F64" s="46" t="s">
        <v>54</v>
      </c>
      <c r="G64" s="49" t="s">
        <v>77</v>
      </c>
      <c r="H64" s="38"/>
      <c r="I64" s="39"/>
      <c r="J64" s="39">
        <v>8597.905614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43">
        <f t="shared" si="10"/>
      </c>
      <c r="AD64" s="40">
        <f t="shared" si="8"/>
      </c>
      <c r="AE64" s="41">
        <f t="shared" si="3"/>
      </c>
      <c r="AF64" s="41">
        <f t="shared" si="1"/>
      </c>
      <c r="AG64" s="41">
        <f t="shared" si="5"/>
      </c>
      <c r="AH64" s="42">
        <f t="shared" si="4"/>
      </c>
      <c r="AI64" s="42">
        <f>IFERROR(N64/$J64,0)</f>
      </c>
      <c r="AJ64" s="42">
        <f>IFERROR(O64/$J64,0)</f>
      </c>
      <c r="AK64" s="42">
        <f>IFERROR(P64/$J64,0)</f>
      </c>
      <c r="AL64" s="42">
        <f>IFERROR(Q64/$J64,0)</f>
      </c>
      <c r="AM64" s="42">
        <f>IFERROR(R64/$J64,0)</f>
      </c>
      <c r="AN64" s="42">
        <f>IFERROR(S64/$J64,0)</f>
      </c>
      <c r="AO64" s="42">
        <f>IFERROR(T64/$J64,0)</f>
      </c>
      <c r="AP64" s="42">
        <f>IFERROR(U64/$J64,0)</f>
      </c>
      <c r="AQ64" s="42">
        <f>IFERROR(V64/$J64,0)</f>
      </c>
      <c r="AR64" s="41">
        <v>0</v>
      </c>
      <c r="AS64" s="41">
        <f t="shared" si="11"/>
      </c>
      <c r="AT64" s="9"/>
      <c r="AU64" s="9"/>
      <c r="AV64" s="33"/>
      <c r="AW64" s="33"/>
      <c r="AX64" s="33">
        <f t="shared" ref="AX64:AX77" si="0">L64+O64+Q64</f>
      </c>
      <c r="AY64" s="33"/>
      <c r="AZ64" s="33"/>
      <c r="BA64" s="33"/>
    </row>
    <row customHeight="true" ht="17.037037037037035" r="65">
      <c r="A65" s="44" t="s">
        <v>49</v>
      </c>
      <c r="B65" s="45" t="s">
        <v>73</v>
      </c>
      <c r="C65" s="46" t="s">
        <v>56</v>
      </c>
      <c r="D65" s="47" t="s">
        <v>52</v>
      </c>
      <c r="E65" s="46" t="s">
        <v>59</v>
      </c>
      <c r="F65" s="46" t="s">
        <v>54</v>
      </c>
      <c r="G65" s="49" t="s">
        <v>78</v>
      </c>
      <c r="H65" s="38"/>
      <c r="I65" s="39"/>
      <c r="J65" s="39">
        <v>-8597.905614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43">
        <f t="shared" si="10"/>
      </c>
      <c r="AD65" s="40">
        <f t="shared" si="8"/>
      </c>
      <c r="AE65" s="41">
        <f t="shared" si="3"/>
      </c>
      <c r="AF65" s="41">
        <f t="shared" si="1"/>
      </c>
      <c r="AG65" s="41">
        <f t="shared" si="5"/>
      </c>
      <c r="AH65" s="42">
        <f t="shared" si="4"/>
      </c>
      <c r="AI65" s="42">
        <f>IFERROR(N65/$J65,0)</f>
      </c>
      <c r="AJ65" s="42">
        <f>IFERROR(O65/$J65,0)</f>
      </c>
      <c r="AK65" s="42">
        <f>IFERROR(P65/$J65,0)</f>
      </c>
      <c r="AL65" s="42">
        <f>IFERROR(Q65/$J65,0)</f>
      </c>
      <c r="AM65" s="42">
        <f>IFERROR(R65/$J65,0)</f>
      </c>
      <c r="AN65" s="42">
        <f>IFERROR(S65/$J65,0)</f>
      </c>
      <c r="AO65" s="42">
        <f>IFERROR(T65/$J65,0)</f>
      </c>
      <c r="AP65" s="42">
        <f>IFERROR(U65/$J65,0)</f>
      </c>
      <c r="AQ65" s="42">
        <f>IFERROR(V65/$J65,0)</f>
      </c>
      <c r="AR65" s="41">
        <v>0</v>
      </c>
      <c r="AS65" s="41">
        <f t="shared" si="11"/>
      </c>
      <c r="AT65" s="9"/>
      <c r="AU65" s="9"/>
      <c r="AV65" s="33"/>
      <c r="AW65" s="33"/>
      <c r="AX65" s="33">
        <f t="shared" si="0"/>
      </c>
      <c r="AY65" s="33"/>
      <c r="AZ65" s="33"/>
      <c r="BA65" s="33"/>
    </row>
    <row customHeight="true" ht="17.037037037037035" r="66">
      <c r="A66" s="44" t="s">
        <v>49</v>
      </c>
      <c r="B66" s="45" t="s">
        <v>73</v>
      </c>
      <c r="C66" s="46" t="s">
        <v>65</v>
      </c>
      <c r="D66" s="47" t="s">
        <v>66</v>
      </c>
      <c r="E66" s="46" t="s">
        <v>59</v>
      </c>
      <c r="F66" s="46" t="s">
        <v>54</v>
      </c>
      <c r="G66" s="49" t="s">
        <v>79</v>
      </c>
      <c r="H66" s="38"/>
      <c r="I66" s="39"/>
      <c r="J66" s="39">
        <v>-1215.38113275</v>
      </c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43">
        <f t="shared" si="10"/>
      </c>
      <c r="AD66" s="40">
        <f t="shared" si="8"/>
      </c>
      <c r="AE66" s="41">
        <f t="shared" si="3"/>
      </c>
      <c r="AF66" s="41">
        <f t="shared" si="1"/>
      </c>
      <c r="AG66" s="41">
        <f t="shared" si="5"/>
      </c>
      <c r="AH66" s="42">
        <f t="shared" si="4"/>
      </c>
      <c r="AI66" s="42">
        <f>IFERROR(N66/$J66,0)</f>
      </c>
      <c r="AJ66" s="42">
        <f>IFERROR(O66/$J66,0)</f>
      </c>
      <c r="AK66" s="42">
        <f>IFERROR(P66/$J66,0)</f>
      </c>
      <c r="AL66" s="42">
        <f>IFERROR(Q66/$J66,0)</f>
      </c>
      <c r="AM66" s="42">
        <f>IFERROR(R66/$J66,0)</f>
      </c>
      <c r="AN66" s="42">
        <f>IFERROR(S66/$J66,0)</f>
      </c>
      <c r="AO66" s="42">
        <f>IFERROR(T66/$J66,0)</f>
      </c>
      <c r="AP66" s="42">
        <f>IFERROR(U66/$J66,0)</f>
      </c>
      <c r="AQ66" s="42">
        <f>IFERROR(V66/$J66,0)</f>
      </c>
      <c r="AR66" s="41">
        <v>0</v>
      </c>
      <c r="AS66" s="41">
        <f t="shared" si="11"/>
      </c>
      <c r="AT66" s="9"/>
      <c r="AU66" s="9"/>
      <c r="AV66" s="33"/>
      <c r="AW66" s="33"/>
      <c r="AX66" s="33">
        <f t="shared" si="0"/>
      </c>
      <c r="AY66" s="33"/>
      <c r="AZ66" s="33"/>
      <c r="BA66" s="33"/>
    </row>
    <row customHeight="true" ht="17.037037037037035" r="67">
      <c r="A67" s="44" t="s">
        <v>49</v>
      </c>
      <c r="B67" s="45" t="s">
        <v>73</v>
      </c>
      <c r="C67" s="46" t="s">
        <v>65</v>
      </c>
      <c r="D67" s="47" t="s">
        <v>66</v>
      </c>
      <c r="E67" s="46" t="s">
        <v>57</v>
      </c>
      <c r="F67" s="46" t="s">
        <v>54</v>
      </c>
      <c r="G67" s="49" t="s">
        <v>79</v>
      </c>
      <c r="H67" s="38"/>
      <c r="I67" s="39"/>
      <c r="J67" s="39">
        <v>-2346.58960225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43">
        <f t="shared" ref="AC67:AC77" si="15">J67-K67-L67-M67-N67-O67-P67-Q67-R67-S67-T67-U67-V67-Y67</f>
      </c>
      <c r="AD67" s="40">
        <f t="shared" ref="AD67:AD77" si="14">AC67</f>
      </c>
      <c r="AE67" s="41">
        <f t="shared" ref="AE67:AE77" si="7">IFERROR(AD67/$J67,0)</f>
      </c>
      <c r="AF67" s="41">
        <f t="shared" ref="AF67:AF77" si="6">IFERROR(AC67/$J67,0)</f>
      </c>
      <c r="AG67" s="41">
        <f t="shared" ref="AG67:AG77" si="12">IFERROR(K67/$J67,0)</f>
      </c>
      <c r="AH67" s="42">
        <f t="shared" ref="AH67:AH77" si="9">IFERROR(L67/$J67,0)</f>
      </c>
      <c r="AI67" s="42">
        <f>IFERROR(N67/$J67,0)</f>
      </c>
      <c r="AJ67" s="42">
        <f>IFERROR(O67/$J67,0)</f>
      </c>
      <c r="AK67" s="42">
        <f>IFERROR(P67/$J67,0)</f>
      </c>
      <c r="AL67" s="42">
        <f>IFERROR(Q67/$J67,0)</f>
      </c>
      <c r="AM67" s="42">
        <f>IFERROR(R67/$J67,0)</f>
      </c>
      <c r="AN67" s="42">
        <f>IFERROR(S67/$J67,0)</f>
      </c>
      <c r="AO67" s="42">
        <f>IFERROR(T67/$J67,0)</f>
      </c>
      <c r="AP67" s="42">
        <f>IFERROR(U67/$J67,0)</f>
      </c>
      <c r="AQ67" s="42">
        <f>IFERROR(V67/$J67,0)</f>
      </c>
      <c r="AR67" s="41">
        <v>0</v>
      </c>
      <c r="AS67" s="41">
        <f t="shared" ref="AS67:AS77" si="2">IFERROR(Y67/J67,0)</f>
      </c>
      <c r="AT67" s="9"/>
      <c r="AU67" s="9"/>
      <c r="AV67" s="33"/>
      <c r="AW67" s="33"/>
      <c r="AX67" s="33">
        <f t="shared" si="0"/>
      </c>
      <c r="AY67" s="33"/>
      <c r="AZ67" s="33"/>
      <c r="BA67" s="33"/>
    </row>
    <row customHeight="true" ht="17.037037037037035" r="68">
      <c r="A68" s="44" t="s">
        <v>49</v>
      </c>
      <c r="B68" s="45" t="s">
        <v>73</v>
      </c>
      <c r="C68" s="46" t="s">
        <v>65</v>
      </c>
      <c r="D68" s="47" t="s">
        <v>66</v>
      </c>
      <c r="E68" s="46" t="s">
        <v>57</v>
      </c>
      <c r="F68" s="46" t="s">
        <v>54</v>
      </c>
      <c r="G68" s="49" t="s">
        <v>79</v>
      </c>
      <c r="H68" s="38"/>
      <c r="I68" s="39"/>
      <c r="J68" s="39">
        <v>-596.8308995</v>
      </c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43">
        <f t="shared" si="15"/>
      </c>
      <c r="AD68" s="40">
        <f t="shared" si="14"/>
      </c>
      <c r="AE68" s="41">
        <f t="shared" si="7"/>
      </c>
      <c r="AF68" s="41">
        <f t="shared" si="6"/>
      </c>
      <c r="AG68" s="41">
        <f t="shared" si="12"/>
      </c>
      <c r="AH68" s="42">
        <f t="shared" si="9"/>
      </c>
      <c r="AI68" s="42">
        <f>IFERROR(N68/$J68,0)</f>
      </c>
      <c r="AJ68" s="42">
        <f>IFERROR(O68/$J68,0)</f>
      </c>
      <c r="AK68" s="42">
        <f>IFERROR(P68/$J68,0)</f>
      </c>
      <c r="AL68" s="42">
        <f>IFERROR(Q68/$J68,0)</f>
      </c>
      <c r="AM68" s="42">
        <f>IFERROR(R68/$J68,0)</f>
      </c>
      <c r="AN68" s="42">
        <f>IFERROR(S68/$J68,0)</f>
      </c>
      <c r="AO68" s="42">
        <f>IFERROR(T68/$J68,0)</f>
      </c>
      <c r="AP68" s="42">
        <f>IFERROR(U68/$J68,0)</f>
      </c>
      <c r="AQ68" s="42">
        <f>IFERROR(V68/$J68,0)</f>
      </c>
      <c r="AR68" s="41">
        <v>0</v>
      </c>
      <c r="AS68" s="41">
        <f t="shared" si="2"/>
      </c>
      <c r="AT68" s="9"/>
      <c r="AU68" s="9"/>
      <c r="AV68" s="33"/>
      <c r="AW68" s="33"/>
      <c r="AX68" s="33">
        <f t="shared" si="0"/>
      </c>
      <c r="AY68" s="33"/>
      <c r="AZ68" s="33"/>
      <c r="BA68" s="33"/>
    </row>
    <row customHeight="true" ht="17.037037037037035" r="69">
      <c r="A69" s="44" t="s">
        <v>49</v>
      </c>
      <c r="B69" s="45" t="s">
        <v>73</v>
      </c>
      <c r="C69" s="46" t="s">
        <v>62</v>
      </c>
      <c r="D69" s="47" t="s">
        <v>63</v>
      </c>
      <c r="E69" s="46" t="s">
        <v>57</v>
      </c>
      <c r="F69" s="46" t="s">
        <v>54</v>
      </c>
      <c r="G69" s="49" t="s">
        <v>79</v>
      </c>
      <c r="H69" s="38"/>
      <c r="I69" s="39"/>
      <c r="J69" s="39">
        <v>-56.30634825</v>
      </c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43">
        <f t="shared" si="15"/>
      </c>
      <c r="AD69" s="40">
        <f t="shared" si="14"/>
      </c>
      <c r="AE69" s="41">
        <f t="shared" si="7"/>
      </c>
      <c r="AF69" s="41">
        <f t="shared" si="6"/>
      </c>
      <c r="AG69" s="41">
        <f t="shared" si="12"/>
      </c>
      <c r="AH69" s="42">
        <f t="shared" si="9"/>
      </c>
      <c r="AI69" s="42">
        <f>IFERROR(N69/$J69,0)</f>
      </c>
      <c r="AJ69" s="42">
        <f>IFERROR(O69/$J69,0)</f>
      </c>
      <c r="AK69" s="42">
        <f>IFERROR(P69/$J69,0)</f>
      </c>
      <c r="AL69" s="42">
        <f>IFERROR(Q69/$J69,0)</f>
      </c>
      <c r="AM69" s="42">
        <f>IFERROR(R69/$J69,0)</f>
      </c>
      <c r="AN69" s="42">
        <f>IFERROR(S69/$J69,0)</f>
      </c>
      <c r="AO69" s="42">
        <f>IFERROR(T69/$J69,0)</f>
      </c>
      <c r="AP69" s="42">
        <f>IFERROR(U69/$J69,0)</f>
      </c>
      <c r="AQ69" s="42">
        <f>IFERROR(V69/$J69,0)</f>
      </c>
      <c r="AR69" s="41">
        <v>0</v>
      </c>
      <c r="AS69" s="41">
        <f t="shared" si="2"/>
      </c>
      <c r="AT69" s="9"/>
      <c r="AU69" s="9"/>
      <c r="AV69" s="33"/>
      <c r="AW69" s="33"/>
      <c r="AX69" s="33">
        <f t="shared" si="0"/>
      </c>
      <c r="AY69" s="33"/>
      <c r="AZ69" s="33"/>
      <c r="BA69" s="33"/>
    </row>
    <row customHeight="true" ht="17.037037037037035" r="70">
      <c r="A70" s="44" t="s">
        <v>49</v>
      </c>
      <c r="B70" s="45" t="s">
        <v>73</v>
      </c>
      <c r="C70" s="46" t="s">
        <v>65</v>
      </c>
      <c r="D70" s="47" t="s">
        <v>66</v>
      </c>
      <c r="E70" s="46" t="s">
        <v>58</v>
      </c>
      <c r="F70" s="46" t="s">
        <v>54</v>
      </c>
      <c r="G70" s="49" t="s">
        <v>79</v>
      </c>
      <c r="H70" s="38"/>
      <c r="I70" s="39"/>
      <c r="J70" s="39">
        <v>-4980.0383295</v>
      </c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43">
        <f t="shared" si="15"/>
      </c>
      <c r="AD70" s="40">
        <f t="shared" si="14"/>
      </c>
      <c r="AE70" s="41">
        <f t="shared" si="7"/>
      </c>
      <c r="AF70" s="41">
        <f t="shared" si="6"/>
      </c>
      <c r="AG70" s="41">
        <f t="shared" si="12"/>
      </c>
      <c r="AH70" s="42">
        <f t="shared" si="9"/>
      </c>
      <c r="AI70" s="42">
        <f>IFERROR(N70/$J70,0)</f>
      </c>
      <c r="AJ70" s="42">
        <f>IFERROR(O70/$J70,0)</f>
      </c>
      <c r="AK70" s="42">
        <f>IFERROR(P70/$J70,0)</f>
      </c>
      <c r="AL70" s="42">
        <f>IFERROR(Q70/$J70,0)</f>
      </c>
      <c r="AM70" s="42">
        <f>IFERROR(R70/$J70,0)</f>
      </c>
      <c r="AN70" s="42">
        <f>IFERROR(S70/$J70,0)</f>
      </c>
      <c r="AO70" s="42">
        <f>IFERROR(T70/$J70,0)</f>
      </c>
      <c r="AP70" s="42">
        <f>IFERROR(U70/$J70,0)</f>
      </c>
      <c r="AQ70" s="42">
        <f>IFERROR(V70/$J70,0)</f>
      </c>
      <c r="AR70" s="41">
        <v>0</v>
      </c>
      <c r="AS70" s="41">
        <f t="shared" si="2"/>
      </c>
      <c r="AT70" s="9"/>
      <c r="AU70" s="9"/>
      <c r="AV70" s="33"/>
      <c r="AW70" s="33"/>
      <c r="AX70" s="33">
        <f t="shared" si="0"/>
      </c>
      <c r="AY70" s="33"/>
      <c r="AZ70" s="33"/>
      <c r="BA70" s="33"/>
    </row>
    <row customHeight="true" ht="17.037037037037035" r="71">
      <c r="A71" s="44" t="s">
        <v>49</v>
      </c>
      <c r="B71" s="45" t="s">
        <v>73</v>
      </c>
      <c r="C71" s="46" t="s">
        <v>62</v>
      </c>
      <c r="D71" s="47" t="s">
        <v>63</v>
      </c>
      <c r="E71" s="46" t="s">
        <v>58</v>
      </c>
      <c r="F71" s="46" t="s">
        <v>54</v>
      </c>
      <c r="G71" s="49" t="s">
        <v>79</v>
      </c>
      <c r="H71" s="38"/>
      <c r="I71" s="39"/>
      <c r="J71" s="39">
        <v>-2452.23572</v>
      </c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43">
        <f t="shared" si="15"/>
      </c>
      <c r="AD71" s="40">
        <f t="shared" si="14"/>
      </c>
      <c r="AE71" s="41">
        <f t="shared" si="7"/>
      </c>
      <c r="AF71" s="41">
        <f t="shared" si="6"/>
      </c>
      <c r="AG71" s="41">
        <f t="shared" si="12"/>
      </c>
      <c r="AH71" s="42">
        <f t="shared" si="9"/>
      </c>
      <c r="AI71" s="42">
        <f>IFERROR(N71/$J71,0)</f>
      </c>
      <c r="AJ71" s="42">
        <f>IFERROR(O71/$J71,0)</f>
      </c>
      <c r="AK71" s="42">
        <f>IFERROR(P71/$J71,0)</f>
      </c>
      <c r="AL71" s="42">
        <f>IFERROR(Q71/$J71,0)</f>
      </c>
      <c r="AM71" s="42">
        <f>IFERROR(R71/$J71,0)</f>
      </c>
      <c r="AN71" s="42">
        <f>IFERROR(S71/$J71,0)</f>
      </c>
      <c r="AO71" s="42">
        <f>IFERROR(T71/$J71,0)</f>
      </c>
      <c r="AP71" s="42">
        <f>IFERROR(U71/$J71,0)</f>
      </c>
      <c r="AQ71" s="42">
        <f>IFERROR(V71/$J71,0)</f>
      </c>
      <c r="AR71" s="41">
        <v>0</v>
      </c>
      <c r="AS71" s="41">
        <f t="shared" si="2"/>
      </c>
      <c r="AT71" s="9"/>
      <c r="AU71" s="9"/>
      <c r="AV71" s="33"/>
      <c r="AW71" s="33"/>
      <c r="AX71" s="33">
        <f t="shared" si="0"/>
      </c>
      <c r="AY71" s="33"/>
      <c r="AZ71" s="33"/>
      <c r="BA71" s="33"/>
    </row>
    <row customHeight="true" ht="17.037037037037035" r="72">
      <c r="A72" s="44" t="s">
        <v>49</v>
      </c>
      <c r="B72" s="45" t="s">
        <v>73</v>
      </c>
      <c r="C72" s="46" t="s">
        <v>62</v>
      </c>
      <c r="D72" s="47" t="s">
        <v>63</v>
      </c>
      <c r="E72" s="46" t="s">
        <v>58</v>
      </c>
      <c r="F72" s="46" t="s">
        <v>54</v>
      </c>
      <c r="G72" s="49" t="s">
        <v>79</v>
      </c>
      <c r="H72" s="38"/>
      <c r="I72" s="39"/>
      <c r="J72" s="39">
        <v>-55.32283125</v>
      </c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43">
        <f t="shared" si="15"/>
      </c>
      <c r="AD72" s="40">
        <f t="shared" si="14"/>
      </c>
      <c r="AE72" s="41">
        <f t="shared" si="7"/>
      </c>
      <c r="AF72" s="41">
        <f t="shared" si="6"/>
      </c>
      <c r="AG72" s="41">
        <f t="shared" si="12"/>
      </c>
      <c r="AH72" s="42">
        <f t="shared" si="9"/>
      </c>
      <c r="AI72" s="42">
        <f>IFERROR(N72/$J72,0)</f>
      </c>
      <c r="AJ72" s="42">
        <f>IFERROR(O72/$J72,0)</f>
      </c>
      <c r="AK72" s="42">
        <f>IFERROR(P72/$J72,0)</f>
      </c>
      <c r="AL72" s="42">
        <f>IFERROR(Q72/$J72,0)</f>
      </c>
      <c r="AM72" s="42">
        <f>IFERROR(R72/$J72,0)</f>
      </c>
      <c r="AN72" s="42">
        <f>IFERROR(S72/$J72,0)</f>
      </c>
      <c r="AO72" s="42">
        <f>IFERROR(T72/$J72,0)</f>
      </c>
      <c r="AP72" s="42">
        <f>IFERROR(U72/$J72,0)</f>
      </c>
      <c r="AQ72" s="42">
        <f>IFERROR(V72/$J72,0)</f>
      </c>
      <c r="AR72" s="41">
        <v>0</v>
      </c>
      <c r="AS72" s="41">
        <f t="shared" si="2"/>
      </c>
      <c r="AT72" s="9"/>
      <c r="AU72" s="9"/>
      <c r="AV72" s="33"/>
      <c r="AW72" s="33"/>
      <c r="AX72" s="33">
        <f t="shared" si="0"/>
      </c>
      <c r="AY72" s="33"/>
      <c r="AZ72" s="33"/>
      <c r="BA72" s="33"/>
    </row>
    <row customHeight="true" ht="17.037037037037035" r="73">
      <c r="A73" s="44" t="s">
        <v>49</v>
      </c>
      <c r="B73" s="45" t="s">
        <v>73</v>
      </c>
      <c r="C73" s="46" t="s">
        <v>62</v>
      </c>
      <c r="D73" s="47" t="s">
        <v>63</v>
      </c>
      <c r="E73" s="46" t="s">
        <v>59</v>
      </c>
      <c r="F73" s="46" t="s">
        <v>54</v>
      </c>
      <c r="G73" s="49" t="s">
        <v>79</v>
      </c>
      <c r="H73" s="38"/>
      <c r="I73" s="39"/>
      <c r="J73" s="39">
        <v>-2563.70098</v>
      </c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43">
        <f t="shared" si="15"/>
      </c>
      <c r="AD73" s="40">
        <f t="shared" si="14"/>
      </c>
      <c r="AE73" s="41">
        <f t="shared" si="7"/>
      </c>
      <c r="AF73" s="41">
        <f t="shared" si="6"/>
      </c>
      <c r="AG73" s="41">
        <f t="shared" si="12"/>
      </c>
      <c r="AH73" s="42">
        <f t="shared" si="9"/>
      </c>
      <c r="AI73" s="42">
        <f>IFERROR(N73/$J73,0)</f>
      </c>
      <c r="AJ73" s="42">
        <f>IFERROR(O73/$J73,0)</f>
      </c>
      <c r="AK73" s="42">
        <f>IFERROR(P73/$J73,0)</f>
      </c>
      <c r="AL73" s="42">
        <f>IFERROR(Q73/$J73,0)</f>
      </c>
      <c r="AM73" s="42">
        <f>IFERROR(R73/$J73,0)</f>
      </c>
      <c r="AN73" s="42">
        <f>IFERROR(S73/$J73,0)</f>
      </c>
      <c r="AO73" s="42">
        <f>IFERROR(T73/$J73,0)</f>
      </c>
      <c r="AP73" s="42">
        <f>IFERROR(U73/$J73,0)</f>
      </c>
      <c r="AQ73" s="42">
        <f>IFERROR(V73/$J73,0)</f>
      </c>
      <c r="AR73" s="41">
        <v>0</v>
      </c>
      <c r="AS73" s="41">
        <f t="shared" si="2"/>
      </c>
      <c r="AT73" s="9"/>
      <c r="AU73" s="9"/>
      <c r="AV73" s="33"/>
      <c r="AW73" s="33"/>
      <c r="AX73" s="33">
        <f t="shared" si="0"/>
      </c>
      <c r="AY73" s="33"/>
      <c r="AZ73" s="33"/>
      <c r="BA73" s="33"/>
    </row>
    <row customHeight="true" ht="17.037037037037035" r="74">
      <c r="A74" s="44" t="s">
        <v>49</v>
      </c>
      <c r="B74" s="45" t="s">
        <v>73</v>
      </c>
      <c r="C74" s="46" t="s">
        <v>65</v>
      </c>
      <c r="D74" s="47" t="s">
        <v>66</v>
      </c>
      <c r="E74" s="46" t="s">
        <v>59</v>
      </c>
      <c r="F74" s="46" t="s">
        <v>54</v>
      </c>
      <c r="G74" s="49" t="s">
        <v>79</v>
      </c>
      <c r="H74" s="38"/>
      <c r="I74" s="39"/>
      <c r="J74" s="39">
        <v>-4892.669236</v>
      </c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43">
        <f t="shared" si="15"/>
      </c>
      <c r="AD74" s="40">
        <f t="shared" si="14"/>
      </c>
      <c r="AE74" s="41">
        <f t="shared" si="7"/>
      </c>
      <c r="AF74" s="41">
        <f t="shared" si="6"/>
      </c>
      <c r="AG74" s="41">
        <f t="shared" si="12"/>
      </c>
      <c r="AH74" s="42">
        <f t="shared" si="9"/>
      </c>
      <c r="AI74" s="42">
        <f>IFERROR(N74/$J74,0)</f>
      </c>
      <c r="AJ74" s="42">
        <f>IFERROR(O74/$J74,0)</f>
      </c>
      <c r="AK74" s="42">
        <f>IFERROR(P74/$J74,0)</f>
      </c>
      <c r="AL74" s="42">
        <f>IFERROR(Q74/$J74,0)</f>
      </c>
      <c r="AM74" s="42">
        <f>IFERROR(R74/$J74,0)</f>
      </c>
      <c r="AN74" s="42">
        <f>IFERROR(S74/$J74,0)</f>
      </c>
      <c r="AO74" s="42">
        <f>IFERROR(T74/$J74,0)</f>
      </c>
      <c r="AP74" s="42">
        <f>IFERROR(U74/$J74,0)</f>
      </c>
      <c r="AQ74" s="42">
        <f>IFERROR(V74/$J74,0)</f>
      </c>
      <c r="AR74" s="41">
        <v>0</v>
      </c>
      <c r="AS74" s="41">
        <f t="shared" si="2"/>
      </c>
      <c r="AT74" s="9"/>
      <c r="AU74" s="9"/>
      <c r="AV74" s="33"/>
      <c r="AW74" s="33"/>
      <c r="AX74" s="33">
        <f t="shared" si="0"/>
      </c>
      <c r="AY74" s="33"/>
      <c r="AZ74" s="33"/>
      <c r="BA74" s="33"/>
    </row>
    <row customHeight="true" ht="17.037037037037035" r="75">
      <c r="A75" s="44" t="s">
        <v>49</v>
      </c>
      <c r="B75" s="45" t="s">
        <v>73</v>
      </c>
      <c r="C75" s="46" t="s">
        <v>67</v>
      </c>
      <c r="D75" s="34" t="s">
        <v>68</v>
      </c>
      <c r="E75" s="46" t="s">
        <v>59</v>
      </c>
      <c r="F75" s="46" t="s">
        <v>54</v>
      </c>
      <c r="G75" s="49" t="s">
        <v>79</v>
      </c>
      <c r="H75" s="38"/>
      <c r="I75" s="39"/>
      <c r="J75" s="39">
        <v>-8375.958611</v>
      </c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43">
        <f t="shared" si="15"/>
      </c>
      <c r="AD75" s="40">
        <f t="shared" si="14"/>
      </c>
      <c r="AE75" s="41">
        <f t="shared" si="7"/>
      </c>
      <c r="AF75" s="41">
        <f t="shared" si="6"/>
      </c>
      <c r="AG75" s="41">
        <f t="shared" si="12"/>
      </c>
      <c r="AH75" s="42">
        <f t="shared" si="9"/>
      </c>
      <c r="AI75" s="42">
        <f>IFERROR(N75/$J75,0)</f>
      </c>
      <c r="AJ75" s="42">
        <f>IFERROR(O75/$J75,0)</f>
      </c>
      <c r="AK75" s="42">
        <f>IFERROR(P75/$J75,0)</f>
      </c>
      <c r="AL75" s="42">
        <f>IFERROR(Q75/$J75,0)</f>
      </c>
      <c r="AM75" s="42">
        <f>IFERROR(R75/$J75,0)</f>
      </c>
      <c r="AN75" s="42">
        <f>IFERROR(S75/$J75,0)</f>
      </c>
      <c r="AO75" s="42">
        <f>IFERROR(T75/$J75,0)</f>
      </c>
      <c r="AP75" s="42">
        <f>IFERROR(U75/$J75,0)</f>
      </c>
      <c r="AQ75" s="42">
        <f>IFERROR(V75/$J75,0)</f>
      </c>
      <c r="AR75" s="41">
        <v>0</v>
      </c>
      <c r="AS75" s="41">
        <f t="shared" si="2"/>
      </c>
      <c r="AT75" s="9"/>
      <c r="AU75" s="9"/>
      <c r="AV75" s="33"/>
      <c r="AW75" s="33"/>
      <c r="AX75" s="33">
        <f t="shared" si="0"/>
      </c>
      <c r="AY75" s="33"/>
      <c r="AZ75" s="33"/>
      <c r="BA75" s="33"/>
    </row>
    <row customHeight="true" ht="17.037037037037035" r="76">
      <c r="A76" s="44" t="s">
        <v>49</v>
      </c>
      <c r="B76" s="45" t="s">
        <v>73</v>
      </c>
      <c r="C76" s="46" t="s">
        <v>62</v>
      </c>
      <c r="D76" s="47" t="s">
        <v>63</v>
      </c>
      <c r="E76" s="46" t="s">
        <v>59</v>
      </c>
      <c r="F76" s="46" t="s">
        <v>54</v>
      </c>
      <c r="G76" s="49" t="s">
        <v>79</v>
      </c>
      <c r="H76" s="38"/>
      <c r="I76" s="39"/>
      <c r="J76" s="39">
        <v>-2285.03783</v>
      </c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43">
        <f t="shared" si="15"/>
      </c>
      <c r="AD76" s="40">
        <f t="shared" si="14"/>
      </c>
      <c r="AE76" s="41">
        <f t="shared" si="7"/>
      </c>
      <c r="AF76" s="41">
        <f t="shared" si="6"/>
      </c>
      <c r="AG76" s="41">
        <f t="shared" si="12"/>
      </c>
      <c r="AH76" s="42">
        <f t="shared" si="9"/>
      </c>
      <c r="AI76" s="42">
        <f>IFERROR(N76/$J76,0)</f>
      </c>
      <c r="AJ76" s="42">
        <f>IFERROR(O76/$J76,0)</f>
      </c>
      <c r="AK76" s="42">
        <f>IFERROR(P76/$J76,0)</f>
      </c>
      <c r="AL76" s="42">
        <f>IFERROR(Q76/$J76,0)</f>
      </c>
      <c r="AM76" s="42">
        <f>IFERROR(R76/$J76,0)</f>
      </c>
      <c r="AN76" s="42">
        <f>IFERROR(S76/$J76,0)</f>
      </c>
      <c r="AO76" s="42">
        <f>IFERROR(T76/$J76,0)</f>
      </c>
      <c r="AP76" s="42">
        <f>IFERROR(U76/$J76,0)</f>
      </c>
      <c r="AQ76" s="42">
        <f>IFERROR(V76/$J76,0)</f>
      </c>
      <c r="AR76" s="41">
        <v>0</v>
      </c>
      <c r="AS76" s="41">
        <f t="shared" si="2"/>
      </c>
      <c r="AT76" s="9"/>
      <c r="AU76" s="9"/>
      <c r="AV76" s="33"/>
      <c r="AW76" s="33"/>
      <c r="AX76" s="33">
        <f t="shared" si="0"/>
      </c>
      <c r="AY76" s="33"/>
      <c r="AZ76" s="33"/>
      <c r="BA76" s="33"/>
    </row>
    <row customHeight="true" ht="17.037037037037035" r="77">
      <c r="A77" s="44" t="s">
        <v>49</v>
      </c>
      <c r="B77" s="45" t="s">
        <v>73</v>
      </c>
      <c r="C77" s="46" t="s">
        <v>65</v>
      </c>
      <c r="D77" s="47" t="s">
        <v>66</v>
      </c>
      <c r="E77" s="46" t="s">
        <v>60</v>
      </c>
      <c r="F77" s="46" t="s">
        <v>54</v>
      </c>
      <c r="G77" s="49" t="s">
        <v>79</v>
      </c>
      <c r="H77" s="38"/>
      <c r="I77" s="39"/>
      <c r="J77" s="39">
        <v>-1048.429122</v>
      </c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43">
        <f t="shared" si="15"/>
      </c>
      <c r="AD77" s="40">
        <f t="shared" si="14"/>
      </c>
      <c r="AE77" s="41">
        <f t="shared" si="7"/>
      </c>
      <c r="AF77" s="41">
        <f t="shared" si="6"/>
      </c>
      <c r="AG77" s="41">
        <f t="shared" si="12"/>
      </c>
      <c r="AH77" s="42">
        <f t="shared" si="9"/>
      </c>
      <c r="AI77" s="42">
        <f>IFERROR(N77/$J77,0)</f>
      </c>
      <c r="AJ77" s="42">
        <f>IFERROR(O77/$J77,0)</f>
      </c>
      <c r="AK77" s="42">
        <f>IFERROR(P77/$J77,0)</f>
      </c>
      <c r="AL77" s="42">
        <f>IFERROR(Q77/$J77,0)</f>
      </c>
      <c r="AM77" s="42">
        <f>IFERROR(R77/$J77,0)</f>
      </c>
      <c r="AN77" s="42">
        <f>IFERROR(S77/$J77,0)</f>
      </c>
      <c r="AO77" s="42">
        <f>IFERROR(T77/$J77,0)</f>
      </c>
      <c r="AP77" s="42">
        <f>IFERROR(U77/$J77,0)</f>
      </c>
      <c r="AQ77" s="42">
        <f>IFERROR(V77/$J77,0)</f>
      </c>
      <c r="AR77" s="41">
        <v>0</v>
      </c>
      <c r="AS77" s="41">
        <f t="shared" si="2"/>
      </c>
      <c r="AT77" s="9"/>
      <c r="AU77" s="9"/>
      <c r="AV77" s="33"/>
      <c r="AW77" s="33"/>
      <c r="AX77" s="33">
        <f t="shared" si="0"/>
      </c>
      <c r="AY77" s="33"/>
      <c r="AZ77" s="33"/>
      <c r="BA77" s="33"/>
    </row>
  </sheetData>
  <autoFilter ref="A3:BA77"/>
  <conditionalFormatting sqref="AG4:AG77">
    <cfRule dxfId="0" operator="lessThan" priority="1" stopIfTrue="true" type="cellIs">
      <formula>0</formula>
    </cfRule>
  </conditionalFormatting>
  <conditionalFormatting sqref="AF4:AF77">
    <cfRule dxfId="1" operator="lessThan" priority="2" stopIfTrue="true" type="cellIs">
      <formula>0</formula>
    </cfRule>
  </conditionalFormatting>
  <conditionalFormatting sqref="AF2:AG2">
    <cfRule dxfId="2" operator="lessThan" priority="3" stopIfTrue="true" type="cellIs">
      <formula>0</formula>
    </cfRule>
  </conditionalFormatting>
  <conditionalFormatting sqref="AF3:AG3">
    <cfRule dxfId="3" operator="lessThan" priority="4" stopIfTrue="true" type="cellIs">
      <formula>0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