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空净类目 整体转化率情况美国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<sst xmlns="http://schemas.openxmlformats.org/spreadsheetml/2006/main" count="29" uniqueCount="29">
  <si>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 xml:space="preserve">  </t>
  </si>
  <si>
    <t xml:space="preserve">空净类目转化率情况美国us分析</t>
  </si>
  <si>
    <t xml:space="preserve">美国美国空净Air purifiers美国空净选品指南针的转化率 流量 浏览量 订单量</t>
  </si>
  <si>
    <t xml:space="preserve">维度指标/平均</t>
  </si>
  <si>
    <t xml:space="preserve">平均转化率</t>
  </si>
  <si>
    <t xml:space="preserve">销量</t>
  </si>
  <si>
    <t xml:space="preserve">浏览量</t>
  </si>
  <si>
    <t xml:space="preserve">销售额</t>
  </si>
  <si>
    <t xml:space="preserve">转化率</t>
  </si>
  <si>
    <t xml:space="preserve">美国</t>
  </si>
  <si>
    <t xml:space="preserve">美国  美国空净Air purifiers美国空净选品指南针的转化率 流量 浏览量 订单量</t>
  </si>
  <si>
    <t xml:space="preserve">月维度</t>
  </si>
  <si>
    <t xml:space="preserve">平均</t>
  </si>
  <si>
    <t xml:space="preserve">平均销量：</t>
  </si>
  <si>
    <t xml:space="preserve">平均浏览量：</t>
  </si>
  <si>
    <t xml:space="preserve">点击次数</t>
  </si>
  <si>
    <t xml:space="preserve">平均点击数：</t>
  </si>
  <si>
    <t xml:space="preserve">搜索量</t>
  </si>
  <si>
    <t xml:space="preserve">平均搜索量：</t>
  </si>
  <si>
    <t xml:space="preserve">平均搜索转化率:</t>
  </si>
  <si>
    <t xml:space="preserve">点击率</t>
  </si>
  <si>
    <t xml:space="preserve">平均点击率:</t>
  </si>
  <si>
    <t xml:space="preserve">搜索购买率</t>
  </si>
  <si>
    <t xml:space="preserve">平均搜索购买率:</t>
  </si>
  <si>
    <t xml:space="preserve">单价/美金</t>
  </si>
  <si>
    <t xml:space="preserve">平均单价:</t>
  </si>
  <si>
    <t/>
    <r>
      <rPr/>
      <t xml:space="preserve">美国  整体转化率</t>
    </r>
    <r>
      <rPr>
        <b val="false"/>
        <i val="false"/>
        <strike val="false"/>
        <sz val="11"/>
        <color rgb="FF000000"/>
      </rPr>
      <t>2.78%</t>
    </r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</si>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</sst>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yyyy&quot;年&quot;m&quot;月&quot;"/>
    <numFmt numFmtId="165" formatCode="#,##0"/>
    <numFmt numFmtId="166" formatCode="0.00%"/>
    <numFmt numFmtId="167" formatCode="0_ "/>
    <numFmt numFmtId="168" formatCode="0.00_ "/>
    <numFmt numFmtId="169" formatCode="\$#,##0.0;\-\$#,##0.0"/>
  </numFmts>
  <fonts count="4"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00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true" applyProtection="false" borderId="0" fillId="0" fontId="2" numFmtId="164" xfId="0">
      <alignment horizontal="right" vertical="bottom"/>
    </xf>
    <xf applyAlignment="true" applyBorder="false" applyFill="false" applyFont="true" applyNumberFormat="true" applyProtection="false" borderId="0" fillId="0" fontId="2" numFmtId="164" xfId="0">
      <alignment horizontal="center" vertical="bottom"/>
    </xf>
    <xf applyAlignment="true" applyBorder="false" applyFill="false" applyFont="true" applyNumberFormat="false" applyProtection="false" borderId="0" fillId="0" fontId="2" numFmtId="0" xfId="0">
      <alignment horizontal="right" vertical="bottom"/>
    </xf>
    <xf applyAlignment="true" applyBorder="false" applyFill="true" applyFont="true" applyNumberFormat="false" applyProtection="false" borderId="0" fillId="2" fontId="2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false" applyFont="true" applyNumberFormat="true" applyProtection="false" borderId="0" fillId="0" fontId="2" numFmtId="165" xfId="0">
      <alignment horizontal="right" vertical="bottom"/>
    </xf>
    <xf applyAlignment="true" applyBorder="false" applyFill="false" applyFont="true" applyNumberFormat="true" applyProtection="false" borderId="0" fillId="0" fontId="2" numFmtId="166" xfId="0">
      <alignment vertical="bottom"/>
    </xf>
    <xf applyAlignment="true" applyBorder="false" applyFill="false" applyFont="true" applyNumberFormat="true" applyProtection="false" borderId="0" fillId="0" fontId="2" numFmtId="166" xfId="0">
      <alignment horizontal="right" vertical="bottom"/>
    </xf>
    <xf applyAlignment="true" applyBorder="false" applyFill="false" applyFont="true" applyNumberFormat="true" applyProtection="false" borderId="0" fillId="0" fontId="2" numFmtId="166" xfId="0">
      <alignment horizontal="center" vertical="bottom"/>
    </xf>
    <xf applyAlignment="true" applyBorder="false" applyFill="true" applyFont="true" applyNumberFormat="true" applyProtection="false" borderId="0" fillId="2" fontId="1" numFmtId="164" xfId="0">
      <alignment horizontal="center" vertical="bottom"/>
    </xf>
    <xf applyAlignment="true" applyBorder="false" applyFill="true" applyFont="true" applyNumberFormat="false" applyProtection="false" borderId="0" fillId="2" fontId="2" numFmtId="0" xfId="0">
      <alignment horizontal="right" vertical="bottom"/>
    </xf>
    <xf applyAlignment="true" applyBorder="false" applyFill="true" applyFont="true" applyNumberFormat="false" applyProtection="false" borderId="0" fillId="2" fontId="2" numFmtId="0" xfId="0">
      <alignment horizontal="center" vertical="bottom"/>
    </xf>
    <xf applyAlignment="true" applyBorder="false" applyFill="true" applyFont="true" applyNumberFormat="true" applyProtection="false" borderId="0" fillId="2" fontId="2" numFmtId="167" xfId="0">
      <alignment horizontal="right" vertical="bottom"/>
    </xf>
    <xf applyAlignment="true" applyBorder="false" applyFill="false" applyFont="true" applyNumberFormat="true" applyProtection="false" borderId="0" fillId="0" fontId="2" numFmtId="165" xfId="0">
      <alignment horizontal="right" vertical="bottom" wrapText="true"/>
    </xf>
    <xf applyAlignment="true" applyBorder="false" applyFill="true" applyFont="true" applyNumberFormat="true" applyProtection="false" borderId="0" fillId="2" fontId="2" numFmtId="166" xfId="0">
      <alignment horizontal="right" vertical="bottom"/>
    </xf>
    <xf applyAlignment="true" applyBorder="false" applyFill="true" applyFont="true" applyNumberFormat="true" applyProtection="false" borderId="0" fillId="2" fontId="2" numFmtId="166" xfId="0">
      <alignment horizontal="center" vertical="bottom"/>
    </xf>
    <xf applyAlignment="true" applyBorder="false" applyFill="false" applyFont="true" applyNumberFormat="true" applyProtection="false" borderId="0" fillId="0" fontId="2" numFmtId="168" xfId="0">
      <alignment vertical="bottom"/>
    </xf>
    <xf applyAlignment="true" applyBorder="false" applyFill="true" applyFont="true" applyNumberFormat="false" applyProtection="false" borderId="0" fillId="2" fontId="2" numFmtId="0" xfId="0">
      <alignment horizontal="center" vertical="bottom"/>
    </xf>
    <xf applyAlignment="true" applyBorder="false" applyFill="true" applyFont="true" applyNumberFormat="true" applyProtection="false" borderId="0" fillId="2" fontId="2" numFmtId="169" xfId="0">
      <alignment horizontal="right"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2" min="2" style="0" width="11.133333333333333"/>
    <col collapsed="false" customWidth="true" hidden="false" max="6" min="6" style="0" width="13.533333333333333"/>
    <col collapsed="false" customWidth="true" hidden="false" max="10" min="10" style="0" width="11.4"/>
    <col collapsed="false" customWidth="true" hidden="false" max="14" min="14" style="0" width="13.533333333333333"/>
    <col collapsed="false" customWidth="true" hidden="false" max="3" min="3" style="0" width="11.266666666666667"/>
    <col collapsed="false" customWidth="true" hidden="false" max="7" min="7" style="0" width="13.533333333333333"/>
    <col collapsed="false" customWidth="true" hidden="false" max="11" min="11" style="0" width="11.133333333333333"/>
    <col collapsed="false" customWidth="true" hidden="false" max="15" min="15" style="0" width="12.066666666666666"/>
    <col collapsed="false" customWidth="true" hidden="false" max="4" min="4" style="0" width="13.533333333333333"/>
    <col collapsed="false" customWidth="true" hidden="false" max="8" min="8" style="0" width="13.533333333333333"/>
    <col collapsed="false" customWidth="true" hidden="false" max="12" min="12" style="0" width="11.133333333333333"/>
    <col collapsed="false" customWidth="true" hidden="false" max="16" min="16" style="0" width="24.333333333333332"/>
    <col collapsed="false" customWidth="true" hidden="false" max="5" min="5" style="0" width="13.533333333333333"/>
    <col collapsed="false" customWidth="true" hidden="false" max="9" min="9" style="0" width="11.133333333333333"/>
    <col collapsed="false" customWidth="true" hidden="false" max="13" min="13" style="0" width="13.533333333333333"/>
    <col collapsed="false" customWidth="true" hidden="false" max="17" min="17" style="0" width="37.13333333333333"/>
  </cols>
  <sheetData>
    <row customHeight="true" ht="42.96296296296296"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customHeight="true" ht="16.296296296296294" r="2">
      <c r="B2" s="2"/>
    </row>
    <row customHeight="true" ht="16.296296296296294" r="3">
      <c r="B3" s="2"/>
    </row>
    <row customHeight="true" ht="16.296296296296294" r="4">
      <c r="A4" s="2" t="s">
        <v>2</v>
      </c>
      <c r="B4" s="2"/>
    </row>
    <row customHeight="true" ht="16.296296296296294" r="5">
      <c r="B5" s="3">
        <v>45717</v>
      </c>
      <c r="C5" s="3">
        <v>45749</v>
      </c>
      <c r="D5" s="3">
        <v>45780</v>
      </c>
      <c r="E5" s="3">
        <v>45812</v>
      </c>
      <c r="F5" s="3">
        <v>45843</v>
      </c>
      <c r="G5" s="3">
        <v>45875</v>
      </c>
      <c r="H5" s="3">
        <v>45907</v>
      </c>
      <c r="I5" s="3">
        <v>45938</v>
      </c>
      <c r="J5" s="3">
        <v>45970</v>
      </c>
      <c r="K5" s="3">
        <v>46001</v>
      </c>
      <c r="L5" s="3">
        <v>46023</v>
      </c>
      <c r="M5" s="3">
        <v>46055</v>
      </c>
      <c r="N5" s="3">
        <v>46084</v>
      </c>
      <c r="O5" s="3">
        <v>46116</v>
      </c>
      <c r="P5" s="4" t="s">
        <v>3</v>
      </c>
      <c r="Q5" s="5" t="s">
        <v>4</v>
      </c>
    </row>
    <row customHeight="true" ht="16.296296296296294" r="6">
      <c r="A6" s="6" t="s">
        <v>5</v>
      </c>
      <c r="B6" s="5">
        <v>91254</v>
      </c>
      <c r="C6" s="5">
        <v>93314</v>
      </c>
      <c r="D6" s="5">
        <v>151316</v>
      </c>
      <c r="E6" s="5">
        <v>139336</v>
      </c>
      <c r="F6" s="5">
        <v>122689</v>
      </c>
      <c r="G6" s="5">
        <v>134935</v>
      </c>
      <c r="H6" s="5">
        <v>126731</v>
      </c>
      <c r="I6" s="5">
        <v>130605</v>
      </c>
      <c r="J6" s="5">
        <v>125822</v>
      </c>
      <c r="K6" s="5">
        <v>173831</v>
      </c>
      <c r="L6" s="5">
        <v>132503</v>
      </c>
      <c r="M6" s="5">
        <v>121759</v>
      </c>
      <c r="N6" s="5">
        <v>136707</v>
      </c>
      <c r="O6" s="5">
        <f>136707+34567</f>
      </c>
      <c r="P6" s="7"/>
      <c r="Q6" s="5"/>
    </row>
    <row customHeight="true" ht="16.296296296296294" r="7">
      <c r="A7" s="6" t="s">
        <v>6</v>
      </c>
      <c r="B7" s="8">
        <v>4058436</v>
      </c>
      <c r="C7" s="5">
        <v>4184436</v>
      </c>
      <c r="D7" s="8">
        <v>4921683</v>
      </c>
      <c r="E7" s="8">
        <v>5311460</v>
      </c>
      <c r="F7" s="8">
        <v>4492234</v>
      </c>
      <c r="G7" s="8">
        <v>5110287</v>
      </c>
      <c r="H7" s="8">
        <v>4468975</v>
      </c>
      <c r="I7" s="8">
        <v>4572326</v>
      </c>
      <c r="J7" s="8">
        <v>4402875</v>
      </c>
      <c r="K7" s="8">
        <v>5911376</v>
      </c>
      <c r="L7" s="8">
        <v>4703076</v>
      </c>
      <c r="M7" s="8">
        <v>4343827</v>
      </c>
      <c r="N7" s="8">
        <v>4793527</v>
      </c>
      <c r="O7" s="5">
        <f>4793527+1223514</f>
      </c>
      <c r="P7" s="7"/>
      <c r="Q7" s="5"/>
    </row>
    <row customHeight="true" ht="16.296296296296294" r="8">
      <c r="A8" s="6" t="s">
        <v>7</v>
      </c>
      <c r="B8" s="5">
        <v>14825116</v>
      </c>
      <c r="C8" s="5">
        <v>14825116</v>
      </c>
      <c r="D8" s="5">
        <v>23600858</v>
      </c>
      <c r="E8" s="5">
        <v>19894103</v>
      </c>
      <c r="F8" s="5">
        <v>18272642</v>
      </c>
      <c r="G8" s="5">
        <v>20609383</v>
      </c>
      <c r="H8" s="5">
        <v>19433252</v>
      </c>
      <c r="I8" s="5">
        <v>20240896</v>
      </c>
      <c r="J8" s="5">
        <v>18966740</v>
      </c>
      <c r="K8" s="5">
        <v>28517130</v>
      </c>
      <c r="L8" s="5">
        <v>20416493</v>
      </c>
      <c r="M8" s="5">
        <v>18766681</v>
      </c>
      <c r="N8" s="5">
        <v>22033528</v>
      </c>
      <c r="O8" s="5">
        <f>22033528+5023947</f>
      </c>
      <c r="P8" s="7"/>
      <c r="Q8" s="5"/>
    </row>
    <row customHeight="true" ht="16.296296296296294" r="9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7"/>
      <c r="Q9" s="5"/>
    </row>
    <row customHeight="true" ht="16.296296296296294" r="10">
      <c r="A10" s="9" t="s">
        <v>8</v>
      </c>
      <c r="B10" s="10">
        <f>B6/B7</f>
      </c>
      <c r="C10" s="10">
        <f>C6/C7</f>
      </c>
      <c r="D10" s="10">
        <f>D6/D7</f>
      </c>
      <c r="E10" s="10">
        <f>E6/E7</f>
      </c>
      <c r="F10" s="10">
        <f>F6/F7</f>
      </c>
      <c r="G10" s="10">
        <f>G6/G7</f>
      </c>
      <c r="H10" s="10">
        <f>H6/H7</f>
      </c>
      <c r="I10" s="10">
        <f>I6/I7</f>
      </c>
      <c r="J10" s="10">
        <f>J6/J7</f>
      </c>
      <c r="K10" s="10">
        <f>K6/K7</f>
      </c>
      <c r="L10" s="10">
        <f>L6/L7</f>
      </c>
      <c r="M10" s="10">
        <f>M6/M7</f>
      </c>
      <c r="N10" s="10">
        <f>N6/N7</f>
      </c>
      <c r="O10" s="10">
        <f>O6/O7</f>
      </c>
      <c r="P10" s="11"/>
      <c r="Q10" s="10">
        <f>AVERAGE(C10:O10)</f>
      </c>
      <c r="R10" s="9"/>
      <c r="S10" s="9"/>
      <c r="T10" s="9"/>
    </row>
    <row customHeight="true" ht="16.296296296296294" r="11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7"/>
      <c r="Q11" s="5"/>
    </row>
    <row customHeight="true" ht="16.296296296296294" r="12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7"/>
      <c r="Q12" s="5"/>
    </row>
    <row customHeight="true" ht="16.296296296296294" r="13">
      <c r="A13" s="2" t="s">
        <v>9</v>
      </c>
      <c r="B13" s="2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7"/>
      <c r="Q13" s="5"/>
    </row>
    <row customHeight="true" ht="16.296296296296294" r="14">
      <c r="B14" s="3">
        <v>45717</v>
      </c>
      <c r="C14" s="3">
        <v>45749</v>
      </c>
      <c r="D14" s="3">
        <v>45780</v>
      </c>
      <c r="E14" s="3">
        <v>45812</v>
      </c>
      <c r="F14" s="3">
        <v>45843</v>
      </c>
      <c r="G14" s="3">
        <v>45875</v>
      </c>
      <c r="H14" s="3">
        <v>45907</v>
      </c>
      <c r="I14" s="3">
        <v>45938</v>
      </c>
      <c r="J14" s="3">
        <v>45970</v>
      </c>
      <c r="K14" s="3">
        <v>46001</v>
      </c>
      <c r="L14" s="3">
        <v>46023</v>
      </c>
      <c r="M14" s="3">
        <v>46055</v>
      </c>
      <c r="N14" s="3">
        <v>46084</v>
      </c>
      <c r="O14" s="3">
        <v>46116</v>
      </c>
      <c r="P14" s="12" t="s">
        <v>11</v>
      </c>
      <c r="Q14" s="13" t="s">
        <v>12</v>
      </c>
    </row>
    <row customHeight="true" ht="16.296296296296294" r="15">
      <c r="A15" s="2" t="s">
        <v>5</v>
      </c>
      <c r="B15" s="5">
        <f t="shared" ref="B15:B16" si="2">B6</f>
      </c>
      <c r="C15" s="5">
        <f t="shared" ref="C15:C16" si="3">C6</f>
      </c>
      <c r="D15" s="5">
        <f t="shared" ref="D15:D16" si="4">D6</f>
      </c>
      <c r="E15" s="5">
        <f t="shared" ref="E15:E16" si="5">E6</f>
      </c>
      <c r="F15" s="5">
        <f t="shared" ref="F15:F16" si="6">F6</f>
      </c>
      <c r="G15" s="5">
        <f t="shared" ref="G15:G16" si="7">G6</f>
      </c>
      <c r="H15" s="5">
        <f t="shared" ref="H15:H16" si="8">H6</f>
      </c>
      <c r="I15" s="5">
        <f t="shared" ref="I15:I16" si="9">I6</f>
      </c>
      <c r="J15" s="5">
        <f t="shared" ref="J15:J16" si="10">J6</f>
      </c>
      <c r="K15" s="5">
        <f t="shared" ref="K15:K16" si="11">K6</f>
      </c>
      <c r="L15" s="5">
        <f t="shared" ref="L15:L16" si="12">L6</f>
      </c>
      <c r="M15" s="5">
        <f t="shared" ref="M15:M16" si="13">M6</f>
      </c>
      <c r="N15" s="5">
        <f t="shared" ref="N15:N16" si="14">N6</f>
      </c>
      <c r="O15" s="5">
        <f t="shared" ref="O15:O16" si="15">O6</f>
      </c>
      <c r="P15" s="14" t="s">
        <v>13</v>
      </c>
      <c r="Q15" s="15">
        <f t="shared" ref="Q15:Q18" si="0">AVERAGE(B15:O15)</f>
      </c>
    </row>
    <row customHeight="true" ht="16.296296296296294" r="16">
      <c r="A16" s="2" t="s">
        <v>6</v>
      </c>
      <c r="B16" s="5">
        <f t="shared" si="2"/>
      </c>
      <c r="C16" s="5">
        <f t="shared" si="3"/>
      </c>
      <c r="D16" s="5">
        <f t="shared" si="4"/>
      </c>
      <c r="E16" s="5">
        <f t="shared" si="5"/>
      </c>
      <c r="F16" s="5">
        <f t="shared" si="6"/>
      </c>
      <c r="G16" s="5">
        <f t="shared" si="7"/>
      </c>
      <c r="H16" s="5">
        <f t="shared" si="8"/>
      </c>
      <c r="I16" s="5">
        <f t="shared" si="9"/>
      </c>
      <c r="J16" s="5">
        <f t="shared" si="10"/>
      </c>
      <c r="K16" s="5">
        <f t="shared" si="11"/>
      </c>
      <c r="L16" s="5">
        <f t="shared" si="12"/>
      </c>
      <c r="M16" s="5">
        <f t="shared" si="13"/>
      </c>
      <c r="N16" s="5">
        <f t="shared" si="14"/>
      </c>
      <c r="O16" s="5">
        <f t="shared" si="15"/>
      </c>
      <c r="P16" s="14" t="s">
        <v>14</v>
      </c>
      <c r="Q16" s="15">
        <f t="shared" si="0"/>
      </c>
    </row>
    <row customHeight="true" ht="16.296296296296294" r="17">
      <c r="A17" s="6" t="s">
        <v>15</v>
      </c>
      <c r="B17" s="8">
        <v>1293142</v>
      </c>
      <c r="C17" s="8">
        <v>1293142</v>
      </c>
      <c r="D17" s="8">
        <v>1396415</v>
      </c>
      <c r="E17" s="8">
        <v>764655</v>
      </c>
      <c r="F17" s="8">
        <v>630466</v>
      </c>
      <c r="G17" s="5">
        <v>673289</v>
      </c>
      <c r="H17" s="8">
        <v>559775</v>
      </c>
      <c r="I17" s="5">
        <v>524499</v>
      </c>
      <c r="J17" s="8">
        <v>512596</v>
      </c>
      <c r="K17" s="5">
        <v>743833</v>
      </c>
      <c r="L17" s="5">
        <v>643158</v>
      </c>
      <c r="M17" s="5">
        <v>551903</v>
      </c>
      <c r="N17" s="5">
        <v>623149</v>
      </c>
      <c r="O17" s="5">
        <f>623149+183856</f>
      </c>
      <c r="P17" s="14" t="s">
        <v>16</v>
      </c>
      <c r="Q17" s="15">
        <f t="shared" si="0"/>
      </c>
    </row>
    <row customHeight="true" ht="16.296296296296294" r="18">
      <c r="A18" s="6" t="s">
        <v>17</v>
      </c>
      <c r="B18" s="8">
        <v>22821777</v>
      </c>
      <c r="C18" s="8">
        <v>22821777</v>
      </c>
      <c r="D18" s="8">
        <v>22719759</v>
      </c>
      <c r="E18" s="8">
        <v>10206791</v>
      </c>
      <c r="F18" s="16">
        <v>8211812</v>
      </c>
      <c r="G18" s="5">
        <v>8591134</v>
      </c>
      <c r="H18" s="8">
        <v>6666954</v>
      </c>
      <c r="I18" s="8">
        <v>6028798</v>
      </c>
      <c r="J18" s="8">
        <v>6000096</v>
      </c>
      <c r="K18" s="8">
        <v>10070021</v>
      </c>
      <c r="L18" s="8">
        <v>7572776</v>
      </c>
      <c r="M18" s="16">
        <v>5916788</v>
      </c>
      <c r="N18" s="8">
        <v>9227197</v>
      </c>
      <c r="O18" s="8">
        <f>9227197+3256391</f>
      </c>
      <c r="P18" s="14" t="s">
        <v>18</v>
      </c>
      <c r="Q18" s="15">
        <f t="shared" si="0"/>
      </c>
    </row>
    <row customHeight="true" ht="16.296296296296294" r="19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5"/>
      <c r="P19" s="7"/>
      <c r="Q19" s="5"/>
      <c r="R19" s="5"/>
    </row>
    <row customHeight="true" ht="16.296296296296294" r="20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5"/>
      <c r="P20" s="7"/>
      <c r="Q20" s="5"/>
      <c r="R20" s="5"/>
    </row>
    <row customHeight="true" ht="16.296296296296294" r="21">
      <c r="A21" s="2" t="s">
        <v>8</v>
      </c>
      <c r="B21" s="10">
        <f>B15/B16</f>
      </c>
      <c r="C21" s="10">
        <f>C15/C16</f>
      </c>
      <c r="D21" s="10">
        <f>D15/D16</f>
      </c>
      <c r="E21" s="10">
        <f>E15/E16</f>
      </c>
      <c r="F21" s="10">
        <f>F15/F16</f>
      </c>
      <c r="G21" s="10">
        <f>G15/G16</f>
      </c>
      <c r="H21" s="10">
        <f>H15/H16</f>
      </c>
      <c r="I21" s="10">
        <f>I15/I16</f>
      </c>
      <c r="J21" s="10">
        <f>J15/J16</f>
      </c>
      <c r="K21" s="10">
        <f>K15/K16</f>
      </c>
      <c r="L21" s="10">
        <f>L15/L16</f>
      </c>
      <c r="M21" s="10">
        <f>M15/M16</f>
      </c>
      <c r="N21" s="10">
        <f>N15/N16</f>
      </c>
      <c r="O21" s="10">
        <f>O15/O16</f>
      </c>
      <c r="P21" s="14" t="s">
        <v>19</v>
      </c>
      <c r="Q21" s="17">
        <f>AVERAGE(C21:O21)</f>
      </c>
    </row>
    <row customHeight="true" ht="16.296296296296294" r="22">
      <c r="A22" s="2" t="s">
        <v>20</v>
      </c>
      <c r="B22" s="9">
        <f>B17/B18</f>
      </c>
      <c r="C22" s="9">
        <f>C17/C18</f>
      </c>
      <c r="D22" s="9">
        <f>D17/D18</f>
      </c>
      <c r="E22" s="9">
        <f>E17/E18</f>
      </c>
      <c r="F22" s="9">
        <f>F17/F18</f>
      </c>
      <c r="G22" s="9">
        <f>G17/G18</f>
      </c>
      <c r="H22" s="9">
        <f>H17/H18</f>
      </c>
      <c r="I22" s="9">
        <f>I17/I18</f>
      </c>
      <c r="J22" s="9">
        <f>J17/J18</f>
      </c>
      <c r="K22" s="9">
        <f>K17/K18</f>
      </c>
      <c r="L22" s="9">
        <f>L17/L18</f>
      </c>
      <c r="M22" s="9">
        <f>M17/M18</f>
      </c>
      <c r="N22" s="9">
        <f>N17/N18</f>
      </c>
      <c r="O22" s="9">
        <f>O17/O18</f>
      </c>
      <c r="P22" s="14" t="s">
        <v>21</v>
      </c>
      <c r="Q22" s="17">
        <f t="shared" ref="Q22:Q24" si="1">AVERAGE(B22:O22)</f>
      </c>
    </row>
    <row customHeight="true" ht="16.296296296296294" r="23">
      <c r="A23" s="2" t="s">
        <v>22</v>
      </c>
      <c r="B23" s="9">
        <f>B6/B18</f>
      </c>
      <c r="C23" s="9">
        <f>C6/C18</f>
      </c>
      <c r="D23" s="9">
        <f>D6/D18</f>
      </c>
      <c r="E23" s="9">
        <f>E6/E18</f>
      </c>
      <c r="F23" s="9">
        <f>F6/F18</f>
      </c>
      <c r="G23" s="9">
        <f>G6/G18</f>
      </c>
      <c r="H23" s="9">
        <f>H6/H18</f>
      </c>
      <c r="I23" s="9">
        <f>I6/I18</f>
      </c>
      <c r="J23" s="9">
        <f>J6/J18</f>
      </c>
      <c r="K23" s="9">
        <f>K6/K18</f>
      </c>
      <c r="L23" s="9">
        <f>L6/L18</f>
      </c>
      <c r="M23" s="9">
        <f>M6/M18</f>
      </c>
      <c r="N23" s="9">
        <f>N6/N18</f>
      </c>
      <c r="O23" s="9">
        <f>O6/O18</f>
      </c>
      <c r="P23" s="18" t="s">
        <v>23</v>
      </c>
      <c r="Q23" s="17">
        <f t="shared" si="1"/>
      </c>
    </row>
    <row customHeight="true" ht="16.296296296296294" r="24">
      <c r="A24" s="2" t="s">
        <v>24</v>
      </c>
      <c r="B24" s="19">
        <f>B8/B6</f>
      </c>
      <c r="C24" s="19">
        <f>C8/C6</f>
      </c>
      <c r="D24" s="19">
        <f>D8/D6</f>
      </c>
      <c r="E24" s="19">
        <f>E8/E6</f>
      </c>
      <c r="F24" s="19">
        <f>F8/F6</f>
      </c>
      <c r="G24" s="19">
        <f>G8/G6</f>
      </c>
      <c r="H24" s="19">
        <f>H8/H6</f>
      </c>
      <c r="I24" s="19">
        <f>I8/I6</f>
      </c>
      <c r="J24" s="19">
        <f>J8/J6</f>
      </c>
      <c r="K24" s="19">
        <f>K8/K6</f>
      </c>
      <c r="L24" s="19">
        <f>L8/L6</f>
      </c>
      <c r="M24" s="19">
        <f>M8/M6</f>
      </c>
      <c r="N24" s="19">
        <f>N8/N6</f>
      </c>
      <c r="O24" s="19">
        <f>O8/O6</f>
      </c>
      <c r="P24" s="20" t="s">
        <v>25</v>
      </c>
      <c r="Q24" s="21">
        <f t="shared" si="1"/>
      </c>
    </row>
    <row r="25"/>
    <row r="26"/>
    <row customHeight="true" ht="16.296296296296294" r="27">
      <c r="A27" s="2" t="s">
        <v>26</v>
      </c>
    </row>
    <row customHeight="true" ht="16.296296296296294" r="28">
      <c r="A28" s="2" t="s">
        <v>27</v>
      </c>
      <c r="G28" s="2" t="s">
        <v>28</v>
      </c>
    </row>
    <row customHeight="true" ht="16.296296296296294" r="29">
      <c r="A29" s="2" t="s">
        <v>27</v>
      </c>
      <c r="F29" s="2" t="s">
        <v>28</v>
      </c>
    </row>
    <row r="30">
      <c r="A30" s="2"/>
      <c r="F30" s="2"/>
    </row>
    <row r="31">
      <c r="A31" s="2"/>
      <c r="F31" s="2"/>
    </row>
    <row r="32">
      <c r="A32" s="2"/>
      <c r="F32" s="2"/>
    </row>
    <row r="33">
      <c r="A33" s="2"/>
      <c r="F33" s="2"/>
    </row>
    <row r="34">
      <c r="A34" s="2"/>
      <c r="F34" s="2"/>
    </row>
    <row r="35">
      <c r="A35" s="2"/>
      <c r="F35" s="2"/>
    </row>
    <row r="36">
      <c r="A36" s="2"/>
      <c r="F36" s="2"/>
    </row>
    <row r="37">
      <c r="A37" s="2"/>
      <c r="F37" s="2"/>
    </row>
    <row r="38">
      <c r="A38" s="2"/>
      <c r="F38" s="2"/>
    </row>
    <row r="39">
      <c r="A39" s="2"/>
      <c r="F39" s="2"/>
    </row>
    <row r="40">
      <c r="A40" s="2"/>
      <c r="F40" s="2"/>
    </row>
    <row r="41">
      <c r="A41" s="2"/>
      <c r="F41" s="2"/>
    </row>
    <row r="42">
      <c r="A42" s="2"/>
      <c r="F42" s="2"/>
    </row>
    <row r="43">
      <c r="A43" s="2"/>
      <c r="F43" s="2"/>
    </row>
    <row r="44">
      <c r="A44" s="2"/>
      <c r="F44" s="2"/>
    </row>
    <row r="45">
      <c r="A45" s="2"/>
      <c r="F45" s="2"/>
    </row>
    <row r="46">
      <c r="A46" s="2"/>
      <c r="F46" s="2"/>
    </row>
    <row r="47">
      <c r="A47" s="2"/>
      <c r="F47" s="2"/>
    </row>
    <row r="48">
      <c r="A48" s="2"/>
      <c r="F48" s="2"/>
    </row>
    <row r="49">
      <c r="A49" s="2"/>
      <c r="F49" s="2"/>
    </row>
  </sheetData>
  <mergeCells>
    <mergeCell ref="A1:Q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